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16.xml" ContentType="application/vnd.openxmlformats-officedocument.drawingml.chart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drawings/charts/chart2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30c24f8bb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00rpm" sheetId="1" r:id="R1aa019055bd144a0"/>
    <x:sheet xmlns:r="http://schemas.openxmlformats.org/officeDocument/2006/relationships" name="4000rpm" sheetId="2" r:id="R271fe5abad434409"/>
    <x:sheet xmlns:r="http://schemas.openxmlformats.org/officeDocument/2006/relationships" name="5000rpm" sheetId="3" r:id="R6124e4a53b964456"/>
    <x:sheet xmlns:r="http://schemas.openxmlformats.org/officeDocument/2006/relationships" name="升力标定计算" sheetId="4" r:id="Rb6a83b2187b94b82"/>
    <x:sheet xmlns:r="http://schemas.openxmlformats.org/officeDocument/2006/relationships" name="残差明细" sheetId="5" r:id="R118820581adf438b"/>
    <x:sheet xmlns:r="http://schemas.openxmlformats.org/officeDocument/2006/relationships" name="残差汇总" sheetId="6" r:id="R1f2c6e574fd9456c"/>
  </x:sheets>
</x:workbook>
</file>

<file path=xl/sharedStrings.xml><?xml version="1.0" encoding="utf-8"?>
<x:sst xmlns:x="http://schemas.openxmlformats.org/spreadsheetml/2006/main">
  <x:si>
    <x:t xml:space="preserve">0-3000rpm-1</x:t>
  </x:si>
  <x:si>
    <x:t xml:space="preserve">0-3000rpm-2</x:t>
  </x:si>
  <x:si>
    <x:t xml:space="preserve">叶素理论计算数据</x:t>
  </x:si>
  <x:si>
    <x:t xml:space="preserve">omega_mean</x:t>
  </x:si>
  <x:si>
    <x:t xml:space="preserve">rpm_mean</x:t>
  </x:si>
  <x:si>
    <x:t xml:space="preserve">sensor2_mean</x:t>
  </x:si>
  <x:si>
    <x:t xml:space="preserve">v_a</x:t>
  </x:si>
  <x:si>
    <x:t xml:space="preserve">acc</x:t>
  </x:si>
  <x:si>
    <x:t xml:space="preserve">J</x:t>
  </x:si>
  <x:si>
    <x:t xml:space="preserve">J_a</x:t>
  </x:si>
  <x:si>
    <x:t xml:space="preserve">C_T_prop</x:t>
  </x:si>
  <x:si>
    <x:t xml:space="preserve">C_T</x:t>
  </x:si>
  <x:si>
    <x:t xml:space="preserve">rpm</x:t>
  </x:si>
  <x:si>
    <x:t xml:space="preserve">omega_a</x:t>
  </x:si>
  <x:si>
    <x:t xml:space="preserve">alpha_p_deg</x:t>
  </x:si>
  <x:si>
    <x:t xml:space="preserve">Omega_rad_s</x:t>
  </x:si>
  <x:si>
    <x:t xml:space="preserve">T_N</x:t>
  </x:si>
  <x:si>
    <x:t xml:space="preserve">C_T_raw</x:t>
  </x:si>
  <x:si>
    <x:t xml:space="preserve">lambda_0</x:t>
  </x:si>
  <x:si>
    <x:t xml:space="preserve">lambda_i_0</x:t>
  </x:si>
  <x:si>
    <x:t xml:space="preserve">k_x</x:t>
  </x:si>
  <x:si>
    <x:t xml:space="preserve">mu_a</x:t>
  </x:si>
  <x:si>
    <x:t xml:space="preserve">mu_t</x:t>
  </x:si>
  <x:si>
    <x:t xml:space="preserve">iterations</x:t>
  </x:si>
  <x:si>
    <x:t xml:space="preserve">converged</x:t>
  </x:si>
  <x:si>
    <x:t xml:space="preserve">ab_deg_min</x:t>
  </x:si>
  <x:si>
    <x:t xml:space="preserve">ab_deg_max</x:t>
  </x:si>
  <x:si>
    <x:t xml:space="preserve">C_T_PROP</x:t>
  </x:si>
  <x:si>
    <x:t xml:space="preserve">cos 15°</x:t>
  </x:si>
  <x:si>
    <x:t xml:space="preserve">15-3000rpm-1</x:t>
  </x:si>
  <x:si>
    <x:t xml:space="preserve">15-3000rpm-2</x:t>
  </x:si>
  <x:si>
    <x:t xml:space="preserve">omega_rel</x:t>
  </x:si>
  <x:si>
    <x:t xml:space="preserve">30-3000rpm-1</x:t>
  </x:si>
  <x:si>
    <x:t xml:space="preserve">30-3000rpm-2</x:t>
  </x:si>
  <x:si>
    <x:t xml:space="preserve">45-3000rpm-1</x:t>
  </x:si>
  <x:si>
    <x:t xml:space="preserve">45-3000rpm-2</x:t>
  </x:si>
  <x:si>
    <x:t xml:space="preserve">60-3000rpm-1</x:t>
  </x:si>
  <x:si>
    <x:t xml:space="preserve">60-3000rpm-2</x:t>
  </x:si>
  <x:si>
    <x:t xml:space="preserve">75-3000rpm-1</x:t>
  </x:si>
  <x:si>
    <x:t xml:space="preserve">75-3000rpm-2</x:t>
  </x:si>
  <x:si>
    <x:t xml:space="preserve">sensor_cali</x:t>
  </x:si>
  <x:si>
    <x:t xml:space="preserve">90-3000rpm-1</x:t>
  </x:si>
  <x:si>
    <x:t xml:space="preserve">90-3000rpm-2</x:t>
  </x:si>
  <x:si>
    <x:t xml:space="preserve">0-4000rpm-1</x:t>
  </x:si>
  <x:si>
    <x:t xml:space="preserve">0-4000rpm-2</x:t>
  </x:si>
  <x:si>
    <x:t xml:space="preserve">15-4000rpm-1</x:t>
  </x:si>
  <x:si>
    <x:t xml:space="preserve">15-4000rpm-2</x:t>
  </x:si>
  <x:si>
    <x:t xml:space="preserve">30-4000rpm-1</x:t>
  </x:si>
  <x:si>
    <x:t xml:space="preserve">30-4000rpm-2</x:t>
  </x:si>
  <x:si>
    <x:t xml:space="preserve">45-4000rpm-1</x:t>
  </x:si>
  <x:si>
    <x:t xml:space="preserve">45-4000rpm-2</x:t>
  </x:si>
  <x:si>
    <x:t xml:space="preserve">60-4000rpm-1</x:t>
  </x:si>
  <x:si>
    <x:t xml:space="preserve">60-4000rpm-2</x:t>
  </x:si>
  <x:si>
    <x:t xml:space="preserve">传感器校准</x:t>
  </x:si>
  <x:si>
    <x:t xml:space="preserve">y = -1.0512x - 3.6614</x:t>
  </x:si>
  <x:si>
    <x:t xml:space="preserve">y = -1.047x - 13.539</x:t>
  </x:si>
  <x:si>
    <x:t xml:space="preserve">75-4000rpm-1</x:t>
  </x:si>
  <x:si>
    <x:t xml:space="preserve">75-4000rpm-2</x:t>
  </x:si>
  <x:si>
    <x:t xml:space="preserve">y = -1.121x - 4.2564</x:t>
  </x:si>
  <x:si>
    <x:t xml:space="preserve">90-4000rpm-1</x:t>
  </x:si>
  <x:si>
    <x:t xml:space="preserve">90-4000rpm-2</x:t>
  </x:si>
  <x:si>
    <x:t xml:space="preserve">0-5000rpm-1</x:t>
  </x:si>
  <x:si>
    <x:t xml:space="preserve">0-5000rpm-2</x:t>
  </x:si>
  <x:si>
    <x:t xml:space="preserve">Thrust(N)</x:t>
  </x:si>
  <x:si>
    <x:t xml:space="preserve">15-5000rpm-1</x:t>
  </x:si>
  <x:si>
    <x:t xml:space="preserve">15-5000rpm-2</x:t>
  </x:si>
  <x:si>
    <x:t xml:space="preserve">30-5000rpm-1</x:t>
  </x:si>
  <x:si>
    <x:t xml:space="preserve">30-5000rpm-2</x:t>
  </x:si>
  <x:si>
    <x:t xml:space="preserve">45-5000rpm-1</x:t>
  </x:si>
  <x:si>
    <x:t xml:space="preserve">45-5000rpm-2</x:t>
  </x:si>
  <x:si>
    <x:t xml:space="preserve">60-5000rpm-1</x:t>
  </x:si>
  <x:si>
    <x:t xml:space="preserve">60-5000rpm-2</x:t>
  </x:si>
  <x:si>
    <x:t xml:space="preserve">75-5000rpm-1</x:t>
  </x:si>
  <x:si>
    <x:t xml:space="preserve">75-5000rpm-2</x:t>
  </x:si>
  <x:si>
    <x:t xml:space="preserve">90-5000rpm-1</x:t>
  </x:si>
  <x:si>
    <x:t xml:space="preserve">90-5000rpm-2</x:t>
  </x:si>
</x:sst>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%"/>
    <x:numFmt numFmtId="202" formatCode="0.0000000000"/>
  </x:numFmts>
  <x:fonts count="12">
    <x:font>
      <x:sz val="11"/>
      <x:color theme="1"/>
      <x:name val="等线"/>
    </x:font>
    <x:font>
      <x:sz val="9"/>
      <x:name val="等线"/>
    </x:font>
    <x:font>
      <x:b/>
      <x:sz val="16"/>
      <x:color rgb="FFFFFFFF"/>
      <x:name val="等线"/>
    </x:font>
    <x:font>
      <x:sz val="10"/>
      <x:color rgb="FF5F4B13"/>
      <x:name val="等线"/>
    </x:font>
    <x:font>
      <x:b/>
      <x:sz val="10"/>
      <x:color rgb="FF5F4B13"/>
      <x:name val="等线"/>
    </x:font>
    <x:font>
      <x:sz val="10"/>
      <x:color rgb="FF24434A"/>
      <x:name val="等线"/>
    </x:font>
    <x:font>
      <x:b/>
      <x:sz val="10"/>
      <x:color rgb="FFFFFFFF"/>
      <x:name val="等线"/>
    </x:font>
    <x:font>
      <x:sz val="9"/>
      <x:color theme="1"/>
      <x:name val="等线"/>
    </x:font>
    <x:font>
      <x:sz val="10"/>
      <x:color theme="1"/>
      <x:name val="等线"/>
    </x:font>
    <x:font>
      <x:b/>
      <x:sz val="10"/>
      <x:color rgb="FF24434A"/>
      <x:name val="等线"/>
    </x:font>
    <x:font>
      <x:b/>
      <x:sz val="10"/>
      <x:color rgb="FF0F4C5C"/>
      <x:name val="等线"/>
    </x:font>
    <x:font>
      <x:sz val="9"/>
      <x:color rgb="FF5A6B70"/>
      <x:name val="等线"/>
    </x:font>
  </x:fonts>
  <x:fills count="8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FFF4D6"/>
      </x:patternFill>
    </x:fill>
    <x:fill>
      <x:patternFill patternType="solid">
        <x:fgColor rgb="FFE8F1F2"/>
      </x:patternFill>
    </x:fill>
    <x:fill>
      <x:patternFill patternType="solid">
        <x:fgColor rgb="FF15616D"/>
      </x:patternFill>
    </x:fill>
    <x:fill>
      <x:patternFill patternType="solid">
        <x:fgColor rgb="FFD6E9EC"/>
      </x:patternFill>
    </x:fill>
    <x:fill>
      <x:patternFill patternType="solid">
        <x:fgColor rgb="FFF4F7F8"/>
      </x:patternFill>
    </x:fill>
  </x:fills>
  <x:borders count="5">
    <x:border/>
    <x:border>
      <x:left style="thin">
        <x:color rgb="FF0F4C5C"/>
      </x:left>
      <x:top style="thin">
        <x:color rgb="FF0F4C5C"/>
      </x:top>
      <x:bottom style="thin">
        <x:color rgb="FF0F4C5C"/>
      </x:bottom>
    </x:border>
    <x:border>
      <x:top style="thin">
        <x:color rgb="FF0F4C5C"/>
      </x:top>
      <x:bottom style="thin">
        <x:color rgb="FF0F4C5C"/>
      </x:bottom>
    </x:border>
    <x:border>
      <x:right style="thin">
        <x:color rgb="FF0F4C5C"/>
      </x:right>
      <x:top style="thin">
        <x:color rgb="FF0F4C5C"/>
      </x:top>
      <x:bottom style="thin">
        <x:color rgb="FF0F4C5C"/>
      </x:bottom>
    </x:border>
    <x:border>
      <x:bottom style="double">
        <x:color rgb="FF0F4C5C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0" xfId="0" applyAlignment="1">
      <x:alignment vertical="center"/>
    </x:xf>
    <x:xf numFmtId="11" fontId="0" fillId="0" borderId="0" xfId="0" applyNumberFormat="1" applyAlignment="1">
      <x:alignment vertical="center"/>
    </x:xf>
    <x:xf numFmtId="0" fontId="0" fillId="0" borderId="0" xfId="0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20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7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200" fontId="8" fillId="4" borderId="0" xfId="0" applyNumberFormat="1" applyFont="1" applyFill="1" applyBorder="1" applyAlignment="1">
      <x:alignment vertical="center"/>
    </x:xf>
    <x:xf numFmtId="201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horizontal="center" vertical="center"/>
    </x:xf>
    <x:xf numFmtId="200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horizontal="center" vertical="center"/>
    </x:xf>
    <x:xf numFmtId="200" fontId="8" fillId="6" borderId="0" xfId="0" applyNumberFormat="1" applyFont="1" applyFill="1" applyBorder="1" applyAlignment="1">
      <x:alignment vertical="center"/>
    </x:xf>
    <x:xf numFmtId="201" fontId="8" fillId="6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horizontal="center" vertical="center"/>
    </x:xf>
    <x:xf numFmtId="200" fontId="10" fillId="6" borderId="0" xfId="0" applyNumberFormat="1" applyFont="1" applyFill="1" applyBorder="1" applyAlignment="1">
      <x:alignment vertical="center"/>
    </x:xf>
    <x:xf numFmtId="201" fontId="10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0" fillId="6" borderId="4" xfId="0" applyNumberFormat="1" applyFont="1" applyFill="1" applyBorder="1" applyAlignment="1">
      <x:alignment horizontal="center" vertical="center"/>
    </x:xf>
    <x:xf numFmtId="200" fontId="10" fillId="6" borderId="4" xfId="0" applyNumberFormat="1" applyFont="1" applyFill="1" applyBorder="1" applyAlignment="1">
      <x:alignment vertical="center"/>
    </x:xf>
    <x:xf numFmtId="201" fontId="10" fillId="6" borderId="4" xfId="0" applyNumberFormat="1" applyFont="1" applyFill="1" applyBorder="1" applyAlignment="1">
      <x:alignment vertical="center"/>
    </x:xf>
    <x:xf numFmtId="0" fontId="10" fillId="6" borderId="4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</x:cellXfs>
  <x:cellStyles count="1">
    <x:cellStyle name="常规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e46068e524025" /><Relationship Type="http://schemas.openxmlformats.org/officeDocument/2006/relationships/theme" Target="/xl/theme/theme1.xml" Id="R6466b82bed85400a" /><Relationship Type="http://schemas.openxmlformats.org/officeDocument/2006/relationships/sharedStrings" Target="/xl/sharedStrings.xml" Id="R9bd38d01693f4fda" /><Relationship Type="http://schemas.openxmlformats.org/officeDocument/2006/relationships/worksheet" Target="/xl/worksheets/sheet1.xml" Id="R1aa019055bd144a0" /><Relationship Type="http://schemas.openxmlformats.org/officeDocument/2006/relationships/worksheet" Target="/xl/worksheets/sheet2.xml" Id="R271fe5abad434409" /><Relationship Type="http://schemas.openxmlformats.org/officeDocument/2006/relationships/worksheet" Target="/xl/worksheets/sheet3.xml" Id="R6124e4a53b964456" /><Relationship Type="http://schemas.openxmlformats.org/officeDocument/2006/relationships/worksheet" Target="/xl/worksheets/sheet4.xml" Id="Rb6a83b2187b94b82" /><Relationship Type="http://schemas.openxmlformats.org/officeDocument/2006/relationships/worksheet" Target="/xl/worksheets/sheet5.xml" Id="R118820581adf438b" /><Relationship Type="http://schemas.openxmlformats.org/officeDocument/2006/relationships/worksheet" Target="/xl/worksheets/sheet6.xml" Id="R1f2c6e574fd945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f4236afd714ceb" /><Relationship Type="http://schemas.openxmlformats.org/officeDocument/2006/relationships/chart" Target="/xl/drawings/charts/chart2.xml" Id="R737e3b367bd34520" /><Relationship Type="http://schemas.openxmlformats.org/officeDocument/2006/relationships/chart" Target="/xl/drawings/charts/chart3.xml" Id="R7b8934adc4cf4fca" /><Relationship Type="http://schemas.openxmlformats.org/officeDocument/2006/relationships/chart" Target="/xl/drawings/charts/chart4.xml" Id="R337581bd6ce14ec8" /><Relationship Type="http://schemas.openxmlformats.org/officeDocument/2006/relationships/chart" Target="/xl/drawings/charts/chart5.xml" Id="Rf7bd4f306c214515" /><Relationship Type="http://schemas.openxmlformats.org/officeDocument/2006/relationships/chart" Target="/xl/drawings/charts/chart6.xml" Id="R5b85fa9a0b354fbe" /><Relationship Type="http://schemas.openxmlformats.org/officeDocument/2006/relationships/chart" Target="/xl/drawings/charts/chart7.xml" Id="R3a37fc32bb294484" /><Relationship Type="http://schemas.openxmlformats.org/officeDocument/2006/relationships/chart" Target="/xl/drawings/charts/chart8.xml" Id="Rc26a8692f5604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6d6ca6a4740044b2" /><Relationship Type="http://schemas.openxmlformats.org/officeDocument/2006/relationships/chart" Target="/xl/drawings/charts/chart10.xml" Id="R9702f4cd679c4566" /><Relationship Type="http://schemas.openxmlformats.org/officeDocument/2006/relationships/chart" Target="/xl/drawings/charts/chart11.xml" Id="R0444e07cb0f34eca" /><Relationship Type="http://schemas.openxmlformats.org/officeDocument/2006/relationships/chart" Target="/xl/drawings/charts/chart12.xml" Id="R3467e83c56fc4c43" /><Relationship Type="http://schemas.openxmlformats.org/officeDocument/2006/relationships/chart" Target="/xl/drawings/charts/chart13.xml" Id="R6bd2ce66fbd64365" /><Relationship Type="http://schemas.openxmlformats.org/officeDocument/2006/relationships/chart" Target="/xl/drawings/charts/chart14.xml" Id="R58fc2f0c84034214" /><Relationship Type="http://schemas.openxmlformats.org/officeDocument/2006/relationships/chart" Target="/xl/drawings/charts/chart15.xml" Id="Rb4dfe33bbe6047a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38bc779c4e144f2b" /><Relationship Type="http://schemas.openxmlformats.org/officeDocument/2006/relationships/chart" Target="/xl/drawings/charts/chart17.xml" Id="R93457a3bc3ec49e8" /><Relationship Type="http://schemas.openxmlformats.org/officeDocument/2006/relationships/chart" Target="/xl/drawings/charts/chart18.xml" Id="Re35b875b9b3842a7" /><Relationship Type="http://schemas.openxmlformats.org/officeDocument/2006/relationships/chart" Target="/xl/drawings/charts/chart19.xml" Id="Ra573e7d0b4624132" /><Relationship Type="http://schemas.openxmlformats.org/officeDocument/2006/relationships/chart" Target="/xl/drawings/charts/chart20.xml" Id="Rdc2b59b9b6dc4bda" /><Relationship Type="http://schemas.openxmlformats.org/officeDocument/2006/relationships/chart" Target="/xl/drawings/charts/chart21.xml" Id="R328fc9f6942244b2" /><Relationship Type="http://schemas.openxmlformats.org/officeDocument/2006/relationships/chart" Target="/xl/drawings/charts/chart22.xml" Id="R1fc32441e5644e8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23.xml" Id="R62346dd9495349d6" /><Relationship Type="http://schemas.openxmlformats.org/officeDocument/2006/relationships/chart" Target="/xl/drawings/charts/chart24.xml" Id="Rde07d4e3d2114043" /><Relationship Type="http://schemas.openxmlformats.org/officeDocument/2006/relationships/chart" Target="/xl/drawings/charts/chart25.xml" Id="R7913a6d9a6d640f3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400" b="0" i="0" u="non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3000rpm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tx>
            <c:v>第一组</c:v>
          </c:tx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'3000rpm'!$F$4:$F$14</c:f>
              <c:numCache>
                <c:formatCode>General</c:formatCode>
                <c:ptCount val="11"/>
                <c:pt idx="0">
                  <c:v>0</c:v>
                </c:pt>
                <c:pt idx="1">
                  <c:v>0.04231166998564601</c:v>
                </c:pt>
                <c:pt idx="2">
                  <c:v>0.08531591917958145</c:v>
                </c:pt>
                <c:pt idx="3">
                  <c:v>0.12791862056674433</c:v>
                </c:pt>
                <c:pt idx="4">
                  <c:v>0.17021768870412188</c:v>
                </c:pt>
                <c:pt idx="5">
                  <c:v>0.21121719303006967</c:v>
                </c:pt>
                <c:pt idx="6">
                  <c:v>0.2509609554293975</c:v>
                </c:pt>
                <c:pt idx="7">
                  <c:v>0.2956745778607743</c:v>
                </c:pt>
                <c:pt idx="8">
                  <c:v>0.33857707658804265</c:v>
                </c:pt>
                <c:pt idx="9">
                  <c:v>0.37947833771878475</c:v>
                </c:pt>
                <c:pt idx="10">
                  <c:v>0.4208317089699528</c:v>
                </c:pt>
              </c:numCache>
            </c:numRef>
          </c:xVal>
          <c:yVal>
            <c:numRef>
              <c:f>'3000rpm'!$H$4:$H$14</c:f>
              <c:numCache>
                <c:formatCode>General</c:formatCode>
                <c:ptCount val="11"/>
                <c:pt idx="0">
                  <c:v>0.08038825044568515</c:v>
                </c:pt>
                <c:pt idx="1">
                  <c:v>0.07991094697584653</c:v>
                </c:pt>
                <c:pt idx="2">
                  <c:v>0.08041281504200745</c:v>
                </c:pt>
                <c:pt idx="3">
                  <c:v>0.08088341893009585</c:v>
                </c:pt>
                <c:pt idx="4">
                  <c:v>0.08134060032448916</c:v>
                </c:pt>
                <c:pt idx="5">
                  <c:v>0.08213606424987446</c:v>
                </c:pt>
                <c:pt idx="6">
                  <c:v>0.08537172725880975</c:v>
                </c:pt>
                <c:pt idx="7">
                  <c:v>0.08726914769387938</c:v>
                </c:pt>
                <c:pt idx="8">
                  <c:v>0.09066629150055497</c:v>
                </c:pt>
                <c:pt idx="9">
                  <c:v>0.0933370176904777</c:v>
                </c:pt>
                <c:pt idx="10">
                  <c:v>0.09777304316722278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'3000rpm'!$F$14:$F$24</c:f>
              <c:numCache>
                <c:formatCode>General</c:formatCode>
                <c:ptCount val="11"/>
                <c:pt idx="0">
                  <c:v>0.4208317089699528</c:v>
                </c:pt>
                <c:pt idx="1">
                  <c:v>0.3812956928542449</c:v>
                </c:pt>
                <c:pt idx="2">
                  <c:v>0.34090037465036493</c:v>
                </c:pt>
                <c:pt idx="3">
                  <c:v>0.29624983095668844</c:v>
                </c:pt>
                <c:pt idx="4">
                  <c:v>0.25550779438860494</c:v>
                </c:pt>
                <c:pt idx="5">
                  <c:v>0.21165059667603173</c:v>
                </c:pt>
                <c:pt idx="6">
                  <c:v>0.17107380171995845</c:v>
                </c:pt>
                <c:pt idx="7">
                  <c:v>0.12869957458469306</c:v>
                </c:pt>
                <c:pt idx="8">
                  <c:v>0.08643590298008114</c:v>
                </c:pt>
                <c:pt idx="9">
                  <c:v>0.043232291194862334</c:v>
                </c:pt>
                <c:pt idx="10">
                  <c:v>0.0005088216961571241</c:v>
                </c:pt>
              </c:numCache>
            </c:numRef>
          </c:xVal>
          <c:yVal>
            <c:numRef>
              <c:f>'3000rpm'!$H$14:$H$24</c:f>
              <c:numCache>
                <c:formatCode>General</c:formatCode>
                <c:ptCount val="11"/>
                <c:pt idx="0">
                  <c:v>0.09777304316722278</c:v>
                </c:pt>
                <c:pt idx="1">
                  <c:v>0.09421196232944024</c:v>
                </c:pt>
                <c:pt idx="2">
                  <c:v>0.09160860481020765</c:v>
                </c:pt>
                <c:pt idx="3">
                  <c:v>0.08716607922288203</c:v>
                </c:pt>
                <c:pt idx="4">
                  <c:v>0.085049656726945</c:v>
                </c:pt>
                <c:pt idx="5">
                  <c:v>0.08296972457438397</c:v>
                </c:pt>
                <c:pt idx="6">
                  <c:v>0.08159246056904888</c:v>
                </c:pt>
                <c:pt idx="7">
                  <c:v>0.08083284522435256</c:v>
                </c:pt>
                <c:pt idx="8">
                  <c:v>0.08065674626300257</c:v>
                </c:pt>
                <c:pt idx="9">
                  <c:v>0.08090537260699074</c:v>
                </c:pt>
                <c:pt idx="10">
                  <c:v>0.08009415476364976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'3000rpm'!$P$4:$P$14</c:f>
              <c:numCache>
                <c:formatCode>General</c:formatCode>
                <c:ptCount val="11"/>
                <c:pt idx="0">
                  <c:v>0</c:v>
                </c:pt>
                <c:pt idx="1">
                  <c:v>0.04283730842454167</c:v>
                </c:pt>
                <c:pt idx="2">
                  <c:v>0.08563607585742344</c:v>
                </c:pt>
                <c:pt idx="3">
                  <c:v>0.12897201821712942</c:v>
                </c:pt>
                <c:pt idx="4">
                  <c:v>0.17215497322058868</c:v>
                </c:pt>
                <c:pt idx="5">
                  <c:v>0.21343392331575448</c:v>
                </c:pt>
                <c:pt idx="6">
                  <c:v>0.2566133302684951</c:v>
                </c:pt>
                <c:pt idx="7">
                  <c:v>0.2980541555065999</c:v>
                </c:pt>
                <c:pt idx="8">
                  <c:v>0.34053373595741326</c:v>
                </c:pt>
                <c:pt idx="9">
                  <c:v>0.38428285433963</c:v>
                </c:pt>
                <c:pt idx="10">
                  <c:v>0.42306555669090984</c:v>
                </c:pt>
              </c:numCache>
            </c:numRef>
          </c:xVal>
          <c:yVal>
            <c:numRef>
              <c:f>'3000rpm'!$R$4:$R$14</c:f>
              <c:numCache>
                <c:formatCode>General</c:formatCode>
                <c:ptCount val="11"/>
                <c:pt idx="0">
                  <c:v>0.08004242270960508</c:v>
                </c:pt>
                <c:pt idx="1">
                  <c:v>0.08075158949024049</c:v>
                </c:pt>
                <c:pt idx="2">
                  <c:v>0.07978281826875194</c:v>
                </c:pt>
                <c:pt idx="3">
                  <c:v>0.08149754260974837</c:v>
                </c:pt>
                <c:pt idx="4">
                  <c:v>0.08209012599866743</c:v>
                </c:pt>
                <c:pt idx="5">
                  <c:v>0.08348849984196818</c:v>
                </c:pt>
                <c:pt idx="6">
                  <c:v>0.08573588132946701</c:v>
                </c:pt>
                <c:pt idx="7">
                  <c:v>0.08788699651156225</c:v>
                </c:pt>
                <c:pt idx="8">
                  <c:v>0.09090802093289073</c:v>
                </c:pt>
                <c:pt idx="9">
                  <c:v>0.09482407559403823</c:v>
                </c:pt>
                <c:pt idx="10">
                  <c:v>0.09766866864275751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'3000rpm'!$P$14:$P$24</c:f>
              <c:numCache>
                <c:formatCode>General</c:formatCode>
                <c:ptCount val="11"/>
                <c:pt idx="0">
                  <c:v>0.42306555669090984</c:v>
                </c:pt>
                <c:pt idx="1">
                  <c:v>0.38521611451878607</c:v>
                </c:pt>
                <c:pt idx="2">
                  <c:v>0.3421155447206962</c:v>
                </c:pt>
                <c:pt idx="3">
                  <c:v>0.2985322772149466</c:v>
                </c:pt>
                <c:pt idx="4">
                  <c:v>0.2567531888845476</c:v>
                </c:pt>
                <c:pt idx="5">
                  <c:v>0.21419802139450478</c:v>
                </c:pt>
                <c:pt idx="6">
                  <c:v>0.17664156410835202</c:v>
                </c:pt>
                <c:pt idx="7">
                  <c:v>0.13074128284462602</c:v>
                </c:pt>
                <c:pt idx="8">
                  <c:v>0.0869632928490879</c:v>
                </c:pt>
                <c:pt idx="9">
                  <c:v>0.04341549885605375</c:v>
                </c:pt>
                <c:pt idx="10">
                  <c:v>-0.0005457365774483669</c:v>
                </c:pt>
              </c:numCache>
            </c:numRef>
          </c:xVal>
          <c:yVal>
            <c:numRef>
              <c:f>'3000rpm'!$R$14:$R$24</c:f>
              <c:numCache>
                <c:formatCode>General</c:formatCode>
                <c:ptCount val="11"/>
                <c:pt idx="0">
                  <c:v>0.09766866864275751</c:v>
                </c:pt>
                <c:pt idx="1">
                  <c:v>0.09508995592855982</c:v>
                </c:pt>
                <c:pt idx="2">
                  <c:v>0.09114491738296576</c:v>
                </c:pt>
                <c:pt idx="3">
                  <c:v>0.08725756402180247</c:v>
                </c:pt>
                <c:pt idx="4">
                  <c:v>0.08485107766084352</c:v>
                </c:pt>
                <c:pt idx="5">
                  <c:v>0.08282531723668657</c:v>
                </c:pt>
                <c:pt idx="6">
                  <c:v>0.08256903041198217</c:v>
                </c:pt>
                <c:pt idx="7">
                  <c:v>0.08161525866798569</c:v>
                </c:pt>
                <c:pt idx="8">
                  <c:v>0.08152981309131851</c:v>
                </c:pt>
                <c:pt idx="9">
                  <c:v>0.08135511380037998</c:v>
                </c:pt>
                <c:pt idx="10">
                  <c:v>0.08090366634257205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'3000rpm'!$AU$69:$AU$79</c:f>
              <c:numCache>
                <c:formatCode>General</c:formatCode>
                <c:ptCount val="11"/>
                <c:pt idx="0">
                  <c:v>0</c:v>
                </c:pt>
                <c:pt idx="1">
                  <c:v>0.04448818897637796</c:v>
                </c:pt>
                <c:pt idx="2">
                  <c:v>0.08897637795275593</c:v>
                </c:pt>
                <c:pt idx="3">
                  <c:v>0.13346456692913383</c:v>
                </c:pt>
                <c:pt idx="4">
                  <c:v>0.17795275590551185</c:v>
                </c:pt>
                <c:pt idx="5">
                  <c:v>0.22244094488188976</c:v>
                </c:pt>
                <c:pt idx="6">
                  <c:v>0.26692913385826766</c:v>
                </c:pt>
                <c:pt idx="7">
                  <c:v>0.3114173228346457</c:v>
                </c:pt>
                <c:pt idx="8">
                  <c:v>0.3559055118110237</c:v>
                </c:pt>
                <c:pt idx="9">
                  <c:v>0.40039370078740166</c:v>
                </c:pt>
                <c:pt idx="10">
                  <c:v>0.4448818897637795</c:v>
                </c:pt>
              </c:numCache>
            </c:numRef>
          </c:xVal>
          <c:yVal>
            <c:numRef>
              <c:f>'3000rpm'!$AT$69:$AT$79</c:f>
              <c:numCache>
                <c:formatCode>General</c:formatCode>
                <c:ptCount val="11"/>
                <c:pt idx="0">
                  <c:v>0.0846729215675782</c:v>
                </c:pt>
                <c:pt idx="1">
                  <c:v>0.08474349897933375</c:v>
                </c:pt>
                <c:pt idx="2">
                  <c:v>0.086413143039226</c:v>
                </c:pt>
                <c:pt idx="3">
                  <c:v>0.088956842668664</c:v>
                </c:pt>
                <c:pt idx="4">
                  <c:v>0.092191123883828</c:v>
                </c:pt>
                <c:pt idx="5">
                  <c:v>0.09592262524634963</c:v>
                </c:pt>
                <c:pt idx="6">
                  <c:v>0.09990377376129421</c:v>
                </c:pt>
                <c:pt idx="7">
                  <c:v>0.10399550996973418</c:v>
                </c:pt>
                <c:pt idx="8">
                  <c:v>0.10805545007205335</c:v>
                </c:pt>
                <c:pt idx="9">
                  <c:v>0.11208593163553544</c:v>
                </c:pt>
                <c:pt idx="10">
                  <c:v>0.11599023844046746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43535"/>
        <c:axId val="716645455"/>
      </c:scatterChart>
      <c:valAx>
        <c:axId val="716645455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升力系数C_T</a:t>
                </a:r>
              </a:p>
            </c:rich>
          </c:tx>
          <c:overlay val="0"/>
          <c:txPr>
            <a:bodyPr xmlns:a="http://schemas.openxmlformats.org/drawingml/2006/main" rot="-540000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716643535"/>
        <c:crosses val="autoZero"/>
        <c:crossBetween val="midCat"/>
      </c:valAx>
      <c:valAx>
        <c:axId val="716643535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0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来流比(J=v_a/n/D)</a:t>
                </a:r>
              </a:p>
            </c:rich>
          </c:tx>
          <c:overlay val="0"/>
          <c:txPr>
            <a:bodyPr xmlns:a="http://schemas.openxmlformats.org/drawingml/2006/main" rot="0" spcFirstLastPara="1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u="non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716645455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legend>
      <c:legendPos val="r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'3000rpm'!$G$31:$G$41</c:f>
              <c:numCache>
                <c:formatCode>General</c:formatCode>
                <c:ptCount val="11"/>
                <c:pt idx="0">
                  <c:v>0.0017496289100743141</c:v>
                </c:pt>
                <c:pt idx="1">
                  <c:v>0.04299369627953029</c:v>
                </c:pt>
                <c:pt idx="2">
                  <c:v>0.08776073991945586</c:v>
                </c:pt>
                <c:pt idx="3">
                  <c:v>0.1328319541091321</c:v>
                </c:pt>
                <c:pt idx="4">
                  <c:v>0.17823497542622047</c:v>
                </c:pt>
                <c:pt idx="5">
                  <c:v>0.22223218424194413</c:v>
                </c:pt>
                <c:pt idx="6">
                  <c:v>0.2652258159203927</c:v>
                </c:pt>
                <c:pt idx="7">
                  <c:v>0.30864661082930933</c:v>
                </c:pt>
                <c:pt idx="8">
                  <c:v>0.35456036402038815</c:v>
                </c:pt>
                <c:pt idx="9">
                  <c:v>0.4012790038551095</c:v>
                </c:pt>
                <c:pt idx="10">
                  <c:v>0.43941879011128243</c:v>
                </c:pt>
              </c:numCache>
            </c:numRef>
          </c:xVal>
          <c:yVal>
            <c:numRef>
              <c:f>'3000rpm'!$I$31:$I$41</c:f>
              <c:numCache>
                <c:formatCode>General</c:formatCode>
                <c:ptCount val="11"/>
                <c:pt idx="0">
                  <c:v>0.08133893718737996</c:v>
                </c:pt>
                <c:pt idx="1">
                  <c:v>0.08016046987942534</c:v>
                </c:pt>
                <c:pt idx="2">
                  <c:v>0.07896788543467459</c:v>
                </c:pt>
                <c:pt idx="3">
                  <c:v>0.08008281121437208</c:v>
                </c:pt>
                <c:pt idx="4">
                  <c:v>0.07974214773492204</c:v>
                </c:pt>
                <c:pt idx="5">
                  <c:v>0.08066378055046429</c:v>
                </c:pt>
                <c:pt idx="6">
                  <c:v>0.08077430185726066</c:v>
                </c:pt>
                <c:pt idx="7">
                  <c:v>0.08179817414906797</c:v>
                </c:pt>
                <c:pt idx="8">
                  <c:v>0.0846871051547414</c:v>
                </c:pt>
                <c:pt idx="9">
                  <c:v>0.0864044388947904</c:v>
                </c:pt>
                <c:pt idx="10">
                  <c:v>0.08617034278178028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'3000rpm'!$G$41:$G$51</c:f>
              <c:numCache>
                <c:formatCode>General</c:formatCode>
                <c:ptCount val="11"/>
                <c:pt idx="0">
                  <c:v>0.43941879011128243</c:v>
                </c:pt>
                <c:pt idx="1">
                  <c:v>0.40199729605819784</c:v>
                </c:pt>
                <c:pt idx="2">
                  <c:v>0.3642767795380529</c:v>
                </c:pt>
                <c:pt idx="3">
                  <c:v>0.3134049797284728</c:v>
                </c:pt>
                <c:pt idx="4">
                  <c:v>0.26880129067493186</c:v>
                </c:pt>
                <c:pt idx="5">
                  <c:v>0.2250047185133622</c:v>
                </c:pt>
                <c:pt idx="6">
                  <c:v>0.1785352887782404</c:v>
                </c:pt>
                <c:pt idx="7">
                  <c:v>0.13641219774705426</c:v>
                </c:pt>
                <c:pt idx="8">
                  <c:v>0.08976637757588848</c:v>
                </c:pt>
                <c:pt idx="9">
                  <c:v>0.040272378895199384</c:v>
                </c:pt>
                <c:pt idx="10">
                  <c:v>0.004733108528499292</c:v>
                </c:pt>
              </c:numCache>
            </c:numRef>
          </c:xVal>
          <c:yVal>
            <c:numRef>
              <c:f>'3000rpm'!$I$41:$I$51</c:f>
              <c:numCache>
                <c:formatCode>General</c:formatCode>
                <c:ptCount val="11"/>
                <c:pt idx="0">
                  <c:v>0.08617034278178028</c:v>
                </c:pt>
                <c:pt idx="1">
                  <c:v>0.08657022364892343</c:v>
                </c:pt>
                <c:pt idx="2">
                  <c:v>0.08483424399021004</c:v>
                </c:pt>
                <c:pt idx="3">
                  <c:v>0.08337832980413978</c:v>
                </c:pt>
                <c:pt idx="4">
                  <c:v>0.08236288615786637</c:v>
                </c:pt>
                <c:pt idx="5">
                  <c:v>0.08190741002313469</c:v>
                </c:pt>
                <c:pt idx="6">
                  <c:v>0.07964441543764122</c:v>
                </c:pt>
                <c:pt idx="7">
                  <c:v>0.08136489073767994</c:v>
                </c:pt>
                <c:pt idx="8">
                  <c:v>0.08034305221763981</c:v>
                </c:pt>
                <c:pt idx="9">
                  <c:v>0.08048825631536576</c:v>
                </c:pt>
                <c:pt idx="10">
                  <c:v>0.08010569490444255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'3000rpm'!$R$31:$R$41</c:f>
              <c:numCache>
                <c:formatCode>General</c:formatCode>
                <c:ptCount val="11"/>
                <c:pt idx="0">
                  <c:v>0.004057500319622227</c:v>
                </c:pt>
                <c:pt idx="1">
                  <c:v>0.04321199872348849</c:v>
                </c:pt>
                <c:pt idx="2">
                  <c:v>0.08652780286773978</c:v>
                </c:pt>
                <c:pt idx="3">
                  <c:v>0.13099257069186654</c:v>
                </c:pt>
                <c:pt idx="4">
                  <c:v>0.172980203632753</c:v>
                </c:pt>
                <c:pt idx="5">
                  <c:v>0.2157019541566167</c:v>
                </c:pt>
                <c:pt idx="6">
                  <c:v>0.2627519081978552</c:v>
                </c:pt>
                <c:pt idx="7">
                  <c:v>0.3063555524556177</c:v>
                </c:pt>
                <c:pt idx="8">
                  <c:v>0.3480093058460575</c:v>
                </c:pt>
                <c:pt idx="9">
                  <c:v>0.3948904390002635</c:v>
                </c:pt>
                <c:pt idx="10">
                  <c:v>0.4346096407664857</c:v>
                </c:pt>
              </c:numCache>
            </c:numRef>
          </c:xVal>
          <c:yVal>
            <c:numRef>
              <c:f>'3000rpm'!$T$31:$T$41</c:f>
              <c:numCache>
                <c:formatCode>General</c:formatCode>
                <c:ptCount val="11"/>
                <c:pt idx="0">
                  <c:v>0.08197391304410709</c:v>
                </c:pt>
                <c:pt idx="1">
                  <c:v>0.08118344228021822</c:v>
                </c:pt>
                <c:pt idx="2">
                  <c:v>0.07982168167053948</c:v>
                </c:pt>
                <c:pt idx="3">
                  <c:v>0.08058015360669415</c:v>
                </c:pt>
                <c:pt idx="4">
                  <c:v>0.07899716072430484</c:v>
                </c:pt>
                <c:pt idx="5">
                  <c:v>0.0792480911791911</c:v>
                </c:pt>
                <c:pt idx="6">
                  <c:v>0.08197535202649384</c:v>
                </c:pt>
                <c:pt idx="7">
                  <c:v>0.08367775787761686</c:v>
                </c:pt>
                <c:pt idx="8">
                  <c:v>0.08418148750970862</c:v>
                </c:pt>
                <c:pt idx="9">
                  <c:v>0.08727509201941387</c:v>
                </c:pt>
                <c:pt idx="10">
                  <c:v>0.08812919343030123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'3000rpm'!$R$41:$R$51</c:f>
              <c:numCache>
                <c:formatCode>General</c:formatCode>
                <c:ptCount val="11"/>
                <c:pt idx="0">
                  <c:v>0.4346096407664857</c:v>
                </c:pt>
                <c:pt idx="1">
                  <c:v>0.3953539159210348</c:v>
                </c:pt>
                <c:pt idx="2">
                  <c:v>0.35062510544495096</c:v>
                </c:pt>
                <c:pt idx="3">
                  <c:v>0.3059512821855668</c:v>
                </c:pt>
                <c:pt idx="4">
                  <c:v>0.26288553449541674</c:v>
                </c:pt>
                <c:pt idx="5">
                  <c:v>0.21919322629630536</c:v>
                </c:pt>
                <c:pt idx="6">
                  <c:v>0.17688283690200277</c:v>
                </c:pt>
                <c:pt idx="7">
                  <c:v>0.1318381919592155</c:v>
                </c:pt>
                <c:pt idx="8">
                  <c:v>0.08822561239735506</c:v>
                </c:pt>
                <c:pt idx="9">
                  <c:v>0.04413750557830327</c:v>
                </c:pt>
                <c:pt idx="10">
                  <c:v>0.00461663120793417</c:v>
                </c:pt>
              </c:numCache>
            </c:numRef>
          </c:xVal>
          <c:yVal>
            <c:numRef>
              <c:f>'3000rpm'!$T$41:$T$51</c:f>
              <c:numCache>
                <c:formatCode>General</c:formatCode>
                <c:ptCount val="11"/>
                <c:pt idx="0">
                  <c:v>0.08812919343030123</c:v>
                </c:pt>
                <c:pt idx="1">
                  <c:v>0.0866906949867084</c:v>
                </c:pt>
                <c:pt idx="2">
                  <c:v>0.08482683626327693</c:v>
                </c:pt>
                <c:pt idx="3">
                  <c:v>0.08328266117224069</c:v>
                </c:pt>
                <c:pt idx="4">
                  <c:v>0.08134077080489815</c:v>
                </c:pt>
                <c:pt idx="5">
                  <c:v>0.08108610793499448</c:v>
                </c:pt>
                <c:pt idx="6">
                  <c:v>0.08085182802367769</c:v>
                </c:pt>
                <c:pt idx="7">
                  <c:v>0.07973297051268571</c:v>
                </c:pt>
                <c:pt idx="8">
                  <c:v>0.0798642454930805</c:v>
                </c:pt>
                <c:pt idx="9">
                  <c:v>0.0801241371806693</c:v>
                </c:pt>
                <c:pt idx="10">
                  <c:v>0.08059385602488467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'3000rpm'!$AU$58:$AU$68</c:f>
              <c:numCache>
                <c:formatCode>General</c:formatCode>
                <c:ptCount val="11"/>
                <c:pt idx="0">
                  <c:v>0</c:v>
                </c:pt>
                <c:pt idx="1">
                  <c:v>0.04448818897637796</c:v>
                </c:pt>
                <c:pt idx="2">
                  <c:v>0.08897637795275593</c:v>
                </c:pt>
                <c:pt idx="3">
                  <c:v>0.13346456692913383</c:v>
                </c:pt>
                <c:pt idx="4">
                  <c:v>0.17795275590551185</c:v>
                </c:pt>
                <c:pt idx="5">
                  <c:v>0.22244094488188976</c:v>
                </c:pt>
                <c:pt idx="6">
                  <c:v>0.26692913385826766</c:v>
                </c:pt>
                <c:pt idx="7">
                  <c:v>0.3114173228346457</c:v>
                </c:pt>
                <c:pt idx="8">
                  <c:v>0.3559055118110237</c:v>
                </c:pt>
                <c:pt idx="9">
                  <c:v>0.40039370078740166</c:v>
                </c:pt>
                <c:pt idx="10">
                  <c:v>0.4448818897637795</c:v>
                </c:pt>
              </c:numCache>
            </c:numRef>
          </c:xVal>
          <c:yVal>
            <c:numRef>
              <c:f>'3000rpm'!$AT$58:$AT$68</c:f>
              <c:numCache>
                <c:formatCode>General</c:formatCode>
                <c:ptCount val="11"/>
                <c:pt idx="0">
                  <c:v>0.0846729215675782</c:v>
                </c:pt>
                <c:pt idx="1">
                  <c:v>0.08340493875034348</c:v>
                </c:pt>
                <c:pt idx="2">
                  <c:v>0.08351014850424789</c:v>
                </c:pt>
                <c:pt idx="3">
                  <c:v>0.08419554210858392</c:v>
                </c:pt>
                <c:pt idx="4">
                  <c:v>0.08525404572157776</c:v>
                </c:pt>
                <c:pt idx="5">
                  <c:v>0.08646315614930984</c:v>
                </c:pt>
                <c:pt idx="6">
                  <c:v>0.08765593286096608</c:v>
                </c:pt>
                <c:pt idx="7">
                  <c:v>0.08872077809601459</c:v>
                </c:pt>
                <c:pt idx="8">
                  <c:v>0.08961775849392146</c:v>
                </c:pt>
                <c:pt idx="9">
                  <c:v>0.09031625634438716</c:v>
                </c:pt>
                <c:pt idx="10">
                  <c:v>0.09080939368491635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42575"/>
        <c:axId val="716643535"/>
      </c:scatterChart>
      <c:valAx>
        <c:axId val="716643535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716642575"/>
        <c:crosses val="autoZero"/>
        <c:crossBetween val="midCat"/>
      </c:valAx>
      <c:valAx>
        <c:axId val="716642575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716643535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tx>
            <c:v>第一组</c:v>
          </c:tx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'3000rpm'!$F$59:$F$69</c:f>
              <c:numCache>
                <c:formatCode>General</c:formatCode>
                <c:ptCount val="11"/>
                <c:pt idx="0">
                  <c:v>0.005619537457242572</c:v>
                </c:pt>
                <c:pt idx="1">
                  <c:v>0.04375832813354642</c:v>
                </c:pt>
                <c:pt idx="2">
                  <c:v>0.08807446180603537</c:v>
                </c:pt>
                <c:pt idx="3">
                  <c:v>0.13117473208473826</c:v>
                </c:pt>
                <c:pt idx="4">
                  <c:v>0.17523551456039405</c:v>
                </c:pt>
                <c:pt idx="5">
                  <c:v>0.21793499297323146</c:v>
                </c:pt>
                <c:pt idx="6">
                  <c:v>0.26426806561307675</c:v>
                </c:pt>
                <c:pt idx="7">
                  <c:v>0.30715887116504764</c:v>
                </c:pt>
                <c:pt idx="8">
                  <c:v>0.34834026614196845</c:v>
                </c:pt>
                <c:pt idx="9">
                  <c:v>0.39204022512027215</c:v>
                </c:pt>
                <c:pt idx="10">
                  <c:v>0.43497506486739784</c:v>
                </c:pt>
              </c:numCache>
            </c:numRef>
          </c:xVal>
          <c:yVal>
            <c:numRef>
              <c:f>'3000rpm'!$H$59:$H$69</c:f>
              <c:numCache>
                <c:formatCode>General</c:formatCode>
                <c:ptCount val="11"/>
                <c:pt idx="0">
                  <c:v>0.08544308243735003</c:v>
                </c:pt>
                <c:pt idx="1">
                  <c:v>0.08281293213372239</c:v>
                </c:pt>
                <c:pt idx="2">
                  <c:v>0.08184604765597671</c:v>
                </c:pt>
                <c:pt idx="3">
                  <c:v>0.08003442249881138</c:v>
                </c:pt>
                <c:pt idx="4">
                  <c:v>0.07887626937060856</c:v>
                </c:pt>
                <c:pt idx="5">
                  <c:v>0.07638103952511936</c:v>
                </c:pt>
                <c:pt idx="6">
                  <c:v>0.0761760123194897</c:v>
                </c:pt>
                <c:pt idx="7">
                  <c:v>0.07451970300913772</c:v>
                </c:pt>
                <c:pt idx="8">
                  <c:v>0.072569243335866</c:v>
                </c:pt>
                <c:pt idx="9">
                  <c:v>0.07285706494113009</c:v>
                </c:pt>
                <c:pt idx="10">
                  <c:v>0.07197136207322967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'3000rpm'!$F$69:$F$79</c:f>
              <c:numCache>
                <c:formatCode>General</c:formatCode>
                <c:ptCount val="11"/>
                <c:pt idx="0">
                  <c:v>0.43497506486739784</c:v>
                </c:pt>
                <c:pt idx="1">
                  <c:v>0.3931756428113373</c:v>
                </c:pt>
                <c:pt idx="2">
                  <c:v>0.3465522410992855</c:v>
                </c:pt>
                <c:pt idx="3">
                  <c:v>0.3059431794748034</c:v>
                </c:pt>
                <c:pt idx="4">
                  <c:v>0.2623351692739913</c:v>
                </c:pt>
                <c:pt idx="5">
                  <c:v>0.21813875632352533</c:v>
                </c:pt>
                <c:pt idx="6">
                  <c:v>0.176641147272951</c:v>
                </c:pt>
                <c:pt idx="7">
                  <c:v>0.13224558426927505</c:v>
                </c:pt>
                <c:pt idx="8">
                  <c:v>0.0888687181657</c:v>
                </c:pt>
                <c:pt idx="9">
                  <c:v>0.04433631383503575</c:v>
                </c:pt>
                <c:pt idx="10">
                  <c:v>0.00527951021321803</c:v>
                </c:pt>
              </c:numCache>
            </c:numRef>
          </c:xVal>
          <c:yVal>
            <c:numRef>
              <c:f>'3000rpm'!$H$69:$H$79</c:f>
              <c:numCache>
                <c:formatCode>General</c:formatCode>
                <c:ptCount val="11"/>
                <c:pt idx="0">
                  <c:v>0.07197136207322967</c:v>
                </c:pt>
                <c:pt idx="1">
                  <c:v>0.07270010144000127</c:v>
                </c:pt>
                <c:pt idx="2">
                  <c:v>0.07284590081937109</c:v>
                </c:pt>
                <c:pt idx="3">
                  <c:v>0.0747111534697575</c:v>
                </c:pt>
                <c:pt idx="4">
                  <c:v>0.07421411748903091</c:v>
                </c:pt>
                <c:pt idx="5">
                  <c:v>0.07528536671730456</c:v>
                </c:pt>
                <c:pt idx="6">
                  <c:v>0.07815237626496367</c:v>
                </c:pt>
                <c:pt idx="7">
                  <c:v>0.07902443357919968</c:v>
                </c:pt>
                <c:pt idx="8">
                  <c:v>0.08177847467360337</c:v>
                </c:pt>
                <c:pt idx="9">
                  <c:v>0.08301630796840336</c:v>
                </c:pt>
                <c:pt idx="10">
                  <c:v>0.0858729349408809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'3000rpm'!$P$59:$P$69</c:f>
              <c:numCache>
                <c:formatCode>General</c:formatCode>
                <c:ptCount val="11"/>
                <c:pt idx="0">
                  <c:v>0.0031670101302206503</c:v>
                </c:pt>
                <c:pt idx="1">
                  <c:v>0.04296641305604696</c:v>
                </c:pt>
                <c:pt idx="2">
                  <c:v>0.08787092887431136</c:v>
                </c:pt>
                <c:pt idx="3">
                  <c:v>0.13254492134381318</c:v>
                </c:pt>
                <c:pt idx="4">
                  <c:v>0.17728557945176923</c:v>
                </c:pt>
                <c:pt idx="5">
                  <c:v>0.22084983969276875</c:v>
                </c:pt>
                <c:pt idx="6">
                  <c:v>0.2632065274481721</c:v>
                </c:pt>
                <c:pt idx="7">
                  <c:v>0.31137813801921427</c:v>
                </c:pt>
                <c:pt idx="8">
                  <c:v>0.35355196742350725</c:v>
                </c:pt>
                <c:pt idx="9">
                  <c:v>0.3963267166548814</c:v>
                </c:pt>
                <c:pt idx="10">
                  <c:v>0.43926854796380504</c:v>
                </c:pt>
              </c:numCache>
            </c:numRef>
          </c:xVal>
          <c:yVal>
            <c:numRef>
              <c:f>'3000rpm'!$R$59:$R$69</c:f>
              <c:numCache>
                <c:formatCode>General</c:formatCode>
                <c:ptCount val="11"/>
                <c:pt idx="0">
                  <c:v>0.08513613549925624</c:v>
                </c:pt>
                <c:pt idx="1">
                  <c:v>0.0830706387451661</c:v>
                </c:pt>
                <c:pt idx="2">
                  <c:v>0.08103734484057906</c:v>
                </c:pt>
                <c:pt idx="3">
                  <c:v>0.08069108224591547</c:v>
                </c:pt>
                <c:pt idx="4">
                  <c:v>0.07925620606549794</c:v>
                </c:pt>
                <c:pt idx="5">
                  <c:v>0.0769036953622094</c:v>
                </c:pt>
                <c:pt idx="6">
                  <c:v>0.07417467812573547</c:v>
                </c:pt>
                <c:pt idx="7">
                  <c:v>0.07469802716801131</c:v>
                </c:pt>
                <c:pt idx="8">
                  <c:v>0.07267427646712118</c:v>
                </c:pt>
                <c:pt idx="9">
                  <c:v>0.07209641219853441</c:v>
                </c:pt>
                <c:pt idx="10">
                  <c:v>0.07164027062855012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'3000rpm'!$P$69:$P$79</c:f>
              <c:numCache>
                <c:formatCode>General</c:formatCode>
                <c:ptCount val="11"/>
                <c:pt idx="0">
                  <c:v>0.43926854796380504</c:v>
                </c:pt>
                <c:pt idx="1">
                  <c:v>0.3981342847676775</c:v>
                </c:pt>
                <c:pt idx="2">
                  <c:v>0.3532491502365801</c:v>
                </c:pt>
                <c:pt idx="3">
                  <c:v>0.3081757010159016</c:v>
                </c:pt>
                <c:pt idx="4">
                  <c:v>0.26730971808926973</c:v>
                </c:pt>
                <c:pt idx="5">
                  <c:v>0.2213475569102523</c:v>
                </c:pt>
                <c:pt idx="6">
                  <c:v>0.17902883675175726</c:v>
                </c:pt>
                <c:pt idx="7">
                  <c:v>0.134076399459511</c:v>
                </c:pt>
                <c:pt idx="8">
                  <c:v>0.08898307707770389</c:v>
                </c:pt>
                <c:pt idx="9">
                  <c:v>0.04519100187490511</c:v>
                </c:pt>
                <c:pt idx="10">
                  <c:v>0.005690716938774568</c:v>
                </c:pt>
              </c:numCache>
            </c:numRef>
          </c:xVal>
          <c:yVal>
            <c:numRef>
              <c:f>'3000rpm'!$R$69:$R$79</c:f>
              <c:numCache>
                <c:formatCode>General</c:formatCode>
                <c:ptCount val="11"/>
                <c:pt idx="0">
                  <c:v>0.07164027062855012</c:v>
                </c:pt>
                <c:pt idx="1">
                  <c:v>0.07278234840735481</c:v>
                </c:pt>
                <c:pt idx="2">
                  <c:v>0.07411441473849444</c:v>
                </c:pt>
                <c:pt idx="3">
                  <c:v>0.07425142512008687</c:v>
                </c:pt>
                <c:pt idx="4">
                  <c:v>0.07509356251625135</c:v>
                </c:pt>
                <c:pt idx="5">
                  <c:v>0.07581610788190143</c:v>
                </c:pt>
                <c:pt idx="6">
                  <c:v>0.07882959765247292</c:v>
                </c:pt>
                <c:pt idx="7">
                  <c:v>0.08000327833444928</c:v>
                </c:pt>
                <c:pt idx="8">
                  <c:v>0.08000369914622027</c:v>
                </c:pt>
                <c:pt idx="9">
                  <c:v>0.08447544075278943</c:v>
                </c:pt>
                <c:pt idx="10">
                  <c:v>0.08572892824239682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'3000rpm'!$AU$47:$AU$57</c:f>
              <c:numCache>
                <c:formatCode>General</c:formatCode>
                <c:ptCount val="11"/>
                <c:pt idx="0">
                  <c:v>0</c:v>
                </c:pt>
                <c:pt idx="1">
                  <c:v>0.04448818897637796</c:v>
                </c:pt>
                <c:pt idx="2">
                  <c:v>0.08897637795275593</c:v>
                </c:pt>
                <c:pt idx="3">
                  <c:v>0.13346456692913383</c:v>
                </c:pt>
                <c:pt idx="4">
                  <c:v>0.17795275590551185</c:v>
                </c:pt>
                <c:pt idx="5">
                  <c:v>0.22244094488188976</c:v>
                </c:pt>
                <c:pt idx="6">
                  <c:v>0.26692913385826766</c:v>
                </c:pt>
                <c:pt idx="7">
                  <c:v>0.3114173228346457</c:v>
                </c:pt>
                <c:pt idx="8">
                  <c:v>0.3559055118110237</c:v>
                </c:pt>
                <c:pt idx="9">
                  <c:v>0.40039370078740166</c:v>
                </c:pt>
                <c:pt idx="10">
                  <c:v>0.4448818897637795</c:v>
                </c:pt>
              </c:numCache>
            </c:numRef>
          </c:xVal>
          <c:yVal>
            <c:numRef>
              <c:f>'3000rpm'!$AT$47:$AT$57</c:f>
              <c:numCache>
                <c:formatCode>General</c:formatCode>
                <c:ptCount val="11"/>
                <c:pt idx="0">
                  <c:v>0.0846729215675782</c:v>
                </c:pt>
                <c:pt idx="1">
                  <c:v>0.08205577523105993</c:v>
                </c:pt>
                <c:pt idx="2">
                  <c:v>0.08049630424562942</c:v>
                </c:pt>
                <c:pt idx="3">
                  <c:v>0.07918529073473177</c:v>
                </c:pt>
                <c:pt idx="4">
                  <c:v>0.0779059397972423</c:v>
                </c:pt>
                <c:pt idx="5">
                  <c:v>0.07651816823783243</c:v>
                </c:pt>
                <c:pt idx="6">
                  <c:v>0.07492670154858767</c:v>
                </c:pt>
                <c:pt idx="7">
                  <c:v>0.07306833800911808</c:v>
                </c:pt>
                <c:pt idx="8">
                  <c:v>0.0708783675261028</c:v>
                </c:pt>
                <c:pt idx="9">
                  <c:v>0.06836066627100229</c:v>
                </c:pt>
                <c:pt idx="10">
                  <c:v>0.06557802679315934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69855"/>
        <c:axId val="649770335"/>
      </c:scatterChart>
      <c:valAx>
        <c:axId val="649770335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49769855"/>
        <c:crosses val="autoZero"/>
        <c:crossBetween val="midCat"/>
      </c:valAx>
      <c:valAx>
        <c:axId val="649769855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49770335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'3000rpm'!$F$87:$F$97</c:f>
              <c:numCache>
                <c:formatCode>General</c:formatCode>
                <c:ptCount val="11"/>
                <c:pt idx="0">
                  <c:v>0.002885613690137867</c:v>
                </c:pt>
                <c:pt idx="1">
                  <c:v>0.043227998076619166</c:v>
                </c:pt>
                <c:pt idx="2">
                  <c:v>0.08823366022497141</c:v>
                </c:pt>
                <c:pt idx="3">
                  <c:v>0.1325097600954981</c:v>
                </c:pt>
                <c:pt idx="4">
                  <c:v>0.1777006412900049</c:v>
                </c:pt>
                <c:pt idx="5">
                  <c:v>0.2215430667879414</c:v>
                </c:pt>
                <c:pt idx="6">
                  <c:v>0.26462251946475646</c:v>
                </c:pt>
                <c:pt idx="7">
                  <c:v>0.30810006676221263</c:v>
                </c:pt>
                <c:pt idx="8">
                  <c:v>0.3520933572844365</c:v>
                </c:pt>
                <c:pt idx="9">
                  <c:v>0.39166325162997906</c:v>
                </c:pt>
                <c:pt idx="10">
                  <c:v>0.42958529777752463</c:v>
                </c:pt>
              </c:numCache>
            </c:numRef>
          </c:xVal>
          <c:yVal>
            <c:numRef>
              <c:f>'3000rpm'!$H$87:$H$97</c:f>
              <c:numCache>
                <c:formatCode>General</c:formatCode>
                <c:ptCount val="11"/>
                <c:pt idx="0">
                  <c:v>0.0831998334453332</c:v>
                </c:pt>
                <c:pt idx="1">
                  <c:v>0.07995247204174198</c:v>
                </c:pt>
                <c:pt idx="2">
                  <c:v>0.07677022074554526</c:v>
                </c:pt>
                <c:pt idx="3">
                  <c:v>0.07268813902629329</c:v>
                </c:pt>
                <c:pt idx="4">
                  <c:v>0.06982531135234665</c:v>
                </c:pt>
                <c:pt idx="5">
                  <c:v>0.06621326129186822</c:v>
                </c:pt>
                <c:pt idx="6">
                  <c:v>0.06276183010810067</c:v>
                </c:pt>
                <c:pt idx="7">
                  <c:v>0.05981446351509316</c:v>
                </c:pt>
                <c:pt idx="8">
                  <c:v>0.057079473675258285</c:v>
                </c:pt>
                <c:pt idx="9">
                  <c:v>0.05324279444308621</c:v>
                </c:pt>
                <c:pt idx="10">
                  <c:v>0.04899401030346874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'3000rpm'!$F$97:$F$107</c:f>
              <c:numCache>
                <c:formatCode>General</c:formatCode>
                <c:ptCount val="11"/>
                <c:pt idx="0">
                  <c:v>0.42958529777752463</c:v>
                </c:pt>
                <c:pt idx="1">
                  <c:v>0.3914239399741962</c:v>
                </c:pt>
                <c:pt idx="2">
                  <c:v>0.35026182591104127</c:v>
                </c:pt>
                <c:pt idx="3">
                  <c:v>0.31290381522633465</c:v>
                </c:pt>
                <c:pt idx="4">
                  <c:v>0.2663589534794623</c:v>
                </c:pt>
                <c:pt idx="5">
                  <c:v>0.2226220559440527</c:v>
                </c:pt>
                <c:pt idx="6">
                  <c:v>0.18345748835306835</c:v>
                </c:pt>
                <c:pt idx="7">
                  <c:v>0.1342658787172801</c:v>
                </c:pt>
                <c:pt idx="8">
                  <c:v>0.08943471883612458</c:v>
                </c:pt>
                <c:pt idx="9">
                  <c:v>0.045468737213653</c:v>
                </c:pt>
                <c:pt idx="10">
                  <c:v>0.005928090742116119</c:v>
                </c:pt>
              </c:numCache>
            </c:numRef>
          </c:xVal>
          <c:yVal>
            <c:numRef>
              <c:f>'3000rpm'!$H$97:$H$107</c:f>
              <c:numCache>
                <c:formatCode>General</c:formatCode>
                <c:ptCount val="11"/>
                <c:pt idx="0">
                  <c:v>0.04899401030346874</c:v>
                </c:pt>
                <c:pt idx="1">
                  <c:v>0.05253826817146298</c:v>
                </c:pt>
                <c:pt idx="2">
                  <c:v>0.056137937568893674</c:v>
                </c:pt>
                <c:pt idx="3">
                  <c:v>0.05906127246594524</c:v>
                </c:pt>
                <c:pt idx="4">
                  <c:v>0.06298828858801646</c:v>
                </c:pt>
                <c:pt idx="5">
                  <c:v>0.06575056880188312</c:v>
                </c:pt>
                <c:pt idx="6">
                  <c:v>0.06951710476267163</c:v>
                </c:pt>
                <c:pt idx="7">
                  <c:v>0.07287506204072199</c:v>
                </c:pt>
                <c:pt idx="8">
                  <c:v>0.07537847248199442</c:v>
                </c:pt>
                <c:pt idx="9">
                  <c:v>0.08012677407283585</c:v>
                </c:pt>
                <c:pt idx="10">
                  <c:v>0.08453338459730872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'3000rpm'!$P$87:$P$97</c:f>
              <c:numCache>
                <c:formatCode>General</c:formatCode>
                <c:ptCount val="11"/>
                <c:pt idx="0">
                  <c:v>0.003480512158901672</c:v>
                </c:pt>
                <c:pt idx="1">
                  <c:v>0.04282784553121473</c:v>
                </c:pt>
                <c:pt idx="2">
                  <c:v>0.08720108614742357</c:v>
                </c:pt>
                <c:pt idx="3">
                  <c:v>0.12071304250392245</c:v>
                </c:pt>
                <c:pt idx="4">
                  <c:v>0.1735205176465792</c:v>
                </c:pt>
                <c:pt idx="5">
                  <c:v>0.21639150507211435</c:v>
                </c:pt>
                <c:pt idx="6">
                  <c:v>0.2583773923170212</c:v>
                </c:pt>
                <c:pt idx="7">
                  <c:v>0.2988480637683976</c:v>
                </c:pt>
                <c:pt idx="8">
                  <c:v>0.3454017968585897</c:v>
                </c:pt>
                <c:pt idx="9">
                  <c:v>0.38462245120782673</c:v>
                </c:pt>
                <c:pt idx="10">
                  <c:v>0.4219899207112942</c:v>
                </c:pt>
              </c:numCache>
            </c:numRef>
          </c:xVal>
          <c:yVal>
            <c:numRef>
              <c:f>'3000rpm'!$R$87:$R$97</c:f>
              <c:numCache>
                <c:formatCode>General</c:formatCode>
                <c:ptCount val="11"/>
                <c:pt idx="0">
                  <c:v>0.08284619311359463</c:v>
                </c:pt>
                <c:pt idx="1">
                  <c:v>0.08140098145247754</c:v>
                </c:pt>
                <c:pt idx="2">
                  <c:v>0.07844096801621468</c:v>
                </c:pt>
                <c:pt idx="3">
                  <c:v>0.0744523795749606</c:v>
                </c:pt>
                <c:pt idx="4">
                  <c:v>0.07030963804956775</c:v>
                </c:pt>
                <c:pt idx="5">
                  <c:v>0.06726759507693769</c:v>
                </c:pt>
                <c:pt idx="6">
                  <c:v>0.06377109172431461</c:v>
                </c:pt>
                <c:pt idx="7">
                  <c:v>0.059892151953394875</c:v>
                </c:pt>
                <c:pt idx="8">
                  <c:v>0.05839661084085132</c:v>
                </c:pt>
                <c:pt idx="9">
                  <c:v>0.05428582864777055</c:v>
                </c:pt>
                <c:pt idx="10">
                  <c:v>0.050148851839188685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'3000rpm'!$P$87:$P$97</c:f>
              <c:numCache>
                <c:formatCode>General</c:formatCode>
                <c:ptCount val="11"/>
                <c:pt idx="0">
                  <c:v>0.003480512158901672</c:v>
                </c:pt>
                <c:pt idx="1">
                  <c:v>0.04282784553121473</c:v>
                </c:pt>
                <c:pt idx="2">
                  <c:v>0.08720108614742357</c:v>
                </c:pt>
                <c:pt idx="3">
                  <c:v>0.12071304250392245</c:v>
                </c:pt>
                <c:pt idx="4">
                  <c:v>0.1735205176465792</c:v>
                </c:pt>
                <c:pt idx="5">
                  <c:v>0.21639150507211435</c:v>
                </c:pt>
                <c:pt idx="6">
                  <c:v>0.2583773923170212</c:v>
                </c:pt>
                <c:pt idx="7">
                  <c:v>0.2988480637683976</c:v>
                </c:pt>
                <c:pt idx="8">
                  <c:v>0.3454017968585897</c:v>
                </c:pt>
                <c:pt idx="9">
                  <c:v>0.38462245120782673</c:v>
                </c:pt>
                <c:pt idx="10">
                  <c:v>0.4219899207112942</c:v>
                </c:pt>
              </c:numCache>
            </c:numRef>
          </c:xVal>
          <c:yVal>
            <c:numRef>
              <c:f>'3000rpm'!$R$87:$R$97</c:f>
              <c:numCache>
                <c:formatCode>General</c:formatCode>
                <c:ptCount val="11"/>
                <c:pt idx="0">
                  <c:v>0.08284619311359463</c:v>
                </c:pt>
                <c:pt idx="1">
                  <c:v>0.08140098145247754</c:v>
                </c:pt>
                <c:pt idx="2">
                  <c:v>0.07844096801621468</c:v>
                </c:pt>
                <c:pt idx="3">
                  <c:v>0.0744523795749606</c:v>
                </c:pt>
                <c:pt idx="4">
                  <c:v>0.07030963804956775</c:v>
                </c:pt>
                <c:pt idx="5">
                  <c:v>0.06726759507693769</c:v>
                </c:pt>
                <c:pt idx="6">
                  <c:v>0.06377109172431461</c:v>
                </c:pt>
                <c:pt idx="7">
                  <c:v>0.059892151953394875</c:v>
                </c:pt>
                <c:pt idx="8">
                  <c:v>0.05839661084085132</c:v>
                </c:pt>
                <c:pt idx="9">
                  <c:v>0.05428582864777055</c:v>
                </c:pt>
                <c:pt idx="10">
                  <c:v>0.050148851839188685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'3000rpm'!$AU$36:$AU$46</c:f>
              <c:numCache>
                <c:formatCode>General</c:formatCode>
                <c:ptCount val="11"/>
                <c:pt idx="0">
                  <c:v>0</c:v>
                </c:pt>
                <c:pt idx="1">
                  <c:v>0.04448818897637796</c:v>
                </c:pt>
                <c:pt idx="2">
                  <c:v>0.08897637795275593</c:v>
                </c:pt>
                <c:pt idx="3">
                  <c:v>0.13346456692913383</c:v>
                </c:pt>
                <c:pt idx="4">
                  <c:v>0.17795275590551185</c:v>
                </c:pt>
                <c:pt idx="5">
                  <c:v>0.22244094488188976</c:v>
                </c:pt>
                <c:pt idx="6">
                  <c:v>0.26692913385826766</c:v>
                </c:pt>
                <c:pt idx="7">
                  <c:v>0.3114173228346457</c:v>
                </c:pt>
                <c:pt idx="8">
                  <c:v>0.3559055118110237</c:v>
                </c:pt>
                <c:pt idx="9">
                  <c:v>0.40039370078740166</c:v>
                </c:pt>
                <c:pt idx="10">
                  <c:v>0.4448818897637795</c:v>
                </c:pt>
              </c:numCache>
            </c:numRef>
          </c:xVal>
          <c:yVal>
            <c:numRef>
              <c:f>'3000rpm'!$AT$36:$AT$46</c:f>
              <c:numCache>
                <c:formatCode>General</c:formatCode>
                <c:ptCount val="11"/>
                <c:pt idx="0">
                  <c:v>0.0846729215675782</c:v>
                </c:pt>
                <c:pt idx="1">
                  <c:v>0.08082894775761976</c:v>
                </c:pt>
                <c:pt idx="2">
                  <c:v>0.07769470979191775</c:v>
                </c:pt>
                <c:pt idx="3">
                  <c:v>0.07449696146226922</c:v>
                </c:pt>
                <c:pt idx="4">
                  <c:v>0.07108954966132112</c:v>
                </c:pt>
                <c:pt idx="5">
                  <c:v>0.06739325615452858</c:v>
                </c:pt>
                <c:pt idx="6">
                  <c:v>0.06331082781459475</c:v>
                </c:pt>
                <c:pt idx="7">
                  <c:v>0.05881474541698717</c:v>
                </c:pt>
                <c:pt idx="8">
                  <c:v>0.05386847173469227</c:v>
                </c:pt>
                <c:pt idx="9">
                  <c:v>0.048535407575869445</c:v>
                </c:pt>
                <c:pt idx="10">
                  <c:v>0.042836735674630866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36447"/>
        <c:axId val="653838367"/>
      </c:scatterChart>
      <c:valAx>
        <c:axId val="653838367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53836447"/>
        <c:crosses val="autoZero"/>
        <c:crossBetween val="midCat"/>
      </c:valAx>
      <c:valAx>
        <c:axId val="653836447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53838367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scatterChart>
        <c:scatterStyle val="lineMarker"/>
        <c:ser>
          <c:idx val="0"/>
          <c:order val="0"/>
          <c:tx>
            <c:v>0</c:v>
          </c:tx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'3000rpm'!$G$4:$G$24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xVal>
          <c:yVal>
            <c:numRef>
              <c:f>'3000rpm'!$H$4:$H$24</c:f>
              <c:numCache>
                <c:formatCode>General</c:formatCode>
                <c:ptCount val="21"/>
                <c:pt idx="0">
                  <c:v>0.08038825044568515</c:v>
                </c:pt>
                <c:pt idx="1">
                  <c:v>0.07991094697584653</c:v>
                </c:pt>
                <c:pt idx="2">
                  <c:v>0.08041281504200745</c:v>
                </c:pt>
                <c:pt idx="3">
                  <c:v>0.08088341893009585</c:v>
                </c:pt>
                <c:pt idx="4">
                  <c:v>0.08134060032448916</c:v>
                </c:pt>
                <c:pt idx="5">
                  <c:v>0.08213606424987446</c:v>
                </c:pt>
                <c:pt idx="6">
                  <c:v>0.08537172725880975</c:v>
                </c:pt>
                <c:pt idx="7">
                  <c:v>0.08726914769387938</c:v>
                </c:pt>
                <c:pt idx="8">
                  <c:v>0.09066629150055497</c:v>
                </c:pt>
                <c:pt idx="9">
                  <c:v>0.0933370176904777</c:v>
                </c:pt>
                <c:pt idx="10">
                  <c:v>0.09777304316722278</c:v>
                </c:pt>
                <c:pt idx="11">
                  <c:v>0.09421196232944024</c:v>
                </c:pt>
                <c:pt idx="12">
                  <c:v>0.09160860481020765</c:v>
                </c:pt>
                <c:pt idx="13">
                  <c:v>0.08716607922288203</c:v>
                </c:pt>
                <c:pt idx="14">
                  <c:v>0.085049656726945</c:v>
                </c:pt>
                <c:pt idx="15">
                  <c:v>0.08296972457438397</c:v>
                </c:pt>
                <c:pt idx="16">
                  <c:v>0.08159246056904888</c:v>
                </c:pt>
                <c:pt idx="17">
                  <c:v>0.08083284522435256</c:v>
                </c:pt>
                <c:pt idx="18">
                  <c:v>0.08065674626300257</c:v>
                </c:pt>
                <c:pt idx="19">
                  <c:v>0.08090537260699074</c:v>
                </c:pt>
                <c:pt idx="20">
                  <c:v>0.08009415476364976</c:v>
                </c:pt>
              </c:numCache>
            </c:numRef>
          </c:yVal>
        </c:ser>
        <c:ser>
          <c:idx val="1"/>
          <c:order val="1"/>
          <c:tx>
            <c:v>15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'3000rpm'!$H$31:$H$51</c:f>
              <c:numCache>
                <c:formatCode>General</c:formatCode>
                <c:ptCount val="21"/>
                <c:pt idx="0">
                  <c:v>0.0004528372837891981</c:v>
                </c:pt>
                <c:pt idx="1">
                  <c:v>0.011127587416495829</c:v>
                </c:pt>
                <c:pt idx="2">
                  <c:v>0.022714150903444245</c:v>
                </c:pt>
                <c:pt idx="3">
                  <c:v>0.034379439521627427</c:v>
                </c:pt>
                <c:pt idx="4">
                  <c:v>0.04613060614368563</c:v>
                </c:pt>
                <c:pt idx="5">
                  <c:v>0.05751792171654744</c:v>
                </c:pt>
                <c:pt idx="6">
                  <c:v>0.06864549241305298</c:v>
                </c:pt>
                <c:pt idx="7">
                  <c:v>0.0798836210889712</c:v>
                </c:pt>
                <c:pt idx="8">
                  <c:v>0.09176697484695902</c:v>
                </c:pt>
                <c:pt idx="9">
                  <c:v>0.10385864859747018</c:v>
                </c:pt>
                <c:pt idx="10">
                  <c:v>0.1137299516567071</c:v>
                </c:pt>
                <c:pt idx="11">
                  <c:v>0.1040445562995781</c:v>
                </c:pt>
                <c:pt idx="12">
                  <c:v>0.09428176823306032</c:v>
                </c:pt>
                <c:pt idx="13">
                  <c:v>0.08111517758369821</c:v>
                </c:pt>
                <c:pt idx="14">
                  <c:v>0.06957089337481097</c:v>
                </c:pt>
                <c:pt idx="15">
                  <c:v>0.058235506389189874</c:v>
                </c:pt>
                <c:pt idx="16">
                  <c:v>0.04620833295868697</c:v>
                </c:pt>
                <c:pt idx="17">
                  <c:v>0.035306074761228816</c:v>
                </c:pt>
                <c:pt idx="18">
                  <c:v>0.023233248126503785</c:v>
                </c:pt>
                <c:pt idx="19">
                  <c:v>0.010423258649662414</c:v>
                </c:pt>
                <c:pt idx="20">
                  <c:v>0.0012250186297127837</c:v>
                </c:pt>
              </c:numCache>
            </c:numRef>
          </c:xVal>
          <c:yVal>
            <c:numRef>
              <c:f>'3000rpm'!$I$31:$I$51</c:f>
              <c:numCache>
                <c:formatCode>General</c:formatCode>
                <c:ptCount val="21"/>
                <c:pt idx="0">
                  <c:v>0.08133893718737996</c:v>
                </c:pt>
                <c:pt idx="1">
                  <c:v>0.08016046987942534</c:v>
                </c:pt>
                <c:pt idx="2">
                  <c:v>0.07896788543467459</c:v>
                </c:pt>
                <c:pt idx="3">
                  <c:v>0.08008281121437208</c:v>
                </c:pt>
                <c:pt idx="4">
                  <c:v>0.07974214773492204</c:v>
                </c:pt>
                <c:pt idx="5">
                  <c:v>0.08066378055046429</c:v>
                </c:pt>
                <c:pt idx="6">
                  <c:v>0.08077430185726066</c:v>
                </c:pt>
                <c:pt idx="7">
                  <c:v>0.08179817414906797</c:v>
                </c:pt>
                <c:pt idx="8">
                  <c:v>0.0846871051547414</c:v>
                </c:pt>
                <c:pt idx="9">
                  <c:v>0.0864044388947904</c:v>
                </c:pt>
                <c:pt idx="10">
                  <c:v>0.08617034278178028</c:v>
                </c:pt>
                <c:pt idx="11">
                  <c:v>0.08657022364892343</c:v>
                </c:pt>
                <c:pt idx="12">
                  <c:v>0.08483424399021004</c:v>
                </c:pt>
                <c:pt idx="13">
                  <c:v>0.08337832980413978</c:v>
                </c:pt>
                <c:pt idx="14">
                  <c:v>0.08236288615786637</c:v>
                </c:pt>
                <c:pt idx="15">
                  <c:v>0.08190741002313469</c:v>
                </c:pt>
                <c:pt idx="16">
                  <c:v>0.07964441543764122</c:v>
                </c:pt>
                <c:pt idx="17">
                  <c:v>0.08136489073767994</c:v>
                </c:pt>
                <c:pt idx="18">
                  <c:v>0.08034305221763981</c:v>
                </c:pt>
                <c:pt idx="19">
                  <c:v>0.08048825631536576</c:v>
                </c:pt>
                <c:pt idx="20">
                  <c:v>0.08010569490444255</c:v>
                </c:pt>
              </c:numCache>
            </c:numRef>
          </c:yVal>
        </c:ser>
        <c:ser>
          <c:idx val="2"/>
          <c:order val="2"/>
          <c:tx>
            <c:v>30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'3000rpm'!$G$59:$G$79</c:f>
              <c:numCache>
                <c:formatCode>General</c:formatCode>
                <c:ptCount val="21"/>
                <c:pt idx="0">
                  <c:v>0.0028097687286212855</c:v>
                </c:pt>
                <c:pt idx="1">
                  <c:v>0.021879164066773205</c:v>
                </c:pt>
                <c:pt idx="2">
                  <c:v>0.04403723090301768</c:v>
                </c:pt>
                <c:pt idx="3">
                  <c:v>0.06558736604236913</c:v>
                </c:pt>
                <c:pt idx="4">
                  <c:v>0.08761775728019701</c:v>
                </c:pt>
                <c:pt idx="5">
                  <c:v>0.10896749648661572</c:v>
                </c:pt>
                <c:pt idx="6">
                  <c:v>0.13213403280653835</c:v>
                </c:pt>
                <c:pt idx="7">
                  <c:v>0.15357943558252382</c:v>
                </c:pt>
                <c:pt idx="8">
                  <c:v>0.1741701330709842</c:v>
                </c:pt>
                <c:pt idx="9">
                  <c:v>0.19602011256013605</c:v>
                </c:pt>
                <c:pt idx="10">
                  <c:v>0.2174875324336989</c:v>
                </c:pt>
                <c:pt idx="11">
                  <c:v>0.1965878214056686</c:v>
                </c:pt>
                <c:pt idx="12">
                  <c:v>0.17327612054964273</c:v>
                </c:pt>
                <c:pt idx="13">
                  <c:v>0.15297158973740166</c:v>
                </c:pt>
                <c:pt idx="14">
                  <c:v>0.13116758463699563</c:v>
                </c:pt>
                <c:pt idx="15">
                  <c:v>0.10906937816176264</c:v>
                </c:pt>
                <c:pt idx="16">
                  <c:v>0.08832057363647547</c:v>
                </c:pt>
                <c:pt idx="17">
                  <c:v>0.06612279213463751</c:v>
                </c:pt>
                <c:pt idx="18">
                  <c:v>0.04443435908284998</c:v>
                </c:pt>
                <c:pt idx="19">
                  <c:v>0.022168156917517872</c:v>
                </c:pt>
                <c:pt idx="20">
                  <c:v>0.002639755106609015</c:v>
                </c:pt>
              </c:numCache>
            </c:numRef>
          </c:xVal>
          <c:yVal>
            <c:numRef>
              <c:f>'3000rpm'!$H$59:$H$79</c:f>
              <c:numCache>
                <c:formatCode>General</c:formatCode>
                <c:ptCount val="21"/>
                <c:pt idx="0">
                  <c:v>0.08544308243735003</c:v>
                </c:pt>
                <c:pt idx="1">
                  <c:v>0.08281293213372239</c:v>
                </c:pt>
                <c:pt idx="2">
                  <c:v>0.08184604765597671</c:v>
                </c:pt>
                <c:pt idx="3">
                  <c:v>0.08003442249881138</c:v>
                </c:pt>
                <c:pt idx="4">
                  <c:v>0.07887626937060856</c:v>
                </c:pt>
                <c:pt idx="5">
                  <c:v>0.07638103952511936</c:v>
                </c:pt>
                <c:pt idx="6">
                  <c:v>0.0761760123194897</c:v>
                </c:pt>
                <c:pt idx="7">
                  <c:v>0.07451970300913772</c:v>
                </c:pt>
                <c:pt idx="8">
                  <c:v>0.072569243335866</c:v>
                </c:pt>
                <c:pt idx="9">
                  <c:v>0.07285706494113009</c:v>
                </c:pt>
                <c:pt idx="10">
                  <c:v>0.07197136207322967</c:v>
                </c:pt>
                <c:pt idx="11">
                  <c:v>0.07270010144000127</c:v>
                </c:pt>
                <c:pt idx="12">
                  <c:v>0.07284590081937109</c:v>
                </c:pt>
                <c:pt idx="13">
                  <c:v>0.0747111534697575</c:v>
                </c:pt>
                <c:pt idx="14">
                  <c:v>0.07421411748903091</c:v>
                </c:pt>
                <c:pt idx="15">
                  <c:v>0.07528536671730456</c:v>
                </c:pt>
                <c:pt idx="16">
                  <c:v>0.07815237626496367</c:v>
                </c:pt>
                <c:pt idx="17">
                  <c:v>0.07902443357919968</c:v>
                </c:pt>
                <c:pt idx="18">
                  <c:v>0.08177847467360337</c:v>
                </c:pt>
                <c:pt idx="19">
                  <c:v>0.08301630796840336</c:v>
                </c:pt>
                <c:pt idx="20">
                  <c:v>0.0858729349408809</c:v>
                </c:pt>
              </c:numCache>
            </c:numRef>
          </c:yVal>
        </c:ser>
        <c:ser>
          <c:idx val="3"/>
          <c:order val="3"/>
          <c:tx>
            <c:v>45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'3000rpm'!$G$87:$G$107</c:f>
              <c:numCache>
                <c:formatCode>General</c:formatCode>
                <c:ptCount val="21"/>
                <c:pt idx="0">
                  <c:v>0.002040437008181222</c:v>
                </c:pt>
                <c:pt idx="1">
                  <c:v>0.030566810577096443</c:v>
                </c:pt>
                <c:pt idx="2">
                  <c:v>0.06239061947398704</c:v>
                </c:pt>
                <c:pt idx="3">
                  <c:v>0.09369854993692929</c:v>
                </c:pt>
                <c:pt idx="4">
                  <c:v>0.12565332847736066</c:v>
                </c:pt>
                <c:pt idx="5">
                  <c:v>0.15665460485061755</c:v>
                </c:pt>
                <c:pt idx="6">
                  <c:v>0.18711637796819844</c:v>
                </c:pt>
                <c:pt idx="7">
                  <c:v>0.21785964649158854</c:v>
                </c:pt>
                <c:pt idx="8">
                  <c:v>0.24896760054656292</c:v>
                </c:pt>
                <c:pt idx="9">
                  <c:v>0.27694774116913123</c:v>
                </c:pt>
                <c:pt idx="10">
                  <c:v>0.30376267715652994</c:v>
                </c:pt>
                <c:pt idx="11">
                  <c:v>0.2767785222745103</c:v>
                </c:pt>
                <c:pt idx="12">
                  <c:v>0.24767251229247922</c:v>
                </c:pt>
                <c:pt idx="13">
                  <c:v>0.2212564096056837</c:v>
                </c:pt>
                <c:pt idx="14">
                  <c:v>0.18834422223507993</c:v>
                </c:pt>
                <c:pt idx="15">
                  <c:v>0.1574175653997306</c:v>
                </c:pt>
                <c:pt idx="16">
                  <c:v>0.1297240340739067</c:v>
                </c:pt>
                <c:pt idx="17">
                  <c:v>0.09494031332295931</c:v>
                </c:pt>
                <c:pt idx="18">
                  <c:v>0.06323989616253593</c:v>
                </c:pt>
                <c:pt idx="19">
                  <c:v>0.032151252415763165</c:v>
                </c:pt>
                <c:pt idx="20">
                  <c:v>0.0041917931632395</c:v>
                </c:pt>
              </c:numCache>
            </c:numRef>
          </c:xVal>
          <c:yVal>
            <c:numRef>
              <c:f>'3000rpm'!$H$87:$H$107</c:f>
              <c:numCache>
                <c:formatCode>General</c:formatCode>
                <c:ptCount val="21"/>
                <c:pt idx="0">
                  <c:v>0.0831998334453332</c:v>
                </c:pt>
                <c:pt idx="1">
                  <c:v>0.07995247204174198</c:v>
                </c:pt>
                <c:pt idx="2">
                  <c:v>0.07677022074554526</c:v>
                </c:pt>
                <c:pt idx="3">
                  <c:v>0.07268813902629329</c:v>
                </c:pt>
                <c:pt idx="4">
                  <c:v>0.06982531135234665</c:v>
                </c:pt>
                <c:pt idx="5">
                  <c:v>0.06621326129186822</c:v>
                </c:pt>
                <c:pt idx="6">
                  <c:v>0.06276183010810067</c:v>
                </c:pt>
                <c:pt idx="7">
                  <c:v>0.05981446351509316</c:v>
                </c:pt>
                <c:pt idx="8">
                  <c:v>0.057079473675258285</c:v>
                </c:pt>
                <c:pt idx="9">
                  <c:v>0.05324279444308621</c:v>
                </c:pt>
                <c:pt idx="10">
                  <c:v>0.04899401030346874</c:v>
                </c:pt>
                <c:pt idx="11">
                  <c:v>0.05253826817146298</c:v>
                </c:pt>
                <c:pt idx="12">
                  <c:v>0.056137937568893674</c:v>
                </c:pt>
                <c:pt idx="13">
                  <c:v>0.05906127246594524</c:v>
                </c:pt>
                <c:pt idx="14">
                  <c:v>0.06298828858801646</c:v>
                </c:pt>
                <c:pt idx="15">
                  <c:v>0.06575056880188312</c:v>
                </c:pt>
                <c:pt idx="16">
                  <c:v>0.06951710476267163</c:v>
                </c:pt>
                <c:pt idx="17">
                  <c:v>0.07287506204072199</c:v>
                </c:pt>
                <c:pt idx="18">
                  <c:v>0.07537847248199442</c:v>
                </c:pt>
                <c:pt idx="19">
                  <c:v>0.08012677407283585</c:v>
                </c:pt>
                <c:pt idx="20">
                  <c:v>0.08453338459730872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36447"/>
        <c:axId val="653838367"/>
      </c:scatterChart>
      <c:valAx>
        <c:axId val="653838367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53836447"/>
        <c:crosses val="autoZero"/>
        <c:crossBetween val="midCat"/>
      </c:valAx>
      <c:valAx>
        <c:axId val="653836447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53838367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'3000rpm'!$F$116:$F$126</c:f>
              <c:numCache>
                <c:formatCode>General</c:formatCode>
                <c:ptCount val="11"/>
                <c:pt idx="0">
                  <c:v>0.004825128062662836</c:v>
                </c:pt>
                <c:pt idx="1">
                  <c:v>0.0453547095099043</c:v>
                </c:pt>
                <c:pt idx="2">
                  <c:v>0.0897296094904332</c:v>
                </c:pt>
                <c:pt idx="3">
                  <c:v>0.13430093848881572</c:v>
                </c:pt>
                <c:pt idx="4">
                  <c:v>0.17769509664594504</c:v>
                </c:pt>
                <c:pt idx="5">
                  <c:v>0.22173587211207596</c:v>
                </c:pt>
                <c:pt idx="6">
                  <c:v>0.2652304666030972</c:v>
                </c:pt>
                <c:pt idx="7">
                  <c:v>0.3077925776227743</c:v>
                </c:pt>
                <c:pt idx="8">
                  <c:v>0.3496814659211415</c:v>
                </c:pt>
                <c:pt idx="9">
                  <c:v>0.3902105906056363</c:v>
                </c:pt>
                <c:pt idx="10">
                  <c:v>0.42893873405984323</c:v>
                </c:pt>
              </c:numCache>
            </c:numRef>
          </c:xVal>
          <c:yVal>
            <c:numRef>
              <c:f>'3000rpm'!$H$116:$H$126</c:f>
              <c:numCache>
                <c:formatCode>General</c:formatCode>
                <c:ptCount val="11"/>
                <c:pt idx="0">
                  <c:v>0.07972518255872804</c:v>
                </c:pt>
                <c:pt idx="1">
                  <c:v>0.07814257547249656</c:v>
                </c:pt>
                <c:pt idx="2">
                  <c:v>0.0723793266943568</c:v>
                </c:pt>
                <c:pt idx="3">
                  <c:v>0.06733015403670627</c:v>
                </c:pt>
                <c:pt idx="4">
                  <c:v>0.06176249564902664</c:v>
                </c:pt>
                <c:pt idx="5">
                  <c:v>0.05749582525155409</c:v>
                </c:pt>
                <c:pt idx="6">
                  <c:v>0.053097537965049395</c:v>
                </c:pt>
                <c:pt idx="7">
                  <c:v>0.04910840416605169</c:v>
                </c:pt>
                <c:pt idx="8">
                  <c:v>0.04506998881079818</c:v>
                </c:pt>
                <c:pt idx="9">
                  <c:v>0.0401532454169805</c:v>
                </c:pt>
                <c:pt idx="10">
                  <c:v>0.036041398404116576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'3000rpm'!$F$126:$F$136</c:f>
              <c:numCache>
                <c:formatCode>General</c:formatCode>
                <c:ptCount val="11"/>
                <c:pt idx="0">
                  <c:v>0.42893873405984323</c:v>
                </c:pt>
                <c:pt idx="1">
                  <c:v>0.3902171261384088</c:v>
                </c:pt>
                <c:pt idx="2">
                  <c:v>0.3503647695211081</c:v>
                </c:pt>
                <c:pt idx="3">
                  <c:v>0.30951683287212856</c:v>
                </c:pt>
                <c:pt idx="4">
                  <c:v>0.26838741846735076</c:v>
                </c:pt>
                <c:pt idx="5">
                  <c:v>0.22297060342040984</c:v>
                </c:pt>
                <c:pt idx="6">
                  <c:v>0.1808254532824923</c:v>
                </c:pt>
                <c:pt idx="7">
                  <c:v>0.13611401203056103</c:v>
                </c:pt>
                <c:pt idx="8">
                  <c:v>0.09124052631805961</c:v>
                </c:pt>
                <c:pt idx="9">
                  <c:v>0.04639901601511358</c:v>
                </c:pt>
                <c:pt idx="10">
                  <c:v>0.010221424575086076</c:v>
                </c:pt>
              </c:numCache>
            </c:numRef>
          </c:xVal>
          <c:yVal>
            <c:numRef>
              <c:f>'3000rpm'!$H$126:$H$136</c:f>
              <c:numCache>
                <c:formatCode>General</c:formatCode>
                <c:ptCount val="11"/>
                <c:pt idx="0">
                  <c:v>0.036041398404116576</c:v>
                </c:pt>
                <c:pt idx="1">
                  <c:v>0.03954478721660625</c:v>
                </c:pt>
                <c:pt idx="2">
                  <c:v>0.04425409828846395</c:v>
                </c:pt>
                <c:pt idx="3">
                  <c:v>0.04889213874033984</c:v>
                </c:pt>
                <c:pt idx="4">
                  <c:v>0.05395906010570413</c:v>
                </c:pt>
                <c:pt idx="5">
                  <c:v>0.05740905390098483</c:v>
                </c:pt>
                <c:pt idx="6">
                  <c:v>0.06278459240979538</c:v>
                </c:pt>
                <c:pt idx="7">
                  <c:v>0.0674465162920273</c:v>
                </c:pt>
                <c:pt idx="8">
                  <c:v>0.07233136675322004</c:v>
                </c:pt>
                <c:pt idx="9">
                  <c:v>0.07854804092580749</c:v>
                </c:pt>
                <c:pt idx="10">
                  <c:v>0.07938349732883843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'3000rpm'!$P$116:$P$126</c:f>
              <c:numCache>
                <c:formatCode>General</c:formatCode>
                <c:ptCount val="11"/>
                <c:pt idx="0">
                  <c:v>0.009298425754895449</c:v>
                </c:pt>
                <c:pt idx="1">
                  <c:v>0.044172586993882566</c:v>
                </c:pt>
                <c:pt idx="2">
                  <c:v>0.08764033034748206</c:v>
                </c:pt>
                <c:pt idx="3">
                  <c:v>0.13081447920495043</c:v>
                </c:pt>
                <c:pt idx="4">
                  <c:v>0.17389617205050864</c:v>
                </c:pt>
                <c:pt idx="5">
                  <c:v>0.21644329084395267</c:v>
                </c:pt>
                <c:pt idx="6">
                  <c:v>0.26384538390757367</c:v>
                </c:pt>
                <c:pt idx="7">
                  <c:v>0.3064960930250748</c:v>
                </c:pt>
                <c:pt idx="8">
                  <c:v>0.336237544394199</c:v>
                </c:pt>
                <c:pt idx="9">
                  <c:v>0.38091633734412456</c:v>
                </c:pt>
                <c:pt idx="10">
                  <c:v>0.4139353470758495</c:v>
                </c:pt>
              </c:numCache>
            </c:numRef>
          </c:xVal>
          <c:yVal>
            <c:numRef>
              <c:f>'3000rpm'!$R$116:$R$126</c:f>
              <c:numCache>
                <c:formatCode>General</c:formatCode>
                <c:ptCount val="11"/>
                <c:pt idx="0">
                  <c:v>0.08018898452939686</c:v>
                </c:pt>
                <c:pt idx="1">
                  <c:v>0.07827087529270826</c:v>
                </c:pt>
                <c:pt idx="2">
                  <c:v>0.07354050314119658</c:v>
                </c:pt>
                <c:pt idx="3">
                  <c:v>0.06857296446279623</c:v>
                </c:pt>
                <c:pt idx="4">
                  <c:v>0.06347984918878287</c:v>
                </c:pt>
                <c:pt idx="5">
                  <c:v>0.05877923885207079</c:v>
                </c:pt>
                <c:pt idx="6">
                  <c:v>0.05484359851208166</c:v>
                </c:pt>
                <c:pt idx="7">
                  <c:v>0.05093828405633378</c:v>
                </c:pt>
                <c:pt idx="8">
                  <c:v>0.0450620074501274</c:v>
                </c:pt>
                <c:pt idx="9">
                  <c:v>0.041982444490072546</c:v>
                </c:pt>
                <c:pt idx="10">
                  <c:v>0.036501978493054095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'3000rpm'!$P$126:$P$136</c:f>
              <c:numCache>
                <c:formatCode>General</c:formatCode>
                <c:ptCount val="11"/>
                <c:pt idx="0">
                  <c:v>0.4139353470758495</c:v>
                </c:pt>
                <c:pt idx="1">
                  <c:v>0.38030252938807324</c:v>
                </c:pt>
                <c:pt idx="2">
                  <c:v>0.3432818167303302</c:v>
                </c:pt>
                <c:pt idx="3">
                  <c:v>0.2992782189588094</c:v>
                </c:pt>
                <c:pt idx="4">
                  <c:v>0.2591321254625019</c:v>
                </c:pt>
                <c:pt idx="5">
                  <c:v>0.2182686485149779</c:v>
                </c:pt>
                <c:pt idx="6">
                  <c:v>0.17472493558125146</c:v>
                </c:pt>
                <c:pt idx="7">
                  <c:v>0.1314808274584522</c:v>
                </c:pt>
                <c:pt idx="8">
                  <c:v>0.08872759418638346</c:v>
                </c:pt>
                <c:pt idx="9">
                  <c:v>0.044176396714314184</c:v>
                </c:pt>
                <c:pt idx="10">
                  <c:v>0.010354171000218916</c:v>
                </c:pt>
              </c:numCache>
            </c:numRef>
          </c:xVal>
          <c:yVal>
            <c:numRef>
              <c:f>'3000rpm'!$R$126:$R$136</c:f>
              <c:numCache>
                <c:formatCode>General</c:formatCode>
                <c:ptCount val="11"/>
                <c:pt idx="0">
                  <c:v>0.036501978493054095</c:v>
                </c:pt>
                <c:pt idx="1">
                  <c:v>0.04076917121160715</c:v>
                </c:pt>
                <c:pt idx="2">
                  <c:v>0.045875262559267875</c:v>
                </c:pt>
                <c:pt idx="3">
                  <c:v>0.04978568954580725</c:v>
                </c:pt>
                <c:pt idx="4">
                  <c:v>0.0544502556513468</c:v>
                </c:pt>
                <c:pt idx="5">
                  <c:v>0.05932259664731492</c:v>
                </c:pt>
                <c:pt idx="6">
                  <c:v>0.063205257940824</c:v>
                </c:pt>
                <c:pt idx="7">
                  <c:v>0.06761530652187474</c:v>
                </c:pt>
                <c:pt idx="8">
                  <c:v>0.07342589362112821</c:v>
                </c:pt>
                <c:pt idx="9">
                  <c:v>0.07797637667047805</c:v>
                </c:pt>
                <c:pt idx="10">
                  <c:v>0.08304943299002551</c:v>
                </c:pt>
              </c:numCache>
            </c:numRef>
          </c:yVal>
        </c:ser>
        <c:ser>
          <c:idx val="4"/>
          <c:order val="4"/>
          <c:tx>
            <c:v>理论计算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'3000rpm'!$AU$25:$AU$35</c:f>
              <c:numCache>
                <c:formatCode>General</c:formatCode>
                <c:ptCount val="11"/>
                <c:pt idx="0">
                  <c:v>0</c:v>
                </c:pt>
                <c:pt idx="1">
                  <c:v>0.04448818897637796</c:v>
                </c:pt>
                <c:pt idx="2">
                  <c:v>0.08897637795275593</c:v>
                </c:pt>
                <c:pt idx="3">
                  <c:v>0.13346456692913383</c:v>
                </c:pt>
                <c:pt idx="4">
                  <c:v>0.17795275590551185</c:v>
                </c:pt>
                <c:pt idx="5">
                  <c:v>0.22244094488188976</c:v>
                </c:pt>
                <c:pt idx="6">
                  <c:v>0.26692913385826766</c:v>
                </c:pt>
                <c:pt idx="7">
                  <c:v>0.3114173228346457</c:v>
                </c:pt>
                <c:pt idx="8">
                  <c:v>0.3559055118110237</c:v>
                </c:pt>
                <c:pt idx="9">
                  <c:v>0.40039370078740166</c:v>
                </c:pt>
                <c:pt idx="10">
                  <c:v>0.4448818897637795</c:v>
                </c:pt>
              </c:numCache>
            </c:numRef>
          </c:xVal>
          <c:yVal>
            <c:numRef>
              <c:f>'3000rpm'!$AT$25:$AT$35</c:f>
              <c:numCache>
                <c:formatCode>General</c:formatCode>
                <c:ptCount val="11"/>
                <c:pt idx="0">
                  <c:v>0.0846729215675782</c:v>
                </c:pt>
                <c:pt idx="1">
                  <c:v>0.07984072539162981</c:v>
                </c:pt>
                <c:pt idx="2">
                  <c:v>0.07541729429477105</c:v>
                </c:pt>
                <c:pt idx="3">
                  <c:v>0.07068765832533384</c:v>
                </c:pt>
                <c:pt idx="4">
                  <c:v>0.0655816917216793</c:v>
                </c:pt>
                <c:pt idx="5">
                  <c:v>0.05999879512122383</c:v>
                </c:pt>
                <c:pt idx="6">
                  <c:v>0.05391039307360651</c:v>
                </c:pt>
                <c:pt idx="7">
                  <c:v>0.04733551842088965</c:v>
                </c:pt>
                <c:pt idx="8">
                  <c:v>0.04026928994492276</c:v>
                </c:pt>
                <c:pt idx="9">
                  <c:v>0.032826464592897606</c:v>
                </c:pt>
                <c:pt idx="10">
                  <c:v>0.025032401236631672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587391"/>
        <c:axId val="1680585951"/>
      </c:scatterChart>
      <c:valAx>
        <c:axId val="1680585951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680587391"/>
        <c:crosses val="autoZero"/>
        <c:crossBetween val="midCat"/>
      </c:valAx>
      <c:valAx>
        <c:axId val="1680587391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680585951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7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scatterChart>
        <c:scatterStyle val="lineMarker"/>
        <c:ser>
          <c:idx val="0"/>
          <c:order val="0"/>
          <c:tx>
            <c:v>第一组</c:v>
          </c:tx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'3000rpm'!$G$145:$G$155</c:f>
              <c:numCache>
                <c:formatCode>General</c:formatCode>
                <c:ptCount val="11"/>
                <c:pt idx="0">
                  <c:v>0.004701009624743484</c:v>
                </c:pt>
                <c:pt idx="1">
                  <c:v>0.04302233033684923</c:v>
                </c:pt>
                <c:pt idx="2">
                  <c:v>0.08650549637732302</c:v>
                </c:pt>
                <c:pt idx="3">
                  <c:v>0.1281812002974702</c:v>
                </c:pt>
                <c:pt idx="4">
                  <c:v>0.17107540004415947</c:v>
                </c:pt>
                <c:pt idx="5">
                  <c:v>0.21373094334992265</c:v>
                </c:pt>
                <c:pt idx="6">
                  <c:v>0.25394108725733805</c:v>
                </c:pt>
                <c:pt idx="7">
                  <c:v>0.2966899177321022</c:v>
                </c:pt>
                <c:pt idx="8">
                  <c:v>0.3320727479051989</c:v>
                </c:pt>
                <c:pt idx="9">
                  <c:v>0.3713577377011262</c:v>
                </c:pt>
                <c:pt idx="10">
                  <c:v>0.4048360554793806</c:v>
                </c:pt>
              </c:numCache>
            </c:numRef>
          </c:xVal>
          <c:yVal>
            <c:numRef>
              <c:f>'3000rpm'!$I$145:$I$155</c:f>
              <c:numCache>
                <c:formatCode>General</c:formatCode>
                <c:ptCount val="11"/>
                <c:pt idx="0">
                  <c:v>0.0797740734105854</c:v>
                </c:pt>
                <c:pt idx="1">
                  <c:v>0.07667487851418854</c:v>
                </c:pt>
                <c:pt idx="2">
                  <c:v>0.07072987298942567</c:v>
                </c:pt>
                <c:pt idx="3">
                  <c:v>0.06304623429040761</c:v>
                </c:pt>
                <c:pt idx="4">
                  <c:v>0.05702167238554427</c:v>
                </c:pt>
                <c:pt idx="5">
                  <c:v>0.05118978538427291</c:v>
                </c:pt>
                <c:pt idx="6">
                  <c:v>0.04436941166186406</c:v>
                </c:pt>
                <c:pt idx="7">
                  <c:v>0.03727841124747685</c:v>
                </c:pt>
                <c:pt idx="8">
                  <c:v>0.032384159509064724</c:v>
                </c:pt>
                <c:pt idx="9">
                  <c:v>0.025738345051692008</c:v>
                </c:pt>
                <c:pt idx="10">
                  <c:v>0.01966655183922558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'3000rpm'!$G$155:$G$165</c:f>
              <c:numCache>
                <c:formatCode>General</c:formatCode>
                <c:ptCount val="11"/>
                <c:pt idx="0">
                  <c:v>0.4048360554793806</c:v>
                </c:pt>
                <c:pt idx="1">
                  <c:v>0.3676381897384628</c:v>
                </c:pt>
                <c:pt idx="2">
                  <c:v>0.33228970380534745</c:v>
                </c:pt>
                <c:pt idx="3">
                  <c:v>0.2934466673539308</c:v>
                </c:pt>
                <c:pt idx="4">
                  <c:v>0.25384474992422834</c:v>
                </c:pt>
                <c:pt idx="5">
                  <c:v>0.20913508941900003</c:v>
                </c:pt>
                <c:pt idx="6">
                  <c:v>0.17263546354438333</c:v>
                </c:pt>
                <c:pt idx="7">
                  <c:v>0.1307514600032652</c:v>
                </c:pt>
                <c:pt idx="8">
                  <c:v>0.08738190846251122</c:v>
                </c:pt>
                <c:pt idx="9">
                  <c:v>0.04468469251425649</c:v>
                </c:pt>
                <c:pt idx="10">
                  <c:v>0.0065782499550072525</c:v>
                </c:pt>
              </c:numCache>
            </c:numRef>
          </c:xVal>
          <c:yVal>
            <c:numRef>
              <c:f>'3000rpm'!$I$155:$I$165</c:f>
              <c:numCache>
                <c:formatCode>General</c:formatCode>
                <c:ptCount val="11"/>
                <c:pt idx="0">
                  <c:v>0.01966655183922558</c:v>
                </c:pt>
                <c:pt idx="1">
                  <c:v>0.025877700219388036</c:v>
                </c:pt>
                <c:pt idx="2">
                  <c:v>0.032700641184675056</c:v>
                </c:pt>
                <c:pt idx="3">
                  <c:v>0.0378979901022769</c:v>
                </c:pt>
                <c:pt idx="4">
                  <c:v>0.0444725609719781</c:v>
                </c:pt>
                <c:pt idx="5">
                  <c:v>0.05144300900927803</c:v>
                </c:pt>
                <c:pt idx="6">
                  <c:v>0.05746547937334263</c:v>
                </c:pt>
                <c:pt idx="7">
                  <c:v>0.06437482317202253</c:v>
                </c:pt>
                <c:pt idx="8">
                  <c:v>0.06976775851151129</c:v>
                </c:pt>
                <c:pt idx="9">
                  <c:v>0.07657063323185086</c:v>
                </c:pt>
                <c:pt idx="10">
                  <c:v>0.08062807191280107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'3000rpm'!$Q$145:$Q$155</c:f>
              <c:numCache>
                <c:formatCode>General</c:formatCode>
                <c:ptCount val="11"/>
                <c:pt idx="0">
                  <c:v>0.004641072033485924</c:v>
                </c:pt>
                <c:pt idx="1">
                  <c:v>0.04398896963878561</c:v>
                </c:pt>
                <c:pt idx="2">
                  <c:v>0.0927415405628069</c:v>
                </c:pt>
                <c:pt idx="3">
                  <c:v>0.13225237188798253</c:v>
                </c:pt>
                <c:pt idx="4">
                  <c:v>0.1757060710424296</c:v>
                </c:pt>
                <c:pt idx="5">
                  <c:v>0.2186583684487423</c:v>
                </c:pt>
                <c:pt idx="6">
                  <c:v>0.26005406712793233</c:v>
                </c:pt>
                <c:pt idx="7">
                  <c:v>0.30156016611579484</c:v>
                </c:pt>
                <c:pt idx="8">
                  <c:v>0.33979926816127526</c:v>
                </c:pt>
                <c:pt idx="9">
                  <c:v>0.3787686739841286</c:v>
                </c:pt>
                <c:pt idx="10">
                  <c:v>0.40981066249093795</c:v>
                </c:pt>
              </c:numCache>
            </c:numRef>
          </c:xVal>
          <c:yVal>
            <c:numRef>
              <c:f>'3000rpm'!$S$145:$S$155</c:f>
              <c:numCache>
                <c:formatCode>General</c:formatCode>
                <c:ptCount val="11"/>
                <c:pt idx="0">
                  <c:v>0.07989584279196696</c:v>
                </c:pt>
                <c:pt idx="1">
                  <c:v>0.075708754973582</c:v>
                </c:pt>
                <c:pt idx="2">
                  <c:v>0.06845012518633871</c:v>
                </c:pt>
                <c:pt idx="3">
                  <c:v>0.0623246615528985</c:v>
                </c:pt>
                <c:pt idx="4">
                  <c:v>0.05566523617731928</c:v>
                </c:pt>
                <c:pt idx="5">
                  <c:v>0.04979292743534562</c:v>
                </c:pt>
                <c:pt idx="6">
                  <c:v>0.0431987820366201</c:v>
                </c:pt>
                <c:pt idx="7">
                  <c:v>0.036836597607746886</c:v>
                </c:pt>
                <c:pt idx="8">
                  <c:v>0.030418070531367677</c:v>
                </c:pt>
                <c:pt idx="9">
                  <c:v>0.02369585445342553</c:v>
                </c:pt>
                <c:pt idx="10">
                  <c:v>0.01727227408929902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'3000rpm'!$Q$155:$Q$165</c:f>
              <c:numCache>
                <c:formatCode>General</c:formatCode>
                <c:ptCount val="11"/>
                <c:pt idx="0">
                  <c:v>0.40981066249093795</c:v>
                </c:pt>
                <c:pt idx="1">
                  <c:v>0.37745131526770026</c:v>
                </c:pt>
                <c:pt idx="2">
                  <c:v>0.3354154648833919</c:v>
                </c:pt>
                <c:pt idx="3">
                  <c:v>0.30301224931284476</c:v>
                </c:pt>
                <c:pt idx="4">
                  <c:v>0.2609898672938096</c:v>
                </c:pt>
                <c:pt idx="5">
                  <c:v>0.21952073960010482</c:v>
                </c:pt>
                <c:pt idx="6">
                  <c:v>0.177200029795958</c:v>
                </c:pt>
                <c:pt idx="7">
                  <c:v>0.1336489142912332</c:v>
                </c:pt>
                <c:pt idx="8">
                  <c:v>0.08938892766670696</c:v>
                </c:pt>
                <c:pt idx="9">
                  <c:v>0.04557499848543727</c:v>
                </c:pt>
                <c:pt idx="10">
                  <c:v>0.00661271597662773</c:v>
                </c:pt>
              </c:numCache>
            </c:numRef>
          </c:xVal>
          <c:yVal>
            <c:numRef>
              <c:f>'3000rpm'!$S$155:$S$165</c:f>
              <c:numCache>
                <c:formatCode>General</c:formatCode>
                <c:ptCount val="11"/>
                <c:pt idx="0">
                  <c:v>0.01727227408929902</c:v>
                </c:pt>
                <c:pt idx="1">
                  <c:v>0.023037504813830642</c:v>
                </c:pt>
                <c:pt idx="2">
                  <c:v>0.02982520220036284</c:v>
                </c:pt>
                <c:pt idx="3">
                  <c:v>0.03644167524766219</c:v>
                </c:pt>
                <c:pt idx="4">
                  <c:v>0.04288650983171279</c:v>
                </c:pt>
                <c:pt idx="5">
                  <c:v>0.04927942324393925</c:v>
                </c:pt>
                <c:pt idx="6">
                  <c:v>0.055653968662502835</c:v>
                </c:pt>
                <c:pt idx="7">
                  <c:v>0.06209460195850398</c:v>
                </c:pt>
                <c:pt idx="8">
                  <c:v>0.06832721156895138</c:v>
                </c:pt>
                <c:pt idx="9">
                  <c:v>0.07504438690904919</c:v>
                </c:pt>
                <c:pt idx="10">
                  <c:v>0.08060890505476107</c:v>
                </c:pt>
              </c:numCache>
            </c:numRef>
          </c:yVal>
        </c:ser>
        <c:ser>
          <c:idx val="4"/>
          <c:order val="4"/>
          <c:tx>
            <c:v>理论数据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'3000rpm'!$AU$14:$AU$24</c:f>
              <c:numCache>
                <c:formatCode>General</c:formatCode>
                <c:ptCount val="11"/>
                <c:pt idx="0">
                  <c:v>0</c:v>
                </c:pt>
                <c:pt idx="1">
                  <c:v>0.04448818897637796</c:v>
                </c:pt>
                <c:pt idx="2">
                  <c:v>0.08897637795275593</c:v>
                </c:pt>
                <c:pt idx="3">
                  <c:v>0.13346456692913383</c:v>
                </c:pt>
                <c:pt idx="4">
                  <c:v>0.17795275590551185</c:v>
                </c:pt>
                <c:pt idx="5">
                  <c:v>0.22244094488188976</c:v>
                </c:pt>
                <c:pt idx="6">
                  <c:v>0.26692913385826766</c:v>
                </c:pt>
                <c:pt idx="7">
                  <c:v>0.3114173228346457</c:v>
                </c:pt>
                <c:pt idx="8">
                  <c:v>0.3559055118110237</c:v>
                </c:pt>
                <c:pt idx="9">
                  <c:v>0.40039370078740166</c:v>
                </c:pt>
                <c:pt idx="10">
                  <c:v>0.4448818897637795</c:v>
                </c:pt>
              </c:numCache>
            </c:numRef>
          </c:xVal>
          <c:yVal>
            <c:numRef>
              <c:f>'3000rpm'!$AT$14:$AT$24</c:f>
              <c:numCache>
                <c:formatCode>General</c:formatCode>
                <c:ptCount val="11"/>
                <c:pt idx="0">
                  <c:v>0.0846729215675782</c:v>
                </c:pt>
                <c:pt idx="1">
                  <c:v>0.07918829994838127</c:v>
                </c:pt>
                <c:pt idx="2">
                  <c:v>0.07391207233125573</c:v>
                </c:pt>
                <c:pt idx="3">
                  <c:v>0.06818017627654385</c:v>
                </c:pt>
                <c:pt idx="4">
                  <c:v>0.061954065375399915</c:v>
                </c:pt>
                <c:pt idx="5">
                  <c:v>0.055176801934408076</c:v>
                </c:pt>
                <c:pt idx="6">
                  <c:v>0.04787765983806524</c:v>
                </c:pt>
                <c:pt idx="7">
                  <c:v>0.04003544875576512</c:v>
                </c:pt>
                <c:pt idx="8">
                  <c:v>0.031756883166355034</c:v>
                </c:pt>
                <c:pt idx="9">
                  <c:v>0.023070460292602263</c:v>
                </c:pt>
                <c:pt idx="10">
                  <c:v>0.013962627096064105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606848"/>
        <c:axId val="1282612608"/>
      </c:scatterChart>
      <c:valAx>
        <c:axId val="128261260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82606848"/>
        <c:crosses val="autoZero"/>
        <c:crossBetween val="midCat"/>
      </c:valAx>
      <c:valAx>
        <c:axId val="1282606848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82612608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scatterChart>
        <c:scatterStyle val="lineMarker"/>
        <c:ser>
          <c:idx val="0"/>
          <c:order val="0"/>
          <c:tx>
            <c:v>第一组</c:v>
          </c:tx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'3000rpm'!$G$175:$G$185</c:f>
              <c:numCache>
                <c:formatCode>General</c:formatCode>
                <c:ptCount val="11"/>
                <c:pt idx="0">
                  <c:v>0.00387434546856492</c:v>
                </c:pt>
                <c:pt idx="1">
                  <c:v>0.043752766751729746</c:v>
                </c:pt>
                <c:pt idx="2">
                  <c:v>0.08779319420209065</c:v>
                </c:pt>
                <c:pt idx="3">
                  <c:v>0.1315945496880082</c:v>
                </c:pt>
                <c:pt idx="4">
                  <c:v>0.17494449742589646</c:v>
                </c:pt>
                <c:pt idx="5">
                  <c:v>0.21606568568389492</c:v>
                </c:pt>
                <c:pt idx="6">
                  <c:v>0.26014937143261474</c:v>
                </c:pt>
                <c:pt idx="7">
                  <c:v>0.30198576978327063</c:v>
                </c:pt>
                <c:pt idx="8">
                  <c:v>0.34079221268626486</c:v>
                </c:pt>
                <c:pt idx="9">
                  <c:v>0.3785048829165978</c:v>
                </c:pt>
                <c:pt idx="10">
                  <c:v>0.4107875459816198</c:v>
                </c:pt>
              </c:numCache>
            </c:numRef>
          </c:xVal>
          <c:yVal>
            <c:numRef>
              <c:f>'3000rpm'!$I$175:$I$185</c:f>
              <c:numCache>
                <c:formatCode>General</c:formatCode>
                <c:ptCount val="11"/>
                <c:pt idx="0">
                  <c:v>0.08055863572731986</c:v>
                </c:pt>
                <c:pt idx="1">
                  <c:v>0.07639888218318888</c:v>
                </c:pt>
                <c:pt idx="2">
                  <c:v>0.0691160826229011</c:v>
                </c:pt>
                <c:pt idx="3">
                  <c:v>0.06248958962581796</c:v>
                </c:pt>
                <c:pt idx="4">
                  <c:v>0.056080124189428794</c:v>
                </c:pt>
                <c:pt idx="5">
                  <c:v>0.04931612537320403</c:v>
                </c:pt>
                <c:pt idx="6">
                  <c:v>0.04420479621924684</c:v>
                </c:pt>
                <c:pt idx="7">
                  <c:v>0.038712481284123114</c:v>
                </c:pt>
                <c:pt idx="8">
                  <c:v>0.03262962183488512</c:v>
                </c:pt>
                <c:pt idx="9">
                  <c:v>0.02608747541542888</c:v>
                </c:pt>
                <c:pt idx="10">
                  <c:v>0.020561786310321916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'3000rpm'!$G$185:$G$195</c:f>
              <c:numCache>
                <c:formatCode>General</c:formatCode>
                <c:ptCount val="11"/>
                <c:pt idx="0">
                  <c:v>0.4107875459816198</c:v>
                </c:pt>
                <c:pt idx="1">
                  <c:v>0.37844318375969566</c:v>
                </c:pt>
                <c:pt idx="2">
                  <c:v>0.3411137486887914</c:v>
                </c:pt>
                <c:pt idx="3">
                  <c:v>0.30260909469732783</c:v>
                </c:pt>
                <c:pt idx="4">
                  <c:v>0.2588167704788427</c:v>
                </c:pt>
                <c:pt idx="5">
                  <c:v>0.21490552363807275</c:v>
                </c:pt>
                <c:pt idx="6">
                  <c:v>0.17894284731996146</c:v>
                </c:pt>
                <c:pt idx="7">
                  <c:v>0.13359646492721244</c:v>
                </c:pt>
                <c:pt idx="8">
                  <c:v>0.08528216738829394</c:v>
                </c:pt>
                <c:pt idx="9">
                  <c:v>0.04600109706401748</c:v>
                </c:pt>
                <c:pt idx="10">
                  <c:v>0.00664309920994533</c:v>
                </c:pt>
              </c:numCache>
            </c:numRef>
          </c:xVal>
          <c:yVal>
            <c:numRef>
              <c:f>'3000rpm'!$I$185:$I$195</c:f>
              <c:numCache>
                <c:formatCode>General</c:formatCode>
                <c:ptCount val="11"/>
                <c:pt idx="0">
                  <c:v>0.020561786310321916</c:v>
                </c:pt>
                <c:pt idx="1">
                  <c:v>0.026320468338614296</c:v>
                </c:pt>
                <c:pt idx="2">
                  <c:v>0.03216978528071953</c:v>
                </c:pt>
                <c:pt idx="3">
                  <c:v>0.0386659436961554</c:v>
                </c:pt>
                <c:pt idx="4">
                  <c:v>0.04607966554094429</c:v>
                </c:pt>
                <c:pt idx="5">
                  <c:v>0.050640160359800915</c:v>
                </c:pt>
                <c:pt idx="6">
                  <c:v>0.057725374935334584</c:v>
                </c:pt>
                <c:pt idx="7">
                  <c:v>0.06280285731344498</c:v>
                </c:pt>
                <c:pt idx="8">
                  <c:v>0.07012425294358389</c:v>
                </c:pt>
                <c:pt idx="9">
                  <c:v>0.07664147849284794</c:v>
                </c:pt>
                <c:pt idx="10">
                  <c:v>0.07973672393116266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'3000rpm'!$Q$175:$Q$185</c:f>
              <c:numCache>
                <c:formatCode>General</c:formatCode>
                <c:ptCount val="11"/>
                <c:pt idx="0">
                  <c:v>0.0031007335425476245</c:v>
                </c:pt>
                <c:pt idx="1">
                  <c:v>0.04466101071471472</c:v>
                </c:pt>
                <c:pt idx="2">
                  <c:v>0.08957649620896492</c:v>
                </c:pt>
                <c:pt idx="3">
                  <c:v>0.13331294660278775</c:v>
                </c:pt>
                <c:pt idx="4">
                  <c:v>0.17751168902554387</c:v>
                </c:pt>
                <c:pt idx="5">
                  <c:v>0.22039852945738267</c:v>
                </c:pt>
                <c:pt idx="6">
                  <c:v>0.26583689196879506</c:v>
                </c:pt>
                <c:pt idx="7">
                  <c:v>0.30573150409081845</c:v>
                </c:pt>
                <c:pt idx="8">
                  <c:v>0.35228507933676084</c:v>
                </c:pt>
                <c:pt idx="9">
                  <c:v>0.38202260119212844</c:v>
                </c:pt>
                <c:pt idx="10">
                  <c:v>0.4135233793124761</c:v>
                </c:pt>
              </c:numCache>
            </c:numRef>
          </c:xVal>
          <c:yVal>
            <c:numRef>
              <c:f>'3000rpm'!$S$175:$S$185</c:f>
              <c:numCache>
                <c:formatCode>General</c:formatCode>
                <c:ptCount val="11"/>
                <c:pt idx="0">
                  <c:v>0.08102690605412417</c:v>
                </c:pt>
                <c:pt idx="1">
                  <c:v>0.07853351479398152</c:v>
                </c:pt>
                <c:pt idx="2">
                  <c:v>0.07059063909451983</c:v>
                </c:pt>
                <c:pt idx="3">
                  <c:v>0.06365883549958352</c:v>
                </c:pt>
                <c:pt idx="4">
                  <c:v>0.05754280442157081</c:v>
                </c:pt>
                <c:pt idx="5">
                  <c:v>0.05131640293017964</c:v>
                </c:pt>
                <c:pt idx="6">
                  <c:v>0.044662624424435894</c:v>
                </c:pt>
                <c:pt idx="7">
                  <c:v>0.04155997205240689</c:v>
                </c:pt>
                <c:pt idx="8">
                  <c:v>0.03316884561030585</c:v>
                </c:pt>
                <c:pt idx="9">
                  <c:v>0.028870247020615792</c:v>
                </c:pt>
                <c:pt idx="10">
                  <c:v>0.020867971556619833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'3000rpm'!$Q$185:$Q$195</c:f>
              <c:numCache>
                <c:formatCode>General</c:formatCode>
                <c:ptCount val="11"/>
                <c:pt idx="0">
                  <c:v>0.4135233793124761</c:v>
                </c:pt>
                <c:pt idx="1">
                  <c:v>0.3764498910244577</c:v>
                </c:pt>
                <c:pt idx="2">
                  <c:v>0.3499087943550021</c:v>
                </c:pt>
                <c:pt idx="3">
                  <c:v>0.3031939047801032</c:v>
                </c:pt>
                <c:pt idx="4">
                  <c:v>0.2633327683752194</c:v>
                </c:pt>
                <c:pt idx="5">
                  <c:v>0.2216348041905653</c:v>
                </c:pt>
                <c:pt idx="6">
                  <c:v>0.1784555122699932</c:v>
                </c:pt>
                <c:pt idx="7">
                  <c:v>0.13545027384311523</c:v>
                </c:pt>
                <c:pt idx="8">
                  <c:v>0.09102853709503367</c:v>
                </c:pt>
                <c:pt idx="9">
                  <c:v>0.04619505912065404</c:v>
                </c:pt>
                <c:pt idx="10">
                  <c:v>0.010938077565198639</c:v>
                </c:pt>
              </c:numCache>
            </c:numRef>
          </c:xVal>
          <c:yVal>
            <c:numRef>
              <c:f>'3000rpm'!$S$185:$S$195</c:f>
              <c:numCache>
                <c:formatCode>General</c:formatCode>
                <c:ptCount val="11"/>
                <c:pt idx="0">
                  <c:v>0.020867971556619833</c:v>
                </c:pt>
                <c:pt idx="1">
                  <c:v>0.025477550866915794</c:v>
                </c:pt>
                <c:pt idx="2">
                  <c:v>0.03332279703632557</c:v>
                </c:pt>
                <c:pt idx="3">
                  <c:v>0.038601446368610334</c:v>
                </c:pt>
                <c:pt idx="4">
                  <c:v>0.045803545049480504</c:v>
                </c:pt>
                <c:pt idx="5">
                  <c:v>0.0519421858134279</c:v>
                </c:pt>
                <c:pt idx="6">
                  <c:v>0.05752729167143562</c:v>
                </c:pt>
                <c:pt idx="7">
                  <c:v>0.06401140636062685</c:v>
                </c:pt>
                <c:pt idx="8">
                  <c:v>0.07024482398573069</c:v>
                </c:pt>
                <c:pt idx="9">
                  <c:v>0.07663889204226644</c:v>
                </c:pt>
                <c:pt idx="10">
                  <c:v>0.07985690929119806</c:v>
                </c:pt>
              </c:numCache>
            </c:numRef>
          </c:yVal>
        </c:ser>
        <c:ser>
          <c:idx val="4"/>
          <c:order val="4"/>
          <c:tx>
            <c:v>理论数据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'3000rpm'!$AU$3:$AU$13</c:f>
              <c:numCache>
                <c:formatCode>General</c:formatCode>
                <c:ptCount val="11"/>
                <c:pt idx="0">
                  <c:v>0</c:v>
                </c:pt>
                <c:pt idx="1">
                  <c:v>0.04448818897637796</c:v>
                </c:pt>
                <c:pt idx="2">
                  <c:v>0.08897637795275593</c:v>
                </c:pt>
                <c:pt idx="3">
                  <c:v>0.13346456692913383</c:v>
                </c:pt>
                <c:pt idx="4">
                  <c:v>0.17795275590551185</c:v>
                </c:pt>
                <c:pt idx="5">
                  <c:v>0.22244094488188976</c:v>
                </c:pt>
                <c:pt idx="6">
                  <c:v>0.26692913385826766</c:v>
                </c:pt>
                <c:pt idx="7">
                  <c:v>0.3114173228346457</c:v>
                </c:pt>
                <c:pt idx="8">
                  <c:v>0.3559055118110237</c:v>
                </c:pt>
                <c:pt idx="9">
                  <c:v>0.40039370078740166</c:v>
                </c:pt>
                <c:pt idx="10">
                  <c:v>0.4448818897637795</c:v>
                </c:pt>
              </c:numCache>
            </c:numRef>
          </c:xVal>
          <c:yVal>
            <c:numRef>
              <c:f>'3000rpm'!$AT$3:$AT$13</c:f>
              <c:numCache>
                <c:formatCode>General</c:formatCode>
                <c:ptCount val="11"/>
                <c:pt idx="0">
                  <c:v>0.0846729215675782</c:v>
                </c:pt>
                <c:pt idx="1">
                  <c:v>0.07957105583158262</c:v>
                </c:pt>
                <c:pt idx="2">
                  <c:v>0.07393634595023914</c:v>
                </c:pt>
                <c:pt idx="3">
                  <c:v>0.06766452866064036</c:v>
                </c:pt>
                <c:pt idx="4">
                  <c:v>0.06093513375758593</c:v>
                </c:pt>
                <c:pt idx="5">
                  <c:v>0.05360766587417909</c:v>
                </c:pt>
                <c:pt idx="6">
                  <c:v>0.045754256535954094</c:v>
                </c:pt>
                <c:pt idx="7">
                  <c:v>0.037574416843196845</c:v>
                </c:pt>
                <c:pt idx="8">
                  <c:v>0.02885561398889109</c:v>
                </c:pt>
                <c:pt idx="9">
                  <c:v>0.019728231889846876</c:v>
                </c:pt>
                <c:pt idx="10">
                  <c:v>0.010158930685807283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636128"/>
        <c:axId val="1282637088"/>
      </c:scatterChart>
      <c:valAx>
        <c:axId val="128263708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82636128"/>
        <c:crosses val="autoZero"/>
        <c:crossBetween val="midCat"/>
      </c:valAx>
      <c:valAx>
        <c:axId val="1282636128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82637088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9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'4000rpm'!$G$31:$G$41</c:f>
              <c:numCache>
                <c:formatCode>General</c:formatCode>
                <c:ptCount val="11"/>
                <c:pt idx="0">
                  <c:v>0.003493771361314165</c:v>
                </c:pt>
                <c:pt idx="1">
                  <c:v>0.029864168990730203</c:v>
                </c:pt>
                <c:pt idx="2">
                  <c:v>0.06711076930836793</c:v>
                </c:pt>
                <c:pt idx="3">
                  <c:v>0.09997063138738324</c:v>
                </c:pt>
                <c:pt idx="4">
                  <c:v>0.13380913789559257</c:v>
                </c:pt>
                <c:pt idx="5">
                  <c:v>0.1665861541186081</c:v>
                </c:pt>
                <c:pt idx="6">
                  <c:v>0.2026493527171161</c:v>
                </c:pt>
                <c:pt idx="7">
                  <c:v>0.23372024820923656</c:v>
                </c:pt>
                <c:pt idx="8">
                  <c:v>0.266000983486276</c:v>
                </c:pt>
                <c:pt idx="9">
                  <c:v>0.30240563943505305</c:v>
                </c:pt>
                <c:pt idx="10">
                  <c:v>0.33195892633076757</c:v>
                </c:pt>
              </c:numCache>
            </c:numRef>
          </c:xVal>
          <c:yVal>
            <c:numRef>
              <c:f>'4000rpm'!$I$31:$I$41</c:f>
              <c:numCache>
                <c:formatCode>General</c:formatCode>
                <c:ptCount val="11"/>
                <c:pt idx="0">
                  <c:v>0.08286716219914546</c:v>
                </c:pt>
                <c:pt idx="1">
                  <c:v>0.08287291202490872</c:v>
                </c:pt>
                <c:pt idx="2">
                  <c:v>0.08281672986897727</c:v>
                </c:pt>
                <c:pt idx="3">
                  <c:v>0.08138673353826834</c:v>
                </c:pt>
                <c:pt idx="4">
                  <c:v>0.0818301821221496</c:v>
                </c:pt>
                <c:pt idx="5">
                  <c:v>0.08124688753591214</c:v>
                </c:pt>
                <c:pt idx="6">
                  <c:v>0.08291846515077264</c:v>
                </c:pt>
                <c:pt idx="7">
                  <c:v>0.08173884673833487</c:v>
                </c:pt>
                <c:pt idx="8">
                  <c:v>0.08166007122251495</c:v>
                </c:pt>
                <c:pt idx="9">
                  <c:v>0.0842134612245176</c:v>
                </c:pt>
                <c:pt idx="10">
                  <c:v>0.0852216428177482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'4000rpm'!$G$41:$G$50</c:f>
              <c:numCache>
                <c:formatCode>General</c:formatCode>
                <c:ptCount val="10"/>
                <c:pt idx="0">
                  <c:v>0.33195892633076757</c:v>
                </c:pt>
                <c:pt idx="1">
                  <c:v>0.26982265138171124</c:v>
                </c:pt>
                <c:pt idx="2">
                  <c:v>0.23580679359196052</c:v>
                </c:pt>
                <c:pt idx="3">
                  <c:v>0.20253296625454928</c:v>
                </c:pt>
                <c:pt idx="4">
                  <c:v>0.16837227284375617</c:v>
                </c:pt>
                <c:pt idx="5">
                  <c:v>0.13540824145200575</c:v>
                </c:pt>
                <c:pt idx="6">
                  <c:v>0.10119099627463599</c:v>
                </c:pt>
                <c:pt idx="7">
                  <c:v>0.06848877817547244</c:v>
                </c:pt>
                <c:pt idx="8">
                  <c:v>0.034167908206391574</c:v>
                </c:pt>
                <c:pt idx="9">
                  <c:v>0.004009419498382095</c:v>
                </c:pt>
              </c:numCache>
            </c:numRef>
          </c:xVal>
          <c:yVal>
            <c:numRef>
              <c:f>'4000rpm'!$I$41:$I$50</c:f>
              <c:numCache>
                <c:formatCode>General</c:formatCode>
                <c:ptCount val="10"/>
                <c:pt idx="0">
                  <c:v>0.0852216428177482</c:v>
                </c:pt>
                <c:pt idx="1">
                  <c:v>0.08367961519227331</c:v>
                </c:pt>
                <c:pt idx="2">
                  <c:v>0.08388582018256131</c:v>
                </c:pt>
                <c:pt idx="3">
                  <c:v>0.0825117484306105</c:v>
                </c:pt>
                <c:pt idx="4">
                  <c:v>0.08169067664982563</c:v>
                </c:pt>
                <c:pt idx="5">
                  <c:v>0.08193495360325805</c:v>
                </c:pt>
                <c:pt idx="6">
                  <c:v>0.0816665314399858</c:v>
                </c:pt>
                <c:pt idx="7">
                  <c:v>0.08369762728916182</c:v>
                </c:pt>
                <c:pt idx="8">
                  <c:v>0.08304025562117828</c:v>
                </c:pt>
                <c:pt idx="9">
                  <c:v>0.08319438374929744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'4000rpm'!$R$31:$R$41</c:f>
              <c:numCache>
                <c:formatCode>General</c:formatCode>
                <c:ptCount val="11"/>
                <c:pt idx="0">
                  <c:v>0.0036859625501430146</c:v>
                </c:pt>
                <c:pt idx="1">
                  <c:v>0.03369565027671827</c:v>
                </c:pt>
                <c:pt idx="2">
                  <c:v>0.06732113165458488</c:v>
                </c:pt>
                <c:pt idx="3">
                  <c:v>0.1013078106547325</c:v>
                </c:pt>
                <c:pt idx="4">
                  <c:v>0.13490235918434593</c:v>
                </c:pt>
                <c:pt idx="5">
                  <c:v>0.16851199189884292</c:v>
                </c:pt>
                <c:pt idx="6">
                  <c:v>0.20189785509930294</c:v>
                </c:pt>
                <c:pt idx="7">
                  <c:v>0.23651371986376904</c:v>
                </c:pt>
                <c:pt idx="8">
                  <c:v>0.26905648474486354</c:v>
                </c:pt>
                <c:pt idx="9">
                  <c:v>0.3029571267324239</c:v>
                </c:pt>
                <c:pt idx="10">
                  <c:v>0.3345202460043772</c:v>
                </c:pt>
              </c:numCache>
            </c:numRef>
          </c:xVal>
          <c:yVal>
            <c:numRef>
              <c:f>'4000rpm'!$T$31:$T$41</c:f>
              <c:numCache>
                <c:formatCode>General</c:formatCode>
                <c:ptCount val="11"/>
                <c:pt idx="0">
                  <c:v>0.0837686617560143</c:v>
                </c:pt>
                <c:pt idx="1">
                  <c:v>0.08298733570165408</c:v>
                </c:pt>
                <c:pt idx="2">
                  <c:v>0.08242601063813698</c:v>
                </c:pt>
                <c:pt idx="3">
                  <c:v>0.08224179179581087</c:v>
                </c:pt>
                <c:pt idx="4">
                  <c:v>0.08161495811903659</c:v>
                </c:pt>
                <c:pt idx="5">
                  <c:v>0.08174277579542251</c:v>
                </c:pt>
                <c:pt idx="6">
                  <c:v>0.08193912496018332</c:v>
                </c:pt>
                <c:pt idx="7">
                  <c:v>0.08308504701705441</c:v>
                </c:pt>
                <c:pt idx="8">
                  <c:v>0.08311113937524657</c:v>
                </c:pt>
                <c:pt idx="9">
                  <c:v>0.08444776190527542</c:v>
                </c:pt>
                <c:pt idx="10">
                  <c:v>0.0858633844181636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'4000rpm'!$R$41:$R$51</c:f>
              <c:numCache>
                <c:formatCode>General</c:formatCode>
                <c:ptCount val="11"/>
                <c:pt idx="0">
                  <c:v>0.3345202460043772</c:v>
                </c:pt>
                <c:pt idx="1">
                  <c:v>0.3061070700187452</c:v>
                </c:pt>
                <c:pt idx="2">
                  <c:v>0.2695575573964956</c:v>
                </c:pt>
                <c:pt idx="3">
                  <c:v>0.23771246872448729</c:v>
                </c:pt>
                <c:pt idx="4">
                  <c:v>0.204387905323996</c:v>
                </c:pt>
                <c:pt idx="5">
                  <c:v>0.16979486950758546</c:v>
                </c:pt>
                <c:pt idx="6">
                  <c:v>0.13590609497201497</c:v>
                </c:pt>
                <c:pt idx="7">
                  <c:v>0.10204954228475621</c:v>
                </c:pt>
                <c:pt idx="8">
                  <c:v>0.0687459977770044</c:v>
                </c:pt>
                <c:pt idx="9">
                  <c:v>0.03446428439963968</c:v>
                </c:pt>
                <c:pt idx="10">
                  <c:v>0.004121812729762036</c:v>
                </c:pt>
              </c:numCache>
            </c:numRef>
          </c:xVal>
          <c:yVal>
            <c:numRef>
              <c:f>'4000rpm'!$T$41:$T$51</c:f>
              <c:numCache>
                <c:formatCode>General</c:formatCode>
                <c:ptCount val="11"/>
                <c:pt idx="0">
                  <c:v>0.0858633844181636</c:v>
                </c:pt>
                <c:pt idx="1">
                  <c:v>0.08658986750904135</c:v>
                </c:pt>
                <c:pt idx="2">
                  <c:v>0.08308223548292636</c:v>
                </c:pt>
                <c:pt idx="3">
                  <c:v>0.08400118307832903</c:v>
                </c:pt>
                <c:pt idx="4">
                  <c:v>0.08325797854266416</c:v>
                </c:pt>
                <c:pt idx="5">
                  <c:v>0.08194962733625401</c:v>
                </c:pt>
                <c:pt idx="6">
                  <c:v>0.08184025523867623</c:v>
                </c:pt>
                <c:pt idx="7">
                  <c:v>0.08171052851656148</c:v>
                </c:pt>
                <c:pt idx="8">
                  <c:v>0.0833099294104551</c:v>
                </c:pt>
                <c:pt idx="9">
                  <c:v>0.08289583414658439</c:v>
                </c:pt>
                <c:pt idx="10">
                  <c:v>0.0833638945772838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'4000rpm'!$AT$58:$AT$68</c:f>
              <c:numCache>
                <c:formatCode>General</c:formatCode>
                <c:ptCount val="11"/>
                <c:pt idx="0">
                  <c:v>0</c:v>
                </c:pt>
                <c:pt idx="1">
                  <c:v>0.033366141732283465</c:v>
                </c:pt>
                <c:pt idx="2">
                  <c:v>0.06673228346456693</c:v>
                </c:pt>
                <c:pt idx="3">
                  <c:v>0.1000984251968504</c:v>
                </c:pt>
                <c:pt idx="4">
                  <c:v>0.13346456692913386</c:v>
                </c:pt>
                <c:pt idx="5">
                  <c:v>0.1668307086614173</c:v>
                </c:pt>
                <c:pt idx="6">
                  <c:v>0.2001968503937008</c:v>
                </c:pt>
                <c:pt idx="7">
                  <c:v>0.23356299212598428</c:v>
                </c:pt>
                <c:pt idx="8">
                  <c:v>0.2669291338582677</c:v>
                </c:pt>
                <c:pt idx="9">
                  <c:v>0.3002952755905512</c:v>
                </c:pt>
                <c:pt idx="10">
                  <c:v>0.3336614173228346</c:v>
                </c:pt>
              </c:numCache>
            </c:numRef>
          </c:xVal>
          <c:yVal>
            <c:numRef>
              <c:f>'4000rpm'!$AS$58:$AS$68</c:f>
              <c:numCache>
                <c:formatCode>General</c:formatCode>
                <c:ptCount val="11"/>
                <c:pt idx="0">
                  <c:v>0.08350690647788582</c:v>
                </c:pt>
                <c:pt idx="1">
                  <c:v>0.08269740478736926</c:v>
                </c:pt>
                <c:pt idx="2">
                  <c:v>0.08261540568445706</c:v>
                </c:pt>
                <c:pt idx="3">
                  <c:v>0.08293956885107359</c:v>
                </c:pt>
                <c:pt idx="4">
                  <c:v>0.08357877651127703</c:v>
                </c:pt>
                <c:pt idx="5">
                  <c:v>0.08443111000403992</c:v>
                </c:pt>
                <c:pt idx="6">
                  <c:v>0.08539157390891494</c:v>
                </c:pt>
                <c:pt idx="7">
                  <c:v>0.08639431763870087</c:v>
                </c:pt>
                <c:pt idx="8">
                  <c:v>0.08737990452620835</c:v>
                </c:pt>
                <c:pt idx="9">
                  <c:v>0.08830031891436346</c:v>
                </c:pt>
                <c:pt idx="10">
                  <c:v>0.08912861654406733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760528"/>
        <c:axId val="1132761008"/>
      </c:scatterChart>
      <c:valAx>
        <c:axId val="113276100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132760528"/>
        <c:crosses val="autoZero"/>
        <c:crossBetween val="midCat"/>
      </c:valAx>
      <c:valAx>
        <c:axId val="1132760528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132761008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0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'4000rpm'!$F$4:$F$14</c:f>
              <c:numCache>
                <c:formatCode>General</c:formatCode>
                <c:ptCount val="11"/>
                <c:pt idx="0">
                  <c:v>1.855589356716138E-05</c:v>
                </c:pt>
                <c:pt idx="1">
                  <c:v>0.03295794982921755</c:v>
                </c:pt>
                <c:pt idx="2">
                  <c:v>0.06647758423936849</c:v>
                </c:pt>
                <c:pt idx="3">
                  <c:v>0.0990945762679951</c:v>
                </c:pt>
                <c:pt idx="4">
                  <c:v>0.13164125849859196</c:v>
                </c:pt>
                <c:pt idx="5">
                  <c:v>0.16464900131770302</c:v>
                </c:pt>
                <c:pt idx="6">
                  <c:v>0.19796867930047155</c:v>
                </c:pt>
                <c:pt idx="7">
                  <c:v>0.23013096994056045</c:v>
                </c:pt>
                <c:pt idx="8">
                  <c:v>0.26161420778827266</c:v>
                </c:pt>
                <c:pt idx="9">
                  <c:v>0.2957437915687447</c:v>
                </c:pt>
                <c:pt idx="10">
                  <c:v>0.3261612441669266</c:v>
                </c:pt>
              </c:numCache>
            </c:numRef>
          </c:xVal>
          <c:yVal>
            <c:numRef>
              <c:f>'4000rpm'!$H$4:$H$14</c:f>
              <c:numCache>
                <c:formatCode>General</c:formatCode>
                <c:ptCount val="11"/>
                <c:pt idx="0">
                  <c:v>0.08355456229950237</c:v>
                </c:pt>
                <c:pt idx="1">
                  <c:v>0.08205970255543198</c:v>
                </c:pt>
                <c:pt idx="2">
                  <c:v>0.0842010998574305</c:v>
                </c:pt>
                <c:pt idx="3">
                  <c:v>0.08306076952472755</c:v>
                </c:pt>
                <c:pt idx="4">
                  <c:v>0.0829713337173317</c:v>
                </c:pt>
                <c:pt idx="5">
                  <c:v>0.08410439095579209</c:v>
                </c:pt>
                <c:pt idx="6">
                  <c:v>0.08516726077313504</c:v>
                </c:pt>
                <c:pt idx="7">
                  <c:v>0.0861176240903567</c:v>
                </c:pt>
                <c:pt idx="8">
                  <c:v>0.08722625821987981</c:v>
                </c:pt>
                <c:pt idx="9">
                  <c:v>0.09035344687326025</c:v>
                </c:pt>
                <c:pt idx="10">
                  <c:v>0.09235528221323261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'4000rpm'!$F$14:$F$24</c:f>
              <c:numCache>
                <c:formatCode>General</c:formatCode>
                <c:ptCount val="11"/>
                <c:pt idx="0">
                  <c:v>0.3261612441669266</c:v>
                </c:pt>
                <c:pt idx="1">
                  <c:v>0.29467638058583817</c:v>
                </c:pt>
                <c:pt idx="2">
                  <c:v>0.26385422228992705</c:v>
                </c:pt>
                <c:pt idx="3">
                  <c:v>0.23156555186856526</c:v>
                </c:pt>
                <c:pt idx="4">
                  <c:v>0.1998216073885712</c:v>
                </c:pt>
                <c:pt idx="5">
                  <c:v>0.16563232173228393</c:v>
                </c:pt>
                <c:pt idx="6">
                  <c:v>0.13385317505328326</c:v>
                </c:pt>
                <c:pt idx="7">
                  <c:v>0.1008692166062698</c:v>
                </c:pt>
                <c:pt idx="8">
                  <c:v>0.06671951983765192</c:v>
                </c:pt>
                <c:pt idx="9">
                  <c:v>0.03363070719202878</c:v>
                </c:pt>
                <c:pt idx="10">
                  <c:v>0.00037889509690190406</c:v>
                </c:pt>
              </c:numCache>
            </c:numRef>
          </c:xVal>
          <c:yVal>
            <c:numRef>
              <c:f>'4000rpm'!$H$14:$H$24</c:f>
              <c:numCache>
                <c:formatCode>General</c:formatCode>
                <c:ptCount val="11"/>
                <c:pt idx="0">
                  <c:v>0.09235528221323261</c:v>
                </c:pt>
                <c:pt idx="1">
                  <c:v>0.08927673055109937</c:v>
                </c:pt>
                <c:pt idx="2">
                  <c:v>0.08836800365448408</c:v>
                </c:pt>
                <c:pt idx="3">
                  <c:v>0.08629932171927494</c:v>
                </c:pt>
                <c:pt idx="4">
                  <c:v>0.08574153045532304</c:v>
                </c:pt>
                <c:pt idx="5">
                  <c:v>0.08393714666818636</c:v>
                </c:pt>
                <c:pt idx="6">
                  <c:v>0.08349223787291814</c:v>
                </c:pt>
                <c:pt idx="7">
                  <c:v>0.08442573599932231</c:v>
                </c:pt>
                <c:pt idx="8">
                  <c:v>0.0828212028762253</c:v>
                </c:pt>
                <c:pt idx="9">
                  <c:v>0.08319958552975995</c:v>
                </c:pt>
                <c:pt idx="10">
                  <c:v>0.08368350534640064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'4000rpm'!$P$4:$P$14</c:f>
              <c:numCache>
                <c:formatCode>General</c:formatCode>
                <c:ptCount val="11"/>
                <c:pt idx="0">
                  <c:v>5.620243511479921E-05</c:v>
                </c:pt>
                <c:pt idx="1">
                  <c:v>0.03264403274536919</c:v>
                </c:pt>
                <c:pt idx="2">
                  <c:v>0.06560028224466265</c:v>
                </c:pt>
                <c:pt idx="3">
                  <c:v>0.09796681704171838</c:v>
                </c:pt>
                <c:pt idx="4">
                  <c:v>0.1310666051616042</c:v>
                </c:pt>
                <c:pt idx="5">
                  <c:v>0.16369177614919242</c:v>
                </c:pt>
                <c:pt idx="6">
                  <c:v>0.19534248373695481</c:v>
                </c:pt>
                <c:pt idx="7">
                  <c:v>0.22759477934719932</c:v>
                </c:pt>
                <c:pt idx="8">
                  <c:v>0.2589698613926277</c:v>
                </c:pt>
                <c:pt idx="9">
                  <c:v>0.29177604499888865</c:v>
                </c:pt>
                <c:pt idx="10">
                  <c:v>0.3191225469918754</c:v>
                </c:pt>
              </c:numCache>
            </c:numRef>
          </c:xVal>
          <c:yVal>
            <c:numRef>
              <c:f>'4000rpm'!$R$4:$R$14</c:f>
              <c:numCache>
                <c:formatCode>General</c:formatCode>
                <c:ptCount val="11"/>
                <c:pt idx="0">
                  <c:v>0.08416799826538895</c:v>
                </c:pt>
                <c:pt idx="1">
                  <c:v>0.08268374197489736</c:v>
                </c:pt>
                <c:pt idx="2">
                  <c:v>0.08285881273099813</c:v>
                </c:pt>
                <c:pt idx="3">
                  <c:v>0.08321174603648474</c:v>
                </c:pt>
                <c:pt idx="4">
                  <c:v>0.08432164155946381</c:v>
                </c:pt>
                <c:pt idx="5">
                  <c:v>0.08420323136978067</c:v>
                </c:pt>
                <c:pt idx="6">
                  <c:v>0.08501269254361495</c:v>
                </c:pt>
                <c:pt idx="7">
                  <c:v>0.08649185776178803</c:v>
                </c:pt>
                <c:pt idx="8">
                  <c:v>0.08741495096372667</c:v>
                </c:pt>
                <c:pt idx="9">
                  <c:v>0.08980683491031025</c:v>
                </c:pt>
                <c:pt idx="10">
                  <c:v>0.09042408034207565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'4000rpm'!$P$14:$P$24</c:f>
              <c:numCache>
                <c:formatCode>General</c:formatCode>
                <c:ptCount val="11"/>
                <c:pt idx="0">
                  <c:v>0.3191225469918754</c:v>
                </c:pt>
                <c:pt idx="1">
                  <c:v>0.2914627160600329</c:v>
                </c:pt>
                <c:pt idx="2">
                  <c:v>0.2601884974521569</c:v>
                </c:pt>
                <c:pt idx="3">
                  <c:v>0.2274666034939738</c:v>
                </c:pt>
                <c:pt idx="4">
                  <c:v>0.19564610434059945</c:v>
                </c:pt>
                <c:pt idx="5">
                  <c:v>0.16436964619481892</c:v>
                </c:pt>
                <c:pt idx="6">
                  <c:v>0.13127020026580632</c:v>
                </c:pt>
                <c:pt idx="7">
                  <c:v>0.0993345161358643</c:v>
                </c:pt>
                <c:pt idx="8">
                  <c:v>0.0662361005517521</c:v>
                </c:pt>
                <c:pt idx="9">
                  <c:v>0.03337573623143685</c:v>
                </c:pt>
                <c:pt idx="10">
                  <c:v>0.0005375698952995028</c:v>
                </c:pt>
              </c:numCache>
            </c:numRef>
          </c:xVal>
          <c:yVal>
            <c:numRef>
              <c:f>'4000rpm'!$R$14:$R$24</c:f>
              <c:numCache>
                <c:formatCode>General</c:formatCode>
                <c:ptCount val="11"/>
                <c:pt idx="0">
                  <c:v>0.09042408034207565</c:v>
                </c:pt>
                <c:pt idx="1">
                  <c:v>0.08948814156704399</c:v>
                </c:pt>
                <c:pt idx="2">
                  <c:v>0.0884148518154689</c:v>
                </c:pt>
                <c:pt idx="3">
                  <c:v>0.08564396725548679</c:v>
                </c:pt>
                <c:pt idx="4">
                  <c:v>0.08458366409421626</c:v>
                </c:pt>
                <c:pt idx="5">
                  <c:v>0.08498924180657613</c:v>
                </c:pt>
                <c:pt idx="6">
                  <c:v>0.08357367473965788</c:v>
                </c:pt>
                <c:pt idx="7">
                  <c:v>0.08440835579733123</c:v>
                </c:pt>
                <c:pt idx="8">
                  <c:v>0.08345947305417628</c:v>
                </c:pt>
                <c:pt idx="9">
                  <c:v>0.08471384069295654</c:v>
                </c:pt>
                <c:pt idx="10">
                  <c:v>0.08332053098263242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'4000rpm'!$AT$69:$AT$79</c:f>
              <c:numCache>
                <c:formatCode>General</c:formatCode>
                <c:ptCount val="11"/>
                <c:pt idx="0">
                  <c:v>0</c:v>
                </c:pt>
                <c:pt idx="1">
                  <c:v>0.033366141732283465</c:v>
                </c:pt>
                <c:pt idx="2">
                  <c:v>0.06673228346456693</c:v>
                </c:pt>
                <c:pt idx="3">
                  <c:v>0.1000984251968504</c:v>
                </c:pt>
                <c:pt idx="4">
                  <c:v>0.13346456692913386</c:v>
                </c:pt>
                <c:pt idx="5">
                  <c:v>0.1668307086614173</c:v>
                </c:pt>
                <c:pt idx="6">
                  <c:v>0.2001968503937008</c:v>
                </c:pt>
                <c:pt idx="7">
                  <c:v>0.23356299212598428</c:v>
                </c:pt>
                <c:pt idx="8">
                  <c:v>0.2669291338582677</c:v>
                </c:pt>
                <c:pt idx="9">
                  <c:v>0.3002952755905512</c:v>
                </c:pt>
                <c:pt idx="10">
                  <c:v>0.3336614173228346</c:v>
                </c:pt>
              </c:numCache>
            </c:numRef>
          </c:xVal>
          <c:yVal>
            <c:numRef>
              <c:f>'4000rpm'!$AS$69:$AS$79</c:f>
              <c:numCache>
                <c:formatCode>General</c:formatCode>
                <c:ptCount val="11"/>
                <c:pt idx="0">
                  <c:v>0.08350690647788582</c:v>
                </c:pt>
                <c:pt idx="1">
                  <c:v>0.08367770328187796</c:v>
                </c:pt>
                <c:pt idx="2">
                  <c:v>0.08468338998477078</c:v>
                </c:pt>
                <c:pt idx="3">
                  <c:v>0.0862492977028281</c:v>
                </c:pt>
                <c:pt idx="4">
                  <c:v>0.08830452952060243</c:v>
                </c:pt>
                <c:pt idx="5">
                  <c:v>0.0907530758345351</c:v>
                </c:pt>
                <c:pt idx="6">
                  <c:v>0.09351269089609973</c:v>
                </c:pt>
                <c:pt idx="7">
                  <c:v>0.09648851627777712</c:v>
                </c:pt>
                <c:pt idx="8">
                  <c:v>0.09959781953888353</c:v>
                </c:pt>
                <c:pt idx="9">
                  <c:v>0.10277894221325111</c:v>
                </c:pt>
                <c:pt idx="10">
                  <c:v>0.10597143659539099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952639"/>
        <c:axId val="895948319"/>
      </c:scatterChart>
      <c:valAx>
        <c:axId val="895948319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895952639"/>
        <c:crosses val="autoZero"/>
        <c:crossBetween val="midCat"/>
      </c:valAx>
      <c:valAx>
        <c:axId val="895952639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895948319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'4000rpm'!$F$59:$F$69</c:f>
              <c:numCache>
                <c:formatCode>General</c:formatCode>
                <c:ptCount val="11"/>
                <c:pt idx="0">
                  <c:v>0.003624486016769641</c:v>
                </c:pt>
                <c:pt idx="1">
                  <c:v>0.033150400986384033</c:v>
                </c:pt>
                <c:pt idx="2">
                  <c:v>0.06682396466922293</c:v>
                </c:pt>
                <c:pt idx="3">
                  <c:v>0.10013345607506444</c:v>
                </c:pt>
                <c:pt idx="4">
                  <c:v>0.1333127072934856</c:v>
                </c:pt>
                <c:pt idx="5">
                  <c:v>0.16850554800015982</c:v>
                </c:pt>
                <c:pt idx="6">
                  <c:v>0.20111890856036188</c:v>
                </c:pt>
                <c:pt idx="7">
                  <c:v>0.2343423803771975</c:v>
                </c:pt>
                <c:pt idx="8">
                  <c:v>0.2677531692046226</c:v>
                </c:pt>
                <c:pt idx="9">
                  <c:v>0.3024501707394301</c:v>
                </c:pt>
                <c:pt idx="10">
                  <c:v>0.333083129046448</c:v>
                </c:pt>
              </c:numCache>
            </c:numRef>
          </c:xVal>
          <c:yVal>
            <c:numRef>
              <c:f>'4000rpm'!$H$59:$H$69</c:f>
              <c:numCache>
                <c:formatCode>General</c:formatCode>
                <c:ptCount val="11"/>
                <c:pt idx="0">
                  <c:v>0.08555595873644098</c:v>
                </c:pt>
                <c:pt idx="1">
                  <c:v>0.08248689072105067</c:v>
                </c:pt>
                <c:pt idx="2">
                  <c:v>0.08172683604051836</c:v>
                </c:pt>
                <c:pt idx="3">
                  <c:v>0.08056687546875957</c:v>
                </c:pt>
                <c:pt idx="4">
                  <c:v>0.07934958875022163</c:v>
                </c:pt>
                <c:pt idx="5">
                  <c:v>0.07950662729584809</c:v>
                </c:pt>
                <c:pt idx="6">
                  <c:v>0.07628288320481225</c:v>
                </c:pt>
                <c:pt idx="7">
                  <c:v>0.07570338617763224</c:v>
                </c:pt>
                <c:pt idx="8">
                  <c:v>0.07464606531960126</c:v>
                </c:pt>
                <c:pt idx="9">
                  <c:v>0.07382501045682562</c:v>
                </c:pt>
                <c:pt idx="10">
                  <c:v>0.07319258690446954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'4000rpm'!$F$69:$F$79</c:f>
              <c:numCache>
                <c:formatCode>General</c:formatCode>
                <c:ptCount val="11"/>
                <c:pt idx="0">
                  <c:v>0.333083129046448</c:v>
                </c:pt>
                <c:pt idx="1">
                  <c:v>0.3017380904414105</c:v>
                </c:pt>
                <c:pt idx="2">
                  <c:v>0.2678000077171956</c:v>
                </c:pt>
                <c:pt idx="3">
                  <c:v>0.23576139577644203</c:v>
                </c:pt>
                <c:pt idx="4">
                  <c:v>0.2026395482951074</c:v>
                </c:pt>
                <c:pt idx="5">
                  <c:v>0.16853573539451255</c:v>
                </c:pt>
                <c:pt idx="6">
                  <c:v>0.134917271578513</c:v>
                </c:pt>
                <c:pt idx="7">
                  <c:v>0.1015301023242988</c:v>
                </c:pt>
                <c:pt idx="8">
                  <c:v>0.0686565718009142</c:v>
                </c:pt>
                <c:pt idx="9">
                  <c:v>0.03462105824774552</c:v>
                </c:pt>
                <c:pt idx="10">
                  <c:v>0.0047837640771681775</c:v>
                </c:pt>
              </c:numCache>
            </c:numRef>
          </c:xVal>
          <c:yVal>
            <c:numRef>
              <c:f>'4000rpm'!$H$69:$H$79</c:f>
              <c:numCache>
                <c:formatCode>General</c:formatCode>
                <c:ptCount val="11"/>
                <c:pt idx="0">
                  <c:v>0.07319258690446954</c:v>
                </c:pt>
                <c:pt idx="1">
                  <c:v>0.07335057104155239</c:v>
                </c:pt>
                <c:pt idx="2">
                  <c:v>0.07417781036059273</c:v>
                </c:pt>
                <c:pt idx="3">
                  <c:v>0.07564364214438551</c:v>
                </c:pt>
                <c:pt idx="4">
                  <c:v>0.07653155374294193</c:v>
                </c:pt>
                <c:pt idx="5">
                  <c:v>0.07734662904298707</c:v>
                </c:pt>
                <c:pt idx="6">
                  <c:v>0.07860067275946722</c:v>
                </c:pt>
                <c:pt idx="7">
                  <c:v>0.07955610652467812</c:v>
                </c:pt>
                <c:pt idx="8">
                  <c:v>0.08208328485412776</c:v>
                </c:pt>
                <c:pt idx="9">
                  <c:v>0.08316137635701618</c:v>
                </c:pt>
                <c:pt idx="10">
                  <c:v>0.08402264123693606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'4000rpm'!$Q$59:$Q$69</c:f>
              <c:numCache>
                <c:formatCode>General</c:formatCode>
                <c:ptCount val="11"/>
                <c:pt idx="0">
                  <c:v>0.0031587395625431837</c:v>
                </c:pt>
                <c:pt idx="1">
                  <c:v>0.032685603153229964</c:v>
                </c:pt>
                <c:pt idx="2">
                  <c:v>0.06588339794799494</c:v>
                </c:pt>
                <c:pt idx="3">
                  <c:v>0.09967668153591587</c:v>
                </c:pt>
                <c:pt idx="4">
                  <c:v>0.137492395207004</c:v>
                </c:pt>
                <c:pt idx="5">
                  <c:v>0.1670935968392584</c:v>
                </c:pt>
                <c:pt idx="6">
                  <c:v>0.2015394872394436</c:v>
                </c:pt>
                <c:pt idx="7">
                  <c:v>0.23472452306747954</c:v>
                </c:pt>
                <c:pt idx="8">
                  <c:v>0.2672794085324707</c:v>
                </c:pt>
                <c:pt idx="9">
                  <c:v>0.3014648202352331</c:v>
                </c:pt>
                <c:pt idx="10">
                  <c:v>0.3328487376083789</c:v>
                </c:pt>
              </c:numCache>
            </c:numRef>
          </c:xVal>
          <c:yVal>
            <c:numRef>
              <c:f>'4000rpm'!$S$59:$S$69</c:f>
              <c:numCache>
                <c:formatCode>General</c:formatCode>
                <c:ptCount val="11"/>
                <c:pt idx="0">
                  <c:v>0.08407396037631049</c:v>
                </c:pt>
                <c:pt idx="1">
                  <c:v>0.08355901598720812</c:v>
                </c:pt>
                <c:pt idx="2">
                  <c:v>0.08109253321002445</c:v>
                </c:pt>
                <c:pt idx="3">
                  <c:v>0.08095425128189816</c:v>
                </c:pt>
                <c:pt idx="4">
                  <c:v>0.08046895224016477</c:v>
                </c:pt>
                <c:pt idx="5">
                  <c:v>0.07817873094162231</c:v>
                </c:pt>
                <c:pt idx="6">
                  <c:v>0.07752450467882195</c:v>
                </c:pt>
                <c:pt idx="7">
                  <c:v>0.07620080936287749</c:v>
                </c:pt>
                <c:pt idx="8">
                  <c:v>0.07397103209892042</c:v>
                </c:pt>
                <c:pt idx="9">
                  <c:v>0.07347082772822078</c:v>
                </c:pt>
                <c:pt idx="10">
                  <c:v>0.07257278880317726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'4000rpm'!$Q$69:$Q$79</c:f>
              <c:numCache>
                <c:formatCode>General</c:formatCode>
                <c:ptCount val="11"/>
                <c:pt idx="0">
                  <c:v>0.3328487376083789</c:v>
                </c:pt>
                <c:pt idx="1">
                  <c:v>0.3024968569936036</c:v>
                </c:pt>
                <c:pt idx="2">
                  <c:v>0.26843220958683706</c:v>
                </c:pt>
                <c:pt idx="3">
                  <c:v>0.23593541523825737</c:v>
                </c:pt>
                <c:pt idx="4">
                  <c:v>0.20356547068374561</c:v>
                </c:pt>
                <c:pt idx="5">
                  <c:v>0.1694335599344221</c:v>
                </c:pt>
                <c:pt idx="6">
                  <c:v>0.13560607305044886</c:v>
                </c:pt>
                <c:pt idx="7">
                  <c:v>0.10271151273418135</c:v>
                </c:pt>
                <c:pt idx="8">
                  <c:v>0.0683601604526124</c:v>
                </c:pt>
                <c:pt idx="9">
                  <c:v>0.034435518508645645</c:v>
                </c:pt>
                <c:pt idx="10">
                  <c:v>0.004779043168329585</c:v>
                </c:pt>
              </c:numCache>
            </c:numRef>
          </c:xVal>
          <c:yVal>
            <c:numRef>
              <c:f>'4000rpm'!$S$69:$S$79</c:f>
              <c:numCache>
                <c:formatCode>General</c:formatCode>
                <c:ptCount val="11"/>
                <c:pt idx="0">
                  <c:v>0.07257278880317726</c:v>
                </c:pt>
                <c:pt idx="1">
                  <c:v>0.07407744147583348</c:v>
                </c:pt>
                <c:pt idx="2">
                  <c:v>0.07327880327584015</c:v>
                </c:pt>
                <c:pt idx="3">
                  <c:v>0.07553932095447434</c:v>
                </c:pt>
                <c:pt idx="4">
                  <c:v>0.07720384519951425</c:v>
                </c:pt>
                <c:pt idx="5">
                  <c:v>0.07785904152719576</c:v>
                </c:pt>
                <c:pt idx="6">
                  <c:v>0.07866354887566274</c:v>
                </c:pt>
                <c:pt idx="7">
                  <c:v>0.08066756414964073</c:v>
                </c:pt>
                <c:pt idx="8">
                  <c:v>0.08150158992506307</c:v>
                </c:pt>
                <c:pt idx="9">
                  <c:v>0.08217237985480078</c:v>
                </c:pt>
                <c:pt idx="10">
                  <c:v>0.08343080959150492</c:v>
                </c:pt>
              </c:numCache>
            </c:numRef>
          </c:yVal>
        </c:ser>
        <c:ser>
          <c:idx val="4"/>
          <c:order val="4"/>
          <c:tx>
            <c:v>理论+'4000rpm'!$AT$46:$AT$56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'4000rpm'!$AT$47:$AT$57</c:f>
              <c:numCache>
                <c:formatCode>General</c:formatCode>
                <c:ptCount val="11"/>
                <c:pt idx="0">
                  <c:v>0</c:v>
                </c:pt>
                <c:pt idx="1">
                  <c:v>0.033366141732283465</c:v>
                </c:pt>
                <c:pt idx="2">
                  <c:v>0.06673228346456693</c:v>
                </c:pt>
                <c:pt idx="3">
                  <c:v>0.1000984251968504</c:v>
                </c:pt>
                <c:pt idx="4">
                  <c:v>0.13346456692913386</c:v>
                </c:pt>
                <c:pt idx="5">
                  <c:v>0.1668307086614173</c:v>
                </c:pt>
                <c:pt idx="6">
                  <c:v>0.2001968503937008</c:v>
                </c:pt>
                <c:pt idx="7">
                  <c:v>0.23356299212598428</c:v>
                </c:pt>
                <c:pt idx="8">
                  <c:v>0.2669291338582677</c:v>
                </c:pt>
                <c:pt idx="9">
                  <c:v>0.3002952755905512</c:v>
                </c:pt>
                <c:pt idx="10">
                  <c:v>0.3336614173228346</c:v>
                </c:pt>
              </c:numCache>
            </c:numRef>
          </c:xVal>
          <c:yVal>
            <c:numRef>
              <c:f>'4000rpm'!$AS$47:$AS$57</c:f>
              <c:numCache>
                <c:formatCode>General</c:formatCode>
                <c:ptCount val="11"/>
                <c:pt idx="0">
                  <c:v>0.08350690647788582</c:v>
                </c:pt>
                <c:pt idx="1">
                  <c:v>0.08172562458177902</c:v>
                </c:pt>
                <c:pt idx="2">
                  <c:v>0.08048977911613392</c:v>
                </c:pt>
                <c:pt idx="3">
                  <c:v>0.07946121001692016</c:v>
                </c:pt>
                <c:pt idx="4">
                  <c:v>0.07856422678123451</c:v>
                </c:pt>
                <c:pt idx="5">
                  <c:v>0.07768829434690101</c:v>
                </c:pt>
                <c:pt idx="6">
                  <c:v>0.0767677393468044</c:v>
                </c:pt>
                <c:pt idx="7">
                  <c:v>0.07576886010831554</c:v>
                </c:pt>
                <c:pt idx="8">
                  <c:v>0.07464040408097382</c:v>
                </c:pt>
                <c:pt idx="9">
                  <c:v>0.07334884010891023</c:v>
                </c:pt>
                <c:pt idx="10">
                  <c:v>0.07187917638615017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34703"/>
        <c:axId val="456272047"/>
      </c:scatterChart>
      <c:valAx>
        <c:axId val="456272047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204034703"/>
        <c:crosses val="autoZero"/>
        <c:crossBetween val="midCat"/>
      </c:valAx>
      <c:valAx>
        <c:axId val="204034703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56272047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tx>
            <c:v>第一组</c:v>
          </c:tx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'4000rpm'!$F$87:$F$97</c:f>
              <c:numCache>
                <c:formatCode>General</c:formatCode>
                <c:ptCount val="11"/>
                <c:pt idx="0">
                  <c:v>0.005070093116458386</c:v>
                </c:pt>
                <c:pt idx="1">
                  <c:v>0.03735375943600238</c:v>
                </c:pt>
                <c:pt idx="2">
                  <c:v>0.06726410007424648</c:v>
                </c:pt>
                <c:pt idx="3">
                  <c:v>0.10116467185763377</c:v>
                </c:pt>
                <c:pt idx="4">
                  <c:v>0.13398122051377725</c:v>
                </c:pt>
                <c:pt idx="5">
                  <c:v>0.16800887109332077</c:v>
                </c:pt>
                <c:pt idx="6">
                  <c:v>0.20142414326621172</c:v>
                </c:pt>
                <c:pt idx="7">
                  <c:v>0.2329465873365524</c:v>
                </c:pt>
                <c:pt idx="8">
                  <c:v>0.2659147905165046</c:v>
                </c:pt>
                <c:pt idx="9">
                  <c:v>0.30019189325987694</c:v>
                </c:pt>
                <c:pt idx="10">
                  <c:v>0.32879375955577816</c:v>
                </c:pt>
              </c:numCache>
            </c:numRef>
          </c:xVal>
          <c:yVal>
            <c:numRef>
              <c:f>'4000rpm'!$H$87:$H$97</c:f>
              <c:numCache>
                <c:formatCode>General</c:formatCode>
                <c:ptCount val="11"/>
                <c:pt idx="0">
                  <c:v>0.08494532454748645</c:v>
                </c:pt>
                <c:pt idx="1">
                  <c:v>0.08435052277338798</c:v>
                </c:pt>
                <c:pt idx="2">
                  <c:v>0.0819740738247304</c:v>
                </c:pt>
                <c:pt idx="3">
                  <c:v>0.08109167504470535</c:v>
                </c:pt>
                <c:pt idx="4">
                  <c:v>0.07777680517701158</c:v>
                </c:pt>
                <c:pt idx="5">
                  <c:v>0.07607812447912839</c:v>
                </c:pt>
                <c:pt idx="6">
                  <c:v>0.07357938635786054</c:v>
                </c:pt>
                <c:pt idx="7">
                  <c:v>0.07019223444975332</c:v>
                </c:pt>
                <c:pt idx="8">
                  <c:v>0.06780061869378196</c:v>
                </c:pt>
                <c:pt idx="9">
                  <c:v>0.06565445618186709</c:v>
                </c:pt>
                <c:pt idx="10">
                  <c:v>0.06273203384777534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'4000rpm'!$F$97:$F$107</c:f>
              <c:numCache>
                <c:formatCode>General</c:formatCode>
                <c:ptCount val="11"/>
                <c:pt idx="0">
                  <c:v>0.32879375955577816</c:v>
                </c:pt>
                <c:pt idx="1">
                  <c:v>0.2987318054676946</c:v>
                </c:pt>
                <c:pt idx="2">
                  <c:v>0.2662048960931943</c:v>
                </c:pt>
                <c:pt idx="3">
                  <c:v>0.23439049362721445</c:v>
                </c:pt>
                <c:pt idx="4">
                  <c:v>0.2014461235842549</c:v>
                </c:pt>
                <c:pt idx="5">
                  <c:v>0.1651468240124258</c:v>
                </c:pt>
                <c:pt idx="6">
                  <c:v>0.13531752412724643</c:v>
                </c:pt>
                <c:pt idx="7">
                  <c:v>0.10217593748722685</c:v>
                </c:pt>
                <c:pt idx="8">
                  <c:v>0.0687101590407847</c:v>
                </c:pt>
                <c:pt idx="9">
                  <c:v>0.0348248600488231</c:v>
                </c:pt>
                <c:pt idx="10">
                  <c:v>0.005416011080217391</c:v>
                </c:pt>
              </c:numCache>
            </c:numRef>
          </c:xVal>
          <c:yVal>
            <c:numRef>
              <c:f>'4000rpm'!$H$97:$H$107</c:f>
              <c:numCache>
                <c:formatCode>General</c:formatCode>
                <c:ptCount val="11"/>
                <c:pt idx="0">
                  <c:v>0.06273203384777534</c:v>
                </c:pt>
                <c:pt idx="1">
                  <c:v>0.06499312439009967</c:v>
                </c:pt>
                <c:pt idx="2">
                  <c:v>0.06728297273002407</c:v>
                </c:pt>
                <c:pt idx="3">
                  <c:v>0.07021219244731965</c:v>
                </c:pt>
                <c:pt idx="4">
                  <c:v>0.07243471443868815</c:v>
                </c:pt>
                <c:pt idx="5">
                  <c:v>0.07498259654282077</c:v>
                </c:pt>
                <c:pt idx="6">
                  <c:v>0.07732832558846264</c:v>
                </c:pt>
                <c:pt idx="7">
                  <c:v>0.08021135281267712</c:v>
                </c:pt>
                <c:pt idx="8">
                  <c:v>0.08267587121066712</c:v>
                </c:pt>
                <c:pt idx="9">
                  <c:v>0.08400519525153553</c:v>
                </c:pt>
                <c:pt idx="10">
                  <c:v>0.08415981735765521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'4000rpm'!$Q$87:$Q$97</c:f>
              <c:numCache>
                <c:formatCode>General</c:formatCode>
                <c:ptCount val="11"/>
                <c:pt idx="0">
                  <c:v>0.002989972544305454</c:v>
                </c:pt>
                <c:pt idx="1">
                  <c:v>0.03355566001528077</c:v>
                </c:pt>
                <c:pt idx="2">
                  <c:v>0.06706179682094582</c:v>
                </c:pt>
                <c:pt idx="3">
                  <c:v>0.10135068598339578</c:v>
                </c:pt>
                <c:pt idx="4">
                  <c:v>0.13513611588472613</c:v>
                </c:pt>
                <c:pt idx="5">
                  <c:v>0.16894496749208254</c:v>
                </c:pt>
                <c:pt idx="6">
                  <c:v>0.20334288769196043</c:v>
                </c:pt>
                <c:pt idx="7">
                  <c:v>0.23615301450511808</c:v>
                </c:pt>
                <c:pt idx="8">
                  <c:v>0.26963862812987</c:v>
                </c:pt>
                <c:pt idx="9">
                  <c:v>0.30441151140207345</c:v>
                </c:pt>
                <c:pt idx="10">
                  <c:v>0.3322167683394649</c:v>
                </c:pt>
              </c:numCache>
            </c:numRef>
          </c:xVal>
          <c:yVal>
            <c:numRef>
              <c:f>'4000rpm'!$S$87:$S$97</c:f>
              <c:numCache>
                <c:formatCode>General</c:formatCode>
                <c:ptCount val="11"/>
                <c:pt idx="0">
                  <c:v>0.08537843115929636</c:v>
                </c:pt>
                <c:pt idx="1">
                  <c:v>0.08375296323326481</c:v>
                </c:pt>
                <c:pt idx="2">
                  <c:v>0.08224858143952488</c:v>
                </c:pt>
                <c:pt idx="3">
                  <c:v>0.08062979620306764</c:v>
                </c:pt>
                <c:pt idx="4">
                  <c:v>0.07741859624826748</c:v>
                </c:pt>
                <c:pt idx="5">
                  <c:v>0.07439488619284641</c:v>
                </c:pt>
                <c:pt idx="6">
                  <c:v>0.07216936993123306</c:v>
                </c:pt>
                <c:pt idx="7">
                  <c:v>0.06929289652840759</c:v>
                </c:pt>
                <c:pt idx="8">
                  <c:v>0.06669343070259674</c:v>
                </c:pt>
                <c:pt idx="9">
                  <c:v>0.06474664594274554</c:v>
                </c:pt>
                <c:pt idx="10">
                  <c:v>0.06142885478102668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'4000rpm'!$Q$97:$Q$107</c:f>
              <c:numCache>
                <c:formatCode>General</c:formatCode>
                <c:ptCount val="11"/>
                <c:pt idx="0">
                  <c:v>0.3322167683394649</c:v>
                </c:pt>
                <c:pt idx="1">
                  <c:v>0.3038779282997069</c:v>
                </c:pt>
                <c:pt idx="2">
                  <c:v>0.27123142576264386</c:v>
                </c:pt>
                <c:pt idx="3">
                  <c:v>0.23853089169729502</c:v>
                </c:pt>
                <c:pt idx="4">
                  <c:v>0.2048564654822723</c:v>
                </c:pt>
                <c:pt idx="5">
                  <c:v>0.1709022435355144</c:v>
                </c:pt>
                <c:pt idx="6">
                  <c:v>0.14036617699037576</c:v>
                </c:pt>
                <c:pt idx="7">
                  <c:v>0.1035244168345216</c:v>
                </c:pt>
                <c:pt idx="8">
                  <c:v>0.06967875406094988</c:v>
                </c:pt>
                <c:pt idx="9">
                  <c:v>0.035311921862059864</c:v>
                </c:pt>
                <c:pt idx="10">
                  <c:v>0.005525885106419949</c:v>
                </c:pt>
              </c:numCache>
            </c:numRef>
          </c:xVal>
          <c:yVal>
            <c:numRef>
              <c:f>'4000rpm'!$S$97:$S$107</c:f>
              <c:numCache>
                <c:formatCode>General</c:formatCode>
                <c:ptCount val="11"/>
                <c:pt idx="0">
                  <c:v>0.06142885478102668</c:v>
                </c:pt>
                <c:pt idx="1">
                  <c:v>0.06419308124830306</c:v>
                </c:pt>
                <c:pt idx="2">
                  <c:v>0.06667396150338996</c:v>
                </c:pt>
                <c:pt idx="3">
                  <c:v>0.06994116349868648</c:v>
                </c:pt>
                <c:pt idx="4">
                  <c:v>0.0721575183458131</c:v>
                </c:pt>
                <c:pt idx="5">
                  <c:v>0.07418753586102578</c:v>
                </c:pt>
                <c:pt idx="6">
                  <c:v>0.07643254542070696</c:v>
                </c:pt>
                <c:pt idx="7">
                  <c:v>0.07938554408876738</c:v>
                </c:pt>
                <c:pt idx="8">
                  <c:v>0.0820430909787244</c:v>
                </c:pt>
                <c:pt idx="9">
                  <c:v>0.08351768134671517</c:v>
                </c:pt>
                <c:pt idx="10">
                  <c:v>0.08424350320658174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'4000rpm'!$AT$36:$AT$46</c:f>
              <c:numCache>
                <c:formatCode>General</c:formatCode>
                <c:ptCount val="11"/>
                <c:pt idx="0">
                  <c:v>0</c:v>
                </c:pt>
                <c:pt idx="1">
                  <c:v>0.033366141732283465</c:v>
                </c:pt>
                <c:pt idx="2">
                  <c:v>0.06673228346456693</c:v>
                </c:pt>
                <c:pt idx="3">
                  <c:v>0.1000984251968504</c:v>
                </c:pt>
                <c:pt idx="4">
                  <c:v>0.13346456692913386</c:v>
                </c:pt>
                <c:pt idx="5">
                  <c:v>0.1668307086614173</c:v>
                </c:pt>
                <c:pt idx="6">
                  <c:v>0.2001968503937008</c:v>
                </c:pt>
                <c:pt idx="7">
                  <c:v>0.23356299212598428</c:v>
                </c:pt>
                <c:pt idx="8">
                  <c:v>0.2669291338582677</c:v>
                </c:pt>
                <c:pt idx="9">
                  <c:v>0.3002952755905512</c:v>
                </c:pt>
                <c:pt idx="10">
                  <c:v>0.3336614173228346</c:v>
                </c:pt>
              </c:numCache>
            </c:numRef>
          </c:xVal>
          <c:yVal>
            <c:numRef>
              <c:f>'4000rpm'!$AS$36:$AS$46</c:f>
              <c:numCache>
                <c:formatCode>General</c:formatCode>
                <c:ptCount val="11"/>
                <c:pt idx="0">
                  <c:v>0.08350690647788582</c:v>
                </c:pt>
                <c:pt idx="1">
                  <c:v>0.08084659226623786</c:v>
                </c:pt>
                <c:pt idx="2">
                  <c:v>0.07852610514876138</c:v>
                </c:pt>
                <c:pt idx="3">
                  <c:v>0.07621588268547363</c:v>
                </c:pt>
                <c:pt idx="4">
                  <c:v>0.073854824622494</c:v>
                </c:pt>
                <c:pt idx="5">
                  <c:v>0.07139907754523002</c:v>
                </c:pt>
                <c:pt idx="6">
                  <c:v>0.0687925288376275</c:v>
                </c:pt>
                <c:pt idx="7">
                  <c:v>0.06600042119765143</c:v>
                </c:pt>
                <c:pt idx="8">
                  <c:v>0.06298685906969502</c:v>
                </c:pt>
                <c:pt idx="9">
                  <c:v>0.059741986087437304</c:v>
                </c:pt>
                <c:pt idx="10">
                  <c:v>0.05625936450161381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998879"/>
        <c:axId val="525003679"/>
      </c:scatterChart>
      <c:valAx>
        <c:axId val="525003679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24998879"/>
        <c:crosses val="autoZero"/>
        <c:crossBetween val="midCat"/>
      </c:valAx>
      <c:valAx>
        <c:axId val="524998879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25003679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'4000rpm'!$F$116:$F$126</c:f>
              <c:numCache>
                <c:formatCode>General</c:formatCode>
                <c:ptCount val="11"/>
                <c:pt idx="0">
                  <c:v>0.008020733096858367</c:v>
                </c:pt>
                <c:pt idx="1">
                  <c:v>0.03345249436606158</c:v>
                </c:pt>
                <c:pt idx="2">
                  <c:v>0.06705901462983321</c:v>
                </c:pt>
                <c:pt idx="3">
                  <c:v>0.10028114745212462</c:v>
                </c:pt>
                <c:pt idx="4">
                  <c:v>0.1325834700987706</c:v>
                </c:pt>
                <c:pt idx="5">
                  <c:v>0.16532635764757384</c:v>
                </c:pt>
                <c:pt idx="6">
                  <c:v>0.19819702877335316</c:v>
                </c:pt>
                <c:pt idx="7">
                  <c:v>0.2298043811145126</c:v>
                </c:pt>
                <c:pt idx="8">
                  <c:v>0.2606473323125124</c:v>
                </c:pt>
                <c:pt idx="9">
                  <c:v>0.29408168305990834</c:v>
                </c:pt>
                <c:pt idx="10">
                  <c:v>0.32184835636789666</c:v>
                </c:pt>
              </c:numCache>
            </c:numRef>
          </c:xVal>
          <c:yVal>
            <c:numRef>
              <c:f>'4000rpm'!$H$116:$H$126</c:f>
              <c:numCache>
                <c:formatCode>General</c:formatCode>
                <c:ptCount val="11"/>
                <c:pt idx="0">
                  <c:v>0.08319326681625772</c:v>
                </c:pt>
                <c:pt idx="1">
                  <c:v>0.0801649733153256</c:v>
                </c:pt>
                <c:pt idx="2">
                  <c:v>0.07920872787368995</c:v>
                </c:pt>
                <c:pt idx="3">
                  <c:v>0.07680966236331194</c:v>
                </c:pt>
                <c:pt idx="4">
                  <c:v>0.07258579376608941</c:v>
                </c:pt>
                <c:pt idx="5">
                  <c:v>0.06913076902176256</c:v>
                </c:pt>
                <c:pt idx="6">
                  <c:v>0.06592237688364747</c:v>
                </c:pt>
                <c:pt idx="7">
                  <c:v>0.06209182176867609</c:v>
                </c:pt>
                <c:pt idx="8">
                  <c:v>0.05864890644407203</c:v>
                </c:pt>
                <c:pt idx="9">
                  <c:v>0.055808041139763474</c:v>
                </c:pt>
                <c:pt idx="10">
                  <c:v>0.052744869223937174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'4000rpm'!$F$126:$F$136</c:f>
              <c:numCache>
                <c:formatCode>General</c:formatCode>
                <c:ptCount val="11"/>
                <c:pt idx="0">
                  <c:v>0.32184835636789666</c:v>
                </c:pt>
                <c:pt idx="1">
                  <c:v>0.2948069669512075</c:v>
                </c:pt>
                <c:pt idx="2">
                  <c:v>0.25917112129495806</c:v>
                </c:pt>
                <c:pt idx="3">
                  <c:v>0.23137171041230672</c:v>
                </c:pt>
                <c:pt idx="4">
                  <c:v>0.19914138383446667</c:v>
                </c:pt>
                <c:pt idx="5">
                  <c:v>0.1659948586970898</c:v>
                </c:pt>
                <c:pt idx="6">
                  <c:v>0.133960421075691</c:v>
                </c:pt>
                <c:pt idx="7">
                  <c:v>0.1012822322670823</c:v>
                </c:pt>
                <c:pt idx="8">
                  <c:v>0.0680207416277272</c:v>
                </c:pt>
                <c:pt idx="9">
                  <c:v>0.034767850239473985</c:v>
                </c:pt>
                <c:pt idx="10">
                  <c:v>0.008753324966709188</c:v>
                </c:pt>
              </c:numCache>
            </c:numRef>
          </c:xVal>
          <c:yVal>
            <c:numRef>
              <c:f>'4000rpm'!$H$126:$H$136</c:f>
              <c:numCache>
                <c:formatCode>General</c:formatCode>
                <c:ptCount val="11"/>
                <c:pt idx="0">
                  <c:v>0.052744869223937174</c:v>
                </c:pt>
                <c:pt idx="1">
                  <c:v>0.05581354649919829</c:v>
                </c:pt>
                <c:pt idx="2">
                  <c:v>0.058710339337820466</c:v>
                </c:pt>
                <c:pt idx="3">
                  <c:v>0.06250114564088237</c:v>
                </c:pt>
                <c:pt idx="4">
                  <c:v>0.06556180501340714</c:v>
                </c:pt>
                <c:pt idx="5">
                  <c:v>0.06853029140304882</c:v>
                </c:pt>
                <c:pt idx="6">
                  <c:v>0.07246308660035931</c:v>
                </c:pt>
                <c:pt idx="7">
                  <c:v>0.07646467361535171</c:v>
                </c:pt>
                <c:pt idx="8">
                  <c:v>0.07926232106113518</c:v>
                </c:pt>
                <c:pt idx="9">
                  <c:v>0.08180180931513435</c:v>
                </c:pt>
                <c:pt idx="10">
                  <c:v>0.08223262945310977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'4000rpm'!$R$116:$R$126</c:f>
              <c:numCache>
                <c:formatCode>General</c:formatCode>
                <c:ptCount val="11"/>
                <c:pt idx="0">
                  <c:v>0.008172124543490403</c:v>
                </c:pt>
                <c:pt idx="1">
                  <c:v>0.03436566127789284</c:v>
                </c:pt>
                <c:pt idx="2">
                  <c:v>0.06797165107593794</c:v>
                </c:pt>
                <c:pt idx="3">
                  <c:v>0.10038232621349803</c:v>
                </c:pt>
                <c:pt idx="4">
                  <c:v>0.13621660675457603</c:v>
                </c:pt>
                <c:pt idx="5">
                  <c:v>0.16563709349176725</c:v>
                </c:pt>
                <c:pt idx="6">
                  <c:v>0.20178758873381974</c:v>
                </c:pt>
                <c:pt idx="7">
                  <c:v>0.23486830671418443</c:v>
                </c:pt>
                <c:pt idx="8">
                  <c:v>0.26689965017021494</c:v>
                </c:pt>
                <c:pt idx="9">
                  <c:v>0.29955981309177515</c:v>
                </c:pt>
                <c:pt idx="10">
                  <c:v>0.3282975443747786</c:v>
                </c:pt>
              </c:numCache>
            </c:numRef>
          </c:xVal>
          <c:yVal>
            <c:numRef>
              <c:f>'4000rpm'!$T$116:$T$126</c:f>
              <c:numCache>
                <c:formatCode>General</c:formatCode>
                <c:ptCount val="11"/>
                <c:pt idx="0">
                  <c:v>0.08121721942490656</c:v>
                </c:pt>
                <c:pt idx="1">
                  <c:v>0.08011069621479845</c:v>
                </c:pt>
                <c:pt idx="2">
                  <c:v>0.07710606209151417</c:v>
                </c:pt>
                <c:pt idx="3">
                  <c:v>0.07394538041078975</c:v>
                </c:pt>
                <c:pt idx="4">
                  <c:v>0.06998871686092636</c:v>
                </c:pt>
                <c:pt idx="5">
                  <c:v>0.06490076343078352</c:v>
                </c:pt>
                <c:pt idx="6">
                  <c:v>0.05925667830315248</c:v>
                </c:pt>
                <c:pt idx="7">
                  <c:v>0.05491887819968427</c:v>
                </c:pt>
                <c:pt idx="8">
                  <c:v>0.05221198087732566</c:v>
                </c:pt>
                <c:pt idx="9">
                  <c:v>0.04548430040402234</c:v>
                </c:pt>
                <c:pt idx="10">
                  <c:v>0.040480066772908906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'4000rpm'!$R$126:$R$136</c:f>
              <c:numCache>
                <c:formatCode>General</c:formatCode>
                <c:ptCount val="11"/>
                <c:pt idx="0">
                  <c:v>0.3282975443747786</c:v>
                </c:pt>
                <c:pt idx="1">
                  <c:v>0.29874877115035026</c:v>
                </c:pt>
                <c:pt idx="2">
                  <c:v>0.27174485984030156</c:v>
                </c:pt>
                <c:pt idx="3">
                  <c:v>0.2345560251415421</c:v>
                </c:pt>
                <c:pt idx="4">
                  <c:v>0.20204356729614636</c:v>
                </c:pt>
                <c:pt idx="5">
                  <c:v>0.16680953871338045</c:v>
                </c:pt>
                <c:pt idx="6">
                  <c:v>0.13364026949801444</c:v>
                </c:pt>
                <c:pt idx="7">
                  <c:v>0.10403710487438905</c:v>
                </c:pt>
                <c:pt idx="8">
                  <c:v>0.0695308314074751</c:v>
                </c:pt>
                <c:pt idx="9">
                  <c:v>0.035641732045800664</c:v>
                </c:pt>
                <c:pt idx="10">
                  <c:v>0.009009484313729353</c:v>
                </c:pt>
              </c:numCache>
            </c:numRef>
          </c:xVal>
          <c:yVal>
            <c:numRef>
              <c:f>'4000rpm'!$T$126:$T$136</c:f>
              <c:numCache>
                <c:formatCode>General</c:formatCode>
                <c:ptCount val="11"/>
                <c:pt idx="0">
                  <c:v>0.040480066772908906</c:v>
                </c:pt>
                <c:pt idx="1">
                  <c:v>0.044869298204208714</c:v>
                </c:pt>
                <c:pt idx="2">
                  <c:v>0.04971633361281179</c:v>
                </c:pt>
                <c:pt idx="3">
                  <c:v>0.053782973703740994</c:v>
                </c:pt>
                <c:pt idx="4">
                  <c:v>0.05816503730893306</c:v>
                </c:pt>
                <c:pt idx="5">
                  <c:v>0.06402069406030916</c:v>
                </c:pt>
                <c:pt idx="6">
                  <c:v>0.06854292150844679</c:v>
                </c:pt>
                <c:pt idx="7">
                  <c:v>0.0735029092153724</c:v>
                </c:pt>
                <c:pt idx="8">
                  <c:v>0.07664822250253638</c:v>
                </c:pt>
                <c:pt idx="9">
                  <c:v>0.08003806519173741</c:v>
                </c:pt>
                <c:pt idx="10">
                  <c:v>0.08138477299588488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'4000rpm'!$AT$25:$AT$35</c:f>
              <c:numCache>
                <c:formatCode>General</c:formatCode>
                <c:ptCount val="11"/>
                <c:pt idx="0">
                  <c:v>0</c:v>
                </c:pt>
                <c:pt idx="1">
                  <c:v>0.033366141732283465</c:v>
                </c:pt>
                <c:pt idx="2">
                  <c:v>0.06673228346456693</c:v>
                </c:pt>
                <c:pt idx="3">
                  <c:v>0.1000984251968504</c:v>
                </c:pt>
                <c:pt idx="4">
                  <c:v>0.13346456692913386</c:v>
                </c:pt>
                <c:pt idx="5">
                  <c:v>0.1668307086614173</c:v>
                </c:pt>
                <c:pt idx="6">
                  <c:v>0.2001968503937008</c:v>
                </c:pt>
                <c:pt idx="7">
                  <c:v>0.23356299212598428</c:v>
                </c:pt>
                <c:pt idx="8">
                  <c:v>0.2669291338582677</c:v>
                </c:pt>
                <c:pt idx="9">
                  <c:v>0.3002952755905512</c:v>
                </c:pt>
                <c:pt idx="10">
                  <c:v>0.3336614173228346</c:v>
                </c:pt>
              </c:numCache>
            </c:numRef>
          </c:xVal>
          <c:yVal>
            <c:numRef>
              <c:f>'4000rpm'!$AS$25:$AS$35</c:f>
              <c:numCache>
                <c:formatCode>General</c:formatCode>
                <c:ptCount val="11"/>
                <c:pt idx="0">
                  <c:v>0.08350690647788582</c:v>
                </c:pt>
                <c:pt idx="1">
                  <c:v>0.08014052644221993</c:v>
                </c:pt>
                <c:pt idx="2">
                  <c:v>0.07692988331005637</c:v>
                </c:pt>
                <c:pt idx="3">
                  <c:v>0.0735685241322328</c:v>
                </c:pt>
                <c:pt idx="4">
                  <c:v>0.07004379036683321</c:v>
                </c:pt>
                <c:pt idx="5">
                  <c:v>0.06630860230487617</c:v>
                </c:pt>
                <c:pt idx="6">
                  <c:v>0.062340242699003644</c:v>
                </c:pt>
                <c:pt idx="7">
                  <c:v>0.058120105082913244</c:v>
                </c:pt>
                <c:pt idx="8">
                  <c:v>0.053623493301125154</c:v>
                </c:pt>
                <c:pt idx="9">
                  <c:v>0.04884139239208115</c:v>
                </c:pt>
                <c:pt idx="10">
                  <c:v>0.04378661961015296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755264"/>
        <c:axId val="1062757184"/>
      </c:scatterChart>
      <c:valAx>
        <c:axId val="1062757184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62755264"/>
        <c:crosses val="autoZero"/>
        <c:crossBetween val="midCat"/>
      </c:valAx>
      <c:valAx>
        <c:axId val="1062755264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062757184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4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'4000rpm'!$G$146:$G$156</c:f>
              <c:numCache>
                <c:formatCode>General</c:formatCode>
                <c:ptCount val="11"/>
                <c:pt idx="0">
                  <c:v>0.005454297396074129</c:v>
                </c:pt>
                <c:pt idx="1">
                  <c:v>0.030811180475493905</c:v>
                </c:pt>
                <c:pt idx="2">
                  <c:v>0.07181490398268357</c:v>
                </c:pt>
                <c:pt idx="3">
                  <c:v>0.10089142605986291</c:v>
                </c:pt>
                <c:pt idx="4">
                  <c:v>0.13440020370840375</c:v>
                </c:pt>
                <c:pt idx="5">
                  <c:v>0.16744521120244366</c:v>
                </c:pt>
                <c:pt idx="6">
                  <c:v>0.1970470005979393</c:v>
                </c:pt>
                <c:pt idx="7">
                  <c:v>0.23047772567705174</c:v>
                </c:pt>
                <c:pt idx="8">
                  <c:v>0.2619998603762237</c:v>
                </c:pt>
                <c:pt idx="9">
                  <c:v>0.29494415303331734</c:v>
                </c:pt>
                <c:pt idx="10">
                  <c:v>0.3215909262875102</c:v>
                </c:pt>
              </c:numCache>
            </c:numRef>
          </c:xVal>
          <c:yVal>
            <c:numRef>
              <c:f>'4000rpm'!$I$146:$I$156</c:f>
              <c:numCache>
                <c:formatCode>General</c:formatCode>
                <c:ptCount val="11"/>
                <c:pt idx="0">
                  <c:v>0.08274986052832088</c:v>
                </c:pt>
                <c:pt idx="1">
                  <c:v>0.08060922965291928</c:v>
                </c:pt>
                <c:pt idx="2">
                  <c:v>0.0779607447317778</c:v>
                </c:pt>
                <c:pt idx="3">
                  <c:v>0.07234864898975031</c:v>
                </c:pt>
                <c:pt idx="4">
                  <c:v>0.06754547020033792</c:v>
                </c:pt>
                <c:pt idx="5">
                  <c:v>0.06227137489566398</c:v>
                </c:pt>
                <c:pt idx="6">
                  <c:v>0.05775861961835626</c:v>
                </c:pt>
                <c:pt idx="7">
                  <c:v>0.05119766861223938</c:v>
                </c:pt>
                <c:pt idx="8">
                  <c:v>0.045920187593544</c:v>
                </c:pt>
                <c:pt idx="9">
                  <c:v>0.055143720990295776</c:v>
                </c:pt>
                <c:pt idx="10">
                  <c:v>0.036448391340678246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'4000rpm'!$G$156:$G$166</c:f>
              <c:numCache>
                <c:formatCode>General</c:formatCode>
                <c:ptCount val="11"/>
                <c:pt idx="0">
                  <c:v>0.3215909262875102</c:v>
                </c:pt>
                <c:pt idx="1">
                  <c:v>0.29219192155618445</c:v>
                </c:pt>
                <c:pt idx="2">
                  <c:v>0.2641003801547683</c:v>
                </c:pt>
                <c:pt idx="3">
                  <c:v>0.23023050104395373</c:v>
                </c:pt>
                <c:pt idx="4">
                  <c:v>0.197535272712998</c:v>
                </c:pt>
                <c:pt idx="5">
                  <c:v>0.1699395701381691</c:v>
                </c:pt>
                <c:pt idx="6">
                  <c:v>0.1332571036316915</c:v>
                </c:pt>
                <c:pt idx="7">
                  <c:v>0.10315545804929772</c:v>
                </c:pt>
                <c:pt idx="8">
                  <c:v>0.06959174802218998</c:v>
                </c:pt>
                <c:pt idx="9">
                  <c:v>0.035635674058223286</c:v>
                </c:pt>
                <c:pt idx="10">
                  <c:v>0.009346294085529117</c:v>
                </c:pt>
              </c:numCache>
            </c:numRef>
          </c:xVal>
          <c:yVal>
            <c:numRef>
              <c:f>'4000rpm'!$I$156:$I$166</c:f>
              <c:numCache>
                <c:formatCode>General</c:formatCode>
                <c:ptCount val="11"/>
                <c:pt idx="0">
                  <c:v>0.036448391340678246</c:v>
                </c:pt>
                <c:pt idx="1">
                  <c:v>0.04196054710820633</c:v>
                </c:pt>
                <c:pt idx="2">
                  <c:v>0.04618751354040213</c:v>
                </c:pt>
                <c:pt idx="3">
                  <c:v>0.05186580113152877</c:v>
                </c:pt>
                <c:pt idx="4">
                  <c:v>0.05652669835003497</c:v>
                </c:pt>
                <c:pt idx="5">
                  <c:v>0.062450112635631515</c:v>
                </c:pt>
                <c:pt idx="6">
                  <c:v>0.06789073415980153</c:v>
                </c:pt>
                <c:pt idx="7">
                  <c:v>0.07253342471624236</c:v>
                </c:pt>
                <c:pt idx="8">
                  <c:v>0.0772414763363172</c:v>
                </c:pt>
                <c:pt idx="9">
                  <c:v>0.08063304226069741</c:v>
                </c:pt>
                <c:pt idx="10">
                  <c:v>0.08247982983330336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'4000rpm'!$R$146:$R$156</c:f>
              <c:numCache>
                <c:formatCode>General</c:formatCode>
                <c:ptCount val="11"/>
                <c:pt idx="0">
                  <c:v>0.009102878392419873</c:v>
                </c:pt>
                <c:pt idx="1">
                  <c:v>0.038523061898073876</c:v>
                </c:pt>
                <c:pt idx="2">
                  <c:v>0.06830600519725011</c:v>
                </c:pt>
                <c:pt idx="3">
                  <c:v>0.10216612270149192</c:v>
                </c:pt>
                <c:pt idx="4">
                  <c:v>0.1358706359851342</c:v>
                </c:pt>
                <c:pt idx="5">
                  <c:v>0.16867340339106754</c:v>
                </c:pt>
                <c:pt idx="6">
                  <c:v>0.2018393214387206</c:v>
                </c:pt>
                <c:pt idx="7">
                  <c:v>0.23285947722165876</c:v>
                </c:pt>
                <c:pt idx="8">
                  <c:v>0.26485338299127553</c:v>
                </c:pt>
                <c:pt idx="9">
                  <c:v>0.29673964221489</c:v>
                </c:pt>
                <c:pt idx="10">
                  <c:v>0.3261711896819416</c:v>
                </c:pt>
              </c:numCache>
            </c:numRef>
          </c:xVal>
          <c:yVal>
            <c:numRef>
              <c:f>'4000rpm'!$T$146:$T$156</c:f>
              <c:numCache>
                <c:formatCode>General</c:formatCode>
                <c:ptCount val="11"/>
                <c:pt idx="0">
                  <c:v>0.08255235237218377</c:v>
                </c:pt>
                <c:pt idx="1">
                  <c:v>0.08103611277409052</c:v>
                </c:pt>
                <c:pt idx="2">
                  <c:v>0.07695560000484279</c:v>
                </c:pt>
                <c:pt idx="3">
                  <c:v>0.07253561322423964</c:v>
                </c:pt>
                <c:pt idx="4">
                  <c:v>0.06774055670975089</c:v>
                </c:pt>
                <c:pt idx="5">
                  <c:v>0.06178285674332666</c:v>
                </c:pt>
                <c:pt idx="6">
                  <c:v>0.05659028886123935</c:v>
                </c:pt>
                <c:pt idx="7">
                  <c:v>0.050783725566947484</c:v>
                </c:pt>
                <c:pt idx="8">
                  <c:v>0.04543757774352737</c:v>
                </c:pt>
                <c:pt idx="9">
                  <c:v>0.0392997548225793</c:v>
                </c:pt>
                <c:pt idx="10">
                  <c:v>0.03976153805827125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'4000rpm'!$R$156:$R$166</c:f>
              <c:numCache>
                <c:formatCode>General</c:formatCode>
                <c:ptCount val="11"/>
                <c:pt idx="0">
                  <c:v>0.3261711896819416</c:v>
                </c:pt>
                <c:pt idx="1">
                  <c:v>0.2946368425069064</c:v>
                </c:pt>
                <c:pt idx="2">
                  <c:v>0.26532240250696953</c:v>
                </c:pt>
                <c:pt idx="3">
                  <c:v>0.2343753942796169</c:v>
                </c:pt>
                <c:pt idx="4">
                  <c:v>0.19886749309607016</c:v>
                </c:pt>
                <c:pt idx="5">
                  <c:v>0.1691834389544183</c:v>
                </c:pt>
                <c:pt idx="6">
                  <c:v>0.13796741532982218</c:v>
                </c:pt>
                <c:pt idx="7">
                  <c:v>0.10363972207544203</c:v>
                </c:pt>
                <c:pt idx="8">
                  <c:v>0.06989152256004294</c:v>
                </c:pt>
                <c:pt idx="9">
                  <c:v>0.03593303115151005</c:v>
                </c:pt>
                <c:pt idx="10">
                  <c:v>0.0095954011898154</c:v>
                </c:pt>
              </c:numCache>
            </c:numRef>
          </c:xVal>
          <c:yVal>
            <c:numRef>
              <c:f>'4000rpm'!$T$156:$T$166</c:f>
              <c:numCache>
                <c:formatCode>General</c:formatCode>
                <c:ptCount val="11"/>
                <c:pt idx="0">
                  <c:v>0.03976153805827125</c:v>
                </c:pt>
                <c:pt idx="1">
                  <c:v>0.04440308545015359</c:v>
                </c:pt>
                <c:pt idx="2">
                  <c:v>0.04618170935741662</c:v>
                </c:pt>
                <c:pt idx="3">
                  <c:v>0.05124003863884455</c:v>
                </c:pt>
                <c:pt idx="4">
                  <c:v>0.056545568193994325</c:v>
                </c:pt>
                <c:pt idx="5">
                  <c:v>0.0608817088856279</c:v>
                </c:pt>
                <c:pt idx="6">
                  <c:v>0.06780325939858717</c:v>
                </c:pt>
                <c:pt idx="7">
                  <c:v>0.07202593321098555</c:v>
                </c:pt>
                <c:pt idx="8">
                  <c:v>0.07656185448072177</c:v>
                </c:pt>
                <c:pt idx="9">
                  <c:v>0.08038116533298566</c:v>
                </c:pt>
                <c:pt idx="10">
                  <c:v>0.08335342789779679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'4000rpm'!$AT$14:$AT$24</c:f>
              <c:numCache>
                <c:formatCode>General</c:formatCode>
                <c:ptCount val="11"/>
                <c:pt idx="0">
                  <c:v>0</c:v>
                </c:pt>
                <c:pt idx="1">
                  <c:v>0.033366141732283465</c:v>
                </c:pt>
                <c:pt idx="2">
                  <c:v>0.06673228346456693</c:v>
                </c:pt>
                <c:pt idx="3">
                  <c:v>0.1000984251968504</c:v>
                </c:pt>
                <c:pt idx="4">
                  <c:v>0.13346456692913386</c:v>
                </c:pt>
                <c:pt idx="5">
                  <c:v>0.1668307086614173</c:v>
                </c:pt>
                <c:pt idx="6">
                  <c:v>0.2001968503937008</c:v>
                </c:pt>
                <c:pt idx="7">
                  <c:v>0.23356299212598428</c:v>
                </c:pt>
                <c:pt idx="8">
                  <c:v>0.2669291338582677</c:v>
                </c:pt>
                <c:pt idx="9">
                  <c:v>0.3002952755905512</c:v>
                </c:pt>
                <c:pt idx="10">
                  <c:v>0.3336614173228346</c:v>
                </c:pt>
              </c:numCache>
            </c:numRef>
          </c:xVal>
          <c:yVal>
            <c:numRef>
              <c:f>'4000rpm'!$AS$14:$AS$24</c:f>
              <c:numCache>
                <c:formatCode>General</c:formatCode>
                <c:ptCount val="11"/>
                <c:pt idx="0">
                  <c:v>0.08350690647788582</c:v>
                </c:pt>
                <c:pt idx="1">
                  <c:v>0.0796736988020287</c:v>
                </c:pt>
                <c:pt idx="2">
                  <c:v>0.07587342401676941</c:v>
                </c:pt>
                <c:pt idx="3">
                  <c:v>0.0718198439322701</c:v>
                </c:pt>
                <c:pt idx="4">
                  <c:v>0.0675360120022772</c:v>
                </c:pt>
                <c:pt idx="5">
                  <c:v>0.06297854794892306</c:v>
                </c:pt>
                <c:pt idx="6">
                  <c:v>0.05812167918287846</c:v>
                </c:pt>
                <c:pt idx="7">
                  <c:v>0.052983091860911505</c:v>
                </c:pt>
                <c:pt idx="8">
                  <c:v>0.04754026702113885</c:v>
                </c:pt>
                <c:pt idx="9">
                  <c:v>0.04181512409446762</c:v>
                </c:pt>
                <c:pt idx="10">
                  <c:v>0.03583273242879417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996319"/>
        <c:axId val="399995359"/>
      </c:scatterChart>
      <c:valAx>
        <c:axId val="399995359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99996319"/>
        <c:crosses val="autoZero"/>
        <c:crossBetween val="midCat"/>
      </c:valAx>
      <c:valAx>
        <c:axId val="399996319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399995359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5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'4000rpm'!$G$174:$G$184</c:f>
              <c:numCache>
                <c:formatCode>General</c:formatCode>
                <c:ptCount val="11"/>
                <c:pt idx="0">
                  <c:v>0.00839112026413225</c:v>
                </c:pt>
                <c:pt idx="1">
                  <c:v>0.0344598232058519</c:v>
                </c:pt>
                <c:pt idx="2">
                  <c:v>0.06816846862158739</c:v>
                </c:pt>
                <c:pt idx="3">
                  <c:v>0.10194979066235087</c:v>
                </c:pt>
                <c:pt idx="4">
                  <c:v>0.13464069189224384</c:v>
                </c:pt>
                <c:pt idx="5">
                  <c:v>0.167788204207974</c:v>
                </c:pt>
                <c:pt idx="6">
                  <c:v>0.20072459622214295</c:v>
                </c:pt>
                <c:pt idx="7">
                  <c:v>0.23045881539883215</c:v>
                </c:pt>
                <c:pt idx="8">
                  <c:v>0.2644208486577392</c:v>
                </c:pt>
                <c:pt idx="9">
                  <c:v>0.292605181430521</c:v>
                </c:pt>
                <c:pt idx="10">
                  <c:v>0.3249347593574695</c:v>
                </c:pt>
              </c:numCache>
            </c:numRef>
          </c:xVal>
          <c:yVal>
            <c:numRef>
              <c:f>'4000rpm'!$I$174:$I$184</c:f>
              <c:numCache>
                <c:formatCode>General</c:formatCode>
                <c:ptCount val="11"/>
                <c:pt idx="0">
                  <c:v>0.07992267849558425</c:v>
                </c:pt>
                <c:pt idx="1">
                  <c:v>0.07944359096364034</c:v>
                </c:pt>
                <c:pt idx="2">
                  <c:v>0.07677793111315298</c:v>
                </c:pt>
                <c:pt idx="3">
                  <c:v>0.07283035561360421</c:v>
                </c:pt>
                <c:pt idx="4">
                  <c:v>0.06546783423748598</c:v>
                </c:pt>
                <c:pt idx="5">
                  <c:v>0.061461115506825564</c:v>
                </c:pt>
                <c:pt idx="6">
                  <c:v>0.05726421771104627</c:v>
                </c:pt>
                <c:pt idx="7">
                  <c:v>0.05101907990483124</c:v>
                </c:pt>
                <c:pt idx="8">
                  <c:v>0.04773539553427403</c:v>
                </c:pt>
                <c:pt idx="9">
                  <c:v>0.04234435753151063</c:v>
                </c:pt>
                <c:pt idx="10">
                  <c:v>0.04266144259107911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'4000rpm'!$G$184:$G$194</c:f>
              <c:numCache>
                <c:formatCode>General</c:formatCode>
                <c:ptCount val="11"/>
                <c:pt idx="0">
                  <c:v>0.3249347593574695</c:v>
                </c:pt>
                <c:pt idx="1">
                  <c:v>0.2945272894413088</c:v>
                </c:pt>
                <c:pt idx="2">
                  <c:v>0.2637608454615388</c:v>
                </c:pt>
                <c:pt idx="3">
                  <c:v>0.23275572615864776</c:v>
                </c:pt>
                <c:pt idx="4">
                  <c:v>0.20190696272501524</c:v>
                </c:pt>
                <c:pt idx="5">
                  <c:v>0.1686609589608664</c:v>
                </c:pt>
                <c:pt idx="6">
                  <c:v>0.13696596271606484</c:v>
                </c:pt>
                <c:pt idx="7">
                  <c:v>0.09991780760638867</c:v>
                </c:pt>
                <c:pt idx="8">
                  <c:v>0.06585878542779396</c:v>
                </c:pt>
                <c:pt idx="9">
                  <c:v>0.035860187702316894</c:v>
                </c:pt>
                <c:pt idx="10">
                  <c:v>0.00660317702858398</c:v>
                </c:pt>
              </c:numCache>
            </c:numRef>
          </c:xVal>
          <c:yVal>
            <c:numRef>
              <c:f>'4000rpm'!$I$184:$I$194</c:f>
              <c:numCache>
                <c:formatCode>General</c:formatCode>
                <c:ptCount val="11"/>
                <c:pt idx="0">
                  <c:v>0.04266144259107911</c:v>
                </c:pt>
                <c:pt idx="1">
                  <c:v>0.04440797585974777</c:v>
                </c:pt>
                <c:pt idx="2">
                  <c:v>0.049083186635915044</c:v>
                </c:pt>
                <c:pt idx="3">
                  <c:v>0.053605048790229946</c:v>
                </c:pt>
                <c:pt idx="4">
                  <c:v>0.05821587921740318</c:v>
                </c:pt>
                <c:pt idx="5">
                  <c:v>0.06250444524602479</c:v>
                </c:pt>
                <c:pt idx="6">
                  <c:v>0.06851135488088643</c:v>
                </c:pt>
                <c:pt idx="7">
                  <c:v>0.07347180250484801</c:v>
                </c:pt>
                <c:pt idx="8">
                  <c:v>0.07831366415709275</c:v>
                </c:pt>
                <c:pt idx="9">
                  <c:v>0.08144193798480455</c:v>
                </c:pt>
                <c:pt idx="10">
                  <c:v>0.08169685088245635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'4000rpm'!$R$174:$R$184</c:f>
              <c:numCache>
                <c:formatCode>General</c:formatCode>
                <c:ptCount val="11"/>
                <c:pt idx="0">
                  <c:v>0.004052650916305614</c:v>
                </c:pt>
                <c:pt idx="1">
                  <c:v>0.033992726507332184</c:v>
                </c:pt>
                <c:pt idx="2">
                  <c:v>0.06799632962255756</c:v>
                </c:pt>
                <c:pt idx="3">
                  <c:v>0.10137294583626799</c:v>
                </c:pt>
                <c:pt idx="4">
                  <c:v>0.13063694973147918</c:v>
                </c:pt>
                <c:pt idx="5">
                  <c:v>0.16658662571389415</c:v>
                </c:pt>
                <c:pt idx="6">
                  <c:v>0.2003835239125084</c:v>
                </c:pt>
                <c:pt idx="7">
                  <c:v>0.23166992419880308</c:v>
                </c:pt>
                <c:pt idx="8">
                  <c:v>0.2636421018898251</c:v>
                </c:pt>
                <c:pt idx="9">
                  <c:v>0.2948849672860472</c:v>
                </c:pt>
                <c:pt idx="10">
                  <c:v>0.32132248666711133</c:v>
                </c:pt>
              </c:numCache>
            </c:numRef>
          </c:xVal>
          <c:yVal>
            <c:numRef>
              <c:f>'4000rpm'!$T$174:$T$184</c:f>
              <c:numCache>
                <c:formatCode>General</c:formatCode>
                <c:ptCount val="11"/>
                <c:pt idx="0">
                  <c:v>0.08924849004257475</c:v>
                </c:pt>
                <c:pt idx="1">
                  <c:v>0.08649622219939058</c:v>
                </c:pt>
                <c:pt idx="2">
                  <c:v>0.08404478071609724</c:v>
                </c:pt>
                <c:pt idx="3">
                  <c:v>0.0792517230458987</c:v>
                </c:pt>
                <c:pt idx="4">
                  <c:v>0.07338685409226767</c:v>
                </c:pt>
                <c:pt idx="5">
                  <c:v>0.06721637055744484</c:v>
                </c:pt>
                <c:pt idx="6">
                  <c:v>0.0625105302405341</c:v>
                </c:pt>
                <c:pt idx="7">
                  <c:v>0.05670898492649229</c:v>
                </c:pt>
                <c:pt idx="8">
                  <c:v>0.05131493189246436</c:v>
                </c:pt>
                <c:pt idx="9">
                  <c:v>0.046778441525663704</c:v>
                </c:pt>
                <c:pt idx="10">
                  <c:v>0.04165788356655523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'4000rpm'!$R$184:$R$194</c:f>
              <c:numCache>
                <c:formatCode>General</c:formatCode>
                <c:ptCount val="11"/>
                <c:pt idx="0">
                  <c:v>0.32132248666711133</c:v>
                </c:pt>
                <c:pt idx="1">
                  <c:v>0.2905101720582413</c:v>
                </c:pt>
                <c:pt idx="2">
                  <c:v>0.2607285198704656</c:v>
                </c:pt>
                <c:pt idx="3">
                  <c:v>0.22836748321953138</c:v>
                </c:pt>
                <c:pt idx="4">
                  <c:v>0.20174214529008103</c:v>
                </c:pt>
                <c:pt idx="5">
                  <c:v>0.16905494657852024</c:v>
                </c:pt>
                <c:pt idx="6">
                  <c:v>0.12662460323972055</c:v>
                </c:pt>
                <c:pt idx="7">
                  <c:v>0.10314941254618157</c:v>
                </c:pt>
                <c:pt idx="8">
                  <c:v>0.06989473986397066</c:v>
                </c:pt>
                <c:pt idx="9">
                  <c:v>0.03580005835393725</c:v>
                </c:pt>
                <c:pt idx="10">
                  <c:v>0.006638949829872796</c:v>
                </c:pt>
              </c:numCache>
            </c:numRef>
          </c:xVal>
          <c:yVal>
            <c:numRef>
              <c:f>'4000rpm'!$T$184:$T$194</c:f>
              <c:numCache>
                <c:formatCode>General</c:formatCode>
                <c:ptCount val="11"/>
                <c:pt idx="0">
                  <c:v>0.04165788356655523</c:v>
                </c:pt>
                <c:pt idx="1">
                  <c:v>0.047109813543653185</c:v>
                </c:pt>
                <c:pt idx="2">
                  <c:v>0.05216490707527627</c:v>
                </c:pt>
                <c:pt idx="3">
                  <c:v>0.05661840916550784</c:v>
                </c:pt>
                <c:pt idx="4">
                  <c:v>0.06234851853828081</c:v>
                </c:pt>
                <c:pt idx="5">
                  <c:v>0.06782932523000697</c:v>
                </c:pt>
                <c:pt idx="6">
                  <c:v>0.07588249481148618</c:v>
                </c:pt>
                <c:pt idx="7">
                  <c:v>0.0789130653541714</c:v>
                </c:pt>
                <c:pt idx="8">
                  <c:v>0.08418149258658944</c:v>
                </c:pt>
                <c:pt idx="9">
                  <c:v>0.087055752000807</c:v>
                </c:pt>
                <c:pt idx="10">
                  <c:v>0.0889793929106215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'4000rpm'!$AT$3:$AT$13</c:f>
              <c:numCache>
                <c:formatCode>General</c:formatCode>
                <c:ptCount val="11"/>
                <c:pt idx="0">
                  <c:v>0</c:v>
                </c:pt>
                <c:pt idx="1">
                  <c:v>0.033366141732283465</c:v>
                </c:pt>
                <c:pt idx="2">
                  <c:v>0.06673228346456693</c:v>
                </c:pt>
                <c:pt idx="3">
                  <c:v>0.1000984251968504</c:v>
                </c:pt>
                <c:pt idx="4">
                  <c:v>0.13346456692913386</c:v>
                </c:pt>
                <c:pt idx="5">
                  <c:v>0.1668307086614173</c:v>
                </c:pt>
                <c:pt idx="6">
                  <c:v>0.2001968503937008</c:v>
                </c:pt>
                <c:pt idx="7">
                  <c:v>0.23356299212598428</c:v>
                </c:pt>
                <c:pt idx="8">
                  <c:v>0.2669291338582677</c:v>
                </c:pt>
                <c:pt idx="9">
                  <c:v>0.3002952755905512</c:v>
                </c:pt>
                <c:pt idx="10">
                  <c:v>0.3336614173228346</c:v>
                </c:pt>
              </c:numCache>
            </c:numRef>
          </c:xVal>
          <c:yVal>
            <c:numRef>
              <c:f>'4000rpm'!$AS$3:$AS$13</c:f>
              <c:numCache>
                <c:formatCode>General</c:formatCode>
                <c:ptCount val="11"/>
                <c:pt idx="0">
                  <c:v>0.08350690647788582</c:v>
                </c:pt>
                <c:pt idx="1">
                  <c:v>0.07975749420384352</c:v>
                </c:pt>
                <c:pt idx="2">
                  <c:v>0.07576976669850342</c:v>
                </c:pt>
                <c:pt idx="3">
                  <c:v>0.0714387004343732</c:v>
                </c:pt>
                <c:pt idx="4">
                  <c:v>0.06680466918800777</c:v>
                </c:pt>
                <c:pt idx="5">
                  <c:v>0.061925620929567694</c:v>
                </c:pt>
                <c:pt idx="6">
                  <c:v>0.05669910912823138</c:v>
                </c:pt>
                <c:pt idx="7">
                  <c:v>0.051158128983391817</c:v>
                </c:pt>
                <c:pt idx="8">
                  <c:v>0.045356398435604406</c:v>
                </c:pt>
                <c:pt idx="9">
                  <c:v>0.0393442187750197</c:v>
                </c:pt>
                <c:pt idx="10">
                  <c:v>0.03304017026372573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27391"/>
        <c:axId val="649727871"/>
      </c:scatterChart>
      <c:valAx>
        <c:axId val="649727871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49727391"/>
        <c:crosses val="autoZero"/>
        <c:crossBetween val="midCat"/>
      </c:valAx>
      <c:valAx>
        <c:axId val="649727391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649727871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6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'5000rpm'!$F$4:$F$14</c:f>
              <c:numCache>
                <c:formatCode>General</c:formatCode>
                <c:ptCount val="11"/>
                <c:pt idx="0">
                  <c:v>0.0003508154957541704</c:v>
                </c:pt>
                <c:pt idx="1">
                  <c:v>0.026612035014443914</c:v>
                </c:pt>
                <c:pt idx="2">
                  <c:v>0.05299013156506412</c:v>
                </c:pt>
                <c:pt idx="3">
                  <c:v>0.07952469582731952</c:v>
                </c:pt>
                <c:pt idx="4">
                  <c:v>0.10603890348026193</c:v>
                </c:pt>
                <c:pt idx="5">
                  <c:v>0.13228891775665683</c:v>
                </c:pt>
                <c:pt idx="6">
                  <c:v>0.15826308660463048</c:v>
                </c:pt>
                <c:pt idx="7">
                  <c:v>0.18329694608937172</c:v>
                </c:pt>
                <c:pt idx="8">
                  <c:v>0.20905906120083723</c:v>
                </c:pt>
                <c:pt idx="9">
                  <c:v>0.23553792525738174</c:v>
                </c:pt>
                <c:pt idx="10">
                  <c:v>0.2592430073055353</c:v>
                </c:pt>
              </c:numCache>
            </c:numRef>
          </c:xVal>
          <c:yVal>
            <c:numRef>
              <c:f>'5000rpm'!$H$4:$H$14</c:f>
              <c:numCache>
                <c:formatCode>General</c:formatCode>
                <c:ptCount val="11"/>
                <c:pt idx="0">
                  <c:v>0.08489333765363163</c:v>
                </c:pt>
                <c:pt idx="1">
                  <c:v>0.08419734161008843</c:v>
                </c:pt>
                <c:pt idx="2">
                  <c:v>0.08396874758240112</c:v>
                </c:pt>
                <c:pt idx="3">
                  <c:v>0.084520729373742</c:v>
                </c:pt>
                <c:pt idx="4">
                  <c:v>0.0847003420727429</c:v>
                </c:pt>
                <c:pt idx="5">
                  <c:v>0.08552495239819018</c:v>
                </c:pt>
                <c:pt idx="6">
                  <c:v>0.08538270474298643</c:v>
                </c:pt>
                <c:pt idx="7">
                  <c:v>0.0855294501231848</c:v>
                </c:pt>
                <c:pt idx="8">
                  <c:v>0.08633292419435482</c:v>
                </c:pt>
                <c:pt idx="9">
                  <c:v>0.08849479861449906</c:v>
                </c:pt>
                <c:pt idx="10">
                  <c:v>0.08892243735960084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'5000rpm'!$F$14:$F$23</c:f>
              <c:numCache>
                <c:formatCode>General</c:formatCode>
                <c:ptCount val="10"/>
                <c:pt idx="0">
                  <c:v>0.2592430073055353</c:v>
                </c:pt>
                <c:pt idx="1">
                  <c:v>0.23435823127496708</c:v>
                </c:pt>
                <c:pt idx="2">
                  <c:v>0.2103034555818316</c:v>
                </c:pt>
                <c:pt idx="3">
                  <c:v>0.18354655032045597</c:v>
                </c:pt>
                <c:pt idx="4">
                  <c:v>0.15921388029502076</c:v>
                </c:pt>
                <c:pt idx="5">
                  <c:v>0.13303993738472059</c:v>
                </c:pt>
                <c:pt idx="6">
                  <c:v>0.10961419531072718</c:v>
                </c:pt>
                <c:pt idx="7">
                  <c:v>0.08043410176952821</c:v>
                </c:pt>
                <c:pt idx="8">
                  <c:v>0.054013398836823524</c:v>
                </c:pt>
                <c:pt idx="9">
                  <c:v>0.02724471400103457</c:v>
                </c:pt>
              </c:numCache>
            </c:numRef>
          </c:xVal>
          <c:yVal>
            <c:numRef>
              <c:f>'5000rpm'!$H$14:$H$23</c:f>
              <c:numCache>
                <c:formatCode>General</c:formatCode>
                <c:ptCount val="10"/>
                <c:pt idx="0">
                  <c:v>0.08892243735960084</c:v>
                </c:pt>
                <c:pt idx="1">
                  <c:v>0.08692761931819953</c:v>
                </c:pt>
                <c:pt idx="2">
                  <c:v>0.08699230518362513</c:v>
                </c:pt>
                <c:pt idx="3">
                  <c:v>0.08494667820755795</c:v>
                </c:pt>
                <c:pt idx="4">
                  <c:v>0.08559298664745223</c:v>
                </c:pt>
                <c:pt idx="5">
                  <c:v>0.08541690830356377</c:v>
                </c:pt>
                <c:pt idx="6">
                  <c:v>0.08507797779904558</c:v>
                </c:pt>
                <c:pt idx="7">
                  <c:v>0.08474018705804194</c:v>
                </c:pt>
                <c:pt idx="8">
                  <c:v>0.08487745279468577</c:v>
                </c:pt>
                <c:pt idx="9">
                  <c:v>0.08467782590155913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'5000rpm'!$P$4:$P$14</c:f>
              <c:numCache>
                <c:formatCode>General</c:formatCode>
                <c:ptCount val="11"/>
                <c:pt idx="0">
                  <c:v>0.00019753803123375845</c:v>
                </c:pt>
                <c:pt idx="1">
                  <c:v>0.026788364113520126</c:v>
                </c:pt>
                <c:pt idx="2">
                  <c:v>0.05295025313779098</c:v>
                </c:pt>
                <c:pt idx="3">
                  <c:v>0.07968717832739111</c:v>
                </c:pt>
                <c:pt idx="4">
                  <c:v>0.10567854323095897</c:v>
                </c:pt>
                <c:pt idx="5">
                  <c:v>0.13192075305846046</c:v>
                </c:pt>
                <c:pt idx="6">
                  <c:v>0.1577823445407524</c:v>
                </c:pt>
                <c:pt idx="7">
                  <c:v>0.1843193541285768</c:v>
                </c:pt>
                <c:pt idx="8">
                  <c:v>0.21076616241677323</c:v>
                </c:pt>
                <c:pt idx="9">
                  <c:v>0.23520282828633493</c:v>
                </c:pt>
                <c:pt idx="10">
                  <c:v>0.25872182668201044</c:v>
                </c:pt>
              </c:numCache>
            </c:numRef>
          </c:xVal>
          <c:yVal>
            <c:numRef>
              <c:f>'5000rpm'!$R$4:$R$14</c:f>
              <c:numCache>
                <c:formatCode>General</c:formatCode>
                <c:ptCount val="11"/>
                <c:pt idx="0">
                  <c:v>0.08367740984628405</c:v>
                </c:pt>
                <c:pt idx="1">
                  <c:v>0.08501356420273119</c:v>
                </c:pt>
                <c:pt idx="2">
                  <c:v>0.08416434549718185</c:v>
                </c:pt>
                <c:pt idx="3">
                  <c:v>0.08497320993892818</c:v>
                </c:pt>
                <c:pt idx="4">
                  <c:v>0.08423771693982106</c:v>
                </c:pt>
                <c:pt idx="5">
                  <c:v>0.08455084124935494</c:v>
                </c:pt>
                <c:pt idx="6">
                  <c:v>0.0851585237111762</c:v>
                </c:pt>
                <c:pt idx="7">
                  <c:v>0.08672292970700964</c:v>
                </c:pt>
                <c:pt idx="8">
                  <c:v>0.08768800660652612</c:v>
                </c:pt>
                <c:pt idx="9">
                  <c:v>0.08761993747035204</c:v>
                </c:pt>
                <c:pt idx="10">
                  <c:v>0.0889154856932366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'5000rpm'!$P$14:$P$24</c:f>
              <c:numCache>
                <c:formatCode>General</c:formatCode>
                <c:ptCount val="11"/>
                <c:pt idx="0">
                  <c:v>0.25872182668201044</c:v>
                </c:pt>
                <c:pt idx="1">
                  <c:v>0.23533538371073529</c:v>
                </c:pt>
                <c:pt idx="2">
                  <c:v>0.21054596010955245</c:v>
                </c:pt>
                <c:pt idx="3">
                  <c:v>0.18470548227500128</c:v>
                </c:pt>
                <c:pt idx="4">
                  <c:v>0.15963949493253166</c:v>
                </c:pt>
                <c:pt idx="5">
                  <c:v>0.13412314601988332</c:v>
                </c:pt>
                <c:pt idx="6">
                  <c:v>0.10738827528571224</c:v>
                </c:pt>
                <c:pt idx="7">
                  <c:v>0.08075425593690451</c:v>
                </c:pt>
                <c:pt idx="8">
                  <c:v>0.050958809140003725</c:v>
                </c:pt>
                <c:pt idx="9">
                  <c:v>0.027342287396192395</c:v>
                </c:pt>
                <c:pt idx="10">
                  <c:v>0.0006047798394382394</c:v>
                </c:pt>
              </c:numCache>
            </c:numRef>
          </c:xVal>
          <c:yVal>
            <c:numRef>
              <c:f>'5000rpm'!$R$14:$R$24</c:f>
              <c:numCache>
                <c:formatCode>General</c:formatCode>
                <c:ptCount val="11"/>
                <c:pt idx="0">
                  <c:v>0.0889154856932366</c:v>
                </c:pt>
                <c:pt idx="1">
                  <c:v>0.08744794092434079</c:v>
                </c:pt>
                <c:pt idx="2">
                  <c:v>0.08725498639317694</c:v>
                </c:pt>
                <c:pt idx="3">
                  <c:v>0.0857586562442914</c:v>
                </c:pt>
                <c:pt idx="4">
                  <c:v>0.08544525847488718</c:v>
                </c:pt>
                <c:pt idx="5">
                  <c:v>0.08547474265018135</c:v>
                </c:pt>
                <c:pt idx="6">
                  <c:v>0.08483373939140697</c:v>
                </c:pt>
                <c:pt idx="7">
                  <c:v>0.08461522218824864</c:v>
                </c:pt>
                <c:pt idx="8">
                  <c:v>0.0838922745513343</c:v>
                </c:pt>
                <c:pt idx="9">
                  <c:v>0.08404729202782558</c:v>
                </c:pt>
                <c:pt idx="10">
                  <c:v>0.08360027217873774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'5000rpm'!$AT$69:$AT$79</c:f>
              <c:numCache>
                <c:formatCode>General</c:formatCode>
                <c:ptCount val="11"/>
                <c:pt idx="0">
                  <c:v>0</c:v>
                </c:pt>
                <c:pt idx="1">
                  <c:v>0.02669291338582678</c:v>
                </c:pt>
                <c:pt idx="2">
                  <c:v>0.05338582677165356</c:v>
                </c:pt>
                <c:pt idx="3">
                  <c:v>0.08007874015748032</c:v>
                </c:pt>
                <c:pt idx="4">
                  <c:v>0.10677165354330712</c:v>
                </c:pt>
                <c:pt idx="5">
                  <c:v>0.13346456692913383</c:v>
                </c:pt>
                <c:pt idx="6">
                  <c:v>0.16015748031496063</c:v>
                </c:pt>
                <c:pt idx="7">
                  <c:v>0.18685039370078743</c:v>
                </c:pt>
                <c:pt idx="8">
                  <c:v>0.21354330708661423</c:v>
                </c:pt>
                <c:pt idx="9">
                  <c:v>0.24023622047244095</c:v>
                </c:pt>
                <c:pt idx="10">
                  <c:v>0.26692913385826766</c:v>
                </c:pt>
              </c:numCache>
            </c:numRef>
          </c:xVal>
          <c:yVal>
            <c:numRef>
              <c:f>'5000rpm'!$AS$69:$AS$79</c:f>
              <c:numCache>
                <c:formatCode>General</c:formatCode>
                <c:ptCount val="11"/>
                <c:pt idx="0">
                  <c:v>0.0836476206119306</c:v>
                </c:pt>
                <c:pt idx="1">
                  <c:v>0.0837936858327787</c:v>
                </c:pt>
                <c:pt idx="2">
                  <c:v>0.08446040835452698</c:v>
                </c:pt>
                <c:pt idx="3">
                  <c:v>0.08546733401776098</c:v>
                </c:pt>
                <c:pt idx="4">
                  <c:v>0.08679584478953363</c:v>
                </c:pt>
                <c:pt idx="5">
                  <c:v>0.08841643457176306</c:v>
                </c:pt>
                <c:pt idx="6">
                  <c:v>0.09028394825868863</c:v>
                </c:pt>
                <c:pt idx="7">
                  <c:v>0.09236056583256884</c:v>
                </c:pt>
                <c:pt idx="8">
                  <c:v>0.09459898471127572</c:v>
                </c:pt>
                <c:pt idx="9">
                  <c:v>0.096953580998034</c:v>
                </c:pt>
                <c:pt idx="10">
                  <c:v>0.09938305053238307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69567"/>
        <c:axId val="124970047"/>
      </c:scatterChart>
      <c:valAx>
        <c:axId val="124970047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4969567"/>
        <c:crosses val="autoZero"/>
        <c:crossBetween val="midCat"/>
      </c:valAx>
      <c:valAx>
        <c:axId val="124969567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4970047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7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'5000rpm'!$G$31:$G$41</c:f>
              <c:numCache>
                <c:formatCode>General</c:formatCode>
                <c:ptCount val="11"/>
                <c:pt idx="0">
                  <c:v>0.0022201122984702682</c:v>
                </c:pt>
                <c:pt idx="1">
                  <c:v>0.026315654216026423</c:v>
                </c:pt>
                <c:pt idx="2">
                  <c:v>0.053431949741181095</c:v>
                </c:pt>
                <c:pt idx="3">
                  <c:v>0.0801793363698567</c:v>
                </c:pt>
                <c:pt idx="4">
                  <c:v>0.10809241179569289</c:v>
                </c:pt>
                <c:pt idx="5">
                  <c:v>0.1346158700244188</c:v>
                </c:pt>
                <c:pt idx="6">
                  <c:v>0.16151766476871013</c:v>
                </c:pt>
                <c:pt idx="7">
                  <c:v>0.18846388588465865</c:v>
                </c:pt>
                <c:pt idx="8">
                  <c:v>0.2157567356250449</c:v>
                </c:pt>
                <c:pt idx="9">
                  <c:v>0.2444423309111554</c:v>
                </c:pt>
                <c:pt idx="10">
                  <c:v>0.2704213027667254</c:v>
                </c:pt>
              </c:numCache>
            </c:numRef>
          </c:xVal>
          <c:yVal>
            <c:numRef>
              <c:f>'5000rpm'!$I$31:$I$41</c:f>
              <c:numCache>
                <c:formatCode>General</c:formatCode>
                <c:ptCount val="11"/>
                <c:pt idx="0">
                  <c:v>0.08493781938850141</c:v>
                </c:pt>
                <c:pt idx="1">
                  <c:v>0.08420472090067486</c:v>
                </c:pt>
                <c:pt idx="2">
                  <c:v>0.08419806930717567</c:v>
                </c:pt>
                <c:pt idx="3">
                  <c:v>0.08309837543846815</c:v>
                </c:pt>
                <c:pt idx="4">
                  <c:v>0.08368110748064315</c:v>
                </c:pt>
                <c:pt idx="5">
                  <c:v>0.08222579502079741</c:v>
                </c:pt>
                <c:pt idx="6">
                  <c:v>0.08111908485307578</c:v>
                </c:pt>
                <c:pt idx="7">
                  <c:v>0.08209388731066194</c:v>
                </c:pt>
                <c:pt idx="8">
                  <c:v>0.08383448083021978</c:v>
                </c:pt>
                <c:pt idx="9">
                  <c:v>0.08553315808459973</c:v>
                </c:pt>
                <c:pt idx="10">
                  <c:v>0.08601242452330285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'5000rpm'!$G$41:$G$51</c:f>
              <c:numCache>
                <c:formatCode>General</c:formatCode>
                <c:ptCount val="11"/>
                <c:pt idx="0">
                  <c:v>0.2704213027667254</c:v>
                </c:pt>
                <c:pt idx="1">
                  <c:v>0.24290444795284857</c:v>
                </c:pt>
                <c:pt idx="2">
                  <c:v>0.21767275530021749</c:v>
                </c:pt>
                <c:pt idx="3">
                  <c:v>0.18959858138320668</c:v>
                </c:pt>
                <c:pt idx="4">
                  <c:v>0.16054862282715188</c:v>
                </c:pt>
                <c:pt idx="5">
                  <c:v>0.1363289450308453</c:v>
                </c:pt>
                <c:pt idx="6">
                  <c:v>0.10934205738907352</c:v>
                </c:pt>
                <c:pt idx="7">
                  <c:v>0.08197383390993908</c:v>
                </c:pt>
                <c:pt idx="8">
                  <c:v>0.05502405321750208</c:v>
                </c:pt>
                <c:pt idx="9">
                  <c:v>0.027672044972930677</c:v>
                </c:pt>
                <c:pt idx="10">
                  <c:v>0.003651901050736541</c:v>
                </c:pt>
              </c:numCache>
            </c:numRef>
          </c:xVal>
          <c:yVal>
            <c:numRef>
              <c:f>'5000rpm'!$I$41:$I$51</c:f>
              <c:numCache>
                <c:formatCode>General</c:formatCode>
                <c:ptCount val="11"/>
                <c:pt idx="0">
                  <c:v>0.08601242452330285</c:v>
                </c:pt>
                <c:pt idx="1">
                  <c:v>0.0836599768764148</c:v>
                </c:pt>
                <c:pt idx="2">
                  <c:v>0.08303148831695785</c:v>
                </c:pt>
                <c:pt idx="3">
                  <c:v>0.0801372501409361</c:v>
                </c:pt>
                <c:pt idx="4">
                  <c:v>0.07829504913015291</c:v>
                </c:pt>
                <c:pt idx="5">
                  <c:v>0.07865728105091425</c:v>
                </c:pt>
                <c:pt idx="6">
                  <c:v>0.07969640114678885</c:v>
                </c:pt>
                <c:pt idx="7">
                  <c:v>0.0788510477267853</c:v>
                </c:pt>
                <c:pt idx="8">
                  <c:v>0.08043996866312572</c:v>
                </c:pt>
                <c:pt idx="9">
                  <c:v>0.08114937206643244</c:v>
                </c:pt>
                <c:pt idx="10">
                  <c:v>0.08113739063681083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'5000rpm'!$R$31:$R$41</c:f>
              <c:numCache>
                <c:formatCode>General</c:formatCode>
                <c:ptCount val="11"/>
                <c:pt idx="0">
                  <c:v>0.002893171444115158</c:v>
                </c:pt>
                <c:pt idx="1">
                  <c:v>0.026887628979206456</c:v>
                </c:pt>
                <c:pt idx="2">
                  <c:v>0.05396445049556078</c:v>
                </c:pt>
                <c:pt idx="3">
                  <c:v>0.080428770068276</c:v>
                </c:pt>
                <c:pt idx="4">
                  <c:v>0.10748521397096468</c:v>
                </c:pt>
                <c:pt idx="5">
                  <c:v>0.13400306550155952</c:v>
                </c:pt>
                <c:pt idx="6">
                  <c:v>0.16183655992504437</c:v>
                </c:pt>
                <c:pt idx="7">
                  <c:v>0.1879843723876797</c:v>
                </c:pt>
                <c:pt idx="8">
                  <c:v>0.21580901142886305</c:v>
                </c:pt>
                <c:pt idx="9">
                  <c:v>0.24244572412172283</c:v>
                </c:pt>
                <c:pt idx="10">
                  <c:v>0.26586148498960227</c:v>
                </c:pt>
              </c:numCache>
            </c:numRef>
          </c:xVal>
          <c:yVal>
            <c:numRef>
              <c:f>'5000rpm'!$T$31:$T$41</c:f>
              <c:numCache>
                <c:formatCode>General</c:formatCode>
                <c:ptCount val="11"/>
                <c:pt idx="0">
                  <c:v>0.08219371921046659</c:v>
                </c:pt>
                <c:pt idx="1">
                  <c:v>0.08249427409162824</c:v>
                </c:pt>
                <c:pt idx="2">
                  <c:v>0.08101942254960379</c:v>
                </c:pt>
                <c:pt idx="3">
                  <c:v>0.07810219256721718</c:v>
                </c:pt>
                <c:pt idx="4">
                  <c:v>0.07841819107224016</c:v>
                </c:pt>
                <c:pt idx="5">
                  <c:v>0.07779634779101816</c:v>
                </c:pt>
                <c:pt idx="6">
                  <c:v>0.07821306920344806</c:v>
                </c:pt>
                <c:pt idx="7">
                  <c:v>0.07714380557874422</c:v>
                </c:pt>
                <c:pt idx="8">
                  <c:v>0.07579449982864124</c:v>
                </c:pt>
                <c:pt idx="9">
                  <c:v>0.07814015644293619</c:v>
                </c:pt>
                <c:pt idx="10">
                  <c:v>0.07893640023432703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'5000rpm'!$R$41:$R$50</c:f>
              <c:numCache>
                <c:formatCode>General</c:formatCode>
                <c:ptCount val="10"/>
                <c:pt idx="0">
                  <c:v>0.26586148498960227</c:v>
                </c:pt>
                <c:pt idx="1">
                  <c:v>0.2406701611513084</c:v>
                </c:pt>
                <c:pt idx="2">
                  <c:v>0.21492501101687989</c:v>
                </c:pt>
                <c:pt idx="3">
                  <c:v>0.18813282220922675</c:v>
                </c:pt>
                <c:pt idx="4">
                  <c:v>0.16169761238712224</c:v>
                </c:pt>
                <c:pt idx="5">
                  <c:v>0.1351481424333177</c:v>
                </c:pt>
                <c:pt idx="6">
                  <c:v>0.10820261829499453</c:v>
                </c:pt>
                <c:pt idx="7">
                  <c:v>0.0811836060934328</c:v>
                </c:pt>
                <c:pt idx="8">
                  <c:v>0.051483478471032906</c:v>
                </c:pt>
                <c:pt idx="9">
                  <c:v>0.027691692787150647</c:v>
                </c:pt>
              </c:numCache>
            </c:numRef>
          </c:xVal>
          <c:yVal>
            <c:numRef>
              <c:f>'5000rpm'!$T$41:$T$50</c:f>
              <c:numCache>
                <c:formatCode>General</c:formatCode>
                <c:ptCount val="10"/>
                <c:pt idx="0">
                  <c:v>0.07893640023432703</c:v>
                </c:pt>
                <c:pt idx="1">
                  <c:v>0.08229032055262442</c:v>
                </c:pt>
                <c:pt idx="2">
                  <c:v>0.0838441069439571</c:v>
                </c:pt>
                <c:pt idx="3">
                  <c:v>0.08377513003991863</c:v>
                </c:pt>
                <c:pt idx="4">
                  <c:v>0.08326321465590833</c:v>
                </c:pt>
                <c:pt idx="5">
                  <c:v>0.08306266841887798</c:v>
                </c:pt>
                <c:pt idx="6">
                  <c:v>0.08320398463457304</c:v>
                </c:pt>
                <c:pt idx="7">
                  <c:v>0.08306618120800369</c:v>
                </c:pt>
                <c:pt idx="8">
                  <c:v>0.08333732588989891</c:v>
                </c:pt>
                <c:pt idx="9">
                  <c:v>0.08467775201611082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'5000rpm'!$AT$58:$AT$68</c:f>
              <c:numCache>
                <c:formatCode>General</c:formatCode>
                <c:ptCount val="11"/>
                <c:pt idx="0">
                  <c:v>0</c:v>
                </c:pt>
                <c:pt idx="1">
                  <c:v>0.02669291338582678</c:v>
                </c:pt>
                <c:pt idx="2">
                  <c:v>0.05338582677165356</c:v>
                </c:pt>
                <c:pt idx="3">
                  <c:v>0.08007874015748032</c:v>
                </c:pt>
                <c:pt idx="4">
                  <c:v>0.10677165354330712</c:v>
                </c:pt>
                <c:pt idx="5">
                  <c:v>0.13346456692913383</c:v>
                </c:pt>
                <c:pt idx="6">
                  <c:v>0.16015748031496063</c:v>
                </c:pt>
                <c:pt idx="7">
                  <c:v>0.18685039370078743</c:v>
                </c:pt>
                <c:pt idx="8">
                  <c:v>0.21354330708661423</c:v>
                </c:pt>
                <c:pt idx="9">
                  <c:v>0.24023622047244095</c:v>
                </c:pt>
                <c:pt idx="10">
                  <c:v>0.26692913385826766</c:v>
                </c:pt>
              </c:numCache>
            </c:numRef>
          </c:xVal>
          <c:yVal>
            <c:numRef>
              <c:f>'5000rpm'!$AS$58:$AS$68</c:f>
              <c:numCache>
                <c:formatCode>General</c:formatCode>
                <c:ptCount val="11"/>
                <c:pt idx="0">
                  <c:v>0.0836476206119306</c:v>
                </c:pt>
                <c:pt idx="1">
                  <c:v>0.08300729963707815</c:v>
                </c:pt>
                <c:pt idx="2">
                  <c:v>0.08282555670827094</c:v>
                </c:pt>
                <c:pt idx="3">
                  <c:v>0.08290215960782017</c:v>
                </c:pt>
                <c:pt idx="4">
                  <c:v>0.08319536054453748</c:v>
                </c:pt>
                <c:pt idx="5">
                  <c:v>0.0836665311701624</c:v>
                </c:pt>
                <c:pt idx="6">
                  <c:v>0.08426527151344906</c:v>
                </c:pt>
                <c:pt idx="7">
                  <c:v>0.08494577048132838</c:v>
                </c:pt>
                <c:pt idx="8">
                  <c:v>0.08567023795809504</c:v>
                </c:pt>
                <c:pt idx="9">
                  <c:v>0.08640325942156284</c:v>
                </c:pt>
                <c:pt idx="10">
                  <c:v>0.08711772182289176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868959"/>
        <c:axId val="485873279"/>
      </c:scatterChart>
      <c:valAx>
        <c:axId val="485873279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5868959"/>
        <c:crosses val="autoZero"/>
        <c:crossBetween val="midCat"/>
      </c:valAx>
      <c:valAx>
        <c:axId val="485868959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5873279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8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'5000rpm'!$F$59:$F$69</c:f>
              <c:numCache>
                <c:formatCode>General</c:formatCode>
                <c:ptCount val="11"/>
                <c:pt idx="0">
                  <c:v>0.003683062092600198</c:v>
                </c:pt>
                <c:pt idx="1">
                  <c:v>0.027422715105757473</c:v>
                </c:pt>
                <c:pt idx="2">
                  <c:v>0.05440554544474002</c:v>
                </c:pt>
                <c:pt idx="3">
                  <c:v>0.08216353841056644</c:v>
                </c:pt>
                <c:pt idx="4">
                  <c:v>0.1099762801753507</c:v>
                </c:pt>
                <c:pt idx="5">
                  <c:v>0.13712141186217963</c:v>
                </c:pt>
                <c:pt idx="6">
                  <c:v>0.16333453075220647</c:v>
                </c:pt>
                <c:pt idx="7">
                  <c:v>0.19086736711244168</c:v>
                </c:pt>
                <c:pt idx="8">
                  <c:v>0.21660730817576881</c:v>
                </c:pt>
                <c:pt idx="9">
                  <c:v>0.246375749469699</c:v>
                </c:pt>
                <c:pt idx="10">
                  <c:v>0.27107944159501657</c:v>
                </c:pt>
              </c:numCache>
            </c:numRef>
          </c:xVal>
          <c:yVal>
            <c:numRef>
              <c:f>'5000rpm'!$H$59:$H$69</c:f>
              <c:numCache>
                <c:formatCode>General</c:formatCode>
                <c:ptCount val="11"/>
                <c:pt idx="0">
                  <c:v>0.08446141438294741</c:v>
                </c:pt>
                <c:pt idx="1">
                  <c:v>0.08553050182070146</c:v>
                </c:pt>
                <c:pt idx="2">
                  <c:v>0.08315740302833079</c:v>
                </c:pt>
                <c:pt idx="3">
                  <c:v>0.08351435425257972</c:v>
                </c:pt>
                <c:pt idx="4">
                  <c:v>0.08368482799889278</c:v>
                </c:pt>
                <c:pt idx="5">
                  <c:v>0.08206516823892292</c:v>
                </c:pt>
                <c:pt idx="6">
                  <c:v>0.08010457949853116</c:v>
                </c:pt>
                <c:pt idx="7">
                  <c:v>0.07944610474932232</c:v>
                </c:pt>
                <c:pt idx="8">
                  <c:v>0.07708374558266658</c:v>
                </c:pt>
                <c:pt idx="9">
                  <c:v>0.07806988363239482</c:v>
                </c:pt>
                <c:pt idx="10">
                  <c:v>0.076791687377914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'5000rpm'!$F$69:$F$79</c:f>
              <c:numCache>
                <c:formatCode>General</c:formatCode>
                <c:ptCount val="11"/>
                <c:pt idx="0">
                  <c:v>0.27107944159501657</c:v>
                </c:pt>
                <c:pt idx="1">
                  <c:v>0.24509809958279824</c:v>
                </c:pt>
                <c:pt idx="2">
                  <c:v>0.21968851308969975</c:v>
                </c:pt>
                <c:pt idx="3">
                  <c:v>0.19223053028716391</c:v>
                </c:pt>
                <c:pt idx="4">
                  <c:v>0.16516350095212196</c:v>
                </c:pt>
                <c:pt idx="5">
                  <c:v>0.1375422337193551</c:v>
                </c:pt>
                <c:pt idx="6">
                  <c:v>0.1115714372205303</c:v>
                </c:pt>
                <c:pt idx="7">
                  <c:v>0.08295650532614127</c:v>
                </c:pt>
                <c:pt idx="8">
                  <c:v>0.05491907419074183</c:v>
                </c:pt>
                <c:pt idx="9">
                  <c:v>0.028336498851992502</c:v>
                </c:pt>
                <c:pt idx="10">
                  <c:v>0.006995959476566292</c:v>
                </c:pt>
              </c:numCache>
            </c:numRef>
          </c:xVal>
          <c:yVal>
            <c:numRef>
              <c:f>'5000rpm'!$H$69:$H$79</c:f>
              <c:numCache>
                <c:formatCode>General</c:formatCode>
                <c:ptCount val="11"/>
                <c:pt idx="0">
                  <c:v>0.076791687377914</c:v>
                </c:pt>
                <c:pt idx="1">
                  <c:v>0.07749945807862596</c:v>
                </c:pt>
                <c:pt idx="2">
                  <c:v>0.07875530258722102</c:v>
                </c:pt>
                <c:pt idx="3">
                  <c:v>0.07939190202800911</c:v>
                </c:pt>
                <c:pt idx="4">
                  <c:v>0.08037770437930401</c:v>
                </c:pt>
                <c:pt idx="5">
                  <c:v>0.0802152679988531</c:v>
                </c:pt>
                <c:pt idx="6">
                  <c:v>0.08315502377081616</c:v>
                </c:pt>
                <c:pt idx="7">
                  <c:v>0.08233240935853213</c:v>
                </c:pt>
                <c:pt idx="8">
                  <c:v>0.08171908820575537</c:v>
                </c:pt>
                <c:pt idx="9">
                  <c:v>0.08452808457222127</c:v>
                </c:pt>
                <c:pt idx="10">
                  <c:v>0.08539199826544132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'5000rpm'!$P$59:$P$69</c:f>
              <c:numCache>
                <c:formatCode>General</c:formatCode>
                <c:ptCount val="11"/>
                <c:pt idx="0">
                  <c:v>0.0023067255790194517</c:v>
                </c:pt>
                <c:pt idx="1">
                  <c:v>0.02342260073159092</c:v>
                </c:pt>
                <c:pt idx="2">
                  <c:v>0.05045745575236928</c:v>
                </c:pt>
                <c:pt idx="3">
                  <c:v>0.07724967110029253</c:v>
                </c:pt>
                <c:pt idx="4">
                  <c:v>0.10512261376466243</c:v>
                </c:pt>
                <c:pt idx="5">
                  <c:v>0.13255887846602765</c:v>
                </c:pt>
                <c:pt idx="6">
                  <c:v>0.1596613485736669</c:v>
                </c:pt>
                <c:pt idx="7">
                  <c:v>0.18550071536561386</c:v>
                </c:pt>
                <c:pt idx="8">
                  <c:v>0.21299401789644462</c:v>
                </c:pt>
                <c:pt idx="9">
                  <c:v>0.2409105455564575</c:v>
                </c:pt>
                <c:pt idx="10">
                  <c:v>0.2657858000473996</c:v>
                </c:pt>
              </c:numCache>
            </c:numRef>
          </c:xVal>
          <c:yVal>
            <c:numRef>
              <c:f>'5000rpm'!$R$59:$R$69</c:f>
              <c:numCache>
                <c:formatCode>General</c:formatCode>
                <c:ptCount val="11"/>
                <c:pt idx="0">
                  <c:v>0.08442850368455863</c:v>
                </c:pt>
                <c:pt idx="1">
                  <c:v>0.08356652621132421</c:v>
                </c:pt>
                <c:pt idx="2">
                  <c:v>0.08302626010252623</c:v>
                </c:pt>
                <c:pt idx="3">
                  <c:v>0.08174364900297443</c:v>
                </c:pt>
                <c:pt idx="4">
                  <c:v>0.0822136929492717</c:v>
                </c:pt>
                <c:pt idx="5">
                  <c:v>0.08154977525068147</c:v>
                </c:pt>
                <c:pt idx="6">
                  <c:v>0.08076200805024311</c:v>
                </c:pt>
                <c:pt idx="7">
                  <c:v>0.07866364736454283</c:v>
                </c:pt>
                <c:pt idx="8">
                  <c:v>0.07818169245421122</c:v>
                </c:pt>
                <c:pt idx="9">
                  <c:v>0.07814803194433832</c:v>
                </c:pt>
                <c:pt idx="10">
                  <c:v>0.07715688811944683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'5000rpm'!$P$69:$P$79</c:f>
              <c:numCache>
                <c:formatCode>General</c:formatCode>
                <c:ptCount val="11"/>
                <c:pt idx="0">
                  <c:v>0.2657858000473996</c:v>
                </c:pt>
                <c:pt idx="1">
                  <c:v>0.24325556472633905</c:v>
                </c:pt>
                <c:pt idx="2">
                  <c:v>0.21586670276345277</c:v>
                </c:pt>
                <c:pt idx="3">
                  <c:v>0.1891654513567069</c:v>
                </c:pt>
                <c:pt idx="4">
                  <c:v>0.16198769720836373</c:v>
                </c:pt>
                <c:pt idx="5">
                  <c:v>0.1354116096394937</c:v>
                </c:pt>
                <c:pt idx="6">
                  <c:v>0.10858935974209266</c:v>
                </c:pt>
                <c:pt idx="7">
                  <c:v>0.08224592036609675</c:v>
                </c:pt>
                <c:pt idx="8">
                  <c:v>0.05464054422991919</c:v>
                </c:pt>
                <c:pt idx="9">
                  <c:v>0.02765290767523177</c:v>
                </c:pt>
                <c:pt idx="10">
                  <c:v>0.006620157801757783</c:v>
                </c:pt>
              </c:numCache>
            </c:numRef>
          </c:xVal>
          <c:yVal>
            <c:numRef>
              <c:f>'5000rpm'!$R$69:$R$79</c:f>
              <c:numCache>
                <c:formatCode>General</c:formatCode>
                <c:ptCount val="11"/>
                <c:pt idx="0">
                  <c:v>0.07715688811944683</c:v>
                </c:pt>
                <c:pt idx="1">
                  <c:v>0.07845829024215113</c:v>
                </c:pt>
                <c:pt idx="2">
                  <c:v>0.07831101332615002</c:v>
                </c:pt>
                <c:pt idx="3">
                  <c:v>0.07958843113560382</c:v>
                </c:pt>
                <c:pt idx="4">
                  <c:v>0.08036154497618458</c:v>
                </c:pt>
                <c:pt idx="5">
                  <c:v>0.0815357449476202</c:v>
                </c:pt>
                <c:pt idx="6">
                  <c:v>0.08272165831633357</c:v>
                </c:pt>
                <c:pt idx="7">
                  <c:v>0.08431855019004802</c:v>
                </c:pt>
                <c:pt idx="8">
                  <c:v>0.08323632601690115</c:v>
                </c:pt>
                <c:pt idx="9">
                  <c:v>0.0840941823537621</c:v>
                </c:pt>
                <c:pt idx="10">
                  <c:v>0.08484751639984095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'5000rpm'!$AT$47:$AT$57</c:f>
              <c:numCache>
                <c:formatCode>General</c:formatCode>
                <c:ptCount val="11"/>
                <c:pt idx="0">
                  <c:v>0</c:v>
                </c:pt>
                <c:pt idx="1">
                  <c:v>0.02669291338582678</c:v>
                </c:pt>
                <c:pt idx="2">
                  <c:v>0.05338582677165356</c:v>
                </c:pt>
                <c:pt idx="3">
                  <c:v>0.08007874015748032</c:v>
                </c:pt>
                <c:pt idx="4">
                  <c:v>0.10677165354330712</c:v>
                </c:pt>
                <c:pt idx="5">
                  <c:v>0.13346456692913383</c:v>
                </c:pt>
                <c:pt idx="6">
                  <c:v>0.16015748031496063</c:v>
                </c:pt>
                <c:pt idx="7">
                  <c:v>0.18685039370078743</c:v>
                </c:pt>
                <c:pt idx="8">
                  <c:v>0.21354330708661423</c:v>
                </c:pt>
                <c:pt idx="9">
                  <c:v>0.24023622047244095</c:v>
                </c:pt>
                <c:pt idx="10">
                  <c:v>0.26692913385826766</c:v>
                </c:pt>
              </c:numCache>
            </c:numRef>
          </c:xVal>
          <c:yVal>
            <c:numRef>
              <c:f>'5000rpm'!$AS$47:$AS$57</c:f>
              <c:numCache>
                <c:formatCode>General</c:formatCode>
                <c:ptCount val="11"/>
                <c:pt idx="0">
                  <c:v>0.0836476206119306</c:v>
                </c:pt>
                <c:pt idx="1">
                  <c:v>0.0822361588083525</c:v>
                </c:pt>
                <c:pt idx="2">
                  <c:v>0.08117071154932211</c:v>
                </c:pt>
                <c:pt idx="3">
                  <c:v>0.08024611488190982</c:v>
                </c:pt>
                <c:pt idx="4">
                  <c:v>0.07942042386688802</c:v>
                </c:pt>
                <c:pt idx="5">
                  <c:v>0.07865279947026055</c:v>
                </c:pt>
                <c:pt idx="6">
                  <c:v>0.07790195597861993</c:v>
                </c:pt>
                <c:pt idx="7">
                  <c:v>0.07712045590231399</c:v>
                </c:pt>
                <c:pt idx="8">
                  <c:v>0.0762898684320136</c:v>
                </c:pt>
                <c:pt idx="9">
                  <c:v>0.07539204321023216</c:v>
                </c:pt>
                <c:pt idx="10">
                  <c:v>0.07440258583861342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889119"/>
        <c:axId val="485890079"/>
      </c:scatterChart>
      <c:valAx>
        <c:axId val="485890079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5889119"/>
        <c:crosses val="autoZero"/>
        <c:crossBetween val="midCat"/>
      </c:valAx>
      <c:valAx>
        <c:axId val="485889119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5890079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19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'5000rpm'!$F$87:$F$97</c:f>
              <c:numCache>
                <c:formatCode>General</c:formatCode>
                <c:ptCount val="11"/>
                <c:pt idx="0">
                  <c:v>0.003298386098589235</c:v>
                </c:pt>
                <c:pt idx="1">
                  <c:v>0.026856939940211117</c:v>
                </c:pt>
                <c:pt idx="2">
                  <c:v>0.05380099514731856</c:v>
                </c:pt>
                <c:pt idx="3">
                  <c:v>0.08100362435970294</c:v>
                </c:pt>
                <c:pt idx="4">
                  <c:v>0.10823158839157254</c:v>
                </c:pt>
                <c:pt idx="5">
                  <c:v>0.1365386102913436</c:v>
                </c:pt>
                <c:pt idx="6">
                  <c:v>0.16416762923201228</c:v>
                </c:pt>
                <c:pt idx="7">
                  <c:v>0.19039841008035524</c:v>
                </c:pt>
                <c:pt idx="8">
                  <c:v>0.21815397522842697</c:v>
                </c:pt>
                <c:pt idx="9">
                  <c:v>0.24592833615364346</c:v>
                </c:pt>
                <c:pt idx="10">
                  <c:v>0.26734573434955444</c:v>
                </c:pt>
              </c:numCache>
            </c:numRef>
          </c:xVal>
          <c:yVal>
            <c:numRef>
              <c:f>'5000rpm'!$H$87:$H$97</c:f>
              <c:numCache>
                <c:formatCode>General</c:formatCode>
                <c:ptCount val="11"/>
                <c:pt idx="0">
                  <c:v>0.08521035143413624</c:v>
                </c:pt>
                <c:pt idx="1">
                  <c:v>0.08579056437658718</c:v>
                </c:pt>
                <c:pt idx="2">
                  <c:v>0.08378340037925008</c:v>
                </c:pt>
                <c:pt idx="3">
                  <c:v>0.08237856859476549</c:v>
                </c:pt>
                <c:pt idx="4">
                  <c:v>0.08045196941907526</c:v>
                </c:pt>
                <c:pt idx="5">
                  <c:v>0.07982499649800553</c:v>
                </c:pt>
                <c:pt idx="6">
                  <c:v>0.07788557823617219</c:v>
                </c:pt>
                <c:pt idx="7">
                  <c:v>0.07526638724747137</c:v>
                </c:pt>
                <c:pt idx="8">
                  <c:v>0.0738162602531416</c:v>
                </c:pt>
                <c:pt idx="9">
                  <c:v>0.07249634887828328</c:v>
                </c:pt>
                <c:pt idx="10">
                  <c:v>0.06923371023665792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'5000rpm'!$F$97:$F$106</c:f>
              <c:numCache>
                <c:formatCode>General</c:formatCode>
                <c:ptCount val="10"/>
                <c:pt idx="0">
                  <c:v>0.26734573434955444</c:v>
                </c:pt>
                <c:pt idx="1">
                  <c:v>0.24508735207438498</c:v>
                </c:pt>
                <c:pt idx="2">
                  <c:v>0.21857148558165632</c:v>
                </c:pt>
                <c:pt idx="3">
                  <c:v>0.1919286355195907</c:v>
                </c:pt>
                <c:pt idx="4">
                  <c:v>0.16515687845421562</c:v>
                </c:pt>
                <c:pt idx="5">
                  <c:v>0.13878655082600996</c:v>
                </c:pt>
                <c:pt idx="6">
                  <c:v>0.1113620136760372</c:v>
                </c:pt>
                <c:pt idx="7">
                  <c:v>0.08391121267187578</c:v>
                </c:pt>
                <c:pt idx="8">
                  <c:v>0.05623280802824081</c:v>
                </c:pt>
                <c:pt idx="9">
                  <c:v>0.029032205269340527</c:v>
                </c:pt>
              </c:numCache>
            </c:numRef>
          </c:xVal>
          <c:yVal>
            <c:numRef>
              <c:f>'5000rpm'!$H$97:$H$106</c:f>
              <c:numCache>
                <c:formatCode>General</c:formatCode>
                <c:ptCount val="10"/>
                <c:pt idx="0">
                  <c:v>0.06923371023665792</c:v>
                </c:pt>
                <c:pt idx="1">
                  <c:v>0.07206078073372996</c:v>
                </c:pt>
                <c:pt idx="2">
                  <c:v>0.07360665285029387</c:v>
                </c:pt>
                <c:pt idx="3">
                  <c:v>0.07561455322728448</c:v>
                </c:pt>
                <c:pt idx="4">
                  <c:v>0.07708215401063731</c:v>
                </c:pt>
                <c:pt idx="5">
                  <c:v>0.07967640044285862</c:v>
                </c:pt>
                <c:pt idx="6">
                  <c:v>0.0814471448851419</c:v>
                </c:pt>
                <c:pt idx="7">
                  <c:v>0.08308582082239271</c:v>
                </c:pt>
                <c:pt idx="8">
                  <c:v>0.08362294595786342</c:v>
                </c:pt>
                <c:pt idx="9">
                  <c:v>0.08575925710596782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'5000rpm'!$P$87:$P$97</c:f>
              <c:numCache>
                <c:formatCode>General</c:formatCode>
                <c:ptCount val="11"/>
                <c:pt idx="0">
                  <c:v>0.0027382820572011556</c:v>
                </c:pt>
                <c:pt idx="1">
                  <c:v>0.02410416890434553</c:v>
                </c:pt>
                <c:pt idx="2">
                  <c:v>0.05144140208897684</c:v>
                </c:pt>
                <c:pt idx="3">
                  <c:v>0.07855582430846893</c:v>
                </c:pt>
                <c:pt idx="4">
                  <c:v>0.10580403259184201</c:v>
                </c:pt>
                <c:pt idx="5">
                  <c:v>0.13413797770789715</c:v>
                </c:pt>
                <c:pt idx="6">
                  <c:v>0.1619829026433011</c:v>
                </c:pt>
                <c:pt idx="7">
                  <c:v>0.18958755567079175</c:v>
                </c:pt>
                <c:pt idx="8">
                  <c:v>0.2161287407941261</c:v>
                </c:pt>
                <c:pt idx="9">
                  <c:v>0.2434161431930677</c:v>
                </c:pt>
                <c:pt idx="10">
                  <c:v>0.26810881109512186</c:v>
                </c:pt>
              </c:numCache>
            </c:numRef>
          </c:xVal>
          <c:yVal>
            <c:numRef>
              <c:f>'5000rpm'!$R$87:$R$97</c:f>
              <c:numCache>
                <c:formatCode>General</c:formatCode>
                <c:ptCount val="11"/>
                <c:pt idx="0">
                  <c:v>0.0867185408025748</c:v>
                </c:pt>
                <c:pt idx="1">
                  <c:v>0.08569893320832912</c:v>
                </c:pt>
                <c:pt idx="2">
                  <c:v>0.08468161579631528</c:v>
                </c:pt>
                <c:pt idx="3">
                  <c:v>0.08273570981541722</c:v>
                </c:pt>
                <c:pt idx="4">
                  <c:v>0.08060239038887682</c:v>
                </c:pt>
                <c:pt idx="5">
                  <c:v>0.07985943175519583</c:v>
                </c:pt>
                <c:pt idx="6">
                  <c:v>0.07762213922109795</c:v>
                </c:pt>
                <c:pt idx="7">
                  <c:v>0.07613319102955778</c:v>
                </c:pt>
                <c:pt idx="8">
                  <c:v>0.07358892698490885</c:v>
                </c:pt>
                <c:pt idx="9">
                  <c:v>0.07195045371553582</c:v>
                </c:pt>
                <c:pt idx="10">
                  <c:v>0.07069982872621633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'5000rpm'!$P$97:$P$106</c:f>
              <c:numCache>
                <c:formatCode>General</c:formatCode>
                <c:ptCount val="10"/>
                <c:pt idx="0">
                  <c:v>0.26810881109512186</c:v>
                </c:pt>
                <c:pt idx="1">
                  <c:v>0.24179106385728996</c:v>
                </c:pt>
                <c:pt idx="2">
                  <c:v>0.21633481075467717</c:v>
                </c:pt>
                <c:pt idx="3">
                  <c:v>0.19073636895165752</c:v>
                </c:pt>
                <c:pt idx="4">
                  <c:v>0.16454936369975223</c:v>
                </c:pt>
                <c:pt idx="5">
                  <c:v>0.1372950887690867</c:v>
                </c:pt>
                <c:pt idx="6">
                  <c:v>0.1111790540610379</c:v>
                </c:pt>
                <c:pt idx="7">
                  <c:v>0.08331692029380058</c:v>
                </c:pt>
                <c:pt idx="8">
                  <c:v>0.05631864386060897</c:v>
                </c:pt>
                <c:pt idx="9">
                  <c:v>0.028700928976252007</c:v>
                </c:pt>
              </c:numCache>
            </c:numRef>
          </c:xVal>
          <c:yVal>
            <c:numRef>
              <c:f>'5000rpm'!$R$97:$R$106</c:f>
              <c:numCache>
                <c:formatCode>General</c:formatCode>
                <c:ptCount val="10"/>
                <c:pt idx="0">
                  <c:v>0.07069982872621633</c:v>
                </c:pt>
                <c:pt idx="1">
                  <c:v>0.07102159523514487</c:v>
                </c:pt>
                <c:pt idx="2">
                  <c:v>0.07331009086800862</c:v>
                </c:pt>
                <c:pt idx="3">
                  <c:v>0.07563782984561451</c:v>
                </c:pt>
                <c:pt idx="4">
                  <c:v>0.07770770033053588</c:v>
                </c:pt>
                <c:pt idx="5">
                  <c:v>0.07901320369612885</c:v>
                </c:pt>
                <c:pt idx="6">
                  <c:v>0.08224791721632589</c:v>
                </c:pt>
                <c:pt idx="7">
                  <c:v>0.0829726419727522</c:v>
                </c:pt>
                <c:pt idx="8">
                  <c:v>0.08490283432153292</c:v>
                </c:pt>
                <c:pt idx="9">
                  <c:v>0.08463071560186487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'5000rpm'!$AT$36:$AT$46</c:f>
              <c:numCache>
                <c:formatCode>General</c:formatCode>
                <c:ptCount val="11"/>
                <c:pt idx="0">
                  <c:v>0</c:v>
                </c:pt>
                <c:pt idx="1">
                  <c:v>0.02669291338582678</c:v>
                </c:pt>
                <c:pt idx="2">
                  <c:v>0.05338582677165356</c:v>
                </c:pt>
                <c:pt idx="3">
                  <c:v>0.08007874015748032</c:v>
                </c:pt>
                <c:pt idx="4">
                  <c:v>0.10677165354330712</c:v>
                </c:pt>
                <c:pt idx="5">
                  <c:v>0.13346456692913383</c:v>
                </c:pt>
                <c:pt idx="6">
                  <c:v>0.16015748031496063</c:v>
                </c:pt>
                <c:pt idx="7">
                  <c:v>0.18685039370078743</c:v>
                </c:pt>
                <c:pt idx="8">
                  <c:v>0.21354330708661423</c:v>
                </c:pt>
                <c:pt idx="9">
                  <c:v>0.24023622047244095</c:v>
                </c:pt>
                <c:pt idx="10">
                  <c:v>0.26692913385826766</c:v>
                </c:pt>
              </c:numCache>
            </c:numRef>
          </c:xVal>
          <c:yVal>
            <c:numRef>
              <c:f>'5000rpm'!$AS$36:$AS$46</c:f>
              <c:numCache>
                <c:formatCode>General</c:formatCode>
                <c:ptCount val="11"/>
                <c:pt idx="0">
                  <c:v>0.0836476206119306</c:v>
                </c:pt>
                <c:pt idx="1">
                  <c:v>0.08154372877032114</c:v>
                </c:pt>
                <c:pt idx="2">
                  <c:v>0.07965466316745667</c:v>
                </c:pt>
                <c:pt idx="3">
                  <c:v>0.07778541101824346</c:v>
                </c:pt>
                <c:pt idx="4">
                  <c:v>0.07590172614205415</c:v>
                </c:pt>
                <c:pt idx="5">
                  <c:v>0.07397392902268657</c:v>
                </c:pt>
                <c:pt idx="6">
                  <c:v>0.07196912499691512</c:v>
                </c:pt>
                <c:pt idx="7">
                  <c:v>0.06985985576624944</c:v>
                </c:pt>
                <c:pt idx="8">
                  <c:v>0.06763540386546832</c:v>
                </c:pt>
                <c:pt idx="9">
                  <c:v>0.06528191226392419</c:v>
                </c:pt>
                <c:pt idx="10">
                  <c:v>0.06278465252768957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571055"/>
        <c:axId val="957567215"/>
      </c:scatterChart>
      <c:valAx>
        <c:axId val="957567215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957571055"/>
        <c:crosses val="autoZero"/>
        <c:crossBetween val="midCat"/>
      </c:valAx>
      <c:valAx>
        <c:axId val="957571055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957567215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0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'5000rpm'!$G$114:$G$124</c:f>
              <c:numCache>
                <c:formatCode>General</c:formatCode>
                <c:ptCount val="11"/>
                <c:pt idx="0">
                  <c:v>0.0064728311798693825</c:v>
                </c:pt>
                <c:pt idx="1">
                  <c:v>0.028803429746429462</c:v>
                </c:pt>
                <c:pt idx="2">
                  <c:v>0.05502611141108017</c:v>
                </c:pt>
                <c:pt idx="3">
                  <c:v>0.08300076386502919</c:v>
                </c:pt>
                <c:pt idx="4">
                  <c:v>0.11398253965145112</c:v>
                </c:pt>
                <c:pt idx="5">
                  <c:v>0.13841751373988226</c:v>
                </c:pt>
                <c:pt idx="6">
                  <c:v>0.1661191697837205</c:v>
                </c:pt>
                <c:pt idx="7">
                  <c:v>0.19179837424075896</c:v>
                </c:pt>
                <c:pt idx="8">
                  <c:v>0.2212288175690216</c:v>
                </c:pt>
                <c:pt idx="9">
                  <c:v>0.24501003592295503</c:v>
                </c:pt>
                <c:pt idx="10">
                  <c:v>0.27128009347213694</c:v>
                </c:pt>
              </c:numCache>
            </c:numRef>
          </c:xVal>
          <c:yVal>
            <c:numRef>
              <c:f>'5000rpm'!$I$114:$I$124</c:f>
              <c:numCache>
                <c:formatCode>General</c:formatCode>
                <c:ptCount val="11"/>
                <c:pt idx="0">
                  <c:v>0.08272001128629179</c:v>
                </c:pt>
                <c:pt idx="1">
                  <c:v>0.08271475165955518</c:v>
                </c:pt>
                <c:pt idx="2">
                  <c:v>0.07917321725455193</c:v>
                </c:pt>
                <c:pt idx="3">
                  <c:v>0.07723172633533683</c:v>
                </c:pt>
                <c:pt idx="4">
                  <c:v>0.07522059639762466</c:v>
                </c:pt>
                <c:pt idx="5">
                  <c:v>0.07180324096099104</c:v>
                </c:pt>
                <c:pt idx="6">
                  <c:v>0.06804642787106141</c:v>
                </c:pt>
                <c:pt idx="7">
                  <c:v>0.0635311402806795</c:v>
                </c:pt>
                <c:pt idx="8">
                  <c:v>0.059722014071917975</c:v>
                </c:pt>
                <c:pt idx="9">
                  <c:v>0.05537354677529576</c:v>
                </c:pt>
                <c:pt idx="10">
                  <c:v>0.05250043470913054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'5000rpm'!$G$124:$G$134</c:f>
              <c:numCache>
                <c:formatCode>General</c:formatCode>
                <c:ptCount val="11"/>
                <c:pt idx="0">
                  <c:v>0.27128009347213694</c:v>
                </c:pt>
                <c:pt idx="1">
                  <c:v>0.24682477751072468</c:v>
                </c:pt>
                <c:pt idx="2">
                  <c:v>0.22067266575514097</c:v>
                </c:pt>
                <c:pt idx="3">
                  <c:v>0.19385230485596142</c:v>
                </c:pt>
                <c:pt idx="4">
                  <c:v>0.16687621563279587</c:v>
                </c:pt>
                <c:pt idx="5">
                  <c:v>0.14044805463011323</c:v>
                </c:pt>
                <c:pt idx="6">
                  <c:v>0.11316045984445744</c:v>
                </c:pt>
                <c:pt idx="7">
                  <c:v>0.08534902399270176</c:v>
                </c:pt>
                <c:pt idx="8">
                  <c:v>0.057645063748664516</c:v>
                </c:pt>
                <c:pt idx="9">
                  <c:v>0.029684340220418964</c:v>
                </c:pt>
                <c:pt idx="10">
                  <c:v>0.008220642489275846</c:v>
                </c:pt>
              </c:numCache>
            </c:numRef>
          </c:xVal>
          <c:yVal>
            <c:numRef>
              <c:f>'5000rpm'!$I$124:$I$134</c:f>
              <c:numCache>
                <c:formatCode>General</c:formatCode>
                <c:ptCount val="11"/>
                <c:pt idx="0">
                  <c:v>0.05250043470913054</c:v>
                </c:pt>
                <c:pt idx="1">
                  <c:v>0.05604932442168197</c:v>
                </c:pt>
                <c:pt idx="2">
                  <c:v>0.06018820952349047</c:v>
                </c:pt>
                <c:pt idx="3">
                  <c:v>0.06368900426569465</c:v>
                </c:pt>
                <c:pt idx="4">
                  <c:v>0.0670176143515022</c:v>
                </c:pt>
                <c:pt idx="5">
                  <c:v>0.07116183190642805</c:v>
                </c:pt>
                <c:pt idx="6">
                  <c:v>0.07476084229908621</c:v>
                </c:pt>
                <c:pt idx="7">
                  <c:v>0.07796592857710463</c:v>
                </c:pt>
                <c:pt idx="8">
                  <c:v>0.0806801628396028</c:v>
                </c:pt>
                <c:pt idx="9">
                  <c:v>0.08276962962380191</c:v>
                </c:pt>
                <c:pt idx="10">
                  <c:v>0.08404973199586088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'5000rpm'!$R$114:$R$124</c:f>
              <c:numCache>
                <c:formatCode>General</c:formatCode>
                <c:ptCount val="11"/>
                <c:pt idx="0">
                  <c:v>0.008151270807734493</c:v>
                </c:pt>
                <c:pt idx="1">
                  <c:v>0.027210747061536172</c:v>
                </c:pt>
                <c:pt idx="2">
                  <c:v>0.054949712159728784</c:v>
                </c:pt>
                <c:pt idx="3">
                  <c:v>0.08243048004695437</c:v>
                </c:pt>
                <c:pt idx="4">
                  <c:v>0.1124592408958284</c:v>
                </c:pt>
                <c:pt idx="5">
                  <c:v>0.1365103579904783</c:v>
                </c:pt>
                <c:pt idx="6">
                  <c:v>0.16567521054800205</c:v>
                </c:pt>
                <c:pt idx="7">
                  <c:v>0.19102011957431198</c:v>
                </c:pt>
                <c:pt idx="8">
                  <c:v>0.2174958107667608</c:v>
                </c:pt>
                <c:pt idx="9">
                  <c:v>0.2409919457990062</c:v>
                </c:pt>
                <c:pt idx="10">
                  <c:v>0.26743200165768904</c:v>
                </c:pt>
              </c:numCache>
            </c:numRef>
          </c:xVal>
          <c:yVal>
            <c:numRef>
              <c:f>'5000rpm'!$T$114:$T$124</c:f>
              <c:numCache>
                <c:formatCode>General</c:formatCode>
                <c:ptCount val="11"/>
                <c:pt idx="0">
                  <c:v>0.08290944197797566</c:v>
                </c:pt>
                <c:pt idx="1">
                  <c:v>0.08218090746054942</c:v>
                </c:pt>
                <c:pt idx="2">
                  <c:v>0.07990924626936663</c:v>
                </c:pt>
                <c:pt idx="3">
                  <c:v>0.07809470263534794</c:v>
                </c:pt>
                <c:pt idx="4">
                  <c:v>0.07483833261435618</c:v>
                </c:pt>
                <c:pt idx="5">
                  <c:v>0.07124387817532955</c:v>
                </c:pt>
                <c:pt idx="6">
                  <c:v>0.06725322987045237</c:v>
                </c:pt>
                <c:pt idx="7">
                  <c:v>0.06550753724969076</c:v>
                </c:pt>
                <c:pt idx="8">
                  <c:v>0.06135018831394166</c:v>
                </c:pt>
                <c:pt idx="9">
                  <c:v>0.05625451543032136</c:v>
                </c:pt>
                <c:pt idx="10">
                  <c:v>0.05396518222976233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'5000rpm'!$R$124:$R$134</c:f>
              <c:numCache>
                <c:formatCode>General</c:formatCode>
                <c:ptCount val="11"/>
                <c:pt idx="0">
                  <c:v>0.26743200165768904</c:v>
                </c:pt>
                <c:pt idx="1">
                  <c:v>0.24317995490360297</c:v>
                </c:pt>
                <c:pt idx="2">
                  <c:v>0.21739763967898598</c:v>
                </c:pt>
                <c:pt idx="3">
                  <c:v>0.18920011103145257</c:v>
                </c:pt>
                <c:pt idx="4">
                  <c:v>0.16217932228984988</c:v>
                </c:pt>
                <c:pt idx="5">
                  <c:v>0.13755218173934916</c:v>
                </c:pt>
                <c:pt idx="6">
                  <c:v>0.11030649532664825</c:v>
                </c:pt>
                <c:pt idx="7">
                  <c:v>0.07820342992844884</c:v>
                </c:pt>
                <c:pt idx="8">
                  <c:v>0.056806417301035535</c:v>
                </c:pt>
                <c:pt idx="9">
                  <c:v>0.029242103023062772</c:v>
                </c:pt>
                <c:pt idx="10">
                  <c:v>0.008381682569605845</c:v>
                </c:pt>
              </c:numCache>
            </c:numRef>
          </c:xVal>
          <c:yVal>
            <c:numRef>
              <c:f>'5000rpm'!$T$124:$T$134</c:f>
              <c:numCache>
                <c:formatCode>General</c:formatCode>
                <c:ptCount val="11"/>
                <c:pt idx="0">
                  <c:v>0.05396518222976233</c:v>
                </c:pt>
                <c:pt idx="1">
                  <c:v>0.05716250262046499</c:v>
                </c:pt>
                <c:pt idx="2">
                  <c:v>0.06077100115254594</c:v>
                </c:pt>
                <c:pt idx="3">
                  <c:v>0.06323193800534548</c:v>
                </c:pt>
                <c:pt idx="4">
                  <c:v>0.06835675050348902</c:v>
                </c:pt>
                <c:pt idx="5">
                  <c:v>0.07086381333572435</c:v>
                </c:pt>
                <c:pt idx="6">
                  <c:v>0.07373869090319814</c:v>
                </c:pt>
                <c:pt idx="7">
                  <c:v>0.078280589337715</c:v>
                </c:pt>
                <c:pt idx="8">
                  <c:v>0.08034854888442096</c:v>
                </c:pt>
                <c:pt idx="9">
                  <c:v>0.08065869054826222</c:v>
                </c:pt>
                <c:pt idx="10">
                  <c:v>0.08407087164273779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'5000rpm'!$AT$25:$AT$35</c:f>
              <c:numCache>
                <c:formatCode>General</c:formatCode>
                <c:ptCount val="11"/>
                <c:pt idx="0">
                  <c:v>0</c:v>
                </c:pt>
                <c:pt idx="1">
                  <c:v>0.02669291338582678</c:v>
                </c:pt>
                <c:pt idx="2">
                  <c:v>0.05338582677165356</c:v>
                </c:pt>
                <c:pt idx="3">
                  <c:v>0.08007874015748032</c:v>
                </c:pt>
                <c:pt idx="4">
                  <c:v>0.10677165354330712</c:v>
                </c:pt>
                <c:pt idx="5">
                  <c:v>0.13346456692913383</c:v>
                </c:pt>
                <c:pt idx="6">
                  <c:v>0.16015748031496063</c:v>
                </c:pt>
                <c:pt idx="7">
                  <c:v>0.18685039370078743</c:v>
                </c:pt>
                <c:pt idx="8">
                  <c:v>0.21354330708661423</c:v>
                </c:pt>
                <c:pt idx="9">
                  <c:v>0.24023622047244095</c:v>
                </c:pt>
                <c:pt idx="10">
                  <c:v>0.26692913385826766</c:v>
                </c:pt>
              </c:numCache>
            </c:numRef>
          </c:xVal>
          <c:yVal>
            <c:numRef>
              <c:f>'5000rpm'!$AS$25:$AS$35</c:f>
              <c:numCache>
                <c:formatCode>General</c:formatCode>
                <c:ptCount val="11"/>
                <c:pt idx="0">
                  <c:v>0.0836476206119306</c:v>
                </c:pt>
                <c:pt idx="1">
                  <c:v>0.08099064755474797</c:v>
                </c:pt>
                <c:pt idx="2">
                  <c:v>0.07842552538963266</c:v>
                </c:pt>
                <c:pt idx="3">
                  <c:v>0.0757845750554204</c:v>
                </c:pt>
                <c:pt idx="4">
                  <c:v>0.07303618454216375</c:v>
                </c:pt>
                <c:pt idx="5">
                  <c:v>0.07016585094363773</c:v>
                </c:pt>
                <c:pt idx="6">
                  <c:v>0.0671558351819727</c:v>
                </c:pt>
                <c:pt idx="7">
                  <c:v>0.06399561935962678</c:v>
                </c:pt>
                <c:pt idx="8">
                  <c:v>0.0606816429168198</c:v>
                </c:pt>
                <c:pt idx="9">
                  <c:v>0.05720278694800591</c:v>
                </c:pt>
                <c:pt idx="10">
                  <c:v>0.05354137500489469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885279"/>
        <c:axId val="485885759"/>
      </c:scatterChart>
      <c:valAx>
        <c:axId val="485885759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5885279"/>
        <c:crosses val="autoZero"/>
        <c:crossBetween val="midCat"/>
      </c:valAx>
      <c:valAx>
        <c:axId val="485885279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5885759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'5000rpm'!$G$141:$G$151</c:f>
              <c:numCache>
                <c:formatCode>General</c:formatCode>
                <c:ptCount val="11"/>
                <c:pt idx="0">
                  <c:v>0.008691049624821352</c:v>
                </c:pt>
                <c:pt idx="1">
                  <c:v>0.029245323489257475</c:v>
                </c:pt>
                <c:pt idx="2">
                  <c:v>0.05332998503401581</c:v>
                </c:pt>
                <c:pt idx="3">
                  <c:v>0.08644709572032024</c:v>
                </c:pt>
                <c:pt idx="4">
                  <c:v>0.1136812611160949</c:v>
                </c:pt>
                <c:pt idx="5">
                  <c:v>0.1403586540620703</c:v>
                </c:pt>
                <c:pt idx="6">
                  <c:v>0.16408543518113106</c:v>
                </c:pt>
                <c:pt idx="7">
                  <c:v>0.19392290872848963</c:v>
                </c:pt>
                <c:pt idx="8">
                  <c:v>0.2165559593618551</c:v>
                </c:pt>
                <c:pt idx="9">
                  <c:v>0.24389360918956915</c:v>
                </c:pt>
                <c:pt idx="10">
                  <c:v>0.2649048161723505</c:v>
                </c:pt>
              </c:numCache>
            </c:numRef>
          </c:xVal>
          <c:yVal>
            <c:numRef>
              <c:f>'5000rpm'!$I$141:$I$151</c:f>
              <c:numCache>
                <c:formatCode>General</c:formatCode>
                <c:ptCount val="11"/>
                <c:pt idx="0">
                  <c:v>0.08258867731949644</c:v>
                </c:pt>
                <c:pt idx="1">
                  <c:v>0.08168063635642944</c:v>
                </c:pt>
                <c:pt idx="2">
                  <c:v>0.07909093678211297</c:v>
                </c:pt>
                <c:pt idx="3">
                  <c:v>0.07598689958587898</c:v>
                </c:pt>
                <c:pt idx="4">
                  <c:v>0.0716553786699529</c:v>
                </c:pt>
                <c:pt idx="5">
                  <c:v>0.06731471768151467</c:v>
                </c:pt>
                <c:pt idx="6">
                  <c:v>0.0631923686239619</c:v>
                </c:pt>
                <c:pt idx="7">
                  <c:v>0.059503931984650274</c:v>
                </c:pt>
                <c:pt idx="8">
                  <c:v>0.05489201572371855</c:v>
                </c:pt>
                <c:pt idx="9">
                  <c:v>0.05067394721435061</c:v>
                </c:pt>
                <c:pt idx="10">
                  <c:v>0.04585415846375509</c:v>
                </c:pt>
              </c:numCache>
            </c:numRef>
          </c:yVal>
        </c:ser>
        <c:ser>
          <c:idx val="1"/>
          <c:order val="1"/>
          <c:tx>
            <c:v>第二组+'5000rpm'!$G$151:$G$161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'5000rpm'!$G$151:$G$161</c:f>
              <c:numCache>
                <c:formatCode>General</c:formatCode>
                <c:ptCount val="11"/>
                <c:pt idx="0">
                  <c:v>0.2649048161723505</c:v>
                </c:pt>
                <c:pt idx="1">
                  <c:v>0.2432263804244101</c:v>
                </c:pt>
                <c:pt idx="2">
                  <c:v>0.21793587580459264</c:v>
                </c:pt>
                <c:pt idx="3">
                  <c:v>0.19011547072150192</c:v>
                </c:pt>
                <c:pt idx="4">
                  <c:v>0.165470272971541</c:v>
                </c:pt>
                <c:pt idx="5">
                  <c:v>0.13927560526256427</c:v>
                </c:pt>
                <c:pt idx="6">
                  <c:v>0.11210605876125472</c:v>
                </c:pt>
                <c:pt idx="7">
                  <c:v>0.08480938515631233</c:v>
                </c:pt>
                <c:pt idx="8">
                  <c:v>0.057134712868896126</c:v>
                </c:pt>
                <c:pt idx="9">
                  <c:v>0.0269815260053526</c:v>
                </c:pt>
                <c:pt idx="10">
                  <c:v>0.006952063604198401</c:v>
                </c:pt>
              </c:numCache>
            </c:numRef>
          </c:xVal>
          <c:yVal>
            <c:numRef>
              <c:f>'5000rpm'!$I$151:$I$161</c:f>
              <c:numCache>
                <c:formatCode>General</c:formatCode>
                <c:ptCount val="11"/>
                <c:pt idx="0">
                  <c:v>0.04585415846375509</c:v>
                </c:pt>
                <c:pt idx="1">
                  <c:v>0.04975804324389209</c:v>
                </c:pt>
                <c:pt idx="2">
                  <c:v>0.05494506400697817</c:v>
                </c:pt>
                <c:pt idx="3">
                  <c:v>0.060404720259596416</c:v>
                </c:pt>
                <c:pt idx="4">
                  <c:v>0.06201766993237892</c:v>
                </c:pt>
                <c:pt idx="5">
                  <c:v>0.06687475121778766</c:v>
                </c:pt>
                <c:pt idx="6">
                  <c:v>0.07286206945595584</c:v>
                </c:pt>
                <c:pt idx="7">
                  <c:v>0.07649734184439529</c:v>
                </c:pt>
                <c:pt idx="8">
                  <c:v>0.07868300392419451</c:v>
                </c:pt>
                <c:pt idx="9">
                  <c:v>0.08221329368263562</c:v>
                </c:pt>
                <c:pt idx="10">
                  <c:v>0.0838956673976246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'5000rpm'!$R$141:$R$151</c:f>
              <c:numCache>
                <c:formatCode>General</c:formatCode>
                <c:ptCount val="11"/>
                <c:pt idx="0">
                  <c:v>0.005922442577386638</c:v>
                </c:pt>
                <c:pt idx="1">
                  <c:v>0.02890666647525417</c:v>
                </c:pt>
                <c:pt idx="2">
                  <c:v>0.05624566786824094</c:v>
                </c:pt>
                <c:pt idx="3">
                  <c:v>0.08387157265008241</c:v>
                </c:pt>
                <c:pt idx="4">
                  <c:v>0.11106237586426974</c:v>
                </c:pt>
                <c:pt idx="5">
                  <c:v>0.1387318850832784</c:v>
                </c:pt>
                <c:pt idx="6">
                  <c:v>0.16470244704507914</c:v>
                </c:pt>
                <c:pt idx="7">
                  <c:v>0.19353001178911935</c:v>
                </c:pt>
                <c:pt idx="8">
                  <c:v>0.2184070391614981</c:v>
                </c:pt>
                <c:pt idx="9">
                  <c:v>0.2433061917886904</c:v>
                </c:pt>
                <c:pt idx="10">
                  <c:v>0.26516729332008854</c:v>
                </c:pt>
              </c:numCache>
            </c:numRef>
          </c:xVal>
          <c:yVal>
            <c:numRef>
              <c:f>'5000rpm'!$T$141:$T$151</c:f>
              <c:numCache>
                <c:formatCode>General</c:formatCode>
                <c:ptCount val="11"/>
                <c:pt idx="0">
                  <c:v>0.08327386948342229</c:v>
                </c:pt>
                <c:pt idx="1">
                  <c:v>0.08107338067715181</c:v>
                </c:pt>
                <c:pt idx="2">
                  <c:v>0.07669960297425064</c:v>
                </c:pt>
                <c:pt idx="3">
                  <c:v>0.07136143830650479</c:v>
                </c:pt>
                <c:pt idx="4">
                  <c:v>0.06742948329789136</c:v>
                </c:pt>
                <c:pt idx="5">
                  <c:v>0.0691519858686962</c:v>
                </c:pt>
                <c:pt idx="6">
                  <c:v>0.06457788155377371</c:v>
                </c:pt>
                <c:pt idx="7">
                  <c:v>0.059492775626726314</c:v>
                </c:pt>
                <c:pt idx="8">
                  <c:v>0.05594829634793238</c:v>
                </c:pt>
                <c:pt idx="9">
                  <c:v>0.051075461465184546</c:v>
                </c:pt>
                <c:pt idx="10">
                  <c:v>0.04649775272231939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'5000rpm'!$R$151:$R$161</c:f>
              <c:numCache>
                <c:formatCode>General</c:formatCode>
                <c:ptCount val="11"/>
                <c:pt idx="0">
                  <c:v>0.26516729332008854</c:v>
                </c:pt>
                <c:pt idx="1">
                  <c:v>0.2443721988360029</c:v>
                </c:pt>
                <c:pt idx="2">
                  <c:v>0.21739570198455085</c:v>
                </c:pt>
                <c:pt idx="3">
                  <c:v>0.1902463807393687</c:v>
                </c:pt>
                <c:pt idx="4">
                  <c:v>0.1668641580509574</c:v>
                </c:pt>
                <c:pt idx="5">
                  <c:v>0.1393880296051069</c:v>
                </c:pt>
                <c:pt idx="6">
                  <c:v>0.10987261656145177</c:v>
                </c:pt>
                <c:pt idx="7">
                  <c:v>0.08520560792831017</c:v>
                </c:pt>
                <c:pt idx="8">
                  <c:v>0.05418839640754256</c:v>
                </c:pt>
                <c:pt idx="9">
                  <c:v>0.02974248673746828</c:v>
                </c:pt>
                <c:pt idx="10">
                  <c:v>0.007127337409216576</c:v>
                </c:pt>
              </c:numCache>
            </c:numRef>
          </c:xVal>
          <c:yVal>
            <c:numRef>
              <c:f>'5000rpm'!$T$151:$T$161</c:f>
              <c:numCache>
                <c:formatCode>General</c:formatCode>
                <c:ptCount val="11"/>
                <c:pt idx="0">
                  <c:v>0.04649775272231939</c:v>
                </c:pt>
                <c:pt idx="1">
                  <c:v>0.05044495103099759</c:v>
                </c:pt>
                <c:pt idx="2">
                  <c:v>0.05632505147771631</c:v>
                </c:pt>
                <c:pt idx="3">
                  <c:v>0.06196762986665939</c:v>
                </c:pt>
                <c:pt idx="4">
                  <c:v>0.06548389589041298</c:v>
                </c:pt>
                <c:pt idx="5">
                  <c:v>0.06811494100713393</c:v>
                </c:pt>
                <c:pt idx="6">
                  <c:v>0.07266144391598026</c:v>
                </c:pt>
                <c:pt idx="7">
                  <c:v>0.07461650655943734</c:v>
                </c:pt>
                <c:pt idx="8">
                  <c:v>0.07605463405099683</c:v>
                </c:pt>
                <c:pt idx="9">
                  <c:v>0.07761059631732815</c:v>
                </c:pt>
                <c:pt idx="10">
                  <c:v>0.07809091438909567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'5000rpm'!$AT$14:$AT$24</c:f>
              <c:numCache>
                <c:formatCode>General</c:formatCode>
                <c:ptCount val="11"/>
                <c:pt idx="0">
                  <c:v>0</c:v>
                </c:pt>
                <c:pt idx="1">
                  <c:v>0.02669291338582678</c:v>
                </c:pt>
                <c:pt idx="2">
                  <c:v>0.05338582677165356</c:v>
                </c:pt>
                <c:pt idx="3">
                  <c:v>0.08007874015748032</c:v>
                </c:pt>
                <c:pt idx="4">
                  <c:v>0.10677165354330712</c:v>
                </c:pt>
                <c:pt idx="5">
                  <c:v>0.13346456692913383</c:v>
                </c:pt>
                <c:pt idx="6">
                  <c:v>0.16015748031496063</c:v>
                </c:pt>
                <c:pt idx="7">
                  <c:v>0.18685039370078743</c:v>
                </c:pt>
                <c:pt idx="8">
                  <c:v>0.21354330708661423</c:v>
                </c:pt>
                <c:pt idx="9">
                  <c:v>0.24023622047244095</c:v>
                </c:pt>
                <c:pt idx="10">
                  <c:v>0.26692913385826766</c:v>
                </c:pt>
              </c:numCache>
            </c:numRef>
          </c:xVal>
          <c:yVal>
            <c:numRef>
              <c:f>'5000rpm'!$AS$14:$AS$24</c:f>
              <c:numCache>
                <c:formatCode>General</c:formatCode>
                <c:ptCount val="11"/>
                <c:pt idx="0">
                  <c:v>0.0836476206119306</c:v>
                </c:pt>
                <c:pt idx="1">
                  <c:v>0.0806258972008846</c:v>
                </c:pt>
                <c:pt idx="2">
                  <c:v>0.07761423283445075</c:v>
                </c:pt>
                <c:pt idx="3">
                  <c:v>0.07445440330819372</c:v>
                </c:pt>
                <c:pt idx="4">
                  <c:v>0.07113905769459414</c:v>
                </c:pt>
                <c:pt idx="5">
                  <c:v>0.06765767893490979</c:v>
                </c:pt>
                <c:pt idx="6">
                  <c:v>0.0640075663897467</c:v>
                </c:pt>
                <c:pt idx="7">
                  <c:v>0.0601823795488138</c:v>
                </c:pt>
                <c:pt idx="8">
                  <c:v>0.056173452145869794</c:v>
                </c:pt>
                <c:pt idx="9">
                  <c:v>0.05197034856197231</c:v>
                </c:pt>
                <c:pt idx="10">
                  <c:v>0.04757659414830129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952767"/>
        <c:axId val="124958047"/>
      </c:scatterChart>
      <c:valAx>
        <c:axId val="124958047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4952767"/>
        <c:crosses val="autoZero"/>
        <c:crossBetween val="midCat"/>
      </c:valAx>
      <c:valAx>
        <c:axId val="124952767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124958047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400" b="0" i="0" u="non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scatterChart>
        <c:scatterStyle val="lineMarker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'5000rpm'!$G$169:$G$179</c:f>
              <c:numCache>
                <c:formatCode>General</c:formatCode>
                <c:ptCount val="11"/>
                <c:pt idx="0">
                  <c:v>0.006626751113825568</c:v>
                </c:pt>
                <c:pt idx="1">
                  <c:v>0.029037704391310346</c:v>
                </c:pt>
                <c:pt idx="2">
                  <c:v>0.055903385918928836</c:v>
                </c:pt>
                <c:pt idx="3">
                  <c:v>0.08271539882189483</c:v>
                </c:pt>
                <c:pt idx="4">
                  <c:v>0.11072779724648786</c:v>
                </c:pt>
                <c:pt idx="5">
                  <c:v>0.1375600858818363</c:v>
                </c:pt>
                <c:pt idx="6">
                  <c:v>0.16307024317738883</c:v>
                </c:pt>
                <c:pt idx="7">
                  <c:v>0.1900566507055398</c:v>
                </c:pt>
                <c:pt idx="8">
                  <c:v>0.21423126064423215</c:v>
                </c:pt>
                <c:pt idx="9">
                  <c:v>0.2384982186344792</c:v>
                </c:pt>
                <c:pt idx="10">
                  <c:v>0.2650607952279003</c:v>
                </c:pt>
              </c:numCache>
            </c:numRef>
          </c:xVal>
          <c:yVal>
            <c:numRef>
              <c:f>'5000rpm'!$I$169:$I$179</c:f>
              <c:numCache>
                <c:formatCode>General</c:formatCode>
                <c:ptCount val="11"/>
                <c:pt idx="0">
                  <c:v>0.09023898873487052</c:v>
                </c:pt>
                <c:pt idx="1">
                  <c:v>0.08907026150241883</c:v>
                </c:pt>
                <c:pt idx="2">
                  <c:v>0.08575017968164991</c:v>
                </c:pt>
                <c:pt idx="3">
                  <c:v>0.08241634337571008</c:v>
                </c:pt>
                <c:pt idx="4">
                  <c:v>0.08035295276421973</c:v>
                </c:pt>
                <c:pt idx="5">
                  <c:v>0.07634310536004653</c:v>
                </c:pt>
                <c:pt idx="6">
                  <c:v>0.07044926931856418</c:v>
                </c:pt>
                <c:pt idx="7">
                  <c:v>0.06697529976372787</c:v>
                </c:pt>
                <c:pt idx="8">
                  <c:v>0.06127124850164021</c:v>
                </c:pt>
                <c:pt idx="9">
                  <c:v>0.05634402299371738</c:v>
                </c:pt>
                <c:pt idx="10">
                  <c:v>0.05407685913839316</c:v>
                </c:pt>
              </c:numCache>
            </c:numRef>
          </c:yVal>
        </c:ser>
        <c:ser>
          <c:idx val="1"/>
          <c:order val="1"/>
          <c:tx>
            <c:v>第二组</c:v>
          </c:tx>
          <c:spPr>
            <a:ln xmlns:a="http://schemas.openxmlformats.org/drawingml/2006/main" w="19050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</a:ln>
            </c:spPr>
          </c:marker>
          <c:xVal>
            <c:numRef>
              <c:f>('5000rpm'!$G$179:$G$189,'5000rpm'!$I$179:$I$189)</c:f>
              <c:numCache>
                <c:formatCode>General</c:formatCode>
                <c:ptCount val="22"/>
                <c:pt idx="0">
                  <c:v>0.2650607952279003</c:v>
                </c:pt>
                <c:pt idx="1">
                  <c:v>0.2429573700894573</c:v>
                </c:pt>
                <c:pt idx="2">
                  <c:v>0.21715738611388388</c:v>
                </c:pt>
                <c:pt idx="3">
                  <c:v>0.1925170582501533</c:v>
                </c:pt>
                <c:pt idx="4">
                  <c:v>0.1637171321780102</c:v>
                </c:pt>
                <c:pt idx="5">
                  <c:v>0.1389983975442941</c:v>
                </c:pt>
                <c:pt idx="6">
                  <c:v>0.11201475019681066</c:v>
                </c:pt>
                <c:pt idx="7">
                  <c:v>0.08487982044779221</c:v>
                </c:pt>
                <c:pt idx="8">
                  <c:v>0.05725981741159923</c:v>
                </c:pt>
                <c:pt idx="9">
                  <c:v>0.026936206854465933</c:v>
                </c:pt>
                <c:pt idx="10">
                  <c:v>0.00709299282097986</c:v>
                </c:pt>
                <c:pt idx="11">
                  <c:v>0.05407685913839316</c:v>
                </c:pt>
                <c:pt idx="12">
                  <c:v>0.058569394416687265</c:v>
                </c:pt>
                <c:pt idx="13">
                  <c:v>0.06276610857347087</c:v>
                </c:pt>
                <c:pt idx="14">
                  <c:v>0.06789806763562665</c:v>
                </c:pt>
                <c:pt idx="15">
                  <c:v>0.07291578572190117</c:v>
                </c:pt>
                <c:pt idx="16">
                  <c:v>0.076155320463492</c:v>
                </c:pt>
                <c:pt idx="17">
                  <c:v>0.0797015090402369</c:v>
                </c:pt>
                <c:pt idx="18">
                  <c:v>0.08349076726324356</c:v>
                </c:pt>
                <c:pt idx="19">
                  <c:v>0.08597122884512001</c:v>
                </c:pt>
                <c:pt idx="20">
                  <c:v>0.08855787170565056</c:v>
                </c:pt>
                <c:pt idx="21">
                  <c:v>0.09010151894848603</c:v>
                </c:pt>
              </c:numCache>
            </c:numRef>
          </c:xVal>
          <c:yVal>
            <c:numRef>
              <c:f>'5000rpm'!$I$179:$I$189</c:f>
              <c:numCache>
                <c:formatCode>General</c:formatCode>
                <c:ptCount val="11"/>
                <c:pt idx="0">
                  <c:v>0.05407685913839316</c:v>
                </c:pt>
                <c:pt idx="1">
                  <c:v>0.058569394416687265</c:v>
                </c:pt>
                <c:pt idx="2">
                  <c:v>0.06276610857347087</c:v>
                </c:pt>
                <c:pt idx="3">
                  <c:v>0.06789806763562665</c:v>
                </c:pt>
                <c:pt idx="4">
                  <c:v>0.07291578572190117</c:v>
                </c:pt>
                <c:pt idx="5">
                  <c:v>0.076155320463492</c:v>
                </c:pt>
                <c:pt idx="6">
                  <c:v>0.0797015090402369</c:v>
                </c:pt>
                <c:pt idx="7">
                  <c:v>0.08349076726324356</c:v>
                </c:pt>
                <c:pt idx="8">
                  <c:v>0.08597122884512001</c:v>
                </c:pt>
                <c:pt idx="9">
                  <c:v>0.08855787170565056</c:v>
                </c:pt>
                <c:pt idx="10">
                  <c:v>0.09010151894848603</c:v>
                </c:pt>
              </c:numCache>
            </c:numRef>
          </c:yVal>
        </c:ser>
        <c:ser>
          <c:idx val="2"/>
          <c:order val="2"/>
          <c:tx>
            <c:v>第三组</c:v>
          </c:tx>
          <c:spPr>
            <a:ln xmlns:a="http://schemas.openxmlformats.org/drawingml/2006/main" w="1905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</a:ln>
            </c:spPr>
          </c:marker>
          <c:xVal>
            <c:numRef>
              <c:f>'5000rpm'!$R$169:$R$179</c:f>
              <c:numCache>
                <c:formatCode>General</c:formatCode>
                <c:ptCount val="11"/>
                <c:pt idx="0">
                  <c:v>0.005850237269883953</c:v>
                </c:pt>
                <c:pt idx="1">
                  <c:v>0.028618961686192396</c:v>
                </c:pt>
                <c:pt idx="2">
                  <c:v>0.05623101537363674</c:v>
                </c:pt>
                <c:pt idx="3">
                  <c:v>0.08353128497431957</c:v>
                </c:pt>
                <c:pt idx="4">
                  <c:v>0.11072744787772336</c:v>
                </c:pt>
                <c:pt idx="5">
                  <c:v>0.1379465666773709</c:v>
                </c:pt>
                <c:pt idx="6">
                  <c:v>0.1672488876614331</c:v>
                </c:pt>
                <c:pt idx="7">
                  <c:v>0.19056915219316264</c:v>
                </c:pt>
                <c:pt idx="8">
                  <c:v>0.2173681230486076</c:v>
                </c:pt>
                <c:pt idx="9">
                  <c:v>0.2434453147202203</c:v>
                </c:pt>
                <c:pt idx="10">
                  <c:v>0.26686510884545545</c:v>
                </c:pt>
              </c:numCache>
            </c:numRef>
          </c:xVal>
          <c:yVal>
            <c:numRef>
              <c:f>'5000rpm'!$T$169:$T$179</c:f>
              <c:numCache>
                <c:formatCode>General</c:formatCode>
                <c:ptCount val="11"/>
                <c:pt idx="0">
                  <c:v>0.08957397762746652</c:v>
                </c:pt>
                <c:pt idx="1">
                  <c:v>0.08831360088506816</c:v>
                </c:pt>
                <c:pt idx="2">
                  <c:v>0.08669570394882745</c:v>
                </c:pt>
                <c:pt idx="3">
                  <c:v>0.08329994764669986</c:v>
                </c:pt>
                <c:pt idx="4">
                  <c:v>0.07948587005629906</c:v>
                </c:pt>
                <c:pt idx="5">
                  <c:v>0.07559633839792797</c:v>
                </c:pt>
                <c:pt idx="6">
                  <c:v>0.07075736814636407</c:v>
                </c:pt>
                <c:pt idx="7">
                  <c:v>0.06666038928825946</c:v>
                </c:pt>
                <c:pt idx="8">
                  <c:v>0.06256982967466478</c:v>
                </c:pt>
                <c:pt idx="9">
                  <c:v>0.05804179690778275</c:v>
                </c:pt>
                <c:pt idx="10">
                  <c:v>0.05424626858898892</c:v>
                </c:pt>
              </c:numCache>
            </c:numRef>
          </c:yVal>
        </c:ser>
        <c:ser>
          <c:idx val="3"/>
          <c:order val="3"/>
          <c:tx>
            <c:v>第四组</c:v>
          </c:tx>
          <c:spPr>
            <a:ln xmlns:a="http://schemas.openxmlformats.org/drawingml/2006/main" w="19050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</a:ln>
            </c:spPr>
          </c:marker>
          <c:xVal>
            <c:numRef>
              <c:f>'5000rpm'!$R$179:$R$189</c:f>
              <c:numCache>
                <c:formatCode>General</c:formatCode>
                <c:ptCount val="11"/>
                <c:pt idx="0">
                  <c:v>0.26686510884545545</c:v>
                </c:pt>
                <c:pt idx="1">
                  <c:v>0.24217381894891812</c:v>
                </c:pt>
                <c:pt idx="2">
                  <c:v>0.21539845277447617</c:v>
                </c:pt>
                <c:pt idx="3">
                  <c:v>0.19200558914045968</c:v>
                </c:pt>
                <c:pt idx="4">
                  <c:v>0.16298417015748054</c:v>
                </c:pt>
                <c:pt idx="5">
                  <c:v>0.13942090845503774</c:v>
                </c:pt>
                <c:pt idx="6">
                  <c:v>0.11211680327493279</c:v>
                </c:pt>
                <c:pt idx="7">
                  <c:v>0.0850008192689009</c:v>
                </c:pt>
                <c:pt idx="8">
                  <c:v>0.05711317898484015</c:v>
                </c:pt>
                <c:pt idx="9">
                  <c:v>0.02983329291892697</c:v>
                </c:pt>
                <c:pt idx="10">
                  <c:v>0.007103070257820942</c:v>
                </c:pt>
              </c:numCache>
            </c:numRef>
          </c:xVal>
          <c:yVal>
            <c:numRef>
              <c:f>'5000rpm'!$T$179:$T$189</c:f>
              <c:numCache>
                <c:formatCode>General</c:formatCode>
                <c:ptCount val="11"/>
                <c:pt idx="0">
                  <c:v>0.05424626858898892</c:v>
                </c:pt>
                <c:pt idx="1">
                  <c:v>0.05764420502020238</c:v>
                </c:pt>
                <c:pt idx="2">
                  <c:v>0.06128880694210512</c:v>
                </c:pt>
                <c:pt idx="3">
                  <c:v>0.06726640937269097</c:v>
                </c:pt>
                <c:pt idx="4">
                  <c:v>0.07171655821320526</c:v>
                </c:pt>
                <c:pt idx="5">
                  <c:v>0.0762777444343838</c:v>
                </c:pt>
                <c:pt idx="6">
                  <c:v>0.07954508927682481</c:v>
                </c:pt>
                <c:pt idx="7">
                  <c:v>0.08339279393704405</c:v>
                </c:pt>
                <c:pt idx="8">
                  <c:v>0.08528698656731218</c:v>
                </c:pt>
                <c:pt idx="9">
                  <c:v>0.08848668359156962</c:v>
                </c:pt>
                <c:pt idx="10">
                  <c:v>0.08969593297033752</c:v>
                </c:pt>
              </c:numCache>
            </c:numRef>
          </c:yVal>
        </c:ser>
        <c:ser>
          <c:idx val="4"/>
          <c:order val="4"/>
          <c:tx>
            <c:v>理论</c:v>
          </c:tx>
          <c:spPr>
            <a:ln xmlns:a="http://schemas.openxmlformats.org/drawingml/2006/main" w="19050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</a:ln>
            </c:spPr>
          </c:marker>
          <c:xVal>
            <c:numRef>
              <c:f>'5000rpm'!$AT$3:$AT$13</c:f>
              <c:numCache>
                <c:formatCode>General</c:formatCode>
                <c:ptCount val="11"/>
                <c:pt idx="0">
                  <c:v>0</c:v>
                </c:pt>
                <c:pt idx="1">
                  <c:v>0.02669291338582678</c:v>
                </c:pt>
                <c:pt idx="2">
                  <c:v>0.05338582677165356</c:v>
                </c:pt>
                <c:pt idx="3">
                  <c:v>0.08007874015748032</c:v>
                </c:pt>
                <c:pt idx="4">
                  <c:v>0.10677165354330712</c:v>
                </c:pt>
                <c:pt idx="5">
                  <c:v>0.13346456692913383</c:v>
                </c:pt>
                <c:pt idx="6">
                  <c:v>0.16015748031496063</c:v>
                </c:pt>
                <c:pt idx="7">
                  <c:v>0.18685039370078743</c:v>
                </c:pt>
                <c:pt idx="8">
                  <c:v>0.21354330708661423</c:v>
                </c:pt>
                <c:pt idx="9">
                  <c:v>0.24023622047244095</c:v>
                </c:pt>
                <c:pt idx="10">
                  <c:v>0.26692913385826766</c:v>
                </c:pt>
              </c:numCache>
            </c:numRef>
          </c:xVal>
          <c:yVal>
            <c:numRef>
              <c:f>'5000rpm'!$AS$3:$AS$13</c:f>
              <c:numCache>
                <c:formatCode>General</c:formatCode>
                <c:ptCount val="11"/>
                <c:pt idx="0">
                  <c:v>0.0836476206119306</c:v>
                </c:pt>
                <c:pt idx="1">
                  <c:v>0.08062006951544623</c:v>
                </c:pt>
                <c:pt idx="2">
                  <c:v>0.07743887171557279</c:v>
                </c:pt>
                <c:pt idx="3">
                  <c:v>0.07410283354547127</c:v>
                </c:pt>
                <c:pt idx="4">
                  <c:v>0.07058627743332085</c:v>
                </c:pt>
                <c:pt idx="5">
                  <c:v>0.06687732942021296</c:v>
                </c:pt>
                <c:pt idx="6">
                  <c:v>0.06296598645140293</c:v>
                </c:pt>
                <c:pt idx="7">
                  <c:v>0.058822527558622655</c:v>
                </c:pt>
                <c:pt idx="8">
                  <c:v>0.05451297507573095</c:v>
                </c:pt>
                <c:pt idx="9">
                  <c:v>0.05006199567859797</c:v>
                </c:pt>
                <c:pt idx="10">
                  <c:v>0.04543547632278634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909263"/>
        <c:axId val="541904463"/>
      </c:scatterChart>
      <c:valAx>
        <c:axId val="541904463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41909263"/>
        <c:crosses val="autoZero"/>
        <c:crossBetween val="midCat"/>
      </c:valAx>
      <c:valAx>
        <c:axId val="541909263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541904463"/>
        <c:crosses val="autoZero"/>
        <c:crossBetween val="midCat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3000rpm：残差–J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scatterChart>
        <c:scatterStyle val="marker"/>
        <c:ser>
          <c:idx val="0"/>
          <c:order val="0"/>
          <c:tx>
            <c:v>0°</c:v>
          </c:tx>
          <c:spPr>
            <a:solidFill xmlns:a="http://schemas.openxmlformats.org/drawingml/2006/main">
              <a:srgbClr val="0F4C5C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'残差明细'!$Q$6:$Q$28</c:f>
              <c:numCache>
                <c:formatCode>0.000</c:formatCode>
                <c:ptCount val="0"/>
              </c:numCache>
            </c:numRef>
          </c:yVal>
        </c:ser>
        <c:ser>
          <c:idx val="1"/>
          <c:order val="1"/>
          <c:tx>
            <c:v>15°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'残差明细'!$Q$29:$Q$51</c:f>
              <c:numCache>
                <c:formatCode>0.000</c:formatCode>
                <c:ptCount val="0"/>
              </c:numCache>
            </c:numRef>
          </c:yVal>
        </c:ser>
        <c:ser>
          <c:idx val="2"/>
          <c:order val="2"/>
          <c:tx>
            <c:v>30°</c:v>
          </c:tx>
          <c:spPr>
            <a:solidFill xmlns:a="http://schemas.openxmlformats.org/drawingml/2006/main">
              <a:srgbClr val="7C3AED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'残差明细'!$Q$52:$Q$74</c:f>
              <c:numCache>
                <c:formatCode>0.000</c:formatCode>
                <c:ptCount val="0"/>
              </c:numCache>
            </c:numRef>
          </c:yVal>
        </c:ser>
        <c:ser>
          <c:idx val="3"/>
          <c:order val="3"/>
          <c:tx>
            <c:v>45°</c:v>
          </c:tx>
          <c:spPr>
            <a:solidFill xmlns:a="http://schemas.openxmlformats.org/drawingml/2006/main">
              <a:srgbClr val="DB2777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'残差明细'!$Q$75:$Q$97</c:f>
              <c:numCache>
                <c:formatCode>0.000</c:formatCode>
                <c:ptCount val="0"/>
              </c:numCache>
            </c:numRef>
          </c:yVal>
        </c:ser>
        <c:ser>
          <c:idx val="4"/>
          <c:order val="4"/>
          <c:tx>
            <c:v>60°</c:v>
          </c:tx>
          <c:spPr>
            <a:solidFill xmlns:a="http://schemas.openxmlformats.org/drawingml/2006/main">
              <a:srgbClr val="EA580C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'残差明细'!$Q$98:$Q$120</c:f>
              <c:numCache>
                <c:formatCode>0.000</c:formatCode>
                <c:ptCount val="0"/>
              </c:numCache>
            </c:numRef>
          </c:yVal>
        </c:ser>
        <c:ser>
          <c:idx val="5"/>
          <c:order val="5"/>
          <c:tx>
            <c:v>75°</c:v>
          </c:tx>
          <c:spPr>
            <a:solidFill xmlns:a="http://schemas.openxmlformats.org/drawingml/2006/main">
              <a:srgbClr val="65A30D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'残差明细'!$Q$121:$Q$143</c:f>
              <c:numCache>
                <c:formatCode>0.000</c:formatCode>
                <c:ptCount val="0"/>
              </c:numCache>
            </c:numRef>
          </c:yVal>
        </c:ser>
        <c:ser>
          <c:idx val="6"/>
          <c:order val="6"/>
          <c:tx>
            <c:v>90°</c:v>
          </c:tx>
          <c:spPr>
            <a:solidFill xmlns:a="http://schemas.openxmlformats.org/drawingml/2006/main">
              <a:srgbClr val="0891B2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'残差明细'!$Q$144:$Q$166</c:f>
              <c:numCache>
                <c:formatCode>0.000</c:formatCode>
                <c:ptCount val="0"/>
              </c:numCache>
            </c:numRef>
          </c:yVal>
        </c:ser>
        <c:ser>
          <c:idx val="7"/>
          <c:order val="7"/>
          <c:tx>
            <c:v>零残差</c:v>
          </c:tx>
          <c:spPr>
            <a:solidFill xmlns:a="http://schemas.openxmlformats.org/drawingml/2006/main">
              <a:srgbClr val="111827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'残差汇总'!$Y$2:$Y$12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C_T_prop 残差（实验均值−理论）</a:t>
                </a:r>
              </a:p>
            </c:rich>
          </c:tx>
          <c:overlay val="0"/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前进比 J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4000rpm：残差–J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scatterChart>
        <c:scatterStyle val="marker"/>
        <c:ser>
          <c:idx val="0"/>
          <c:order val="0"/>
          <c:tx>
            <c:v>0°</c:v>
          </c:tx>
          <c:spPr>
            <a:solidFill xmlns:a="http://schemas.openxmlformats.org/drawingml/2006/main">
              <a:srgbClr val="0F4C5C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'残差明细'!$Q$167:$Q$190</c:f>
              <c:numCache>
                <c:formatCode>0.000</c:formatCode>
                <c:ptCount val="0"/>
              </c:numCache>
            </c:numRef>
          </c:yVal>
        </c:ser>
        <c:ser>
          <c:idx val="1"/>
          <c:order val="1"/>
          <c:tx>
            <c:v>15°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'残差明细'!$Q$191:$Q$213</c:f>
              <c:numCache>
                <c:formatCode>0.000</c:formatCode>
                <c:ptCount val="0"/>
              </c:numCache>
            </c:numRef>
          </c:yVal>
        </c:ser>
        <c:ser>
          <c:idx val="2"/>
          <c:order val="2"/>
          <c:tx>
            <c:v>30°</c:v>
          </c:tx>
          <c:spPr>
            <a:solidFill xmlns:a="http://schemas.openxmlformats.org/drawingml/2006/main">
              <a:srgbClr val="7C3AED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'残差明细'!$Q$214:$Q$236</c:f>
              <c:numCache>
                <c:formatCode>0.000</c:formatCode>
                <c:ptCount val="0"/>
              </c:numCache>
            </c:numRef>
          </c:yVal>
        </c:ser>
        <c:ser>
          <c:idx val="3"/>
          <c:order val="3"/>
          <c:tx>
            <c:v>45°</c:v>
          </c:tx>
          <c:spPr>
            <a:solidFill xmlns:a="http://schemas.openxmlformats.org/drawingml/2006/main">
              <a:srgbClr val="DB2777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'残差明细'!$Q$237:$Q$259</c:f>
              <c:numCache>
                <c:formatCode>0.000</c:formatCode>
                <c:ptCount val="0"/>
              </c:numCache>
            </c:numRef>
          </c:yVal>
        </c:ser>
        <c:ser>
          <c:idx val="4"/>
          <c:order val="4"/>
          <c:tx>
            <c:v>60°</c:v>
          </c:tx>
          <c:spPr>
            <a:solidFill xmlns:a="http://schemas.openxmlformats.org/drawingml/2006/main">
              <a:srgbClr val="EA580C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'残差明细'!$Q$260:$Q$283</c:f>
              <c:numCache>
                <c:formatCode>0.000</c:formatCode>
                <c:ptCount val="0"/>
              </c:numCache>
            </c:numRef>
          </c:yVal>
        </c:ser>
        <c:ser>
          <c:idx val="5"/>
          <c:order val="5"/>
          <c:tx>
            <c:v>75°</c:v>
          </c:tx>
          <c:spPr>
            <a:solidFill xmlns:a="http://schemas.openxmlformats.org/drawingml/2006/main">
              <a:srgbClr val="65A30D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'残差明细'!$Q$284:$Q$307</c:f>
              <c:numCache>
                <c:formatCode>0.000</c:formatCode>
                <c:ptCount val="0"/>
              </c:numCache>
            </c:numRef>
          </c:yVal>
        </c:ser>
        <c:ser>
          <c:idx val="6"/>
          <c:order val="6"/>
          <c:tx>
            <c:v>90°</c:v>
          </c:tx>
          <c:spPr>
            <a:solidFill xmlns:a="http://schemas.openxmlformats.org/drawingml/2006/main">
              <a:srgbClr val="0891B2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'残差明细'!$Q$308:$Q$330</c:f>
              <c:numCache>
                <c:formatCode>0.000</c:formatCode>
                <c:ptCount val="0"/>
              </c:numCache>
            </c:numRef>
          </c:yVal>
        </c:ser>
        <c:ser>
          <c:idx val="7"/>
          <c:order val="7"/>
          <c:tx>
            <c:v>零残差</c:v>
          </c:tx>
          <c:spPr>
            <a:solidFill xmlns:a="http://schemas.openxmlformats.org/drawingml/2006/main">
              <a:srgbClr val="111827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'残差汇总'!$Y$15:$Y$25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C_T_prop 残差（实验均值−理论）</a:t>
                </a:r>
              </a:p>
            </c:rich>
          </c:tx>
          <c:overlay val="0"/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前进比 J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5000rpm：残差–J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scatterChart>
        <c:scatterStyle val="marker"/>
        <c:ser>
          <c:idx val="0"/>
          <c:order val="0"/>
          <c:tx>
            <c:v>0°</c:v>
          </c:tx>
          <c:spPr>
            <a:solidFill xmlns:a="http://schemas.openxmlformats.org/drawingml/2006/main">
              <a:srgbClr val="0F4C5C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'残差明细'!$Q$331:$Q$354</c:f>
              <c:numCache>
                <c:formatCode>0.000</c:formatCode>
                <c:ptCount val="0"/>
              </c:numCache>
            </c:numRef>
          </c:yVal>
        </c:ser>
        <c:ser>
          <c:idx val="1"/>
          <c:order val="1"/>
          <c:tx>
            <c:v>15°</c:v>
          </c:tx>
          <c:spPr>
            <a:solidFill xmlns:a="http://schemas.openxmlformats.org/drawingml/2006/main">
              <a:srgbClr val="2563EB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'残差明细'!$Q$355:$Q$377</c:f>
              <c:numCache>
                <c:formatCode>0.000</c:formatCode>
                <c:ptCount val="0"/>
              </c:numCache>
            </c:numRef>
          </c:yVal>
        </c:ser>
        <c:ser>
          <c:idx val="2"/>
          <c:order val="2"/>
          <c:tx>
            <c:v>30°</c:v>
          </c:tx>
          <c:spPr>
            <a:solidFill xmlns:a="http://schemas.openxmlformats.org/drawingml/2006/main">
              <a:srgbClr val="7C3AED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'残差明细'!$Q$378:$Q$400</c:f>
              <c:numCache>
                <c:formatCode>0.000</c:formatCode>
                <c:ptCount val="0"/>
              </c:numCache>
            </c:numRef>
          </c:yVal>
        </c:ser>
        <c:ser>
          <c:idx val="3"/>
          <c:order val="3"/>
          <c:tx>
            <c:v>45°</c:v>
          </c:tx>
          <c:spPr>
            <a:solidFill xmlns:a="http://schemas.openxmlformats.org/drawingml/2006/main">
              <a:srgbClr val="DB2777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'残差明细'!$Q$401:$Q$422</c:f>
              <c:numCache>
                <c:formatCode>0.000</c:formatCode>
                <c:ptCount val="0"/>
              </c:numCache>
            </c:numRef>
          </c:yVal>
        </c:ser>
        <c:ser>
          <c:idx val="4"/>
          <c:order val="4"/>
          <c:tx>
            <c:v>60°</c:v>
          </c:tx>
          <c:spPr>
            <a:solidFill xmlns:a="http://schemas.openxmlformats.org/drawingml/2006/main">
              <a:srgbClr val="EA580C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'残差明细'!$Q$423:$Q$445</c:f>
              <c:numCache>
                <c:formatCode>0.000</c:formatCode>
                <c:ptCount val="0"/>
              </c:numCache>
            </c:numRef>
          </c:yVal>
        </c:ser>
        <c:ser>
          <c:idx val="5"/>
          <c:order val="5"/>
          <c:tx>
            <c:v>75°</c:v>
          </c:tx>
          <c:spPr>
            <a:solidFill xmlns:a="http://schemas.openxmlformats.org/drawingml/2006/main">
              <a:srgbClr val="65A30D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'残差明细'!$Q$446:$Q$468</c:f>
              <c:numCache>
                <c:formatCode>0.000</c:formatCode>
                <c:ptCount val="0"/>
              </c:numCache>
            </c:numRef>
          </c:yVal>
        </c:ser>
        <c:ser>
          <c:idx val="6"/>
          <c:order val="6"/>
          <c:tx>
            <c:v>90°</c:v>
          </c:tx>
          <c:spPr>
            <a:solidFill xmlns:a="http://schemas.openxmlformats.org/drawingml/2006/main">
              <a:srgbClr val="0891B2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'残差明细'!$Q$469:$Q$491</c:f>
              <c:numCache>
                <c:formatCode>0.000</c:formatCode>
                <c:ptCount val="0"/>
              </c:numCache>
            </c:numRef>
          </c:yVal>
        </c:ser>
        <c:ser>
          <c:idx val="7"/>
          <c:order val="7"/>
          <c:tx>
            <c:v>零残差</c:v>
          </c:tx>
          <c:spPr>
            <a:solidFill xmlns:a="http://schemas.openxmlformats.org/drawingml/2006/main">
              <a:srgbClr val="111827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'残差汇总'!$Y$28:$Y$38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C_T_prop 残差（实验均值−理论）</a:t>
                </a:r>
              </a:p>
            </c:rich>
          </c:tx>
          <c:overlay val="0"/>
        </c:title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前进比 J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20</xdr:col>
      <xdr:colOff>595312</xdr:colOff>
      <xdr:row>2</xdr:row>
      <xdr:rowOff>57150</xdr:rowOff>
    </xdr:from>
    <xdr:to>
      <xdr:col>27</xdr:col>
      <xdr:colOff>366712</xdr:colOff>
      <xdr:row>17</xdr:row>
      <xdr:rowOff>85725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f4236afd714ceb"/>
        </a:graphicData>
      </a:graphic>
    </xdr:graphicFrame>
    <xdr:clientData/>
  </xdr:twoCellAnchor>
  <xdr:twoCellAnchor>
    <xdr:from>
      <xdr:col>21</xdr:col>
      <xdr:colOff>385762</xdr:colOff>
      <xdr:row>28</xdr:row>
      <xdr:rowOff>9525</xdr:rowOff>
    </xdr:from>
    <xdr:to>
      <xdr:col>28</xdr:col>
      <xdr:colOff>157162</xdr:colOff>
      <xdr:row>43</xdr:row>
      <xdr:rowOff>38100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37e3b367bd34520"/>
        </a:graphicData>
      </a:graphic>
    </xdr:graphicFrame>
    <xdr:clientData/>
  </xdr:twoCellAnchor>
  <xdr:twoCellAnchor>
    <xdr:from>
      <xdr:col>19</xdr:col>
      <xdr:colOff>481012</xdr:colOff>
      <xdr:row>56</xdr:row>
      <xdr:rowOff>38100</xdr:rowOff>
    </xdr:from>
    <xdr:to>
      <xdr:col>26</xdr:col>
      <xdr:colOff>252412</xdr:colOff>
      <xdr:row>71</xdr:row>
      <xdr:rowOff>66675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8934adc4cf4fca"/>
        </a:graphicData>
      </a:graphic>
    </xdr:graphicFrame>
    <xdr:clientData/>
  </xdr:twoCellAnchor>
  <xdr:twoCellAnchor>
    <xdr:from>
      <xdr:col>20</xdr:col>
      <xdr:colOff>233362</xdr:colOff>
      <xdr:row>87</xdr:row>
      <xdr:rowOff>38100</xdr:rowOff>
    </xdr:from>
    <xdr:to>
      <xdr:col>27</xdr:col>
      <xdr:colOff>4762</xdr:colOff>
      <xdr:row>102</xdr:row>
      <xdr:rowOff>66675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7581bd6ce14ec8"/>
        </a:graphicData>
      </a:graphic>
    </xdr:graphicFrame>
    <xdr:clientData/>
  </xdr:twoCellAnchor>
  <xdr:twoCellAnchor>
    <xdr:from>
      <xdr:col>23</xdr:col>
      <xdr:colOff>142875</xdr:colOff>
      <xdr:row>70</xdr:row>
      <xdr:rowOff>95250</xdr:rowOff>
    </xdr:from>
    <xdr:to>
      <xdr:col>29</xdr:col>
      <xdr:colOff>600075</xdr:colOff>
      <xdr:row>85</xdr:row>
      <xdr:rowOff>123825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bd4f306c214515"/>
        </a:graphicData>
      </a:graphic>
    </xdr:graphicFrame>
    <xdr:clientData/>
  </xdr:twoCellAnchor>
  <xdr:twoCellAnchor>
    <xdr:from>
      <xdr:col>18</xdr:col>
      <xdr:colOff>604837</xdr:colOff>
      <xdr:row>111</xdr:row>
      <xdr:rowOff>123825</xdr:rowOff>
    </xdr:from>
    <xdr:to>
      <xdr:col>25</xdr:col>
      <xdr:colOff>376237</xdr:colOff>
      <xdr:row>126</xdr:row>
      <xdr:rowOff>152400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85fa9a0b354fbe"/>
        </a:graphicData>
      </a:graphic>
    </xdr:graphicFrame>
    <xdr:clientData/>
  </xdr:twoCellAnchor>
  <xdr:twoCellAnchor>
    <xdr:from>
      <xdr:col>20</xdr:col>
      <xdr:colOff>214312</xdr:colOff>
      <xdr:row>143</xdr:row>
      <xdr:rowOff>161925</xdr:rowOff>
    </xdr:from>
    <xdr:to>
      <xdr:col>26</xdr:col>
      <xdr:colOff>671512</xdr:colOff>
      <xdr:row>159</xdr:row>
      <xdr:rowOff>9525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37fc32bb294484"/>
        </a:graphicData>
      </a:graphic>
    </xdr:graphicFrame>
    <xdr:clientData/>
  </xdr:twoCellAnchor>
  <xdr:twoCellAnchor>
    <xdr:from>
      <xdr:col>20</xdr:col>
      <xdr:colOff>185737</xdr:colOff>
      <xdr:row>173</xdr:row>
      <xdr:rowOff>85725</xdr:rowOff>
    </xdr:from>
    <xdr:to>
      <xdr:col>26</xdr:col>
      <xdr:colOff>642937</xdr:colOff>
      <xdr:row>188</xdr:row>
      <xdr:rowOff>114300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6a8692f5604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442912</xdr:colOff>
      <xdr:row>32</xdr:row>
      <xdr:rowOff>76200</xdr:rowOff>
    </xdr:from>
    <xdr:to>
      <xdr:col>28</xdr:col>
      <xdr:colOff>214312</xdr:colOff>
      <xdr:row>47</xdr:row>
      <xdr:rowOff>104775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6ca6a4740044b2"/>
        </a:graphicData>
      </a:graphic>
    </xdr:graphicFrame>
    <xdr:clientData/>
  </xdr:twoCellAnchor>
  <xdr:twoCellAnchor>
    <xdr:from>
      <xdr:col>20</xdr:col>
      <xdr:colOff>280987</xdr:colOff>
      <xdr:row>4</xdr:row>
      <xdr:rowOff>142875</xdr:rowOff>
    </xdr:from>
    <xdr:to>
      <xdr:col>27</xdr:col>
      <xdr:colOff>52387</xdr:colOff>
      <xdr:row>19</xdr:row>
      <xdr:rowOff>171450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02f4cd679c4566"/>
        </a:graphicData>
      </a:graphic>
    </xdr:graphicFrame>
    <xdr:clientData/>
  </xdr:twoCellAnchor>
  <xdr:twoCellAnchor>
    <xdr:from>
      <xdr:col>21</xdr:col>
      <xdr:colOff>290512</xdr:colOff>
      <xdr:row>59</xdr:row>
      <xdr:rowOff>76200</xdr:rowOff>
    </xdr:from>
    <xdr:to>
      <xdr:col>28</xdr:col>
      <xdr:colOff>61912</xdr:colOff>
      <xdr:row>74</xdr:row>
      <xdr:rowOff>104775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44e07cb0f34eca"/>
        </a:graphicData>
      </a:graphic>
    </xdr:graphicFrame>
    <xdr:clientData/>
  </xdr:twoCellAnchor>
  <xdr:twoCellAnchor>
    <xdr:from>
      <xdr:col>21</xdr:col>
      <xdr:colOff>71437</xdr:colOff>
      <xdr:row>87</xdr:row>
      <xdr:rowOff>152400</xdr:rowOff>
    </xdr:from>
    <xdr:to>
      <xdr:col>27</xdr:col>
      <xdr:colOff>528637</xdr:colOff>
      <xdr:row>103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67e83c56fc4c43"/>
        </a:graphicData>
      </a:graphic>
    </xdr:graphicFrame>
    <xdr:clientData/>
  </xdr:twoCellAnchor>
  <xdr:twoCellAnchor>
    <xdr:from>
      <xdr:col>21</xdr:col>
      <xdr:colOff>214312</xdr:colOff>
      <xdr:row>116</xdr:row>
      <xdr:rowOff>161925</xdr:rowOff>
    </xdr:from>
    <xdr:to>
      <xdr:col>27</xdr:col>
      <xdr:colOff>671512</xdr:colOff>
      <xdr:row>132</xdr:row>
      <xdr:rowOff>9525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d2ce66fbd64365"/>
        </a:graphicData>
      </a:graphic>
    </xdr:graphicFrame>
    <xdr:clientData/>
  </xdr:twoCellAnchor>
  <xdr:twoCellAnchor>
    <xdr:from>
      <xdr:col>21</xdr:col>
      <xdr:colOff>547687</xdr:colOff>
      <xdr:row>147</xdr:row>
      <xdr:rowOff>47625</xdr:rowOff>
    </xdr:from>
    <xdr:to>
      <xdr:col>28</xdr:col>
      <xdr:colOff>319087</xdr:colOff>
      <xdr:row>162</xdr:row>
      <xdr:rowOff>76200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fc2f0c84034214"/>
        </a:graphicData>
      </a:graphic>
    </xdr:graphicFrame>
    <xdr:clientData/>
  </xdr:twoCellAnchor>
  <xdr:twoCellAnchor>
    <xdr:from>
      <xdr:col>21</xdr:col>
      <xdr:colOff>681037</xdr:colOff>
      <xdr:row>171</xdr:row>
      <xdr:rowOff>161925</xdr:rowOff>
    </xdr:from>
    <xdr:to>
      <xdr:col>28</xdr:col>
      <xdr:colOff>452437</xdr:colOff>
      <xdr:row>187</xdr:row>
      <xdr:rowOff>9525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dfe33bbe6047a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20</xdr:col>
      <xdr:colOff>547687</xdr:colOff>
      <xdr:row>5</xdr:row>
      <xdr:rowOff>19050</xdr:rowOff>
    </xdr:from>
    <xdr:to>
      <xdr:col>27</xdr:col>
      <xdr:colOff>319087</xdr:colOff>
      <xdr:row>20</xdr:row>
      <xdr:rowOff>47625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bc779c4e144f2b"/>
        </a:graphicData>
      </a:graphic>
    </xdr:graphicFrame>
    <xdr:clientData/>
  </xdr:twoCellAnchor>
  <xdr:twoCellAnchor>
    <xdr:from>
      <xdr:col>21</xdr:col>
      <xdr:colOff>261937</xdr:colOff>
      <xdr:row>28</xdr:row>
      <xdr:rowOff>28575</xdr:rowOff>
    </xdr:from>
    <xdr:to>
      <xdr:col>28</xdr:col>
      <xdr:colOff>33337</xdr:colOff>
      <xdr:row>43</xdr:row>
      <xdr:rowOff>57150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457a3bc3ec49e8"/>
        </a:graphicData>
      </a:graphic>
    </xdr:graphicFrame>
    <xdr:clientData/>
  </xdr:twoCellAnchor>
  <xdr:twoCellAnchor>
    <xdr:from>
      <xdr:col>20</xdr:col>
      <xdr:colOff>71437</xdr:colOff>
      <xdr:row>59</xdr:row>
      <xdr:rowOff>57150</xdr:rowOff>
    </xdr:from>
    <xdr:to>
      <xdr:col>26</xdr:col>
      <xdr:colOff>528637</xdr:colOff>
      <xdr:row>74</xdr:row>
      <xdr:rowOff>85725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5b875b9b3842a7"/>
        </a:graphicData>
      </a:graphic>
    </xdr:graphicFrame>
    <xdr:clientData/>
  </xdr:twoCellAnchor>
  <xdr:twoCellAnchor>
    <xdr:from>
      <xdr:col>19</xdr:col>
      <xdr:colOff>633412</xdr:colOff>
      <xdr:row>86</xdr:row>
      <xdr:rowOff>85725</xdr:rowOff>
    </xdr:from>
    <xdr:to>
      <xdr:col>26</xdr:col>
      <xdr:colOff>404812</xdr:colOff>
      <xdr:row>101</xdr:row>
      <xdr:rowOff>114300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73e7d0b4624132"/>
        </a:graphicData>
      </a:graphic>
    </xdr:graphicFrame>
    <xdr:clientData/>
  </xdr:twoCellAnchor>
  <xdr:twoCellAnchor>
    <xdr:from>
      <xdr:col>21</xdr:col>
      <xdr:colOff>376237</xdr:colOff>
      <xdr:row>114</xdr:row>
      <xdr:rowOff>85725</xdr:rowOff>
    </xdr:from>
    <xdr:to>
      <xdr:col>28</xdr:col>
      <xdr:colOff>147637</xdr:colOff>
      <xdr:row>129</xdr:row>
      <xdr:rowOff>114300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2b59b9b6dc4bda"/>
        </a:graphicData>
      </a:graphic>
    </xdr:graphicFrame>
    <xdr:clientData/>
  </xdr:twoCellAnchor>
  <xdr:twoCellAnchor>
    <xdr:from>
      <xdr:col>21</xdr:col>
      <xdr:colOff>376237</xdr:colOff>
      <xdr:row>140</xdr:row>
      <xdr:rowOff>114300</xdr:rowOff>
    </xdr:from>
    <xdr:to>
      <xdr:col>28</xdr:col>
      <xdr:colOff>147637</xdr:colOff>
      <xdr:row>155</xdr:row>
      <xdr:rowOff>142875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8fc9f6942244b2"/>
        </a:graphicData>
      </a:graphic>
    </xdr:graphicFrame>
    <xdr:clientData/>
  </xdr:twoCellAnchor>
  <xdr:twoCellAnchor>
    <xdr:from>
      <xdr:col>21</xdr:col>
      <xdr:colOff>576262</xdr:colOff>
      <xdr:row>169</xdr:row>
      <xdr:rowOff>171450</xdr:rowOff>
    </xdr:from>
    <xdr:to>
      <xdr:col>28</xdr:col>
      <xdr:colOff>347662</xdr:colOff>
      <xdr:row>185</xdr:row>
      <xdr:rowOff>19050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c32441e5644e8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346dd9495349d6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21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07d4e3d2114043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21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13a6d9a6d640f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df182ca82046d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4292b26b55245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212f7e2cb86844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81662cc62ce5418d" /></Relationships>
</file>

<file path=xl/worksheets/sheet1.xml><?xml version="1.0" encoding="utf-8"?>
<x:worksheet xmlns:x="http://schemas.openxmlformats.org/spreadsheetml/2006/main">
  <x:sheetFormatPr defaultRowHeight="14.25"/>
  <x:sheetData>
    <x:row r="1">
      <x:c r="A1" s="3" t="s">
        <x:v>0</x:v>
      </x:c>
      <x:c r="B1" s="3"/>
      <x:c r="C1" s="3"/>
      <x:c r="K1" s="3" t="s">
        <x:v>1</x:v>
      </x:c>
      <x:c r="L1" s="3"/>
      <x:c r="M1" s="3"/>
      <x:c r="W1" s="3"/>
      <x:c r="X1" s="3"/>
      <x:c r="Y1" s="3"/>
      <x:c r="AA1" s="3"/>
      <x:c r="AB1" s="3"/>
      <x:c r="AC1" s="3"/>
      <x:c r="AD1" s="3" t="s">
        <x:v>2</x:v>
      </x:c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</x:row>
    <x:row r="2">
      <x:c r="A2" s="1" t="s">
        <x:v>3</x:v>
      </x:c>
      <x:c r="B2" s="1" t="s">
        <x:v>4</x:v>
      </x:c>
      <x:c r="C2" s="1" t="s">
        <x:v>5</x:v>
      </x:c>
      <x:c r="D2" s="1" t="s">
        <x:v>6</x:v>
      </x:c>
      <x:c r="E2" s="1" t="s">
        <x:v>7</x:v>
      </x:c>
      <x:c r="F2" s="1" t="s">
        <x:v>8</x:v>
      </x:c>
      <x:c r="G2" s="1" t="s">
        <x:v>9</x:v>
      </x:c>
      <x:c r="H2" s="1" t="s">
        <x:v>10</x:v>
      </x:c>
      <x:c r="I2" s="1" t="s">
        <x:v>11</x:v>
      </x:c>
      <x:c r="J2" s="1"/>
      <x:c r="K2" s="1" t="s">
        <x:v>3</x:v>
      </x:c>
      <x:c r="L2" s="1" t="s">
        <x:v>4</x:v>
      </x:c>
      <x:c r="M2" s="1" t="s">
        <x:v>5</x:v>
      </x:c>
      <x:c r="N2" s="1" t="s">
        <x:v>6</x:v>
      </x:c>
      <x:c r="O2" s="1" t="s">
        <x:v>7</x:v>
      </x:c>
      <x:c r="P2" s="1" t="s">
        <x:v>8</x:v>
      </x:c>
      <x:c r="Q2" s="1" t="s">
        <x:v>9</x:v>
      </x:c>
      <x:c r="R2" s="1" t="s">
        <x:v>10</x:v>
      </x:c>
      <x:c r="S2" s="1" t="s">
        <x:v>11</x:v>
      </x:c>
      <x:c r="V2" s="1"/>
      <x:c r="W2" s="1"/>
      <x:c r="X2" s="1"/>
      <x:c r="Y2" s="1"/>
      <x:c r="AA2" s="1"/>
      <x:c r="AB2" s="1"/>
      <x:c r="AC2" s="1"/>
      <x:c r="AD2" s="1" t="s">
        <x:v>12</x:v>
      </x:c>
      <x:c r="AE2" s="1" t="s">
        <x:v>13</x:v>
      </x:c>
      <x:c r="AF2" s="1" t="s">
        <x:v>14</x:v>
      </x:c>
      <x:c r="AG2" s="1" t="s">
        <x:v>15</x:v>
      </x:c>
      <x:c r="AH2" s="1" t="s">
        <x:v>16</x:v>
      </x:c>
      <x:c r="AI2" s="1" t="s">
        <x:v>17</x:v>
      </x:c>
      <x:c r="AJ2" s="1" t="s">
        <x:v>11</x:v>
      </x:c>
      <x:c r="AK2" s="1" t="s">
        <x:v>18</x:v>
      </x:c>
      <x:c r="AL2" s="1" t="s">
        <x:v>19</x:v>
      </x:c>
      <x:c r="AM2" s="1" t="s">
        <x:v>20</x:v>
      </x:c>
      <x:c r="AN2" s="1" t="s">
        <x:v>21</x:v>
      </x:c>
      <x:c r="AO2" s="1" t="s">
        <x:v>22</x:v>
      </x:c>
      <x:c r="AP2" s="1" t="s">
        <x:v>23</x:v>
      </x:c>
      <x:c r="AQ2" s="1" t="s">
        <x:v>24</x:v>
      </x:c>
      <x:c r="AR2" s="1" t="s">
        <x:v>25</x:v>
      </x:c>
      <x:c r="AS2" s="1" t="s">
        <x:v>26</x:v>
      </x:c>
      <x:c r="AT2" s="1" t="s">
        <x:v>27</x:v>
      </x:c>
      <x:c r="AU2" s="1" t="s">
        <x:v>8</x:v>
      </x:c>
    </x:row>
    <x:row r="3">
      <x:c r="A3" s="1">
        <x:v>0</x:v>
      </x:c>
      <x:c r="B3" s="1">
        <x:v>0</x:v>
      </x:c>
      <x:c r="C3" s="1">
        <x:v>42</x:v>
      </x:c>
      <x:c r="D3" s="1" t="n">
        <x:f>-A3*1.5</x:f>
        <x:v>0</x:v>
      </x:c>
      <x:c r="E3" s="1" t="n">
        <x:f>A3*A3*1.5</x:f>
        <x:v>0</x:v>
      </x:c>
      <x:c r="F3" s="1" t="e">
        <x:f>D3/(B3/60)/0.4572</x:f>
        <x:v>#DIV/0!</x:v>
      </x:c>
      <x:c r="G3" s="1" t="e">
        <x:f>D3*SIN(RADIANS(0))/(B3/60)/0.4572</x:f>
        <x:v>#DIV/0!</x:v>
      </x:c>
      <x:c r="H3" s="1" t="e">
        <x:f>(C3-$C$3)*9.8/1.205/(B3/60)^2/0.4572^4/1000</x:f>
        <x:v>#DIV/0!</x:v>
      </x:c>
      <x:c r="I3" s="1" t="e">
        <x:f>H3*4/(3.14^3)</x:f>
        <x:v>#DIV/0!</x:v>
      </x:c>
      <x:c r="J3" s="1"/>
      <x:c r="K3" s="1">
        <x:v>0</x:v>
      </x:c>
      <x:c r="L3" s="1">
        <x:v>0</x:v>
      </x:c>
      <x:c r="M3" s="1">
        <x:v>41</x:v>
      </x:c>
      <x:c r="N3" s="1" t="n">
        <x:f>-K3*1.5</x:f>
        <x:v>0</x:v>
      </x:c>
      <x:c r="O3" s="1" t="n">
        <x:f>K3*K3*1.5</x:f>
        <x:v>0</x:v>
      </x:c>
      <x:c r="P3" s="1" t="e">
        <x:f>N3/(L3/60)/0.4572</x:f>
        <x:v>#DIV/0!</x:v>
      </x:c>
      <x:c r="Q3" s="1" t="e">
        <x:f>N3*SIN(RADIANS(0))/(L3/60)/0.4572</x:f>
        <x:v>#DIV/0!</x:v>
      </x:c>
      <x:c r="R3" s="1" t="e">
        <x:f>(M3-$C$3)*9.8/1.205/(L3/60)^2/0.4572^4/1000</x:f>
        <x:v>#DIV/0!</x:v>
      </x:c>
      <x:c r="S3" s="1" t="e">
        <x:f>R3*4/(3.14^3)</x:f>
        <x:v>#DIV/0!</x:v>
      </x:c>
      <x:c r="V3" s="1"/>
      <x:c r="W3" s="1"/>
      <x:c r="X3" s="1"/>
      <x:c r="Y3" s="1"/>
      <x:c r="AA3" s="1"/>
      <x:c r="AB3" s="1"/>
      <x:c r="AC3" s="1"/>
      <x:c r="AD3" s="1">
        <x:v>3000</x:v>
      </x:c>
      <x:c r="AE3" s="1">
        <x:v>0</x:v>
      </x:c>
      <x:c r="AF3" s="1">
        <x:v>0</x:v>
      </x:c>
      <x:c r="AG3" s="1">
        <x:v>314.15926535897898</x:v>
      </x:c>
      <x:c r="AH3" s="1">
        <x:v>11.3304080704818</x:v>
      </x:c>
      <x:c r="AI3" s="1">
        <x:v>1.0923327140980999E-2</x:v>
      </x:c>
      <x:c r="AJ3" s="1">
        <x:v>1.0923327140980999E-2</x:v>
      </x:c>
      <x:c r="AK3" s="1">
        <x:v>7.3903068750050399E-2</x:v>
      </x:c>
      <x:c r="AL3" s="1">
        <x:v>7.3903068750050399E-2</x:v>
      </x:c>
      <x:c r="AM3" s="1">
        <x:v>0</x:v>
      </x:c>
      <x:c r="AN3" s="1">
        <x:v>0</x:v>
      </x:c>
      <x:c r="AO3" s="1">
        <x:v>0</x:v>
      </x:c>
      <x:c r="AP3" s="1">
        <x:v>9</x:v>
      </x:c>
      <x:c r="AQ3" s="1" t="b">
        <x:v>1</x:v>
      </x:c>
      <x:c r="AR3" s="1">
        <x:v>-18.024494185672101</x:v>
      </x:c>
      <x:c r="AS3" s="1">
        <x:v>5.9041542766600603</x:v>
      </x:c>
      <x:c r="AT3" t="n">
        <x:f>3.1415926^3/4*AJ3</x:f>
        <x:v>0.0846729215675782</x:v>
      </x:c>
      <x:c r="AU3" t="n">
        <x:f>AE3*1.5/AD3*60/0.4572</x:f>
        <x:v>0</x:v>
      </x:c>
    </x:row>
    <x:row r="4">
      <x:c r="A4" s="1">
        <x:v>0</x:v>
      </x:c>
      <x:c r="B4" s="1">
        <x:v>3117</x:v>
      </x:c>
      <x:c r="C4" s="1">
        <x:v>1207.5999999999999</x:v>
      </x:c>
      <x:c r="D4" s="1" t="n">
        <x:f t="shared" ref="D4:D24" si="0">-A4*1.5</x:f>
        <x:v>0</x:v>
      </x:c>
      <x:c r="E4" s="1" t="n">
        <x:f t="shared" ref="E4:E24" si="1">A4*A4*1.5</x:f>
        <x:v>0</x:v>
      </x:c>
      <x:c r="F4" s="1" t="n">
        <x:f t="shared" ref="F4:F24" si="2">D4/(B4/60)/0.4572</x:f>
        <x:v>0</x:v>
      </x:c>
      <x:c r="G4" s="1" t="n">
        <x:f t="shared" ref="G4:G24" si="3">D4*SIN(RADIANS(0))/(B4/60)/0.4572</x:f>
        <x:v>0</x:v>
      </x:c>
      <x:c r="H4" s="1" t="n">
        <x:f t="shared" ref="H4:H24" si="4">(C4-$C$3)*9.8/1.205/(B4/60)^2/0.4572^4/1000</x:f>
        <x:v>0.08038825044568515</x:v>
      </x:c>
      <x:c r="I4" s="1" t="n">
        <x:f t="shared" ref="I4:I24" si="5">H4*4/(3.14^3)</x:f>
        <x:v>0.010386366037211513</x:v>
      </x:c>
      <x:c r="J4" s="1"/>
      <x:c r="K4" s="1">
        <x:v>0</x:v>
      </x:c>
      <x:c r="L4" s="1">
        <x:v>3096</x:v>
      </x:c>
      <x:c r="M4" s="1">
        <x:v>1187</x:v>
      </x:c>
      <x:c r="N4" s="1" t="n">
        <x:f t="shared" ref="N4:N24" si="6">-K4*1.5</x:f>
        <x:v>0</x:v>
      </x:c>
      <x:c r="O4" s="1" t="n">
        <x:f t="shared" ref="O4:O24" si="7">K4*K4*1.5</x:f>
        <x:v>0</x:v>
      </x:c>
      <x:c r="P4" s="1" t="n">
        <x:f t="shared" ref="P4:P24" si="8">N4/(L4/60)/0.4572</x:f>
        <x:v>0</x:v>
      </x:c>
      <x:c r="Q4" s="1" t="n">
        <x:f t="shared" ref="Q4:Q24" si="9">N4*SIN(RADIANS(0))/(L4/60)/0.4572</x:f>
        <x:v>0</x:v>
      </x:c>
      <x:c r="R4" s="1" t="n">
        <x:f t="shared" ref="R4:R24" si="10">(M4-$C$3)*9.8/1.205/(L4/60)^2/0.4572^4/1000</x:f>
        <x:v>0.08004242270960508</x:v>
      </x:c>
      <x:c r="S4" s="1" t="n">
        <x:f t="shared" ref="S4:S24" si="11">R4*4/(3.14^3)</x:f>
        <x:v>0.010341684215765794</x:v>
      </x:c>
      <x:c r="V4" s="1"/>
      <x:c r="W4" s="1"/>
      <x:c r="X4" s="1"/>
      <x:c r="Y4" s="1"/>
      <x:c r="AA4" s="1"/>
      <x:c r="AB4" s="1"/>
      <x:c r="AC4" s="1"/>
      <x:c r="AD4" s="1">
        <x:v>3000</x:v>
      </x:c>
      <x:c r="AE4" s="1">
        <x:v>0.67800000000000005</x:v>
      </x:c>
      <x:c r="AF4" s="1">
        <x:v>0</x:v>
      </x:c>
      <x:c r="AG4" s="1">
        <x:v>314.15926535897898</x:v>
      </x:c>
      <x:c r="AH4" s="1">
        <x:v>10.6477078678734</x:v>
      </x:c>
      <x:c r="AI4" s="1">
        <x:v>1.02651551134673E-2</x:v>
      </x:c>
      <x:c r="AJ4" s="1">
        <x:v>1.02651551134673E-2</x:v>
      </x:c>
      <x:c r="AK4" s="1">
        <x:v>7.9071538197197797E-2</x:v>
      </x:c>
      <x:c r="AL4" s="1">
        <x:v>6.49105078276042E-2</x:v>
      </x:c>
      <x:c r="AM4" s="1">
        <x:v>0</x:v>
      </x:c>
      <x:c r="AN4" s="1">
        <x:v>1.41610303695936E-2</x:v>
      </x:c>
      <x:c r="AO4" s="1">
        <x:v>0</x:v>
      </x:c>
      <x:c r="AP4" s="1">
        <x:v>10</x:v>
      </x:c>
      <x:c r="AQ4" s="1" t="b">
        <x:v>1</x:v>
      </x:c>
      <x:c r="AR4" s="1">
        <x:v>-19.687753257667801</x:v>
      </x:c>
      <x:c r="AS4" s="1">
        <x:v>5.1200044666300597</x:v>
      </x:c>
      <x:c r="AT4" t="n">
        <x:f t="shared" ref="AT4:AT67" si="12">3.1415926^3/4*AJ4</x:f>
        <x:v>0.07957105583158262</x:v>
      </x:c>
      <x:c r="AU4" t="n">
        <x:f t="shared" ref="AU4:AU67" si="13">AE4*1.5/AD4*60/0.4572</x:f>
        <x:v>0.04448818897637796</x:v>
      </x:c>
    </x:row>
    <x:row r="5">
      <x:c r="A5" s="1">
        <x:v>-0.67262399025346997</x:v>
      </x:c>
      <x:c r="B5" s="1">
        <x:v>3129.3091796875001</x:v>
      </x:c>
      <x:c r="C5" s="1">
        <x:v>1209.8487031700199</x:v>
      </x:c>
      <x:c r="D5" s="1">
        <x:f t="shared" si="0"/>
        <x:v>1.0089359853802049</x:v>
      </x:c>
      <x:c r="E5" s="1">
        <x:f t="shared" si="1"/>
        <x:v>0.67863454839675019</x:v>
      </x:c>
      <x:c r="F5" s="1">
        <x:f t="shared" si="2"/>
        <x:v>4.2311669985646012E-2</x:v>
      </x:c>
      <x:c r="G5" s="1">
        <x:f t="shared" si="3"/>
        <x:v>0</x:v>
      </x:c>
      <x:c r="H5" s="1">
        <x:f t="shared" si="4"/>
        <x:v>7.9910946975846525E-2</x:v>
      </x:c>
      <x:c r="I5" s="1">
        <x:f t="shared" si="5"/>
        <x:v>1.0324697217190051E-2</x:v>
      </x:c>
      <x:c r="J5" s="1"/>
      <x:c r="K5" s="1">
        <x:v>-0.67449826749124298</x:v>
      </x:c>
      <x:c r="L5" s="1">
        <x:v>3099.52362530048</x:v>
      </x:c>
      <x:c r="M5" s="1">
        <x:v>1199.7754569190599</x:v>
      </x:c>
      <x:c r="N5" s="1" t="n">
        <x:f>-K5*1.5</x:f>
        <x:v>1.0117474012368644</x:v>
      </x:c>
      <x:c r="O5" s="1">
        <x:f t="shared" si="7"/>
        <x:v>0.6824218692730325</x:v>
      </x:c>
      <x:c r="P5" s="1">
        <x:f t="shared" si="8"/>
        <x:v>4.283730842454167E-2</x:v>
      </x:c>
      <x:c r="Q5" s="1">
        <x:f t="shared" si="9"/>
        <x:v>0</x:v>
      </x:c>
      <x:c r="R5" s="1">
        <x:f t="shared" si="10"/>
        <x:v>8.0751589490240486E-2</x:v>
      </x:c>
      <x:c r="S5" s="1">
        <x:f t="shared" si="11"/>
        <x:v>1.0433310364167753E-2</x:v>
      </x:c>
      <x:c r="V5" s="1"/>
      <x:c r="W5" s="1"/>
      <x:c r="X5" s="1"/>
      <x:c r="Y5" s="1"/>
      <x:c r="AA5" s="1"/>
      <x:c r="AB5" s="1"/>
      <x:c r="AC5" s="1"/>
      <x:c r="AD5" s="1">
        <x:v>3000</x:v>
      </x:c>
      <x:c r="AE5" s="1">
        <x:v>1.3560000000000001</x:v>
      </x:c>
      <x:c r="AF5" s="1">
        <x:v>0</x:v>
      </x:c>
      <x:c r="AG5" s="1">
        <x:v>314.15926535897898</x:v>
      </x:c>
      <x:c r="AH5" s="1">
        <x:v>9.8937057485128896</x:v>
      </x:c>
      <x:c r="AI5" s="1">
        <x:v>9.5382429172309897E-3</x:v>
      </x:c>
      <x:c r="AJ5" s="1">
        <x:v>9.5382429172309897E-3</x:v>
      </x:c>
      <x:c r="AK5" s="1">
        <x:v>8.4656730037044298E-2</x:v>
      </x:c>
      <x:c r="AL5" s="1">
        <x:v>5.6334669297857E-2</x:v>
      </x:c>
      <x:c r="AM5" s="1">
        <x:v>0</x:v>
      </x:c>
      <x:c r="AN5" s="1">
        <x:v>2.8322060739187201E-2</x:v>
      </x:c>
      <x:c r="AO5" s="1">
        <x:v>0</x:v>
      </x:c>
      <x:c r="AP5" s="1">
        <x:v>8</x:v>
      </x:c>
      <x:c r="AQ5" s="1" t="b">
        <x:v>1</x:v>
      </x:c>
      <x:c r="AR5" s="1">
        <x:v>-21.422010925726301</x:v>
      </x:c>
      <x:c r="AS5" s="1">
        <x:v>4.4783604139951798</x:v>
      </x:c>
      <x:c r="AT5">
        <x:f t="shared" si="12"/>
        <x:v>7.3936345950239138E-2</x:v>
      </x:c>
      <x:c r="AU5">
        <x:f t="shared" si="13"/>
        <x:v>8.8976377952755925E-2</x:v>
      </x:c>
    </x:row>
    <x:row r="6">
      <x:c r="A6" s="1">
        <x:v>-1.3574887933209501</x:v>
      </x:c>
      <x:c r="B6" s="1">
        <x:v>3132.1493805529999</x:v>
      </x:c>
      <x:c r="C6" s="1">
        <x:v>1219.3173828125</x:v>
      </x:c>
      <x:c r="D6" s="1">
        <x:f t="shared" si="0"/>
        <x:v>2.036233189981425</x:v>
      </x:c>
      <x:c r="E6" s="1">
        <x:f t="shared" si="1"/>
        <x:v>2.7641637359879536</x:v>
      </x:c>
      <x:c r="F6" s="1">
        <x:f t="shared" si="2"/>
        <x:v>8.5315919179581451E-2</x:v>
      </x:c>
      <x:c r="G6" s="1">
        <x:f t="shared" si="3"/>
        <x:v>0</x:v>
      </x:c>
      <x:c r="H6" s="1">
        <x:f t="shared" si="4"/>
        <x:v>8.0412815042007452E-2</x:v>
      </x:c>
      <x:c r="I6" s="1">
        <x:f t="shared" si="5"/>
        <x:v>1.0389539845417876E-2</x:v>
      </x:c>
      <x:c r="J6" s="1"/>
      <x:c r="K6" s="1">
        <x:v>-1.3614923148181799</x:v>
      </x:c>
      <x:c r="L6" s="1">
        <x:v>3129.6424492729998</x:v>
      </x:c>
      <x:c r="M6" s="1">
        <x:v>1208.22454672245</x:v>
      </x:c>
      <x:c r="N6" s="1">
        <x:f t="shared" si="6"/>
        <x:v>2.04223847222727</x:v>
      </x:c>
      <x:c r="O6" s="1">
        <x:f t="shared" si="7"/>
        <x:v>2.7804919849634486</x:v>
      </x:c>
      <x:c r="P6" s="1">
        <x:f t="shared" si="8"/>
        <x:v>8.5636075857423444E-2</x:v>
      </x:c>
      <x:c r="Q6" s="1">
        <x:f t="shared" si="9"/>
        <x:v>0</x:v>
      </x:c>
      <x:c r="R6" s="1">
        <x:f t="shared" si="10"/>
        <x:v>7.9782818268751943E-2</x:v>
      </x:c>
      <x:c r="S6" s="1">
        <x:f t="shared" si="11"/>
        <x:v>1.0308142662956305E-2</x:v>
      </x:c>
      <x:c r="V6" s="1"/>
      <x:c r="W6" s="1"/>
      <x:c r="X6" s="1"/>
      <x:c r="Y6" s="1"/>
      <x:c r="AA6" s="1"/>
      <x:c r="AB6" s="1"/>
      <x:c r="AC6" s="1"/>
      <x:c r="AD6" s="1">
        <x:v>3000</x:v>
      </x:c>
      <x:c r="AE6" s="1">
        <x:v>2.0339999999999998</x:v>
      </x:c>
      <x:c r="AF6" s="1">
        <x:v>0</x:v>
      </x:c>
      <x:c r="AG6" s="1">
        <x:v>314.15926535897898</x:v>
      </x:c>
      <x:c r="AH6" s="1">
        <x:v>9.0544498456922593</x:v>
      </x:c>
      <x:c r="AI6" s="1">
        <x:v>8.7291399507286403E-3</x:v>
      </x:c>
      <x:c r="AJ6" s="1">
        <x:v>8.7291399507286403E-3</x:v>
      </x:c>
      <x:c r="AK6" s="1">
        <x:v>9.0637227691643202E-2</x:v>
      </x:c>
      <x:c r="AL6" s="1">
        <x:v>4.81541365828623E-2</x:v>
      </x:c>
      <x:c r="AM6" s="1">
        <x:v>0</x:v>
      </x:c>
      <x:c r="AN6" s="1">
        <x:v>4.2483091108780902E-2</x:v>
      </x:c>
      <x:c r="AO6" s="1">
        <x:v>0</x:v>
      </x:c>
      <x:c r="AP6" s="1">
        <x:v>5</x:v>
      </x:c>
      <x:c r="AQ6" s="1" t="b">
        <x:v>1</x:v>
      </x:c>
      <x:c r="AR6" s="1">
        <x:v>-23.208761863894701</x:v>
      </x:c>
      <x:c r="AS6" s="1">
        <x:v>3.9905500857052898</x:v>
      </x:c>
      <x:c r="AT6">
        <x:f t="shared" si="12"/>
        <x:v>6.7664528660640363E-2</x:v>
      </x:c>
      <x:c r="AU6">
        <x:f t="shared" si="13"/>
        <x:v>0.13346456692913383</x:v>
      </x:c>
    </x:row>
    <x:row r="7">
      <x:c r="A7" s="1">
        <x:v>-2.0387095247997902</x:v>
      </x:c>
      <x:c r="B7" s="1">
        <x:v>3137.3131669207301</x:v>
      </x:c>
      <x:c r="C7" s="1">
        <x:v>1230.1153374233099</x:v>
      </x:c>
      <x:c r="D7" s="1">
        <x:f t="shared" si="0"/>
        <x:v>3.0580642871996853</x:v>
      </x:c>
      <x:c r="E7" s="1">
        <x:f t="shared" si="1"/>
        <x:v>6.2345047897640793</x:v>
      </x:c>
      <x:c r="F7" s="1">
        <x:f t="shared" si="2"/>
        <x:v>0.12791862056674433</x:v>
      </x:c>
      <x:c r="G7" s="1">
        <x:f t="shared" si="3"/>
        <x:v>0</x:v>
      </x:c>
      <x:c r="H7" s="1">
        <x:f t="shared" si="4"/>
        <x:v>8.0883418930095846E-2</x:v>
      </x:c>
      <x:c r="I7" s="1">
        <x:f t="shared" si="5"/>
        <x:v>1.0450343062469149E-2</x:v>
      </x:c>
      <x:c r="J7" s="1"/>
      <x:c r="K7" s="1">
        <x:v>-2.0395702722945499</x:v>
      </x:c>
      <x:c r="L7" s="1">
        <x:v>3113.0024685329799</x:v>
      </x:c>
      <x:c r="M7" s="1">
        <x:v>1220.6552667578601</x:v>
      </x:c>
      <x:c r="N7" s="1">
        <x:f t="shared" si="6"/>
        <x:v>3.0593554084418249</x:v>
      </x:c>
      <x:c r="O7" s="1">
        <x:f t="shared" si="7"/>
        <x:v>6.2397703434414966</x:v>
      </x:c>
      <x:c r="P7" s="1">
        <x:f t="shared" si="8"/>
        <x:v>0.12897201821712942</x:v>
      </x:c>
      <x:c r="Q7" s="1">
        <x:f t="shared" si="9"/>
        <x:v>0</x:v>
      </x:c>
      <x:c r="R7" s="1">
        <x:f t="shared" si="10"/>
        <x:v>8.1497542609748369E-2</x:v>
      </x:c>
      <x:c r="S7" s="1">
        <x:f t="shared" si="11"/>
        <x:v>1.052968940094059E-2</x:v>
      </x:c>
      <x:c r="V7" s="1"/>
      <x:c r="W7" s="1"/>
      <x:c r="X7" s="1"/>
      <x:c r="Y7" s="1"/>
      <x:c r="AA7" s="1"/>
      <x:c r="AB7" s="1"/>
      <x:c r="AC7" s="1"/>
      <x:c r="AD7" s="1">
        <x:v>3000</x:v>
      </x:c>
      <x:c r="AE7" s="1">
        <x:v>2.7120000000000002</x:v>
      </x:c>
      <x:c r="AF7" s="1">
        <x:v>0</x:v>
      </x:c>
      <x:c r="AG7" s="1">
        <x:v>314.15926535897898</x:v>
      </x:c>
      <x:c r="AH7" s="1">
        <x:v>8.1539637291458504</x:v>
      </x:c>
      <x:c r="AI7" s="1">
        <x:v>7.8610066605805402E-3</x:v>
      </x:c>
      <x:c r="AJ7" s="1">
        <x:v>7.8610066605805402E-3</x:v>
      </x:c>
      <x:c r="AK7" s="1">
        <x:v>9.7116075723468295E-2</x:v>
      </x:c>
      <x:c r="AL7" s="1">
        <x:v>4.0471954245093797E-2</x:v>
      </x:c>
      <x:c r="AM7" s="1">
        <x:v>0</x:v>
      </x:c>
      <x:c r="AN7" s="1">
        <x:v>5.6644121478374498E-2</x:v>
      </x:c>
      <x:c r="AO7" s="1">
        <x:v>0</x:v>
      </x:c>
      <x:c r="AP7" s="1">
        <x:v>5</x:v>
      </x:c>
      <x:c r="AQ7" s="1" t="b">
        <x:v>1</x:v>
      </x:c>
      <x:c r="AR7" s="1">
        <x:v>-25.0631673616992</x:v>
      </x:c>
      <x:c r="AS7" s="1">
        <x:v>3.4535842469668401</x:v>
      </x:c>
      <x:c r="AT7">
        <x:f t="shared" si="12"/>
        <x:v>6.0935133757585927E-2</x:v>
      </x:c>
      <x:c r="AU7">
        <x:f t="shared" si="13"/>
        <x:v>0.17795275590551185</x:v>
      </x:c>
    </x:row>
    <x:row r="8">
      <x:c r="A8" s="1">
        <x:v>-2.7229526462378302</x:v>
      </x:c>
      <x:c r="B8" s="1">
        <x:v>3148.9929426326298</x:v>
      </x:c>
      <x:c r="C8" s="1">
        <x:v>1245.7439165701001</x:v>
      </x:c>
      <x:c r="D8" s="1">
        <x:f t="shared" si="0"/>
        <x:v>4.084428969356745</x:v>
      </x:c>
      <x:c r="E8" s="1">
        <x:f t="shared" si="1"/>
        <x:v>11.121706670480403</x:v>
      </x:c>
      <x:c r="F8" s="1">
        <x:f t="shared" si="2"/>
        <x:v>0.17021768870412188</x:v>
      </x:c>
      <x:c r="G8" s="1">
        <x:f t="shared" si="3"/>
        <x:v>0</x:v>
      </x:c>
      <x:c r="H8" s="1">
        <x:f t="shared" si="4"/>
        <x:v>8.1340600324489157E-2</x:v>
      </x:c>
      <x:c r="I8" s="1">
        <x:f t="shared" si="5"/>
        <x:v>1.0509412059259668E-2</x:v>
      </x:c>
      <x:c r="J8" s="1"/>
      <x:c r="K8" s="1">
        <x:v>-2.7308067494568502</x:v>
      </x:c>
      <x:c r="L8" s="1">
        <x:v>3122.5376397494601</x:v>
      </x:c>
      <x:c r="M8" s="1">
        <x:v>1236.50959860383</x:v>
      </x:c>
      <x:c r="N8" s="1">
        <x:f t="shared" si="6"/>
        <x:v>4.0962101241852755</x:v>
      </x:c>
      <x:c r="O8" s="1">
        <x:f t="shared" si="7"/>
        <x:v>11.185958254318633</x:v>
      </x:c>
      <x:c r="P8" s="1">
        <x:f t="shared" si="8"/>
        <x:v>0.17215497322058868</x:v>
      </x:c>
      <x:c r="Q8" s="1">
        <x:f t="shared" si="9"/>
        <x:v>0</x:v>
      </x:c>
      <x:c r="R8" s="1">
        <x:f t="shared" si="10"/>
        <x:v>8.2090125998667426E-2</x:v>
      </x:c>
      <x:c r="S8" s="1">
        <x:f t="shared" si="11"/>
        <x:v>1.0606252679165474E-2</x:v>
      </x:c>
      <x:c r="V8" s="1"/>
      <x:c r="W8" s="1"/>
      <x:c r="X8" s="1"/>
      <x:c r="Y8" s="1"/>
      <x:c r="AA8" s="1"/>
      <x:c r="AB8" s="1"/>
      <x:c r="AC8" s="1"/>
      <x:c r="AD8" s="1">
        <x:v>3000</x:v>
      </x:c>
      <x:c r="AE8" s="1">
        <x:v>3.39</x:v>
      </x:c>
      <x:c r="AF8" s="1">
        <x:v>0</x:v>
      </x:c>
      <x:c r="AG8" s="1">
        <x:v>314.15926535897898</x:v>
      </x:c>
      <x:c r="AH8" s="1">
        <x:v>7.1734471755025702</x:v>
      </x:c>
      <x:c r="AI8" s="1">
        <x:v>6.9157182812064604E-3</x:v>
      </x:c>
      <x:c r="AJ8" s="1">
        <x:v>6.9157182812064604E-3</x:v>
      </x:c>
      <x:c r="AK8" s="1">
        <x:v>0.10404077184705</x:v>
      </x:c>
      <x:c r="AL8" s="1">
        <x:v>3.3235619999081999E-2</x:v>
      </x:c>
      <x:c r="AM8" s="1">
        <x:v>0</x:v>
      </x:c>
      <x:c r="AN8" s="1">
        <x:v>7.0805151847968206E-2</x:v>
      </x:c>
      <x:c r="AO8" s="1">
        <x:v>0</x:v>
      </x:c>
      <x:c r="AP8" s="1">
        <x:v>5</x:v>
      </x:c>
      <x:c r="AQ8" s="1" t="b">
        <x:v>1</x:v>
      </x:c>
      <x:c r="AR8" s="1">
        <x:v>-26.956197008536201</x:v>
      </x:c>
      <x:c r="AS8" s="1">
        <x:v>2.8802454025187698</x:v>
      </x:c>
      <x:c r="AT8">
        <x:f t="shared" si="12"/>
        <x:v>5.3607665874179089E-2</x:v>
      </x:c>
      <x:c r="AU8">
        <x:f t="shared" si="13"/>
        <x:v>0.22244094488188976</x:v>
      </x:c>
    </x:row>
    <x:row r="9">
      <x:c r="A9" s="1">
        <x:v>-3.40197085600632</x:v>
      </x:c>
      <x:c r="B9" s="1">
        <x:v>3170.57192530776</x:v>
      </x:c>
      <x:c r="C9" s="1">
        <x:v>1274.23195084485</x:v>
      </x:c>
      <x:c r="D9" s="1">
        <x:f t="shared" si="0"/>
        <x:v>5.1029562840094798</x:v>
      </x:c>
      <x:c r="E9" s="1">
        <x:f t="shared" si="1"/>
        <x:v>17.360108557674561</x:v>
      </x:c>
      <x:c r="F9" s="1">
        <x:f t="shared" si="2"/>
        <x:v>0.21121719303006967</x:v>
      </x:c>
      <x:c r="G9" s="1">
        <x:f t="shared" si="3"/>
        <x:v>0</x:v>
      </x:c>
      <x:c r="H9" s="1">
        <x:f t="shared" si="4"/>
        <x:v>8.2136064249874463E-2</x:v>
      </x:c>
      <x:c r="I9" s="1">
        <x:f t="shared" si="5"/>
        <x:v>1.0612188017843706E-2</x:v>
      </x:c>
      <x:c r="J9" s="1"/>
      <x:c r="K9" s="1">
        <x:v>-3.39300066035314</x:v>
      </x:c>
      <x:c r="L9" s="1">
        <x:v>3129.3690592447902</x:v>
      </x:c>
      <x:c r="M9" s="1">
        <x:v>1262.1791044776101</x:v>
      </x:c>
      <x:c r="N9" s="1">
        <x:f t="shared" si="6"/>
        <x:v>5.0895009905297099</x:v>
      </x:c>
      <x:c r="O9" s="1">
        <x:f t="shared" si="7"/>
        <x:v>17.268680221735266</x:v>
      </x:c>
      <x:c r="P9" s="1">
        <x:f t="shared" si="8"/>
        <x:v>0.21343392331575448</x:v>
      </x:c>
      <x:c r="Q9" s="1">
        <x:f t="shared" si="9"/>
        <x:v>0</x:v>
      </x:c>
      <x:c r="R9" s="1">
        <x:f t="shared" si="10"/>
        <x:v>8.3488499841968183E-2</x:v>
      </x:c>
      <x:c r="S9" s="1">
        <x:f t="shared" si="11"/>
        <x:v>1.0786926129736427E-2</x:v>
      </x:c>
      <x:c r="V9" s="1"/>
      <x:c r="W9" s="1"/>
      <x:c r="X9" s="1"/>
      <x:c r="Y9" s="1"/>
      <x:c r="AA9" s="1"/>
      <x:c r="AB9" s="1"/>
      <x:c r="AC9" s="1"/>
      <x:c r="AD9" s="1">
        <x:v>3000</x:v>
      </x:c>
      <x:c r="AE9" s="1">
        <x:v>4.0679999999999996</x:v>
      </x:c>
      <x:c r="AF9" s="1">
        <x:v>0</x:v>
      </x:c>
      <x:c r="AG9" s="1">
        <x:v>314.15926535897898</x:v>
      </x:c>
      <x:c r="AH9" s="1">
        <x:v>6.1225523805756703</x:v>
      </x:c>
      <x:c r="AI9" s="1">
        <x:v>5.9025802226005501E-3</x:v>
      </x:c>
      <x:c r="AJ9" s="1">
        <x:v>5.9025802226005501E-3</x:v>
      </x:c>
      <x:c r="AK9" s="1">
        <x:v>0.111447632363237</x:v>
      </x:c>
      <x:c r="AL9" s="1">
        <x:v>2.6481450145675399E-2</x:v>
      </x:c>
      <x:c r="AM9" s="1">
        <x:v>0</x:v>
      </x:c>
      <x:c r="AN9" s="1">
        <x:v>8.4966182217561803E-2</x:v>
      </x:c>
      <x:c r="AO9" s="1">
        <x:v>0</x:v>
      </x:c>
      <x:c r="AP9" s="1">
        <x:v>7</x:v>
      </x:c>
      <x:c r="AQ9" s="1" t="b">
        <x:v>1</x:v>
      </x:c>
      <x:c r="AR9" s="1">
        <x:v>-28.882341884516102</x:v>
      </x:c>
      <x:c r="AS9" s="1">
        <x:v>2.50377962023226</x:v>
      </x:c>
      <x:c r="AT9">
        <x:f t="shared" si="12"/>
        <x:v>4.5754256535954094E-2</x:v>
      </x:c>
      <x:c r="AU9">
        <x:f t="shared" si="13"/>
        <x:v>0.26692913385826766</x:v>
      </x:c>
    </x:row>
    <x:row r="10">
      <x:c r="A10" s="1">
        <x:v>-4.0173639309178899</x:v>
      </x:c>
      <x:c r="B10" s="1">
        <x:v>3151.1661648220402</x:v>
      </x:c>
      <x:c r="C10" s="1">
        <x:v>1307.1442176870701</x:v>
      </x:c>
      <x:c r="D10" s="1">
        <x:f t="shared" si="0"/>
        <x:v>6.0260458963768349</x:v>
      </x:c>
      <x:c r="E10" s="1">
        <x:f t="shared" si="1"/>
        <x:v>24.208819430160062</x:v>
      </x:c>
      <x:c r="F10" s="1">
        <x:f t="shared" si="2"/>
        <x:v>0.2509609554293975</x:v>
      </x:c>
      <x:c r="G10" s="1">
        <x:f t="shared" si="3"/>
        <x:v>0</x:v>
      </x:c>
      <x:c r="H10" s="1">
        <x:f t="shared" si="4"/>
        <x:v>8.5371727258809746E-2</x:v>
      </x:c>
      <x:c r="I10" s="1">
        <x:f t="shared" si="5"/>
        <x:v>1.1030243892894422E-2</x:v>
      </x:c>
      <x:c r="J10" s="1"/>
      <x:c r="K10" s="1">
        <x:v>-4.08620201336797</x:v>
      </x:c>
      <x:c r="L10" s="1">
        <x:v>3134.5623168945299</x:v>
      </x:c>
      <x:c r="M10" s="1">
        <x:v>1299.18673647469</x:v>
      </x:c>
      <x:c r="N10" s="1">
        <x:f t="shared" si="6"/>
        <x:v>6.1293030200519549</x:v>
      </x:c>
      <x:c r="O10" s="1">
        <x:f t="shared" si="7"/>
        <x:v>25.04557034107868</x:v>
      </x:c>
      <x:c r="P10" s="1">
        <x:f t="shared" si="8"/>
        <x:v>0.25661333026849509</x:v>
      </x:c>
      <x:c r="Q10" s="1">
        <x:f t="shared" si="9"/>
        <x:v>0</x:v>
      </x:c>
      <x:c r="R10" s="1">
        <x:f t="shared" si="10"/>
        <x:v>8.5735881329467009E-2</x:v>
      </x:c>
      <x:c r="S10" s="1">
        <x:f t="shared" si="11"/>
        <x:v>1.1077293523292118E-2</x:v>
      </x:c>
      <x:c r="V10" s="1"/>
      <x:c r="W10" s="1"/>
      <x:c r="X10" s="1"/>
      <x:c r="Y10" s="1"/>
      <x:c r="AA10" s="1"/>
      <x:c r="AB10" s="1"/>
      <x:c r="AC10" s="1"/>
      <x:c r="AD10" s="1">
        <x:v>3000</x:v>
      </x:c>
      <x:c r="AE10" s="1">
        <x:v>4.7460000000000004</x:v>
      </x:c>
      <x:c r="AF10" s="1">
        <x:v>0</x:v>
      </x:c>
      <x:c r="AG10" s="1">
        <x:v>314.15926535897898</x:v>
      </x:c>
      <x:c r="AH10" s="1">
        <x:v>5.0279766891476099</x:v>
      </x:c>
      <x:c r="AI10" s="1">
        <x:v>4.8473306425626502E-3</x:v>
      </x:c>
      <x:c r="AJ10" s="1">
        <x:v>4.8473306425626502E-3</x:v>
      </x:c>
      <x:c r="AK10" s="1">
        <x:v>0.119422242733461</x:v>
      </x:c>
      <x:c r="AL10" s="1">
        <x:v>2.0295030146305799E-2</x:v>
      </x:c>
      <x:c r="AM10" s="1">
        <x:v>0</x:v>
      </x:c>
      <x:c r="AN10" s="1">
        <x:v>9.9127212587155497E-2</x:v>
      </x:c>
      <x:c r="AO10" s="1">
        <x:v>0</x:v>
      </x:c>
      <x:c r="AP10" s="1">
        <x:v>8</x:v>
      </x:c>
      <x:c r="AQ10" s="1" t="b">
        <x:v>1</x:v>
      </x:c>
      <x:c r="AR10" s="1">
        <x:v>-30.846391934475299</x:v>
      </x:c>
      <x:c r="AS10" s="1">
        <x:v>2.0897900928736202</x:v>
      </x:c>
      <x:c r="AT10">
        <x:f t="shared" si="12"/>
        <x:v>3.7574416843196845E-2</x:v>
      </x:c>
      <x:c r="AU10">
        <x:f t="shared" si="13"/>
        <x:v>0.31141732283464568</x:v>
      </x:c>
    </x:row>
    <x:row r="11">
      <x:c r="A11" s="1">
        <x:v>-4.7626546469484197</x:v>
      </x:c>
      <x:c r="B11" s="1">
        <x:v>3170.8185705236401</x:v>
      </x:c>
      <x:c r="C11" s="1">
        <x:v>1351.44384303112</x:v>
      </x:c>
      <x:c r="D11" s="1">
        <x:f t="shared" si="0"/>
        <x:v>7.1439819704226295</x:v>
      </x:c>
      <x:c r="E11" s="1">
        <x:f t="shared" si="1"/>
        <x:v>34.024318929149061</x:v>
      </x:c>
      <x:c r="F11" s="1">
        <x:f t="shared" si="2"/>
        <x:v>0.29567457786077428</x:v>
      </x:c>
      <x:c r="G11" s="1">
        <x:f t="shared" si="3"/>
        <x:v>0</x:v>
      </x:c>
      <x:c r="H11" s="1">
        <x:f t="shared" si="4"/>
        <x:v>8.7269147693879376E-2</x:v>
      </x:c>
      <x:c r="I11" s="1">
        <x:f t="shared" si="5"/>
        <x:v>1.1275395430038941E-2</x:v>
      </x:c>
      <x:c r="J11" s="1"/>
      <x:c r="K11" s="1">
        <x:v>-4.7643876518170796</x:v>
      </x:c>
      <x:c r="L11" s="1">
        <x:v>3146.6482438712201</x:v>
      </x:c>
      <x:c r="M11" s="1">
        <x:v>1340.6866438356101</x:v>
      </x:c>
      <x:c r="N11" s="1">
        <x:f t="shared" si="6"/>
        <x:v>7.1465814777256194</x:v>
      </x:c>
      <x:c r="O11" s="1">
        <x:f t="shared" si="7"/>
        <x:v>34.049084545180598</x:v>
      </x:c>
      <x:c r="P11" s="1">
        <x:f t="shared" si="8"/>
        <x:v>0.29805415550659992</x:v>
      </x:c>
      <x:c r="Q11" s="1">
        <x:f t="shared" si="9"/>
        <x:v>0</x:v>
      </x:c>
      <x:c r="R11" s="1">
        <x:f t="shared" si="10"/>
        <x:v>8.7886996511562246E-2</x:v>
      </x:c>
      <x:c r="S11" s="1">
        <x:f t="shared" si="11"/>
        <x:v>1.1355223065800817E-2</x:v>
      </x:c>
      <x:c r="V11" s="1"/>
      <x:c r="W11" s="1"/>
      <x:c r="X11" s="1"/>
      <x:c r="Y11" s="1"/>
      <x:c r="AA11" s="1"/>
      <x:c r="AB11" s="1"/>
      <x:c r="AC11" s="1"/>
      <x:c r="AD11" s="1">
        <x:v>3000</x:v>
      </x:c>
      <x:c r="AE11" s="1">
        <x:v>5.4240000000000004</x:v>
      </x:c>
      <x:c r="AF11" s="1">
        <x:v>0</x:v>
      </x:c>
      <x:c r="AG11" s="1">
        <x:v>314.15926535897898</x:v>
      </x:c>
      <x:c r="AH11" s="1">
        <x:v>3.8612802719639601</x:v>
      </x:c>
      <x:c r="AI11" s="1">
        <x:v>3.72255150311498E-3</x:v>
      </x:c>
      <x:c r="AJ11" s="1">
        <x:v>3.72255150311498E-3</x:v>
      </x:c>
      <x:c r="AK11" s="1">
        <x:v>0.127847016127077</x:v>
      </x:c>
      <x:c r="AL11" s="1">
        <x:v>1.4558773170328301E-2</x:v>
      </x:c>
      <x:c r="AM11" s="1">
        <x:v>0</x:v>
      </x:c>
      <x:c r="AN11" s="1">
        <x:v>0.113288242956749</x:v>
      </x:c>
      <x:c r="AO11" s="1">
        <x:v>0</x:v>
      </x:c>
      <x:c r="AP11" s="1">
        <x:v>9</x:v>
      </x:c>
      <x:c r="AQ11" s="1" t="b">
        <x:v>1</x:v>
      </x:c>
      <x:c r="AR11" s="1">
        <x:v>-32.805048947814903</x:v>
      </x:c>
      <x:c r="AS11" s="1">
        <x:v>1.6464025158481199</x:v>
      </x:c>
      <x:c r="AT11">
        <x:f t="shared" si="12"/>
        <x:v>2.8855613988891089E-2</x:v>
      </x:c>
      <x:c r="AU11">
        <x:f t="shared" si="13"/>
        <x:v>0.3559055118110237</x:v>
      </x:c>
    </x:row>
    <x:row r="12">
      <x:c r="A12" s="1">
        <x:v>-5.4476602983753502</x:v>
      </x:c>
      <x:c r="B12" s="1">
        <x:v>3167.2967505361498</x:v>
      </x:c>
      <x:c r="C12" s="1">
        <x:v>1399.396484375</x:v>
      </x:c>
      <x:c r="D12" s="1">
        <x:f t="shared" si="0"/>
        <x:v>8.1714904475630252</x:v>
      </x:c>
      <x:c r="E12" s="1">
        <x:f t="shared" si="1"/>
        <x:v>44.515504089742514</x:v>
      </x:c>
      <x:c r="F12" s="1">
        <x:f t="shared" si="2"/>
        <x:v>0.33857707658804265</x:v>
      </x:c>
      <x:c r="G12" s="1">
        <x:f t="shared" si="3"/>
        <x:v>0</x:v>
      </x:c>
      <x:c r="H12" s="1">
        <x:f t="shared" si="4"/>
        <x:v>9.0666291500554969E-2</x:v>
      </x:c>
      <x:c r="I12" s="1">
        <x:f t="shared" si="5"/>
        <x:v>1.1714315034104944E-2</x:v>
      </x:c>
      <x:c r="J12" s="1"/>
      <x:c r="K12" s="1">
        <x:v>-5.4461767160083596</x:v>
      </x:c>
      <x:c r="L12" s="1">
        <x:v>3148.2402990004498</x:v>
      </x:c>
      <x:c r="M12" s="1">
        <x:v>1386.6873156342101</x:v>
      </x:c>
      <x:c r="N12" s="1">
        <x:f t="shared" si="6"/>
        <x:v>8.1692650740125394</x:v>
      </x:c>
      <x:c r="O12" s="1">
        <x:f t="shared" si="7"/>
        <x:v>44.491261232987405</x:v>
      </x:c>
      <x:c r="P12" s="1">
        <x:f t="shared" si="8"/>
        <x:v>0.34053373595741326</x:v>
      </x:c>
      <x:c r="Q12" s="1">
        <x:f t="shared" si="9"/>
        <x:v>0</x:v>
      </x:c>
      <x:c r="R12" s="1">
        <x:f t="shared" si="10"/>
        <x:v>9.0908020932890729E-2</x:v>
      </x:c>
      <x:c r="S12" s="1">
        <x:f t="shared" si="11"/>
        <x:v>1.1745547090435153E-2</x:v>
      </x:c>
      <x:c r="V12" s="1"/>
      <x:c r="W12" s="1"/>
      <x:c r="X12" s="1"/>
      <x:c r="Y12" s="1"/>
      <x:c r="AA12" s="1"/>
      <x:c r="AB12" s="1"/>
      <x:c r="AC12" s="1"/>
      <x:c r="AD12" s="1">
        <x:v>3000</x:v>
      </x:c>
      <x:c r="AE12" s="1">
        <x:v>6.1020000000000003</x:v>
      </x:c>
      <x:c r="AF12" s="1">
        <x:v>0</x:v>
      </x:c>
      <x:c r="AG12" s="1">
        <x:v>314.15926535897898</x:v>
      </x:c>
      <x:c r="AH12" s="1">
        <x:v>2.63991030051631</x:v>
      </x:c>
      <x:c r="AI12" s="1">
        <x:v>2.5450631306484501E-3</x:v>
      </x:c>
      <x:c r="AJ12" s="1">
        <x:v>2.5450631306484501E-3</x:v>
      </x:c>
      <x:c r="AK12" s="1">
        <x:v>0.13675470183492999</x:v>
      </x:c>
      <x:c r="AL12" s="1">
        <x:v>9.3054285085875793E-3</x:v>
      </x:c>
      <x:c r="AM12" s="1">
        <x:v>0</x:v>
      </x:c>
      <x:c r="AN12" s="1">
        <x:v>0.12744927332634201</x:v>
      </x:c>
      <x:c r="AO12" s="1">
        <x:v>0</x:v>
      </x:c>
      <x:c r="AP12" s="1">
        <x:v>10</x:v>
      </x:c>
      <x:c r="AQ12" s="1" t="b">
        <x:v>1</x:v>
      </x:c>
      <x:c r="AR12" s="1">
        <x:v>-34.7527909209428</x:v>
      </x:c>
      <x:c r="AS12" s="1">
        <x:v>1.17166027835839</x:v>
      </x:c>
      <x:c r="AT12">
        <x:f t="shared" si="12"/>
        <x:v>1.9728231889846876E-2</x:v>
      </x:c>
      <x:c r="AU12">
        <x:f t="shared" si="13"/>
        <x:v>0.40039370078740166</x:v>
      </x:c>
    </x:row>
    <x:row r="13">
      <x:c r="A13" s="1">
        <x:v>-6.1273001511891598</x:v>
      </x:c>
      <x:c r="B13" s="1">
        <x:v>3178.47246389678</x:v>
      </x:c>
      <x:c r="C13" s="1">
        <x:v>1449.25948406676</x:v>
      </x:c>
      <x:c r="D13" s="1">
        <x:f t="shared" si="0"/>
        <x:v>9.1909502267837393</x:v>
      </x:c>
      <x:c r="E13" s="1">
        <x:f t="shared" si="1"/>
        <x:v>56.315710714144053</x:v>
      </x:c>
      <x:c r="F13" s="1">
        <x:f t="shared" si="2"/>
        <x:v>0.37947833771878475</x:v>
      </x:c>
      <x:c r="G13" s="1">
        <x:f t="shared" si="3"/>
        <x:v>0</x:v>
      </x:c>
      <x:c r="H13" s="1">
        <x:f t="shared" si="4"/>
        <x:v>9.3337017690477697E-2</x:v>
      </x:c>
      <x:c r="I13" s="1">
        <x:f t="shared" si="5"/>
        <x:v>1.2059379637948347E-2</x:v>
      </x:c>
      <x:c r="J13" s="1"/>
      <x:c r="K13" s="1">
        <x:v>-6.1292820396557604</x:v>
      </x:c>
      <x:c r="L13" s="1">
        <x:v>3139.7486746651698</x:v>
      </x:c>
      <x:c r="M13" s="1">
        <x:v>1437.0563380281601</x:v>
      </x:c>
      <x:c r="N13" s="1">
        <x:f t="shared" si="6"/>
        <x:v>9.193923059483641</x:v>
      </x:c>
      <x:c r="O13" s="1">
        <x:f t="shared" si="7"/>
        <x:v>56.352147482470016</x:v>
      </x:c>
      <x:c r="P13" s="1">
        <x:f t="shared" si="8"/>
        <x:v>0.38428285433963</x:v>
      </x:c>
      <x:c r="Q13" s="1">
        <x:f t="shared" si="9"/>
        <x:v>0</x:v>
      </x:c>
      <x:c r="R13" s="1">
        <x:f t="shared" si="10"/>
        <x:v>9.4824075594038229E-2</x:v>
      </x:c>
      <x:c r="S13" s="1">
        <x:f t="shared" si="11"/>
        <x:v>1.2251511294244857E-2</x:v>
      </x:c>
      <x:c r="V13" s="1"/>
      <x:c r="W13" s="1"/>
      <x:c r="X13" s="1"/>
      <x:c r="Y13" s="1"/>
      <x:c r="AA13" s="1"/>
      <x:c r="AB13" s="1"/>
      <x:c r="AC13" s="1"/>
      <x:c r="AD13" s="1">
        <x:v>3000</x:v>
      </x:c>
      <x:c r="AE13" s="1">
        <x:v>6.78</x:v>
      </x:c>
      <x:c r="AF13" s="1">
        <x:v>0</x:v>
      </x:c>
      <x:c r="AG13" s="1">
        <x:v>314.15926535897898</x:v>
      </x:c>
      <x:c r="AH13" s="1">
        <x:v>1.3594054403575799</x:v>
      </x:c>
      <x:c r="AI13" s="1">
        <x:v>1.3105644783386601E-3</x:v>
      </x:c>
      <x:c r="AJ13" s="1">
        <x:v>1.3105644783386601E-3</x:v>
      </x:c>
      <x:c r="AK13" s="1">
        <x:v>0.14609589428362299</x:v>
      </x:c>
      <x:c r="AL13" s="1">
        <x:v>4.4855905876871197E-3</x:v>
      </x:c>
      <x:c r="AM13" s="1">
        <x:v>0</x:v>
      </x:c>
      <x:c r="AN13" s="1">
        <x:v>0.141610303695936</x:v>
      </x:c>
      <x:c r="AO13" s="1">
        <x:v>0</x:v>
      </x:c>
      <x:c r="AP13" s="1">
        <x:v>11</x:v>
      </x:c>
      <x:c r="AQ13" s="1" t="b">
        <x:v>1</x:v>
      </x:c>
      <x:c r="AR13" s="1">
        <x:v>-36.667896944049502</x:v>
      </x:c>
      <x:c r="AS13" s="1">
        <x:v>0.66914102181110302</x:v>
      </x:c>
      <x:c r="AT13">
        <x:f t="shared" si="12"/>
        <x:v>1.0158930685807283E-2</x:v>
      </x:c>
      <x:c r="AU13">
        <x:f t="shared" si="13"/>
        <x:v>0.44488188976377951</x:v>
      </x:c>
    </x:row>
    <x:row r="14">
      <x:c r="A14" s="1">
        <x:v>-6.7488999999999999</x:v>
      </x:c>
      <x:c r="B14" s="1">
        <x:v>3156.9</x:v>
      </x:c>
      <x:c r="C14" s="1">
        <x:v>1496.2</x:v>
      </x:c>
      <x:c r="D14" s="1">
        <x:f t="shared" si="0"/>
        <x:v>10.12335</x:v>
      </x:c>
      <x:c r="E14" s="1">
        <x:f t="shared" si="1"/>
        <x:v>68.321476814999997</x:v>
      </x:c>
      <x:c r="F14" s="1">
        <x:f t="shared" si="2"/>
        <x:v>0.42083170896995281</x:v>
      </x:c>
      <x:c r="G14" s="1">
        <x:f t="shared" si="3"/>
        <x:v>0</x:v>
      </x:c>
      <x:c r="H14" s="1">
        <x:f t="shared" si="4"/>
        <x:v>9.7773043167222781E-2</x:v>
      </x:c>
      <x:c r="I14" s="1">
        <x:f t="shared" si="5"/>
        <x:v>1.2632525391170088E-2</x:v>
      </x:c>
      <x:c r="J14" s="1"/>
      <x:c r="K14" s="1">
        <x:v>-6.7569999999999997</x:v>
      </x:c>
      <x:c r="L14" s="1">
        <x:v>3144</x:v>
      </x:c>
      <x:c r="M14" s="1">
        <x:v>1482.8</x:v>
      </x:c>
      <x:c r="N14" s="1">
        <x:f t="shared" si="6"/>
        <x:v>10.1355</x:v>
      </x:c>
      <x:c r="O14" s="1">
        <x:f t="shared" si="7"/>
        <x:v>68.485573499999987</x:v>
      </x:c>
      <x:c r="P14" s="1">
        <x:f t="shared" si="8"/>
        <x:v>0.42306555669090984</x:v>
      </x:c>
      <x:c r="Q14" s="1">
        <x:f t="shared" si="9"/>
        <x:v>0</x:v>
      </x:c>
      <x:c r="R14" s="1">
        <x:f t="shared" si="10"/>
        <x:v>9.7668668642757514E-2</x:v>
      </x:c>
      <x:c r="S14" s="1">
        <x:f t="shared" si="11"/>
        <x:v>1.2619039937636196E-2</x:v>
      </x:c>
      <x:c r="V14" s="1"/>
      <x:c r="W14" s="1"/>
      <x:c r="X14" s="1"/>
      <x:c r="Y14" s="1"/>
      <x:c r="AA14" s="1"/>
      <x:c r="AB14" s="1"/>
      <x:c r="AC14" s="1"/>
      <x:c r="AD14" s="1">
        <x:v>3000</x:v>
      </x:c>
      <x:c r="AE14" s="1">
        <x:v>0</x:v>
      </x:c>
      <x:c r="AF14" s="1">
        <x:v>15</x:v>
      </x:c>
      <x:c r="AG14" s="1">
        <x:v>314.15926535897898</x:v>
      </x:c>
      <x:c r="AH14" s="1">
        <x:v>11.3304080704818</x:v>
      </x:c>
      <x:c r="AI14" s="1">
        <x:v>1.0923327140980999E-2</x:v>
      </x:c>
      <x:c r="AJ14" s="1">
        <x:v>1.0923327140980999E-2</x:v>
      </x:c>
      <x:c r="AK14" s="1">
        <x:v>7.3903068750050399E-2</x:v>
      </x:c>
      <x:c r="AL14" s="1">
        <x:v>7.3903068750050399E-2</x:v>
      </x:c>
      <x:c r="AM14" s="1">
        <x:v>0</x:v>
      </x:c>
      <x:c r="AN14" s="1">
        <x:v>0</x:v>
      </x:c>
      <x:c r="AO14" s="1">
        <x:v>0</x:v>
      </x:c>
      <x:c r="AP14" s="1">
        <x:v>9</x:v>
      </x:c>
      <x:c r="AQ14" s="1" t="b">
        <x:v>1</x:v>
      </x:c>
      <x:c r="AR14" s="1">
        <x:v>-18.024494185672101</x:v>
      </x:c>
      <x:c r="AS14" s="1">
        <x:v>5.9041542766600603</x:v>
      </x:c>
      <x:c r="AT14">
        <x:f t="shared" si="12"/>
        <x:v>8.4672921567578205E-2</x:v>
      </x:c>
      <x:c r="AU14">
        <x:f t="shared" si="13"/>
        <x:v>0</x:v>
      </x:c>
    </x:row>
    <x:row r="15">
      <x:c r="A15" s="1">
        <x:v>-6.1318813588195997</x:v>
      </x:c>
      <x:c r="B15" s="1">
        <x:v>3165.6881581182001</x:v>
      </x:c>
      <x:c r="C15" s="1">
        <x:v>1451.0476190476099</x:v>
      </x:c>
      <x:c r="D15" s="1">
        <x:f t="shared" si="0"/>
        <x:v>9.1978220382294005</x:v>
      </x:c>
      <x:c r="E15" s="1">
        <x:f t="shared" si="1"/>
        <x:v>56.399953497958947</x:v>
      </x:c>
      <x:c r="F15" s="1">
        <x:f t="shared" si="2"/>
        <x:v>0.38129569285424492</x:v>
      </x:c>
      <x:c r="G15" s="1">
        <x:f t="shared" si="3"/>
        <x:v>0</x:v>
      </x:c>
      <x:c r="H15" s="1">
        <x:f t="shared" si="4"/>
        <x:v>9.4211962329440235E-2</x:v>
      </x:c>
      <x:c r="I15" s="1">
        <x:f t="shared" si="5"/>
        <x:v>1.217242470650225E-2</x:v>
      </x:c>
      <x:c r="J15" s="1"/>
      <x:c r="K15" s="1">
        <x:v>-6.1327726742800497</x:v>
      </x:c>
      <x:c r="L15" s="1">
        <x:v>3133.9257884305998</x:v>
      </x:c>
      <x:c r="M15" s="1">
        <x:v>1435.78382352941</x:v>
      </x:c>
      <x:c r="N15" s="1">
        <x:f t="shared" si="6"/>
        <x:v>9.1991590114200754</x:v>
      </x:c>
      <x:c r="O15" s="1">
        <x:f t="shared" si="7"/>
        <x:v>56.416351011594102</x:v>
      </x:c>
      <x:c r="P15" s="1">
        <x:f t="shared" si="8"/>
        <x:v>0.38521611451878607</x:v>
      </x:c>
      <x:c r="Q15" s="1">
        <x:f t="shared" si="9"/>
        <x:v>0</x:v>
      </x:c>
      <x:c r="R15" s="1">
        <x:f t="shared" si="10"/>
        <x:v>9.5089955928559816E-2</x:v>
      </x:c>
      <x:c r="S15" s="1">
        <x:f t="shared" si="11"/>
        <x:v>1.2285863708448762E-2</x:v>
      </x:c>
      <x:c r="V15" s="1"/>
      <x:c r="W15" s="1"/>
      <x:c r="X15" s="1"/>
      <x:c r="Y15" s="1"/>
      <x:c r="AA15" s="1"/>
      <x:c r="AB15" s="1"/>
      <x:c r="AC15" s="1"/>
      <x:c r="AD15" s="1">
        <x:v>3000</x:v>
      </x:c>
      <x:c r="AE15" s="1">
        <x:v>0.67800000000000005</x:v>
      </x:c>
      <x:c r="AF15" s="1">
        <x:v>15</x:v>
      </x:c>
      <x:c r="AG15" s="1">
        <x:v>314.15926535897898</x:v>
      </x:c>
      <x:c r="AH15" s="1">
        <x:v>10.5964898365623</x:v>
      </x:c>
      <x:c r="AI15" s="1">
        <x:v>1.0215777252754099E-2</x:v>
      </x:c>
      <x:c r="AJ15" s="1">
        <x:v>1.0215777252754099E-2</x:v>
      </x:c>
      <x:c r="AK15" s="1">
        <x:v>7.8596637212255197E-2</x:v>
      </x:c>
      <x:c r="AL15" s="1">
        <x:v>6.4918132251400903E-2</x:v>
      </x:c>
      <x:c r="AM15" s="1">
        <x:v>1.2</x:v>
      </x:c>
      <x:c r="AN15" s="1">
        <x:v>1.36785049608543E-2</x:v>
      </x:c>
      <x:c r="AO15" s="1">
        <x:v>3.6651443579260199E-3</x:v>
      </x:c>
      <x:c r="AP15" s="1">
        <x:v>11</x:v>
      </x:c>
      <x:c r="AQ15" s="1" t="b">
        <x:v>1</x:v>
      </x:c>
      <x:c r="AR15" s="1">
        <x:v>-22.880565399036499</x:v>
      </x:c>
      <x:c r="AS15" s="1">
        <x:v>9.3514769440071994</x:v>
      </x:c>
      <x:c r="AT15">
        <x:f t="shared" si="12"/>
        <x:v>7.9188299948381266E-2</x:v>
      </x:c>
      <x:c r="AU15">
        <x:f t="shared" si="13"/>
        <x:v>4.4488188976377963E-2</x:v>
      </x:c>
    </x:row>
    <x:row r="16">
      <x:c r="A16" s="1">
        <x:v>-5.4544467338143896</x:v>
      </x:c>
      <x:c r="B16" s="1">
        <x:v>3149.629823882</x:v>
      </x:c>
      <x:c r="C16" s="1">
        <x:v>1398.2465753424599</x:v>
      </x:c>
      <x:c r="D16" s="1">
        <x:f t="shared" si="0"/>
        <x:v>8.1816701007215844</x:v>
      </x:c>
      <x:c r="E16" s="1">
        <x:f t="shared" si="1"/>
        <x:v>44.626483758027696</x:v>
      </x:c>
      <x:c r="F16" s="1">
        <x:f t="shared" si="2"/>
        <x:v>0.34090037465036493</x:v>
      </x:c>
      <x:c r="G16" s="1">
        <x:f t="shared" si="3"/>
        <x:v>0</x:v>
      </x:c>
      <x:c r="H16" s="1">
        <x:f t="shared" si="4"/>
        <x:v>9.1608604810207647E-2</x:v>
      </x:c>
      <x:c r="I16" s="1">
        <x:f t="shared" si="5"/>
        <x:v>1.1836064305939161E-2</x:v>
      </x:c>
      <x:c r="J16" s="1"/>
      <x:c r="K16" s="1">
        <x:v>-5.4593109851595996</x:v>
      </x:c>
      <x:c r="L16" s="1">
        <x:v>3141.2414119944801</x:v>
      </x:c>
      <x:c r="M16" s="1">
        <x:v>1384.2037302725901</x:v>
      </x:c>
      <x:c r="N16" s="1">
        <x:f t="shared" si="6"/>
        <x:v>8.1889664777393989</x:v>
      </x:c>
      <x:c r="O16" s="1">
        <x:f t="shared" si="7"/>
        <x:v>44.706114649026418</x:v>
      </x:c>
      <x:c r="P16" s="1">
        <x:f t="shared" si="8"/>
        <x:v>0.34211554472069622</x:v>
      </x:c>
      <x:c r="Q16" s="1">
        <x:f t="shared" si="9"/>
        <x:v>0</x:v>
      </x:c>
      <x:c r="R16" s="1">
        <x:f t="shared" si="10"/>
        <x:v>9.1144917382965762E-2</x:v>
      </x:c>
      <x:c r="S16" s="1">
        <x:f t="shared" si="11"/>
        <x:v>1.1776154713187905E-2</x:v>
      </x:c>
      <x:c r="V16" s="1"/>
      <x:c r="W16" s="1"/>
      <x:c r="X16" s="1"/>
      <x:c r="Y16" s="1"/>
      <x:c r="AA16" s="1"/>
      <x:c r="AB16" s="1"/>
      <x:c r="AC16" s="1"/>
      <x:c r="AD16" s="1">
        <x:v>3000</x:v>
      </x:c>
      <x:c r="AE16" s="1">
        <x:v>1.3560000000000001</x:v>
      </x:c>
      <x:c r="AF16" s="1">
        <x:v>15</x:v>
      </x:c>
      <x:c r="AG16" s="1">
        <x:v>314.15926535897898</x:v>
      </x:c>
      <x:c r="AH16" s="1">
        <x:v>9.8904576025491302</x:v>
      </x:c>
      <x:c r="AI16" s="1">
        <x:v>9.5351114712368904E-3</x:v>
      </x:c>
      <x:c r="AJ16" s="1">
        <x:v>9.5351114712368904E-3</x:v>
      </x:c>
      <x:c r="AK16" s="1">
        <x:v>8.3939228646911807E-2</x:v>
      </x:c>
      <x:c r="AL16" s="1">
        <x:v>5.6582218725203103E-2</x:v>
      </x:c>
      <x:c r="AM16" s="1">
        <x:v>1.2</x:v>
      </x:c>
      <x:c r="AN16" s="1">
        <x:v>2.73570099217086E-2</x:v>
      </x:c>
      <x:c r="AO16" s="1">
        <x:v>7.3302887158520399E-3</x:v>
      </x:c>
      <x:c r="AP16" s="1">
        <x:v>8</x:v>
      </x:c>
      <x:c r="AQ16" s="1" t="b">
        <x:v>1</x:v>
      </x:c>
      <x:c r="AR16" s="1">
        <x:v>-24.107110308193999</x:v>
      </x:c>
      <x:c r="AS16" s="1">
        <x:v>8.1449519141010303</x:v>
      </x:c>
      <x:c r="AT16">
        <x:f t="shared" si="12"/>
        <x:v>7.3912072331255727E-2</x:v>
      </x:c>
      <x:c r="AU16">
        <x:f t="shared" si="13"/>
        <x:v>8.8976377952755925E-2</x:v>
      </x:c>
    </x:row>
    <x:row r="17">
      <x:c r="A17" s="1">
        <x:v>-4.7743659681743997</x:v>
      </x:c>
      <x:c r="B17" s="1">
        <x:v>3172.4433984375</x:v>
      </x:c>
      <x:c r="C17" s="1">
        <x:v>1351.23809523809</x:v>
      </x:c>
      <x:c r="D17" s="1">
        <x:f t="shared" si="0"/>
        <x:v>7.1615489522615992</x:v>
      </x:c>
      <x:c r="E17" s="1">
        <x:f t="shared" si="1"/>
        <x:v>34.191855597092811</x:v>
      </x:c>
      <x:c r="F17" s="1">
        <x:f t="shared" si="2"/>
        <x:v>0.29624983095668844</x:v>
      </x:c>
      <x:c r="G17" s="1">
        <x:f t="shared" si="3"/>
        <x:v>0</x:v>
      </x:c>
      <x:c r="H17" s="1">
        <x:f t="shared" si="4"/>
        <x:v>8.7166079222882026E-2</x:v>
      </x:c>
      <x:c r="I17" s="1">
        <x:f t="shared" si="5"/>
        <x:v>1.1262078721928748E-2</x:v>
      </x:c>
      <x:c r="J17" s="1"/>
      <x:c r="K17" s="1">
        <x:v>-4.7777289124422202</x:v>
      </x:c>
      <x:c r="L17" s="1">
        <x:v>3150.4057992788398</x:v>
      </x:c>
      <x:c r="M17" s="1">
        <x:v>1334.46692607003</x:v>
      </x:c>
      <x:c r="N17" s="1">
        <x:f t="shared" si="6"/>
        <x:v>7.1665933686633299</x:v>
      </x:c>
      <x:c r="O17" s="1">
        <x:f t="shared" si="7"/>
        <x:v>34.24004034117948</x:v>
      </x:c>
      <x:c r="P17" s="1">
        <x:f t="shared" si="8"/>
        <x:v>0.29853227721494657</x:v>
      </x:c>
      <x:c r="Q17" s="1">
        <x:f t="shared" si="9"/>
        <x:v>0</x:v>
      </x:c>
      <x:c r="R17" s="1">
        <x:f t="shared" si="10"/>
        <x:v>8.7257564021802472E-2</x:v>
      </x:c>
      <x:c r="S17" s="1">
        <x:f t="shared" si="11"/>
        <x:v>1.1273898790199428E-2</x:v>
      </x:c>
      <x:c r="V17" s="1"/>
      <x:c r="W17" s="1"/>
      <x:c r="X17" s="1"/>
      <x:c r="Y17" s="1"/>
      <x:c r="AA17" s="1"/>
      <x:c r="AB17" s="1"/>
      <x:c r="AC17" s="1"/>
      <x:c r="AD17" s="1">
        <x:v>3000</x:v>
      </x:c>
      <x:c r="AE17" s="1">
        <x:v>2.0339999999999998</x:v>
      </x:c>
      <x:c r="AF17" s="1">
        <x:v>15</x:v>
      </x:c>
      <x:c r="AG17" s="1">
        <x:v>314.15926535897898</x:v>
      </x:c>
      <x:c r="AH17" s="1">
        <x:v>9.12345062894852</x:v>
      </x:c>
      <x:c r="AI17" s="1">
        <x:v>8.7956616614916893E-3</x:v>
      </x:c>
      <x:c r="AJ17" s="1">
        <x:v>8.7956616614916893E-3</x:v>
      </x:c>
      <x:c r="AK17" s="1">
        <x:v>8.9699701439841004E-2</x:v>
      </x:c>
      <x:c r="AL17" s="1">
        <x:v>4.8664186557278097E-2</x:v>
      </x:c>
      <x:c r="AM17" s="1">
        <x:v>1.2</x:v>
      </x:c>
      <x:c r="AN17" s="1">
        <x:v>4.10355148825629E-2</x:v>
      </x:c>
      <x:c r="AO17" s="1">
        <x:v>1.0995433073778E-2</x:v>
      </x:c>
      <x:c r="AP17" s="1">
        <x:v>5</x:v>
      </x:c>
      <x:c r="AQ17" s="1" t="b">
        <x:v>1</x:v>
      </x:c>
      <x:c r="AR17" s="1">
        <x:v>-25.619579802453298</x:v>
      </x:c>
      <x:c r="AS17" s="1">
        <x:v>7.0182778130479102</x:v>
      </x:c>
      <x:c r="AT17">
        <x:f t="shared" si="12"/>
        <x:v>6.8180176276543852E-2</x:v>
      </x:c>
      <x:c r="AU17">
        <x:f t="shared" si="13"/>
        <x:v>0.13346456692913383</x:v>
      </x:c>
    </x:row>
    <x:row r="18">
      <x:c r="A18" s="1">
        <x:v>-4.0968285628727497</x:v>
      </x:c>
      <x:c r="B18" s="1">
        <x:v>3156.3119921875</x:v>
      </x:c>
      <x:c r="C18" s="1">
        <x:v>1306.49108910891</x:v>
      </x:c>
      <x:c r="D18" s="1">
        <x:f t="shared" si="0"/>
        <x:v>6.1452428443091245</x:v>
      </x:c>
      <x:c r="E18" s="1">
        <x:f t="shared" si="1"/>
        <x:v>25.176006410354997</x:v>
      </x:c>
      <x:c r="F18" s="1">
        <x:f t="shared" si="2"/>
        <x:v>0.25550779438860494</x:v>
      </x:c>
      <x:c r="G18" s="1">
        <x:f t="shared" si="3"/>
        <x:v>0</x:v>
      </x:c>
      <x:c r="H18" s="1">
        <x:f t="shared" si="4"/>
        <x:v>8.5049656726945005E-2</x:v>
      </x:c>
      <x:c r="I18" s="1">
        <x:f t="shared" si="5"/>
        <x:v>1.0988631562545139E-2</x:v>
      </x:c>
      <x:c r="J18" s="1"/>
      <x:c r="K18" s="1">
        <x:v>-4.0990842369538303</x:v>
      </x:c>
      <x:c r="L18" s="1">
        <x:v>3142.7315444946198</x:v>
      </x:c>
      <x:c r="M18" s="1">
        <x:v>1292.7061611374399</x:v>
      </x:c>
      <x:c r="N18" s="1">
        <x:f t="shared" si="6"/>
        <x:v>6.1486263554307454</x:v>
      </x:c>
      <x:c r="O18" s="1">
        <x:f t="shared" si="7"/>
        <x:v>25.203737372465049</x:v>
      </x:c>
      <x:c r="P18" s="1">
        <x:f t="shared" si="8"/>
        <x:v>0.25675318888454762</x:v>
      </x:c>
      <x:c r="Q18" s="1">
        <x:f t="shared" si="9"/>
        <x:v>0</x:v>
      </x:c>
      <x:c r="R18" s="1">
        <x:f t="shared" si="10"/>
        <x:v>8.4851077660843516E-2</x:v>
      </x:c>
      <x:c r="S18" s="1">
        <x:f t="shared" si="11"/>
        <x:v>1.0962974643077149E-2</x:v>
      </x:c>
      <x:c r="V18" s="1"/>
      <x:c r="W18" s="1"/>
      <x:c r="X18" s="1"/>
      <x:c r="Y18" s="1"/>
      <x:c r="AA18" s="1"/>
      <x:c r="AB18" s="1"/>
      <x:c r="AC18" s="1"/>
      <x:c r="AD18" s="1">
        <x:v>3000</x:v>
      </x:c>
      <x:c r="AE18" s="1">
        <x:v>2.7120000000000002</x:v>
      </x:c>
      <x:c r="AF18" s="1">
        <x:v>15</x:v>
      </x:c>
      <x:c r="AG18" s="1">
        <x:v>314.15926535897898</x:v>
      </x:c>
      <x:c r="AH18" s="1">
        <x:v>8.2903108730971091</x:v>
      </x:c>
      <x:c r="AI18" s="1">
        <x:v>7.9924550999353593E-3</x:v>
      </x:c>
      <x:c r="AJ18" s="1">
        <x:v>7.9924550999353593E-3</x:v>
      </x:c>
      <x:c r="AK18" s="1">
        <x:v>9.5904413205354602E-2</x:v>
      </x:c>
      <x:c r="AL18" s="1">
        <x:v>4.1190393361937298E-2</x:v>
      </x:c>
      <x:c r="AM18" s="1">
        <x:v>1.2</x:v>
      </x:c>
      <x:c r="AN18" s="1">
        <x:v>5.4714019843417297E-2</x:v>
      </x:c>
      <x:c r="AO18" s="1">
        <x:v>1.4660577431704E-2</x:v>
      </x:c>
      <x:c r="AP18" s="1">
        <x:v>6</x:v>
      </x:c>
      <x:c r="AQ18" s="1" t="b">
        <x:v>1</x:v>
      </x:c>
      <x:c r="AR18" s="1">
        <x:v>-27.456019142793501</x:v>
      </x:c>
      <x:c r="AS18" s="1">
        <x:v>5.8793006519864797</x:v>
      </x:c>
      <x:c r="AT18">
        <x:f t="shared" si="12"/>
        <x:v>6.1954065375399915E-2</x:v>
      </x:c>
      <x:c r="AU18">
        <x:f t="shared" si="13"/>
        <x:v>0.17795275590551185</x:v>
      </x:c>
    </x:row>
    <x:row r="19">
      <x:c r="A19" s="1">
        <x:v>-3.3844091384838699</x:v>
      </x:c>
      <x:c r="B19" s="1">
        <x:v>3147.7457744891799</x:v>
      </x:c>
      <x:c r="C19" s="1">
        <x:v>1268.8806161745799</x:v>
      </x:c>
      <x:c r="D19" s="1">
        <x:f t="shared" si="0"/>
        <x:v>5.0766137077258051</x:v>
      </x:c>
      <x:c r="E19" s="1">
        <x:f t="shared" si="1"/>
        <x:v>17.181337824979696</x:v>
      </x:c>
      <x:c r="F19" s="1">
        <x:f t="shared" si="2"/>
        <x:v>0.21165059667603173</x:v>
      </x:c>
      <x:c r="G19" s="1">
        <x:f t="shared" si="3"/>
        <x:v>0</x:v>
      </x:c>
      <x:c r="H19" s="1">
        <x:f t="shared" si="4"/>
        <x:v>8.2969724574383966E-2</x:v>
      </x:c>
      <x:c r="I19" s="1">
        <x:f t="shared" si="5"/>
        <x:v>1.0719899048162826E-2</x:v>
      </x:c>
      <x:c r="J19" s="1"/>
      <x:c r="K19" s="1">
        <x:v>-3.4101176526811301</x:v>
      </x:c>
      <x:c r="L19" s="1">
        <x:v>3133.9365234375</x:v>
      </x:c>
      <x:c r="M19" s="1">
        <x:v>1256.0228384991799</x:v>
      </x:c>
      <x:c r="N19" s="1">
        <x:f t="shared" si="6"/>
        <x:v>5.1151764790216951</x:v>
      </x:c>
      <x:c r="O19" s="1">
        <x:f t="shared" si="7"/>
        <x:v>17.44335360769119</x:v>
      </x:c>
      <x:c r="P19" s="1">
        <x:f t="shared" si="8"/>
        <x:v>0.21419802139450478</x:v>
      </x:c>
      <x:c r="Q19" s="1">
        <x:f t="shared" si="9"/>
        <x:v>0</x:v>
      </x:c>
      <x:c r="R19" s="1">
        <x:f t="shared" si="10"/>
        <x:v>8.2825317236686569E-2</x:v>
      </x:c>
      <x:c r="S19" s="1">
        <x:f t="shared" si="11"/>
        <x:v>1.0701241253529047E-2</x:v>
      </x:c>
      <x:c r="V19" s="1"/>
      <x:c r="W19" s="1"/>
      <x:c r="X19" s="1"/>
      <x:c r="Y19" s="1"/>
      <x:c r="AA19" s="1"/>
      <x:c r="AB19" s="1"/>
      <x:c r="AC19" s="1"/>
      <x:c r="AD19" s="1">
        <x:v>3000</x:v>
      </x:c>
      <x:c r="AE19" s="1">
        <x:v>3.39</x:v>
      </x:c>
      <x:c r="AF19" s="1">
        <x:v>15</x:v>
      </x:c>
      <x:c r="AG19" s="1">
        <x:v>314.15926535897898</x:v>
      </x:c>
      <x:c r="AH19" s="1">
        <x:v>7.38341928407465</x:v>
      </x:c>
      <x:c r="AI19" s="1">
        <x:v>7.1181464742730198E-3</x:v>
      </x:c>
      <x:c r="AJ19" s="1">
        <x:v>7.1181464742730198E-3</x:v>
      </x:c>
      <x:c r="AK19" s="1">
        <x:v>0.10255535006760801</x:v>
      </x:c>
      <x:c r="AL19" s="1">
        <x:v>3.4162825263336298E-2</x:v>
      </x:c>
      <x:c r="AM19" s="1">
        <x:v>1.2</x:v>
      </x:c>
      <x:c r="AN19" s="1">
        <x:v>6.8392524804271604E-2</x:v>
      </x:c>
      <x:c r="AO19" s="1">
        <x:v>1.8325721789630101E-2</x:v>
      </x:c>
      <x:c r="AP19" s="1">
        <x:v>5</x:v>
      </x:c>
      <x:c r="AQ19" s="1" t="b">
        <x:v>1</x:v>
      </x:c>
      <x:c r="AR19" s="1">
        <x:v>-29.5958792839157</x:v>
      </x:c>
      <x:c r="AS19" s="1">
        <x:v>4.7455806307649802</x:v>
      </x:c>
      <x:c r="AT19">
        <x:f t="shared" si="12"/>
        <x:v>5.5176801934408076E-2</x:v>
      </x:c>
      <x:c r="AU19">
        <x:f t="shared" si="13"/>
        <x:v>0.22244094488188976</x:v>
      </x:c>
    </x:row>
    <x:row r="20">
      <x:c r="A20" s="1">
        <x:v>-2.7262742660547499</x:v>
      </x:c>
      <x:c r="B20" s="1">
        <x:v>3137.0563886088698</x:v>
      </x:c>
      <x:c r="C20" s="1">
        <x:v>1240.3344316309699</x:v>
      </x:c>
      <x:c r="D20" s="1">
        <x:f t="shared" si="0"/>
        <x:v>4.0894113990821248</x:v>
      </x:c>
      <x:c r="E20" s="1">
        <x:f t="shared" si="1"/>
        <x:v>11.148857060628547</x:v>
      </x:c>
      <x:c r="F20" s="1">
        <x:f t="shared" si="2"/>
        <x:v>0.17107380171995845</x:v>
      </x:c>
      <x:c r="G20" s="1">
        <x:f t="shared" si="3"/>
        <x:v>0</x:v>
      </x:c>
      <x:c r="H20" s="1">
        <x:f t="shared" si="4"/>
        <x:v>8.1592460569048883E-2</x:v>
      </x:c>
      <x:c r="I20" s="1">
        <x:f t="shared" si="5"/>
        <x:v>1.0541953042248052E-2</x:v>
      </x:c>
      <x:c r="J20" s="1"/>
      <x:c r="K20" s="1">
        <x:v>-2.7875227015951398</x:v>
      </x:c>
      <x:c r="L20" s="1">
        <x:v>3106.4316262637799</x:v>
      </x:c>
      <x:c r="M20" s="1">
        <x:v>1231.1157742402299</x:v>
      </x:c>
      <x:c r="N20" s="1">
        <x:f t="shared" si="6"/>
        <x:v>4.1812840523927095</x:v>
      </x:c>
      <x:c r="O20" s="1">
        <x:f t="shared" si="7"/>
        <x:v>11.6554242178624</x:v>
      </x:c>
      <x:c r="P20" s="1">
        <x:f t="shared" si="8"/>
        <x:v>0.17664156410835202</x:v>
      </x:c>
      <x:c r="Q20" s="1">
        <x:f t="shared" si="9"/>
        <x:v>0</x:v>
      </x:c>
      <x:c r="R20" s="1">
        <x:f t="shared" si="10"/>
        <x:v>8.2569030411982172E-2</x:v>
      </x:c>
      <x:c r="S20" s="1">
        <x:f t="shared" si="11"/>
        <x:v>1.0668128345148324E-2</x:v>
      </x:c>
      <x:c r="V20" s="1"/>
      <x:c r="W20" s="1"/>
      <x:c r="X20" s="1"/>
      <x:c r="Y20" s="1"/>
      <x:c r="AA20" s="1"/>
      <x:c r="AB20" s="1"/>
      <x:c r="AC20" s="1"/>
      <x:c r="AD20" s="1">
        <x:v>3000</x:v>
      </x:c>
      <x:c r="AE20" s="1">
        <x:v>4.0679999999999996</x:v>
      </x:c>
      <x:c r="AF20" s="1">
        <x:v>15</x:v>
      </x:c>
      <x:c r="AG20" s="1">
        <x:v>314.15926535897898</x:v>
      </x:c>
      <x:c r="AH20" s="1">
        <x:v>6.4066931125324098</x:v>
      </x:c>
      <x:c r="AI20" s="1">
        <x:v>6.1765122954733102E-3</x:v>
      </x:c>
      <x:c r="AJ20" s="1">
        <x:v>6.1765122954733102E-3</x:v>
      </x:c>
      <x:c r="AK20" s="1">
        <x:v>0.109679124414785</x:v>
      </x:c>
      <x:c r="AL20" s="1">
        <x:v>2.7608094649659898E-2</x:v>
      </x:c>
      <x:c r="AM20" s="1">
        <x:v>1.2</x:v>
      </x:c>
      <x:c r="AN20" s="1">
        <x:v>8.2071029765125897E-2</x:v>
      </x:c>
      <x:c r="AO20" s="1">
        <x:v>2.1990866147556101E-2</x:v>
      </x:c>
      <x:c r="AP20" s="1">
        <x:v>6</x:v>
      </x:c>
      <x:c r="AQ20" s="1" t="b">
        <x:v>1</x:v>
      </x:c>
      <x:c r="AR20" s="1">
        <x:v>-31.982010798905101</x:v>
      </x:c>
      <x:c r="AS20" s="1">
        <x:v>3.8497544318681101</x:v>
      </x:c>
      <x:c r="AT20">
        <x:f t="shared" si="12"/>
        <x:v>4.7877659838065238E-2</x:v>
      </x:c>
      <x:c r="AU20">
        <x:f t="shared" si="13"/>
        <x:v>0.26692913385826766</x:v>
      </x:c>
    </x:row>
    <x:row r="21">
      <x:c r="A21" s="1">
        <x:v>-2.0471302870909298</x:v>
      </x:c>
      <x:c r="B21" s="1">
        <x:v>3131.1556722005198</x:v>
      </x:c>
      <x:c r="C21" s="1">
        <x:v>1224.7161936560899</x:v>
      </x:c>
      <x:c r="D21" s="1">
        <x:f t="shared" si="0"/>
        <x:v>3.0706954306363947</x:v>
      </x:c>
      <x:c r="E21" s="1">
        <x:f t="shared" si="1"/>
        <x:v>6.2861136184874891</x:v>
      </x:c>
      <x:c r="F21" s="1">
        <x:f t="shared" si="2"/>
        <x:v>0.12869957458469306</x:v>
      </x:c>
      <x:c r="G21" s="1">
        <x:f t="shared" si="3"/>
        <x:v>0</x:v>
      </x:c>
      <x:c r="H21" s="1">
        <x:f t="shared" si="4"/>
        <x:v>8.0832845224352565E-2</x:v>
      </x:c>
      <x:c r="I21" s="1">
        <x:f t="shared" si="5"/>
        <x:v>1.0443808811296923E-2</x:v>
      </x:c>
      <x:c r="J21" s="1"/>
      <x:c r="K21" s="1">
        <x:v>-2.0591606889062199</x:v>
      </x:c>
      <x:c r="L21" s="1">
        <x:v>3100.3718449519201</x:v>
      </x:c>
      <x:c r="M21" s="1">
        <x:v>1212.7988505747101</x:v>
      </x:c>
      <x:c r="N21" s="1">
        <x:f t="shared" si="6"/>
        <x:v>3.0887410333593301</x:v>
      </x:c>
      <x:c r="O21" s="1">
        <x:f t="shared" si="7"/>
        <x:v>6.3602141141051076</x:v>
      </x:c>
      <x:c r="P21" s="1">
        <x:f t="shared" si="8"/>
        <x:v>0.13074128284462602</x:v>
      </x:c>
      <x:c r="Q21" s="1">
        <x:f t="shared" si="9"/>
        <x:v>0</x:v>
      </x:c>
      <x:c r="R21" s="1">
        <x:f t="shared" si="10"/>
        <x:v>8.1615258667985691E-2</x:v>
      </x:c>
      <x:c r="S21" s="1">
        <x:f t="shared" si="11"/>
        <x:v>1.0544898614507647E-2</x:v>
      </x:c>
      <x:c r="V21" s="1"/>
      <x:c r="W21" s="1"/>
      <x:c r="X21" s="1"/>
      <x:c r="Y21" s="1"/>
      <x:c r="AA21" s="1"/>
      <x:c r="AB21" s="1"/>
      <x:c r="AC21" s="1"/>
      <x:c r="AD21" s="1">
        <x:v>3000</x:v>
      </x:c>
      <x:c r="AE21" s="1">
        <x:v>4.7460000000000004</x:v>
      </x:c>
      <x:c r="AF21" s="1">
        <x:v>15</x:v>
      </x:c>
      <x:c r="AG21" s="1">
        <x:v>314.15926535897898</x:v>
      </x:c>
      <x:c r="AH21" s="1">
        <x:v>5.3572967991384104</x:v>
      </x:c>
      <x:c r="AI21" s="1">
        <x:v>5.1648188806875401E-3</x:v>
      </x:c>
      <x:c r="AJ21" s="1">
        <x:v>5.1648188806875401E-3</x:v>
      </x:c>
      <x:c r="AK21" s="1">
        <x:v>0.117263079945976</x:v>
      </x:c>
      <x:c r="AL21" s="1">
        <x:v>2.15135452199961E-2</x:v>
      </x:c>
      <x:c r="AM21" s="1">
        <x:v>1.2</x:v>
      </x:c>
      <x:c r="AN21" s="1">
        <x:v>9.5749534725980301E-2</x:v>
      </x:c>
      <x:c r="AO21" s="1">
        <x:v>2.5656010505482101E-2</x:v>
      </x:c>
      <x:c r="AP21" s="1">
        <x:v>8</x:v>
      </x:c>
      <x:c r="AQ21" s="1" t="b">
        <x:v>1</x:v>
      </x:c>
      <x:c r="AR21" s="1">
        <x:v>-34.533536900656699</x:v>
      </x:c>
      <x:c r="AS21" s="1">
        <x:v>2.9748962181485399</x:v>
      </x:c>
      <x:c r="AT21">
        <x:f t="shared" si="12"/>
        <x:v>4.0035448755765118E-2</x:v>
      </x:c>
      <x:c r="AU21">
        <x:f t="shared" si="13"/>
        <x:v>0.31141732283464568</x:v>
      </x:c>
    </x:row>
    <x:row r="22">
      <x:c r="A22" s="1">
        <x:v>-1.37029806205204</x:v>
      </x:c>
      <x:c r="B22" s="1">
        <x:v>3120.73691258286</x:v>
      </x:c>
      <x:c r="C22" s="1">
        <x:v>1214.2989377845199</x:v>
      </x:c>
      <x:c r="D22" s="1">
        <x:f t="shared" si="0"/>
        <x:v>2.05544709307806</x:v>
      </x:c>
      <x:c r="E22" s="1">
        <x:f t="shared" si="1"/>
        <x:v>2.8165751682953646</x:v>
      </x:c>
      <x:c r="F22" s="1">
        <x:f t="shared" si="2"/>
        <x:v>8.6435902980081136E-2</x:v>
      </x:c>
      <x:c r="G22" s="1">
        <x:f t="shared" si="3"/>
        <x:v>0</x:v>
      </x:c>
      <x:c r="H22" s="1">
        <x:f t="shared" si="4"/>
        <x:v>8.0656746263002566E-2</x:v>
      </x:c>
      <x:c r="I22" s="1">
        <x:f t="shared" si="5"/>
        <x:v>1.0421056378432499E-2</x:v>
      </x:c>
      <x:c r="J22" s="1"/>
      <x:c r="K22" s="1">
        <x:v>-1.3649782690347401</x:v>
      </x:c>
      <x:c r="L22" s="1">
        <x:v>3089.76926757812</x:v>
      </x:c>
      <x:c r="M22" s="1">
        <x:v>1203.5874263261201</x:v>
      </x:c>
      <x:c r="N22" s="1">
        <x:f t="shared" si="6"/>
        <x:v>2.0474674035521101</x:v>
      </x:c>
      <x:c r="O22" s="1">
        <x:f t="shared" si="7"/>
        <x:v>2.7947485124056128</x:v>
      </x:c>
      <x:c r="P22" s="1">
        <x:f t="shared" si="8"/>
        <x:v>8.6963292849087895E-2</x:v>
      </x:c>
      <x:c r="Q22" s="1">
        <x:f t="shared" si="9"/>
        <x:v>0</x:v>
      </x:c>
      <x:c r="R22" s="1">
        <x:f t="shared" si="10"/>
        <x:v>8.1529813091318515E-2</x:v>
      </x:c>
      <x:c r="S22" s="1">
        <x:f t="shared" si="11"/>
        <x:v>1.0533858829083712E-2</x:v>
      </x:c>
      <x:c r="V22" s="1"/>
      <x:c r="W22" s="1"/>
      <x:c r="X22" s="1"/>
      <x:c r="Y22" s="1"/>
      <x:c r="AA22" s="1"/>
      <x:c r="AB22" s="1"/>
      <x:c r="AC22" s="1"/>
      <x:c r="AD22" s="1">
        <x:v>3000</x:v>
      </x:c>
      <x:c r="AE22" s="1">
        <x:v>5.4240000000000004</x:v>
      </x:c>
      <x:c r="AF22" s="1">
        <x:v>15</x:v>
      </x:c>
      <x:c r="AG22" s="1">
        <x:v>314.15926535897898</x:v>
      </x:c>
      <x:c r="AH22" s="1">
        <x:v>4.2495102171978898</x:v>
      </x:c>
      <x:c r="AI22" s="1">
        <x:v>4.0968330533764797E-3</x:v>
      </x:c>
      <x:c r="AJ22" s="1">
        <x:v>4.0968330533764797E-3</x:v>
      </x:c>
      <x:c r="AK22" s="1">
        <x:v>0.125341275957604</x:v>
      </x:c>
      <x:c r="AL22" s="1">
        <x:v>1.59132362707693E-2</x:v>
      </x:c>
      <x:c r="AM22" s="1">
        <x:v>1.2</x:v>
      </x:c>
      <x:c r="AN22" s="1">
        <x:v>0.109428039686834</x:v>
      </x:c>
      <x:c r="AO22" s="1">
        <x:v>2.9321154863408101E-2</x:v>
      </x:c>
      <x:c r="AP22" s="1">
        <x:v>9</x:v>
      </x:c>
      <x:c r="AQ22" s="1" t="b">
        <x:v>1</x:v>
      </x:c>
      <x:c r="AR22" s="1">
        <x:v>-37.180522598616797</x:v>
      </x:c>
      <x:c r="AS22" s="1">
        <x:v>2.12985842470904</x:v>
      </x:c>
      <x:c r="AT22">
        <x:f t="shared" si="12"/>
        <x:v>3.1756883166355034E-2</x:v>
      </x:c>
      <x:c r="AU22">
        <x:f t="shared" si="13"/>
        <x:v>0.3559055118110237</x:v>
      </x:c>
    </x:row>
    <x:row r="23">
      <x:c r="A23" s="1">
        <x:v>-0.68153465364632404</x:v>
      </x:c>
      <x:c r="B23" s="1">
        <x:v>3103.24438476562</x:v>
      </x:c>
      <x:c r="C23" s="1">
        <x:v>1204.7669421487601</x:v>
      </x:c>
      <x:c r="D23" s="1">
        <x:f t="shared" si="0"/>
        <x:v>1.0223019804694862</x:v>
      </x:c>
      <x:c r="E23" s="1">
        <x:f t="shared" si="1"/>
        <x:v>0.69673422618122227</x:v>
      </x:c>
      <x:c r="F23" s="1">
        <x:f t="shared" si="2"/>
        <x:v>4.3232291194862334E-2</x:v>
      </x:c>
      <x:c r="G23" s="1">
        <x:f t="shared" si="3"/>
        <x:v>0</x:v>
      </x:c>
      <x:c r="H23" s="1">
        <x:f t="shared" si="4"/>
        <x:v>8.0905372606990739E-2</x:v>
      </x:c>
      <x:c r="I23" s="1">
        <x:f t="shared" si="5"/>
        <x:v>1.0453179533257216E-2</x:v>
      </x:c>
      <x:c r="J23" s="1"/>
      <x:c r="K23" s="1">
        <x:v>-0.67964618802070598</x:v>
      </x:c>
      <x:c r="L23" s="1">
        <x:v>3081.5866041917002</x:v>
      </x:c>
      <x:c r="M23" s="1">
        <x:v>1194.96724470134</x:v>
      </x:c>
      <x:c r="N23" s="1">
        <x:f t="shared" si="6"/>
        <x:v>1.0194692820310589</x:v>
      </x:c>
      <x:c r="O23" s="1">
        <x:f t="shared" si="7"/>
        <x:v>0.69287841133661521</x:v>
      </x:c>
      <x:c r="P23" s="1">
        <x:f t="shared" si="8"/>
        <x:v>4.3415498856053752E-2</x:v>
      </x:c>
      <x:c r="Q23" s="1">
        <x:f t="shared" si="9"/>
        <x:v>0</x:v>
      </x:c>
      <x:c r="R23" s="1">
        <x:f t="shared" si="10"/>
        <x:v>8.1355113800379977E-2</x:v>
      </x:c>
      <x:c r="S23" s="1">
        <x:f t="shared" si="11"/>
        <x:v>1.0511287237189759E-2</x:v>
      </x:c>
      <x:c r="V23" s="1"/>
      <x:c r="W23" s="1"/>
      <x:c r="X23" s="1"/>
      <x:c r="Y23" s="1"/>
      <x:c r="AA23" s="1"/>
      <x:c r="AB23" s="1"/>
      <x:c r="AC23" s="1"/>
      <x:c r="AD23" s="1">
        <x:v>3000</x:v>
      </x:c>
      <x:c r="AE23" s="1">
        <x:v>6.1020000000000003</x:v>
      </x:c>
      <x:c r="AF23" s="1">
        <x:v>15</x:v>
      </x:c>
      <x:c r="AG23" s="1">
        <x:v>314.15926535897898</x:v>
      </x:c>
      <x:c r="AH23" s="1">
        <x:v>3.0871466892802202</x:v>
      </x:c>
      <x:c r="AI23" s="1">
        <x:v>2.9762311303735802E-3</x:v>
      </x:c>
      <x:c r="AJ23" s="1">
        <x:v>2.9762311303735802E-3</x:v>
      </x:c>
      <x:c r="AK23" s="1">
        <x:v>0.133897879328785</x:v>
      </x:c>
      <x:c r="AL23" s="1">
        <x:v>1.0791334681096399E-2</x:v>
      </x:c>
      <x:c r="AM23" s="1">
        <x:v>1.2</x:v>
      </x:c>
      <x:c r="AN23" s="1">
        <x:v>0.123106544647688</x:v>
      </x:c>
      <x:c r="AO23" s="1">
        <x:v>3.2986299221334198E-2</x:v>
      </x:c>
      <x:c r="AP23" s="1">
        <x:v>10</x:v>
      </x:c>
      <x:c r="AQ23" s="1" t="b">
        <x:v>1</x:v>
      </x:c>
      <x:c r="AR23" s="1">
        <x:v>-39.868597337291497</x:v>
      </x:c>
      <x:c r="AS23" s="1">
        <x:v>1.3323613560118199</x:v>
      </x:c>
      <x:c r="AT23">
        <x:f t="shared" si="12"/>
        <x:v>2.3070460292602263E-2</x:v>
      </x:c>
      <x:c r="AU23">
        <x:f t="shared" si="13"/>
        <x:v>0.40039370078740166</x:v>
      </x:c>
    </x:row>
    <x:row r="24">
      <x:c r="A24" s="1">
        <x:v>-8.0000000000000002E-3</x:v>
      </x:c>
      <x:c r="B24" s="1">
        <x:v>3095</x:v>
      </x:c>
      <x:c r="C24" s="1">
        <x:v>1187</x:v>
      </x:c>
      <x:c r="D24" s="1">
        <x:f t="shared" si="0"/>
        <x:v>1.2E-2</x:v>
      </x:c>
      <x:c r="E24" s="1">
        <x:f t="shared" si="1"/>
        <x:v>9.6000000000000002E-5</x:v>
      </x:c>
      <x:c r="F24" s="1">
        <x:f t="shared" si="2"/>
        <x:v>5.0882169615712415E-4</x:v>
      </x:c>
      <x:c r="G24" s="1">
        <x:f t="shared" si="3"/>
        <x:v>0</x:v>
      </x:c>
      <x:c r="H24" s="1">
        <x:f t="shared" si="4"/>
        <x:v>8.0094154763649755E-2</x:v>
      </x:c>
      <x:c r="I24" s="1">
        <x:f t="shared" si="5"/>
        <x:v>1.0348368128479231E-2</x:v>
      </x:c>
      <x:c r="J24" s="1"/>
      <x:c r="K24" s="1">
        <x:v>8.5000000000000006E-3</x:v>
      </x:c>
      <x:c r="L24" s="1">
        <x:v>3066</x:v>
      </x:c>
      <x:c r="M24" s="1">
        <x:v>1177</x:v>
      </x:c>
      <x:c r="N24" s="1">
        <x:f t="shared" si="6"/>
        <x:v>-1.2750000000000001E-2</x:v>
      </x:c>
      <x:c r="O24" s="1">
        <x:f t="shared" si="7"/>
        <x:v>1.0837500000000002E-4</x:v>
      </x:c>
      <x:c r="P24" s="1">
        <x:f t="shared" si="8"/>
        <x:v>-5.4573657744836691E-4</x:v>
      </x:c>
      <x:c r="Q24" s="1">
        <x:f t="shared" si="9"/>
        <x:v>0</x:v>
      </x:c>
      <x:c r="R24" s="1">
        <x:f t="shared" si="10"/>
        <x:v>8.0903666342572053E-2</x:v>
      </x:c>
      <x:c r="S24" s="1">
        <x:f t="shared" si="11"/>
        <x:v>1.0452959079562672E-2</x:v>
      </x:c>
      <x:c r="V24" s="1"/>
      <x:c r="W24" s="1"/>
      <x:c r="X24" s="1"/>
      <x:c r="Y24" s="1"/>
      <x:c r="AA24" s="1"/>
      <x:c r="AB24" s="1"/>
      <x:c r="AC24" s="1"/>
      <x:c r="AD24" s="1">
        <x:v>3000</x:v>
      </x:c>
      <x:c r="AE24" s="1">
        <x:v>6.78</x:v>
      </x:c>
      <x:c r="AF24" s="1">
        <x:v>15</x:v>
      </x:c>
      <x:c r="AG24" s="1">
        <x:v>314.15926535897898</x:v>
      </x:c>
      <x:c r="AH24" s="1">
        <x:v>1.8683926313811099</x:v>
      </x:c>
      <x:c r="AI24" s="1">
        <x:v>1.80126468644533E-3</x:v>
      </x:c>
      <x:c r="AJ24" s="1">
        <x:v>1.80126468644533E-3</x:v>
      </x:c>
      <x:c r="AK24" s="1">
        <x:v>0.14289054149594899</x:v>
      </x:c>
      <x:c r="AL24" s="1">
        <x:v>6.1054918874065998E-3</x:v>
      </x:c>
      <x:c r="AM24" s="1">
        <x:v>1.2</x:v>
      </x:c>
      <x:c r="AN24" s="1">
        <x:v>0.13678504960854301</x:v>
      </x:c>
      <x:c r="AO24" s="1">
        <x:v>3.6651443579260201E-2</x:v>
      </x:c>
      <x:c r="AP24" s="1">
        <x:v>11</x:v>
      </x:c>
      <x:c r="AQ24" s="1" t="b">
        <x:v>1</x:v>
      </x:c>
      <x:c r="AR24" s="1">
        <x:v>-42.546821963157598</x:v>
      </x:c>
      <x:c r="AS24" s="1">
        <x:v>0.60524539272972899</x:v>
      </x:c>
      <x:c r="AT24">
        <x:f t="shared" si="12"/>
        <x:v>1.3962627096064105E-2</x:v>
      </x:c>
      <x:c r="AU24">
        <x:f t="shared" si="13"/>
        <x:v>0.44488188976377951</x:v>
      </x:c>
    </x:row>
    <x:row r="25"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V25" s="1"/>
      <x:c r="W25" s="1"/>
      <x:c r="AA25" s="1"/>
      <x:c r="AB25" s="1"/>
      <x:c r="AC25" s="1"/>
      <x:c r="AD25" s="1">
        <x:v>3000</x:v>
      </x:c>
      <x:c r="AE25" s="1">
        <x:v>0</x:v>
      </x:c>
      <x:c r="AF25" s="1">
        <x:v>30</x:v>
      </x:c>
      <x:c r="AG25" s="1">
        <x:v>314.15926535897898</x:v>
      </x:c>
      <x:c r="AH25" s="1">
        <x:v>11.3304080704818</x:v>
      </x:c>
      <x:c r="AI25" s="1">
        <x:v>1.0923327140980999E-2</x:v>
      </x:c>
      <x:c r="AJ25" s="1">
        <x:v>1.0923327140980999E-2</x:v>
      </x:c>
      <x:c r="AK25" s="1">
        <x:v>7.3903068750050399E-2</x:v>
      </x:c>
      <x:c r="AL25" s="1">
        <x:v>7.3903068750050399E-2</x:v>
      </x:c>
      <x:c r="AM25" s="1">
        <x:v>0</x:v>
      </x:c>
      <x:c r="AN25" s="1">
        <x:v>0</x:v>
      </x:c>
      <x:c r="AO25" s="1">
        <x:v>0</x:v>
      </x:c>
      <x:c r="AP25" s="1">
        <x:v>9</x:v>
      </x:c>
      <x:c r="AQ25" s="1" t="b">
        <x:v>1</x:v>
      </x:c>
      <x:c r="AR25" s="1">
        <x:v>-18.024494185672101</x:v>
      </x:c>
      <x:c r="AS25" s="1">
        <x:v>5.9041542766600603</x:v>
      </x:c>
      <x:c r="AT25">
        <x:f t="shared" si="12"/>
        <x:v>8.4672921567578205E-2</x:v>
      </x:c>
      <x:c r="AU25">
        <x:f t="shared" si="13"/>
        <x:v>0</x:v>
      </x:c>
    </x:row>
    <x:row r="26">
      <x:c r="AD26" s="1">
        <x:v>3000</x:v>
      </x:c>
      <x:c r="AE26" s="1">
        <x:v>0.67800000000000005</x:v>
      </x:c>
      <x:c r="AF26" s="1">
        <x:v>30</x:v>
      </x:c>
      <x:c r="AG26" s="1">
        <x:v>314.15926535897898</x:v>
      </x:c>
      <x:c r="AH26" s="1">
        <x:v>10.683793384977999</x:v>
      </x:c>
      <x:c r="AI26" s="1">
        <x:v>1.02999441436534E-2</x:v>
      </x:c>
      <x:c r="AJ26" s="1">
        <x:v>1.02999441436534E-2</x:v>
      </x:c>
      <x:c r="AK26" s="1">
        <x:v>7.8010225770522496E-2</x:v>
      </x:c>
      <x:c r="AL26" s="1">
        <x:v>6.5746413726691405E-2</x:v>
      </x:c>
      <x:c r="AM26" s="1">
        <x:v>1.2</x:v>
      </x:c>
      <x:c r="AN26" s="1">
        <x:v>1.2263812043831E-2</x:v>
      </x:c>
      <x:c r="AO26" s="1">
        <x:v>7.0805151847968201E-3</x:v>
      </x:c>
      <x:c r="AP26" s="1">
        <x:v>11</x:v>
      </x:c>
      <x:c r="AQ26" s="1" t="b">
        <x:v>1</x:v>
      </x:c>
      <x:c r="AR26" s="1">
        <x:v>-22.8951867088903</x:v>
      </x:c>
      <x:c r="AS26" s="1">
        <x:v>9.5119349061106195</x:v>
      </x:c>
      <x:c r="AT26">
        <x:f t="shared" si="12"/>
        <x:v>7.9840725391629813E-2</x:v>
      </x:c>
      <x:c r="AU26">
        <x:f t="shared" si="13"/>
        <x:v>4.4488188976377963E-2</x:v>
      </x:c>
    </x:row>
    <x:row r="27">
      <x:c r="A27" t="s">
        <x:v>28</x:v>
      </x:c>
      <x:c r="B27" t="n">
        <x:f>COS(RADIANS(15))</x:f>
        <x:v>0.9659258262890683</x:v>
      </x:c>
      <x:c r="AD27" s="1">
        <x:v>3000</x:v>
      </x:c>
      <x:c r="AE27" s="1">
        <x:v>1.3560000000000001</x:v>
      </x:c>
      <x:c r="AF27" s="1">
        <x:v>30</x:v>
      </x:c>
      <x:c r="AG27" s="1">
        <x:v>314.15926535897898</x:v>
      </x:c>
      <x:c r="AH27" s="1">
        <x:v>10.0918771209446</x:v>
      </x:c>
      <x:c r="AI27" s="1">
        <x:v>9.7292943531177897E-3</x:v>
      </x:c>
      <x:c r="AJ27" s="1">
        <x:v>9.7292943531177897E-3</x:v>
      </x:c>
      <x:c r="AK27" s="1">
        <x:v>8.2585035741187807E-2</x:v>
      </x:c>
      <x:c r="AL27" s="1">
        <x:v>5.8057411653525702E-2</x:v>
      </x:c>
      <x:c r="AM27" s="1">
        <x:v>1.2</x:v>
      </x:c>
      <x:c r="AN27" s="1">
        <x:v>2.4527624087662001E-2</x:v>
      </x:c>
      <x:c r="AO27" s="1">
        <x:v>1.41610303695936E-2</x:v>
      </x:c>
      <x:c r="AP27" s="1">
        <x:v>9</x:v>
      </x:c>
      <x:c r="AQ27" s="1" t="b">
        <x:v>1</x:v>
      </x:c>
      <x:c r="AR27" s="1">
        <x:v>-24.4061483977164</x:v>
      </x:c>
      <x:c r="AS27" s="1">
        <x:v>8.3853705970176602</x:v>
      </x:c>
      <x:c r="AT27">
        <x:f t="shared" si="12"/>
        <x:v>7.5417294294771051E-2</x:v>
      </x:c>
      <x:c r="AU27">
        <x:f t="shared" si="13"/>
        <x:v>8.8976377952755925E-2</x:v>
      </x:c>
    </x:row>
    <x:row r="28">
      <x:c r="A28" s="3" t="s">
        <x:v>29</x:v>
      </x:c>
      <x:c r="B28" s="3"/>
      <x:c r="C28" s="3"/>
      <x:c r="K28" s="3" t="s">
        <x:v>30</x:v>
      </x:c>
      <x:c r="L28" s="3"/>
      <x:c r="M28" s="3"/>
      <x:c r="W28" s="3"/>
      <x:c r="X28" s="3"/>
      <x:c r="Y28" s="3"/>
      <x:c r="AA28" s="3"/>
      <x:c r="AB28" s="3"/>
      <x:c r="AC28" s="3"/>
      <x:c r="AD28" s="1">
        <x:v>3000</x:v>
      </x:c>
      <x:c r="AE28" s="1">
        <x:v>2.0339999999999998</x:v>
      </x:c>
      <x:c r="AF28" s="1">
        <x:v>30</x:v>
      </x:c>
      <x:c r="AG28" s="1">
        <x:v>314.15926535897898</x:v>
      </x:c>
      <x:c r="AH28" s="1">
        <x:v>9.4589864096469896</x:v>
      </x:c>
      <x:c r="AI28" s="1">
        <x:v>9.1191422525943606E-3</x:v>
      </x:c>
      <x:c r="AJ28" s="1">
        <x:v>9.1191422525943606E-3</x:v>
      </x:c>
      <x:c r="AK28" s="1">
        <x:v>8.7454689656575296E-2</x:v>
      </x:c>
      <x:c r="AL28" s="1">
        <x:v>5.0663253525082198E-2</x:v>
      </x:c>
      <x:c r="AM28" s="1">
        <x:v>1.2</x:v>
      </x:c>
      <x:c r="AN28" s="1">
        <x:v>3.6791436131493098E-2</x:v>
      </x:c>
      <x:c r="AO28" s="1">
        <x:v>2.1241545554390399E-2</x:v>
      </x:c>
      <x:c r="AP28" s="1">
        <x:v>6</x:v>
      </x:c>
      <x:c r="AQ28" s="1" t="b">
        <x:v>1</x:v>
      </x:c>
      <x:c r="AR28" s="1">
        <x:v>-26.482059920945598</x:v>
      </x:c>
      <x:c r="AS28" s="1">
        <x:v>7.3777782736163697</x:v>
      </x:c>
      <x:c r="AT28">
        <x:f t="shared" si="12"/>
        <x:v>7.0687658325333844E-2</x:v>
      </x:c>
      <x:c r="AU28">
        <x:f t="shared" si="13"/>
        <x:v>0.13346456692913383</x:v>
      </x:c>
    </x:row>
    <x:row r="29">
      <x:c r="A29" s="1" t="s">
        <x:v>3</x:v>
      </x:c>
      <x:c r="B29" s="1" t="s">
        <x:v>31</x:v>
      </x:c>
      <x:c r="C29" s="1" t="s">
        <x:v>4</x:v>
      </x:c>
      <x:c r="D29" s="1" t="s">
        <x:v>5</x:v>
      </x:c>
      <x:c r="E29" s="1" t="s">
        <x:v>6</x:v>
      </x:c>
      <x:c r="F29" s="1" t="s">
        <x:v>7</x:v>
      </x:c>
      <x:c r="G29" s="1" t="s">
        <x:v>8</x:v>
      </x:c>
      <x:c r="H29" s="1" t="s">
        <x:v>9</x:v>
      </x:c>
      <x:c r="I29" s="1" t="s">
        <x:v>10</x:v>
      </x:c>
      <x:c r="J29" s="1" t="s">
        <x:v>11</x:v>
      </x:c>
      <x:c r="L29" s="1" t="s">
        <x:v>3</x:v>
      </x:c>
      <x:c r="M29" s="1" t="s">
        <x:v>31</x:v>
      </x:c>
      <x:c r="N29" s="1" t="s">
        <x:v>4</x:v>
      </x:c>
      <x:c r="O29" s="1" t="s">
        <x:v>5</x:v>
      </x:c>
      <x:c r="P29" s="1" t="s">
        <x:v>6</x:v>
      </x:c>
      <x:c r="Q29" s="1" t="s">
        <x:v>7</x:v>
      </x:c>
      <x:c r="R29" s="1" t="s">
        <x:v>8</x:v>
      </x:c>
      <x:c r="S29" s="1" t="s">
        <x:v>9</x:v>
      </x:c>
      <x:c r="T29" s="1" t="s">
        <x:v>10</x:v>
      </x:c>
      <x:c r="U29" s="1" t="s">
        <x:v>11</x:v>
      </x:c>
      <x:c r="Y29" s="1"/>
      <x:c r="Z29" s="1"/>
      <x:c r="AA29" s="1"/>
      <x:c r="AC29" s="1"/>
      <x:c r="AD29" s="1">
        <x:v>3000</x:v>
      </x:c>
      <x:c r="AE29" s="1">
        <x:v>2.7120000000000002</x:v>
      </x:c>
      <x:c r="AF29" s="1">
        <x:v>30</x:v>
      </x:c>
      <x:c r="AG29" s="1">
        <x:v>314.15926535897898</x:v>
      </x:c>
      <x:c r="AH29" s="1">
        <x:v>8.7757374542240303</x:v>
      </x:c>
      <x:c r="AI29" s="1">
        <x:v>8.4604411879555495E-3</x:v>
      </x:c>
      <x:c r="AJ29" s="1">
        <x:v>8.4604411879555495E-3</x:v>
      </x:c>
      <x:c r="AK29" s="1">
        <x:v>9.2698097310830202E-2</x:v>
      </x:c>
      <x:c r="AL29" s="1">
        <x:v>4.3642849135506097E-2</x:v>
      </x:c>
      <x:c r="AM29" s="1">
        <x:v>1.2</x:v>
      </x:c>
      <x:c r="AN29" s="1">
        <x:v>4.9055248175324098E-2</x:v>
      </x:c>
      <x:c r="AO29" s="1">
        <x:v>2.8322060739187201E-2</x:v>
      </x:c>
      <x:c r="AP29" s="1">
        <x:v>6</x:v>
      </x:c>
      <x:c r="AQ29" s="1" t="b">
        <x:v>1</x:v>
      </x:c>
      <x:c r="AR29" s="1">
        <x:v>-29.066444200045801</x:v>
      </x:c>
      <x:c r="AS29" s="1">
        <x:v>6.3605655398251404</x:v>
      </x:c>
      <x:c r="AT29">
        <x:f t="shared" si="12"/>
        <x:v>6.5581691721679297E-2</x:v>
      </x:c>
      <x:c r="AU29">
        <x:f t="shared" si="13"/>
        <x:v>0.17795275590551185</x:v>
      </x:c>
    </x:row>
    <x:row r="30">
      <x:c r="A30" s="1">
        <x:v>2.8385525685067501E-2</x:v>
      </x:c>
      <x:c r="B30" s="1" t="n">
        <x:f>A30/$B$27</x:f>
        <x:v>0.029386858610168987</x:v>
      </x:c>
      <x:c r="C30" s="1">
        <x:v>0</x:v>
      </x:c>
      <x:c r="D30" s="1">
        <x:v>49.147329650091997</x:v>
      </x:c>
      <x:c r="E30" s="1" t="n">
        <x:f>B30*1.5</x:f>
        <x:v>0.04408028791525348</x:v>
      </x:c>
      <x:c r="F30" s="1" t="n">
        <x:f>B30*B30*1.5</x:f>
        <x:v>0.0012953811884610948</x:v>
      </x:c>
      <x:c r="G30" s="1" t="e">
        <x:f>E30/(C30/60)/0.4572</x:f>
        <x:v>#DIV/0!</x:v>
      </x:c>
      <x:c r="H30" s="1" t="e">
        <x:f>E30*SIN(RADIANS(15))/(C30/60)/0.4572</x:f>
        <x:v>#DIV/0!</x:v>
      </x:c>
      <x:c r="I30" s="1" t="e">
        <x:f>(D30-$C$3)*9.8/1.205/(C30/60)^2/0.4572^4/1000</x:f>
        <x:v>#DIV/0!</x:v>
      </x:c>
      <x:c r="J30" s="1" t="e">
        <x:f>I30*4/(3.14^3)</x:f>
        <x:v>#DIV/0!</x:v>
      </x:c>
      <x:c r="L30" s="1">
        <x:v>6.20028785197064E-2</x:v>
      </x:c>
      <x:c r="M30" s="1" t="n">
        <x:f>L30/$B$27</x:f>
        <x:v>0.06419010324831202</x:v>
      </x:c>
      <x:c r="N30" s="1">
        <x:v>0</x:v>
      </x:c>
      <x:c r="O30" s="1">
        <x:v>57.575129533678698</x:v>
      </x:c>
      <x:c r="P30" s="1" t="n">
        <x:f>M30*1.5</x:f>
        <x:v>0.09628515487246803</x:v>
      </x:c>
      <x:c r="Q30" s="1" t="n">
        <x:f>M30*M30*1.5</x:f>
        <x:v>0.006180554032543436</x:v>
      </x:c>
      <x:c r="R30" s="1" t="e">
        <x:f>P30/(N30/60)/0.4572</x:f>
        <x:v>#DIV/0!</x:v>
      </x:c>
      <x:c r="S30" s="1" t="e">
        <x:f>P30*SIN(RADIANS(15))/(N30/60)/0.4572</x:f>
        <x:v>#DIV/0!</x:v>
      </x:c>
      <x:c r="T30" s="1" t="e">
        <x:f>(O30-$C$3)*9.8/1.205/(N30/60)^2/0.4572^4/1000</x:f>
        <x:v>#DIV/0!</x:v>
      </x:c>
      <x:c r="U30" s="1" t="e">
        <x:f>T30*4/(3.14^3)</x:f>
        <x:v>#DIV/0!</x:v>
      </x:c>
      <x:c r="Y30" s="1"/>
      <x:c r="Z30" s="1"/>
      <x:c r="AA30" s="1"/>
      <x:c r="AC30" s="1"/>
      <x:c r="AD30" s="1">
        <x:v>3000</x:v>
      </x:c>
      <x:c r="AE30" s="1">
        <x:v>3.39</x:v>
      </x:c>
      <x:c r="AF30" s="1">
        <x:v>30</x:v>
      </x:c>
      <x:c r="AG30" s="1">
        <x:v>314.15926535897898</x:v>
      </x:c>
      <x:c r="AH30" s="1">
        <x:v>8.0286686685086206</x:v>
      </x:c>
      <x:c r="AI30" s="1">
        <x:v>7.7402132233119298E-3</x:v>
      </x:c>
      <x:c r="AJ30" s="1">
        <x:v>7.7402132233119298E-3</x:v>
      </x:c>
      <x:c r="AK30" s="1">
        <x:v>9.8345288870266306E-2</x:v>
      </x:c>
      <x:c r="AL30" s="1">
        <x:v>3.7026228651111201E-2</x:v>
      </x:c>
      <x:c r="AM30" s="1">
        <x:v>1.2</x:v>
      </x:c>
      <x:c r="AN30" s="1">
        <x:v>6.1319060219155098E-2</x:v>
      </x:c>
      <x:c r="AO30" s="1">
        <x:v>3.5402575923983999E-2</x:v>
      </x:c>
      <x:c r="AP30" s="1">
        <x:v>5</x:v>
      </x:c>
      <x:c r="AQ30" s="1" t="b">
        <x:v>1</x:v>
      </x:c>
      <x:c r="AR30" s="1">
        <x:v>-32.057491637563501</x:v>
      </x:c>
      <x:c r="AS30" s="1">
        <x:v>5.3334953852923999</x:v>
      </x:c>
      <x:c r="AT30">
        <x:f t="shared" si="12"/>
        <x:v>5.999879512122383E-2</x:v>
      </x:c>
      <x:c r="AU30">
        <x:f t="shared" si="13"/>
        <x:v>0.22244094488188976</x:v>
      </x:c>
    </x:row>
    <x:row r="31">
      <x:c r="A31" s="1">
        <x:v>2.6033651286517301E-2</x:v>
      </x:c>
      <x:c r="B31" s="1" t="n">
        <x:f t="shared" ref="B31:B52" si="14">A31/$B$27</x:f>
        <x:v>0.026952019066033676</x:v>
      </x:c>
      <x:c r="C31" s="1">
        <x:v>3032.3661969865998</x:v>
      </x:c>
      <x:c r="D31" s="1">
        <x:v>1158.2080344332801</x:v>
      </x:c>
      <x:c r="E31" s="1" t="n">
        <x:f t="shared" ref="E31:E52" si="15">B31*1.5</x:f>
        <x:v>0.040428028599050515</x:v>
      </x:c>
      <x:c r="F31" s="1" t="n">
        <x:f t="shared" ref="F31:F51" si="16">B31*B31*1.5</x:f>
        <x:v>0.0010896169976037642</x:v>
      </x:c>
      <x:c r="G31" s="1" t="n">
        <x:f t="shared" ref="G31:G51" si="17">E31/(C31/60)/0.4572</x:f>
        <x:v>0.0017496289100743141</x:v>
      </x:c>
      <x:c r="H31" s="1" t="n">
        <x:f t="shared" ref="H31:H52" si="18">E31*SIN(RADIANS(15))/(C31/60)/0.4572</x:f>
        <x:v>0.0004528372837891981</x:v>
      </x:c>
      <x:c r="I31" s="1" t="n">
        <x:f t="shared" ref="I31:I51" si="19">(D31-$C$3)*9.8/1.205/(C31/60)^2/0.4572^4/1000</x:f>
        <x:v>0.08133893718737996</x:v>
      </x:c>
      <x:c r="J31" s="1" t="n">
        <x:f t="shared" ref="J31:J52" si="20">I31*4/(3.14^3)</x:f>
        <x:v>0.010509197177722996</x:v>
      </x:c>
      <x:c r="L31" s="1">
        <x:v>6.1609941475611003E-2</x:v>
      </x:c>
      <x:c r="M31" s="1" t="n">
        <x:f t="shared" ref="M31:M52" si="21">L31/$B$27</x:f>
        <x:v>0.06378330488615931</x:v>
      </x:c>
      <x:c r="N31" s="1">
        <x:v>3094.4590731533999</x:v>
      </x:c>
      <x:c r="O31" s="1">
        <x:v>1213.46282245827</x:v>
      </x:c>
      <x:c r="P31" s="1" t="n">
        <x:f t="shared" ref="P31:P52" si="22">M31*1.5</x:f>
        <x:v>0.09567495732923897</x:v>
      </x:c>
      <x:c r="Q31" s="1" t="n">
        <x:f t="shared" ref="Q31:Q51" si="23">M31*M31*1.5</x:f>
        <x:v>0.0061024649733011326</x:v>
      </x:c>
      <x:c r="R31" s="1" t="n">
        <x:f t="shared" ref="R31:R51" si="24">P31/(N31/60)/0.4572</x:f>
        <x:v>0.004057500319622227</x:v>
      </x:c>
      <x:c r="S31" s="1" t="n">
        <x:f t="shared" ref="S31:S52" si="25">P31*SIN(RADIANS(15))/(N31/60)/0.4572</x:f>
        <x:v>0.0010501583582277975</x:v>
      </x:c>
      <x:c r="T31" s="1" t="n">
        <x:f t="shared" ref="T31:T51" si="26">(O31-$C$3)*9.8/1.205/(N31/60)^2/0.4572^4/1000</x:f>
        <x:v>0.08197391304410709</x:v>
      </x:c>
      <x:c r="U31" s="1" t="n">
        <x:f t="shared" ref="U31:U52" si="27">T31*4/(3.14^3)</x:f>
        <x:v>0.010591237670409374</x:v>
      </x:c>
      <x:c r="Y31" s="1"/>
      <x:c r="Z31" s="1"/>
      <x:c r="AA31" s="1"/>
      <x:c r="AC31" s="1"/>
      <x:c r="AD31" s="1">
        <x:v>3000</x:v>
      </x:c>
      <x:c r="AE31" s="1">
        <x:v>4.0679999999999996</x:v>
      </x:c>
      <x:c r="AF31" s="1">
        <x:v>30</x:v>
      </x:c>
      <x:c r="AG31" s="1">
        <x:v>314.15926535897898</x:v>
      </x:c>
      <x:c r="AH31" s="1">
        <x:v>7.2139562619973496</x:v>
      </x:c>
      <x:c r="AI31" s="1">
        <x:v>6.9547719499898101E-3</x:v>
      </x:c>
      <x:c r="AJ31" s="1">
        <x:v>6.9547719499898101E-3</x:v>
      </x:c>
      <x:c r="AK31" s="1">
        <x:v>0.104427779602718</x:v>
      </x:c>
      <x:c r="AL31" s="1">
        <x:v>3.0844907339732601E-2</x:v>
      </x:c>
      <x:c r="AM31" s="1">
        <x:v>1.2</x:v>
      </x:c>
      <x:c r="AN31" s="1">
        <x:v>7.3582872262986196E-2</x:v>
      </x:c>
      <x:c r="AO31" s="1">
        <x:v>4.2483091108780902E-2</x:v>
      </x:c>
      <x:c r="AP31" s="1">
        <x:v>6</x:v>
      </x:c>
      <x:c r="AQ31" s="1" t="b">
        <x:v>1</x:v>
      </x:c>
      <x:c r="AR31" s="1">
        <x:v>-35.350591141108197</x:v>
      </x:c>
      <x:c r="AS31" s="1">
        <x:v>4.3780189360821797</x:v>
      </x:c>
      <x:c r="AT31">
        <x:f t="shared" si="12"/>
        <x:v>5.3910393073606511E-2</x:v>
      </x:c>
      <x:c r="AU31">
        <x:f t="shared" si="13"/>
        <x:v>0.26692913385826766</x:v>
      </x:c>
    </x:row>
    <x:row r="32">
      <x:c r="A32" s="1">
        <x:v>0.64025712154785996</x:v>
      </x:c>
      <x:c r="B32" s="1">
        <x:f t="shared" si="14"/>
        <x:v>0.66284294727642268</x:v>
      </x:c>
      <x:c r="C32" s="1">
        <x:v>3034.8843301309098</x:v>
      </x:c>
      <x:c r="D32" s="1">
        <x:v>1143.86375661375</x:v>
      </x:c>
      <x:c r="E32" s="1">
        <x:f t="shared" si="15"/>
        <x:v>0.99426442091463407</x:v>
      </x:c>
      <x:c r="F32" s="1">
        <x:f t="shared" si="16"/>
        <x:v>0.6590411591311417</x:v>
      </x:c>
      <x:c r="G32" s="1">
        <x:f t="shared" si="17"/>
        <x:v>4.2993696279530293E-2</x:v>
      </x:c>
      <x:c r="H32" s="1">
        <x:f t="shared" si="18"/>
        <x:v>1.1127587416495829E-2</x:v>
      </x:c>
      <x:c r="I32" s="1">
        <x:f t="shared" si="19"/>
        <x:v>8.0160469879425336E-2</x:v>
      </x:c>
      <x:c r="J32" s="1">
        <x:f t="shared" si="20"/>
        <x:v>1.0356936209789952E-2</x:v>
      </x:c>
      <x:c r="L32" s="1">
        <x:v>0.65368212872778397</x:v>
      </x:c>
      <x:c r="M32" s="1">
        <x:f t="shared" si="21"/>
        <x:v>0.67674153743163235</x:v>
      </x:c>
      <x:c r="N32" s="1">
        <x:v>3082.8668428308802</x:v>
      </x:c>
      <x:c r="O32" s="1">
        <x:v>1193.4904831625099</x:v>
      </x:c>
      <x:c r="P32" s="1">
        <x:f t="shared" si="22"/>
        <x:v>1.0151123061474485</x:v>
      </x:c>
      <x:c r="Q32" s="1">
        <x:f t="shared" si="23"/>
        <x:v>0.68696866272799417</x:v>
      </x:c>
      <x:c r="R32" s="1">
        <x:f t="shared" si="24"/>
        <x:v>4.3211998723488493E-2</x:v>
      </x:c>
      <x:c r="S32" s="1">
        <x:f t="shared" si="25"/>
        <x:v>1.1184088246584636E-2</x:v>
      </x:c>
      <x:c r="T32" s="1">
        <x:f t="shared" si="26"/>
        <x:v>8.1183442280218218E-2</x:v>
      </x:c>
      <x:c r="U32" s="1">
        <x:f t="shared" si="27"/>
        <x:v>1.048910684096669E-2</x:v>
      </x:c>
      <x:c r="Y32" s="1"/>
      <x:c r="Z32" s="1"/>
      <x:c r="AA32" s="1"/>
      <x:c r="AC32" s="1"/>
      <x:c r="AD32" s="1">
        <x:v>3000</x:v>
      </x:c>
      <x:c r="AE32" s="1">
        <x:v>4.7460000000000004</x:v>
      </x:c>
      <x:c r="AF32" s="1">
        <x:v>30</x:v>
      </x:c>
      <x:c r="AG32" s="1">
        <x:v>314.15926535897898</x:v>
      </x:c>
      <x:c r="AH32" s="1">
        <x:v>6.3341470922134304</x:v>
      </x:c>
      <x:c r="AI32" s="1">
        <x:v>6.1065727215593802E-3</x:v>
      </x:c>
      <x:c r="AJ32" s="1">
        <x:v>6.1065727215593802E-3</x:v>
      </x:c>
      <x:c r="AK32" s="1">
        <x:v>0.110969661742295</x:v>
      </x:c>
      <x:c r="AL32" s="1">
        <x:v>2.5122977435478502E-2</x:v>
      </x:c>
      <x:c r="AM32" s="1">
        <x:v>1.2</x:v>
      </x:c>
      <x:c r="AN32" s="1">
        <x:v>8.5846684306817203E-2</x:v>
      </x:c>
      <x:c r="AO32" s="1">
        <x:v>4.95636062935777E-2</x:v>
      </x:c>
      <x:c r="AP32" s="1">
        <x:v>7</x:v>
      </x:c>
      <x:c r="AQ32" s="1" t="b">
        <x:v>1</x:v>
      </x:c>
      <x:c r="AR32" s="1">
        <x:v>-38.872990026699497</x:v>
      </x:c>
      <x:c r="AS32" s="1">
        <x:v>3.55854194276868</x:v>
      </x:c>
      <x:c r="AT32">
        <x:f t="shared" si="12"/>
        <x:v>4.733551842088965E-2</x:v>
      </x:c>
      <x:c r="AU32">
        <x:f t="shared" si="13"/>
        <x:v>0.31141732283464568</x:v>
      </x:c>
    </x:row>
    <x:row r="33">
      <x:c r="A33" s="1">
        <x:v>1.3100804058639901</x:v>
      </x:c>
      <x:c r="B33" s="1">
        <x:f t="shared" si="14"/>
        <x:v>1.3562950386129631</x:v>
      </x:c>
      <x:c r="C33" s="1">
        <x:v>3042.2169704861099</x:v>
      </x:c>
      <x:c r="D33" s="1">
        <x:v>1132.7224080267499</x:v>
      </x:c>
      <x:c r="E33" s="1">
        <x:f t="shared" si="15"/>
        <x:v>2.0344425579194447</x:v>
      </x:c>
      <x:c r="F33" s="1">
        <x:f t="shared" si="16"/>
        <x:v>2.7593043476492083</x:v>
      </x:c>
      <x:c r="G33" s="1">
        <x:f t="shared" si="17"/>
        <x:v>8.7760739919455863E-2</x:v>
      </x:c>
      <x:c r="H33" s="1">
        <x:f t="shared" si="18"/>
        <x:v>2.2714150903444245E-2</x:v>
      </x:c>
      <x:c r="I33" s="1">
        <x:f t="shared" si="19"/>
        <x:v>7.896788543467459E-2</x:v>
      </x:c>
      <x:c r="J33" s="1">
        <x:f t="shared" si="20"/>
        <x:v>1.0202851271944029E-2</x:v>
      </x:c>
      <x:c r="L33" s="1">
        <x:v>1.3134681498132099</x:v>
      </x:c>
      <x:c r="M33" s="1">
        <x:f t="shared" si="21"/>
        <x:v>1.3598022892289188</x:v>
      </x:c>
      <x:c r="N33" s="1">
        <x:v>3093.54458472842</x:v>
      </x:c>
      <x:c r="O33" s="1">
        <x:v>1182.0318627450899</x:v>
      </x:c>
      <x:c r="P33" s="1">
        <x:f t="shared" si="22"/>
        <x:v>2.0397034338433784</x:v>
      </x:c>
      <x:c r="Q33" s="1">
        <x:f t="shared" si="23"/>
        <x:v>2.7735933986883121</x:v>
      </x:c>
      <x:c r="R33" s="1">
        <x:f t="shared" si="24"/>
        <x:v>8.6527802867739784E-2</x:v>
      </x:c>
      <x:c r="S33" s="1">
        <x:f t="shared" si="25"/>
        <x:v>2.2395043313047567E-2</x:v>
      </x:c>
      <x:c r="T33" s="1">
        <x:f t="shared" si="26"/>
        <x:v>7.9821681670539477E-2</x:v>
      </x:c>
      <x:c r="U33" s="1">
        <x:f t="shared" si="27"/>
        <x:v>1.0313163913128797E-2</x:v>
      </x:c>
      <x:c r="Y33" s="1"/>
      <x:c r="Z33" s="1"/>
      <x:c r="AA33" s="1"/>
      <x:c r="AC33" s="1"/>
      <x:c r="AD33" s="1">
        <x:v>3000</x:v>
      </x:c>
      <x:c r="AE33" s="1">
        <x:v>5.4240000000000004</x:v>
      </x:c>
      <x:c r="AF33" s="1">
        <x:v>30</x:v>
      </x:c>
      <x:c r="AG33" s="1">
        <x:v>314.15926535897898</x:v>
      </x:c>
      <x:c r="AH33" s="1">
        <x:v>5.3885879846531104</x:v>
      </x:c>
      <x:c r="AI33" s="1">
        <x:v>5.1949858308873902E-3</x:v>
      </x:c>
      <x:c r="AJ33" s="1">
        <x:v>5.1949858308873902E-3</x:v>
      </x:c>
      <x:c r="AK33" s="1">
        <x:v>0.117960600674987</x:v>
      </x:c>
      <x:c r="AL33" s="1">
        <x:v>1.9850104324339399E-2</x:v>
      </x:c>
      <x:c r="AM33" s="1">
        <x:v>1.2</x:v>
      </x:c>
      <x:c r="AN33" s="1">
        <x:v>9.8110496350648196E-2</x:v>
      </x:c>
      <x:c r="AO33" s="1">
        <x:v>5.6644121478374498E-2</x:v>
      </x:c>
      <x:c r="AP33" s="1">
        <x:v>9</x:v>
      </x:c>
      <x:c r="AQ33" s="1" t="b">
        <x:v>1</x:v>
      </x:c>
      <x:c r="AR33" s="1">
        <x:v>-42.530806211492497</x:v>
      </x:c>
      <x:c r="AS33" s="1">
        <x:v>2.7438761714778699</x:v>
      </x:c>
      <x:c r="AT33">
        <x:f t="shared" si="12"/>
        <x:v>4.0269289944922758E-2</x:v>
      </x:c>
      <x:c r="AU33">
        <x:f t="shared" si="13"/>
        <x:v>0.3559055118110237</x:v>
      </x:c>
    </x:row>
    <x:row r="34">
      <x:c r="A34" s="1">
        <x:v>1.9691537292346</x:v>
      </x:c>
      <x:c r="B34" s="1">
        <x:f t="shared" si="14"/>
        <x:v>2.0386179514422675</x:v>
      </x:c>
      <x:c r="C34" s="1">
        <x:v>3021.13109031883</x:v>
      </x:c>
      <x:c r="D34" s="1">
        <x:v>1132.8418918918901</x:v>
      </x:c>
      <x:c r="E34" s="1">
        <x:f t="shared" si="15"/>
        <x:v>3.0579269271634013</x:v>
      </x:c>
      <x:c r="F34" s="1">
        <x:f t="shared" si="16"/>
        <x:v>6.2339447279140003</x:v>
      </x:c>
      <x:c r="G34" s="1">
        <x:f t="shared" si="17"/>
        <x:v>0.13283195410913209</x:v>
      </x:c>
      <x:c r="H34" s="1">
        <x:f t="shared" si="18"/>
        <x:v>3.4379439521627427E-2</x:v>
      </x:c>
      <x:c r="I34" s="1">
        <x:f t="shared" si="19"/>
        <x:v>8.0082811214372079E-2</x:v>
      </x:c>
      <x:c r="J34" s="1">
        <x:f t="shared" si="20"/>
        <x:v>1.0346902513114972E-2</x:v>
      </x:c>
      <x:c r="L34" s="1">
        <x:v>1.9724946672266099</x:v>
      </x:c>
      <x:c r="M34" s="1">
        <x:f t="shared" si="21"/>
        <x:v>2.0420767449656223</x:v>
      </x:c>
      <x:c r="N34" s="1">
        <x:v>3068.75122070312</x:v>
      </x:c>
      <x:c r="O34" s="1">
        <x:v>1174.4911392404999</x:v>
      </x:c>
      <x:c r="P34" s="1">
        <x:f t="shared" si="22"/>
        <x:v>3.0631151174484335</x:v>
      </x:c>
      <x:c r="Q34" s="1">
        <x:f t="shared" si="23"/>
        <x:v>6.2551161484940865</x:v>
      </x:c>
      <x:c r="R34" s="1">
        <x:f t="shared" si="24"/>
        <x:v>0.13099257069186654</x:v>
      </x:c>
      <x:c r="S34" s="1">
        <x:f t="shared" si="25"/>
        <x:v>3.3903372061993342E-2</x:v>
      </x:c>
      <x:c r="T34" s="1">
        <x:f t="shared" si="26"/>
        <x:v>8.0580153606694155E-2</x:v>
      </x:c>
      <x:c r="U34" s="1">
        <x:f t="shared" si="27"/>
        <x:v>1.0411160412793602E-2</x:v>
      </x:c>
      <x:c r="Y34" s="1"/>
      <x:c r="Z34" s="1"/>
      <x:c r="AA34" s="1"/>
      <x:c r="AC34" s="1"/>
      <x:c r="AD34" s="1">
        <x:v>3000</x:v>
      </x:c>
      <x:c r="AE34" s="1">
        <x:v>6.1020000000000003</x:v>
      </x:c>
      <x:c r="AF34" s="1">
        <x:v>30</x:v>
      </x:c>
      <x:c r="AG34" s="1">
        <x:v>314.15926535897898</x:v>
      </x:c>
      <x:c r="AH34" s="1">
        <x:v>4.3926350061265804</x:v>
      </x:c>
      <x:c r="AI34" s="1">
        <x:v>4.2348156292666599E-3</x:v>
      </x:c>
      <x:c r="AJ34" s="1">
        <x:v>4.2348156292666599E-3</x:v>
      </x:c>
      <x:c r="AK34" s="1">
        <x:v>0.125425388154114</x:v>
      </x:c>
      <x:c r="AL34" s="1">
        <x:v>1.5051079759634999E-2</x:v>
      </x:c>
      <x:c r="AM34" s="1">
        <x:v>1.2</x:v>
      </x:c>
      <x:c r="AN34" s="1">
        <x:v>0.110374308394479</x:v>
      </x:c>
      <x:c r="AO34" s="1">
        <x:v>6.3724636663171297E-2</x:v>
      </x:c>
      <x:c r="AP34" s="1">
        <x:v>9</x:v>
      </x:c>
      <x:c r="AQ34" s="1" t="b">
        <x:v>1</x:v>
      </x:c>
      <x:c r="AR34" s="1">
        <x:v>-46.274954275404603</x:v>
      </x:c>
      <x:c r="AS34" s="1">
        <x:v>1.93697716892327</x:v>
      </x:c>
      <x:c r="AT34">
        <x:f t="shared" si="12"/>
        <x:v>3.2826464592897606E-2</x:v>
      </x:c>
      <x:c r="AU34">
        <x:f t="shared" si="13"/>
        <x:v>0.40039370078740166</x:v>
      </x:c>
    </x:row>
    <x:row r="35">
      <x:c r="A35" s="1">
        <x:v>2.6462677065767699</x:v>
      </x:c>
      <x:c r="B35" s="1">
        <x:f t="shared" si="14"/>
        <x:v>2.7396179236073488</x:v>
      </x:c>
      <x:c r="C35" s="1">
        <x:v>3025.7521878756002</x:v>
      </x:c>
      <x:c r="D35" s="1">
        <x:v>1131.52700186219</x:v>
      </x:c>
      <x:c r="E35" s="1">
        <x:f t="shared" si="15"/>
        <x:v>4.1094268854110236</x:v>
      </x:c>
      <x:c r="F35" s="1">
        <x:f t="shared" si="16"/>
        <x:v>11.258259551025962</x:v>
      </x:c>
      <x:c r="G35" s="1">
        <x:f t="shared" si="17"/>
        <x:v>0.17823497542622047</x:v>
      </x:c>
      <x:c r="H35" s="1">
        <x:f t="shared" si="18"/>
        <x:v>4.613060614368563E-2</x:v>
      </x:c>
      <x:c r="I35" s="1">
        <x:f t="shared" si="19"/>
        <x:v>7.9742147734922039E-2</x:v>
      </x:c>
      <x:c r="J35" s="1">
        <x:f t="shared" si="20"/>
        <x:v>1.0302887926736221E-2</x:v>
      </x:c>
      <x:c r="L35" s="1">
        <x:v>2.6368594069929401</x:v>
      </x:c>
      <x:c r="M35" s="1">
        <x:f t="shared" si="21"/>
        <x:v>2.7298777351500476</x:v>
      </x:c>
      <x:c r="N35" s="1">
        <x:v>3106.5838496767201</x:v>
      </x:c>
      <x:c r="O35" s="1">
        <x:v>1179.7870855148301</x:v>
      </x:c>
      <x:c r="P35" s="1">
        <x:f t="shared" si="22"/>
        <x:v>4.0948166027250714</x:v>
      </x:c>
      <x:c r="Q35" s="1">
        <x:f t="shared" si="23"/>
        <x:v>11.178348673301931</x:v>
      </x:c>
      <x:c r="R35" s="1">
        <x:f t="shared" si="24"/>
        <x:v>0.17298020363275299</x:v>
      </x:c>
      <x:c r="S35" s="1">
        <x:f t="shared" si="25"/>
        <x:v>4.4770571125868713E-2</x:v>
      </x:c>
      <x:c r="T35" s="1">
        <x:f t="shared" si="26"/>
        <x:v>7.8997160724304835E-2</x:v>
      </x:c>
      <x:c r="U35" s="1">
        <x:f t="shared" si="27"/>
        <x:v>1.0206633713684698E-2</x:v>
      </x:c>
      <x:c r="Y35" s="1"/>
      <x:c r="Z35" s="1"/>
      <x:c r="AA35" s="1"/>
      <x:c r="AC35" s="1"/>
      <x:c r="AD35" s="1">
        <x:v>3000</x:v>
      </x:c>
      <x:c r="AE35" s="1">
        <x:v>6.78</x:v>
      </x:c>
      <x:c r="AF35" s="1">
        <x:v>30</x:v>
      </x:c>
      <x:c r="AG35" s="1">
        <x:v>314.15926535897898</x:v>
      </x:c>
      <x:c r="AH35" s="1">
        <x:v>3.3496815244376101</x:v>
      </x:c>
      <x:c r="AI35" s="1">
        <x:v>3.2293335669750399E-3</x:v>
      </x:c>
      <x:c r="AJ35" s="1">
        <x:v>3.2293335669750399E-3</x:v>
      </x:c>
      <x:c r="AK35" s="1">
        <x:v>0.13333389604465901</x:v>
      </x:c>
      <x:c r="AL35" s="1">
        <x:v>1.0695775606349401E-2</x:v>
      </x:c>
      <x:c r="AM35" s="1">
        <x:v>1.2</x:v>
      </x:c>
      <x:c r="AN35" s="1">
        <x:v>0.12263812043831</x:v>
      </x:c>
      <x:c r="AO35" s="1">
        <x:v>7.0805151847968095E-2</x:v>
      </x:c>
      <x:c r="AP35" s="1">
        <x:v>10</x:v>
      </x:c>
      <x:c r="AQ35" s="1" t="b">
        <x:v>1</x:v>
      </x:c>
      <x:c r="AR35" s="1">
        <x:v>-50.0332467781502</x:v>
      </x:c>
      <x:c r="AS35" s="1">
        <x:v>1.13993240597414</x:v>
      </x:c>
      <x:c r="AT35">
        <x:f t="shared" si="12"/>
        <x:v>2.5032401236631672E-2</x:v>
      </x:c>
      <x:c r="AU35">
        <x:f t="shared" si="13"/>
        <x:v>0.44488188976377951</x:v>
      </x:c>
    </x:row>
    <x:row r="36">
      <x:c r="A36" s="1">
        <x:v>3.2906248954304398</x:v>
      </x:c>
      <x:c r="B36" s="1">
        <x:f t="shared" si="14"/>
        <x:v>3.4067055729035545</x:v>
      </x:c>
      <x:c r="C36" s="1">
        <x:v>3017.61572265625</x:v>
      </x:c>
      <x:c r="D36" s="1">
        <x:v>1138.2</x:v>
      </x:c>
      <x:c r="E36" s="1">
        <x:f t="shared" si="15"/>
        <x:v>5.1100583593553317</x:v>
      </x:c>
      <x:c r="F36" s="1">
        <x:f t="shared" si="16"/>
        <x:v>17.408464290678204</x:v>
      </x:c>
      <x:c r="G36" s="1">
        <x:f t="shared" si="17"/>
        <x:v>0.22223218424194413</x:v>
      </x:c>
      <x:c r="H36" s="1">
        <x:f t="shared" si="18"/>
        <x:v>5.7517921716547439E-2</x:v>
      </x:c>
      <x:c r="I36" s="1">
        <x:f t="shared" si="19"/>
        <x:v>8.066378055046429E-2</x:v>
      </x:c>
      <x:c r="J36" s="1">
        <x:f t="shared" si="20"/>
        <x:v>1.0421965226230323E-2</x:v>
      </x:c>
      <x:c r="L36" s="1">
        <x:v>3.2913713114602201</x:v>
      </x:c>
      <x:c r="M36" s="1">
        <x:f t="shared" si="21"/>
        <x:v>3.4074783196398624</x:v>
      </x:c>
      <x:c r="N36" s="1">
        <x:v>3109.6771995907702</x:v>
      </x:c>
      <x:c r="O36" s="1">
        <x:v>1185.67541766109</x:v>
      </x:c>
      <x:c r="P36" s="1">
        <x:f t="shared" si="22"/>
        <x:v>5.1112174794597935</x:v>
      </x:c>
      <x:c r="Q36" s="1">
        <x:f t="shared" si="23"/>
        <x:v>17.416362748223548</x:v>
      </x:c>
      <x:c r="R36" s="1">
        <x:f t="shared" si="24"/>
        <x:v>0.21570195415661669</x:v>
      </x:c>
      <x:c r="S36" s="1">
        <x:f t="shared" si="25"/>
        <x:v>5.582777380156323E-2</x:v>
      </x:c>
      <x:c r="T36" s="1">
        <x:f t="shared" si="26"/>
        <x:v>7.9248091179191099E-2</x:v>
      </x:c>
      <x:c r="U36" s="1">
        <x:f t="shared" si="27"/>
        <x:v>1.0239054565486835E-2</x:v>
      </x:c>
      <x:c r="Y36" s="1"/>
      <x:c r="Z36" s="1"/>
      <x:c r="AA36" s="1"/>
      <x:c r="AC36" s="1"/>
      <x:c r="AD36" s="1">
        <x:v>3000</x:v>
      </x:c>
      <x:c r="AE36" s="1">
        <x:v>0</x:v>
      </x:c>
      <x:c r="AF36" s="1">
        <x:v>45</x:v>
      </x:c>
      <x:c r="AG36" s="1">
        <x:v>314.15926535897898</x:v>
      </x:c>
      <x:c r="AH36" s="1">
        <x:v>11.3304080704818</x:v>
      </x:c>
      <x:c r="AI36" s="1">
        <x:v>1.0923327140980999E-2</x:v>
      </x:c>
      <x:c r="AJ36" s="1">
        <x:v>1.0923327140980999E-2</x:v>
      </x:c>
      <x:c r="AK36" s="1">
        <x:v>7.3903068750050399E-2</x:v>
      </x:c>
      <x:c r="AL36" s="1">
        <x:v>7.3903068750050399E-2</x:v>
      </x:c>
      <x:c r="AM36" s="1">
        <x:v>0</x:v>
      </x:c>
      <x:c r="AN36" s="1">
        <x:v>0</x:v>
      </x:c>
      <x:c r="AO36" s="1">
        <x:v>0</x:v>
      </x:c>
      <x:c r="AP36" s="1">
        <x:v>9</x:v>
      </x:c>
      <x:c r="AQ36" s="1" t="b">
        <x:v>1</x:v>
      </x:c>
      <x:c r="AR36" s="1">
        <x:v>-18.024494185672101</x:v>
      </x:c>
      <x:c r="AS36" s="1">
        <x:v>5.9041542766600603</x:v>
      </x:c>
      <x:c r="AT36">
        <x:f t="shared" si="12"/>
        <x:v>8.4672921567578205E-2</x:v>
      </x:c>
      <x:c r="AU36">
        <x:f t="shared" si="13"/>
        <x:v>0</x:v>
      </x:c>
    </x:row>
    <x:row r="37">
      <x:c r="A37" s="1">
        <x:v>3.9520194648515998</x:v>
      </x:c>
      <x:c r="B37" s="1">
        <x:f t="shared" si="14"/>
        <x:v>4.0914316164778644</x:v>
      </x:c>
      <x:c r="C37" s="1">
        <x:v>3036.6573544456801</x:v>
      </x:c>
      <x:c r="D37" s="1">
        <x:v>1153.59900990099</x:v>
      </x:c>
      <x:c r="E37" s="1">
        <x:f t="shared" si="15"/>
        <x:v>6.1371474247167965</x:v>
      </x:c>
      <x:c r="F37" s="1">
        <x:f t="shared" si="16"/>
        <x:v>25.109719008472005</x:v>
      </x:c>
      <x:c r="G37" s="1">
        <x:f t="shared" si="17"/>
        <x:v>0.26522581592039268</x:v>
      </x:c>
      <x:c r="H37" s="1">
        <x:f t="shared" si="18"/>
        <x:v>6.8645492413052983E-2</x:v>
      </x:c>
      <x:c r="I37" s="1">
        <x:f t="shared" si="19"/>
        <x:v>8.0774301857260658E-2</x:v>
      </x:c>
      <x:c r="J37" s="1">
        <x:f t="shared" si="20"/>
        <x:v>1.0436244859646074E-2</x:v>
      </x:c>
      <x:c r="L37" s="1">
        <x:v>3.9554976521523302</x:v>
      </x:c>
      <x:c r="M37" s="1">
        <x:f t="shared" si="21"/>
        <x:v>4.0950325009413158</x:v>
      </x:c>
      <x:c r="N37" s="1">
        <x:v>3067.9463588169601</x:v>
      </x:c>
      <x:c r="O37" s="1">
        <x:v>1193.4953051643099</x:v>
      </x:c>
      <x:c r="P37" s="1">
        <x:f t="shared" si="22"/>
        <x:v>6.1425487514119741</x:v>
      </x:c>
      <x:c r="Q37" s="1">
        <x:f t="shared" si="23"/>
        <x:v>25.153936775648532</x:v>
      </x:c>
      <x:c r="R37" s="1">
        <x:f t="shared" si="24"/>
        <x:v>0.26275190819785521</x:v>
      </x:c>
      <x:c r="S37" s="1">
        <x:f t="shared" si="25"/>
        <x:v>6.800519797863408E-2</x:v>
      </x:c>
      <x:c r="T37" s="1">
        <x:f t="shared" si="26"/>
        <x:v>8.1975352026493836E-2</x:v>
      </x:c>
      <x:c r="U37" s="1">
        <x:f t="shared" si="27"/>
        <x:v>1.0591423590586849E-2</x:v>
      </x:c>
      <x:c r="Y37" s="1"/>
      <x:c r="Z37" s="1"/>
      <x:c r="AA37" s="1"/>
      <x:c r="AC37" s="1"/>
      <x:c r="AD37" s="1">
        <x:v>3000</x:v>
      </x:c>
      <x:c r="AE37" s="1">
        <x:v>0.67800000000000005</x:v>
      </x:c>
      <x:c r="AF37" s="1">
        <x:v>45</x:v>
      </x:c>
      <x:c r="AG37" s="1">
        <x:v>314.15926535897898</x:v>
      </x:c>
      <x:c r="AH37" s="1">
        <x:v>10.816031206276101</x:v>
      </x:c>
      <x:c r="AI37" s="1">
        <x:v>1.0427430900835E-2</x:v>
      </x:c>
      <x:c r="AJ37" s="1">
        <x:v>1.0427430900835E-2</x:v>
      </x:c>
      <x:c r="AK37" s="1">
        <x:v>7.7085436791131806E-2</x:v>
      </x:c>
      <x:c r="AL37" s="1">
        <x:v>6.7072076188203503E-2</x:v>
      </x:c>
      <x:c r="AM37" s="1">
        <x:v>1.2</x:v>
      </x:c>
      <x:c r="AN37" s="1">
        <x:v>1.00133606029283E-2</x:v>
      </x:c>
      <x:c r="AO37" s="1">
        <x:v>1.00133606029283E-2</x:v>
      </x:c>
      <x:c r="AP37" s="1">
        <x:v>11</x:v>
      </x:c>
      <x:c r="AQ37" s="1" t="b">
        <x:v>1</x:v>
      </x:c>
      <x:c r="AR37" s="1">
        <x:v>-22.887785445661301</x:v>
      </x:c>
      <x:c r="AS37" s="1">
        <x:v>9.7686035188276605</x:v>
      </x:c>
      <x:c r="AT37">
        <x:f t="shared" si="12"/>
        <x:v>8.0828947757619757E-2</x:v>
      </x:c>
      <x:c r="AU37">
        <x:f t="shared" si="13"/>
        <x:v>4.4488188976377963E-2</x:v>
      </x:c>
    </x:row>
    <x:row r="38">
      <x:c r="A38" s="1">
        <x:v>4.6031232589330404</x:v>
      </x:c>
      <x:c r="B38" s="1">
        <x:f t="shared" si="14"/>
        <x:v>4.7655038654650115</x:v>
      </x:c>
      <x:c r="C38" s="1">
        <x:v>3039.37020263671</x:v>
      </x:c>
      <x:c r="D38" s="1">
        <x:v>1169.70153061224</x:v>
      </x:c>
      <x:c r="E38" s="1">
        <x:f t="shared" si="15"/>
        <x:v>7.1482557981975177</x:v>
      </x:c>
      <x:c r="F38" s="1">
        <x:f t="shared" si="16"/>
        <x:v>34.065040637642952</x:v>
      </x:c>
      <x:c r="G38" s="1">
        <x:f t="shared" si="17"/>
        <x:v>0.30864661082930933</x:v>
      </x:c>
      <x:c r="H38" s="1">
        <x:f t="shared" si="18"/>
        <x:v>7.9883621088971193E-2</x:v>
      </x:c>
      <x:c r="I38" s="1">
        <x:f t="shared" si="19"/>
        <x:v>8.1798174149067968E-2</x:v>
      </x:c>
      <x:c r="J38" s="1">
        <x:f t="shared" si="20"/>
        <x:v>1.0568531759026407E-2</x:v>
      </x:c>
      <x:c r="L38" s="1">
        <x:v>4.61037930636338</x:v>
      </x:c>
      <x:c r="M38" s="1">
        <x:f t="shared" si="21"/>
        <x:v>4.7730158785335677</x:v>
      </x:c>
      <x:c r="N38" s="1">
        <x:v>3066.9268022017</x:v>
      </x:c>
      <x:c r="O38" s="1">
        <x:v>1216.62763466042</x:v>
      </x:c>
      <x:c r="P38" s="1">
        <x:f t="shared" si="22"/>
        <x:v>7.159523817800352</x:v>
      </x:c>
      <x:c r="Q38" s="1">
        <x:f t="shared" si="23"/>
        <x:v>34.172520865100346</x:v>
      </x:c>
      <x:c r="R38" s="1">
        <x:f t="shared" si="24"/>
        <x:v>0.30635555245561769</x:v>
      </x:c>
      <x:c r="S38" s="1">
        <x:f t="shared" si="25"/>
        <x:v>7.9290651548418162E-2</x:v>
      </x:c>
      <x:c r="T38" s="1">
        <x:f t="shared" si="26"/>
        <x:v>8.367775787761686E-2</x:v>
      </x:c>
      <x:c r="U38" s="1">
        <x:f t="shared" si="27"/>
        <x:v>1.0811378748406849E-2</x:v>
      </x:c>
      <x:c r="Y38" s="1"/>
      <x:c r="Z38" s="1"/>
      <x:c r="AA38" s="1"/>
      <x:c r="AC38" s="1"/>
      <x:c r="AD38" s="1">
        <x:v>3000</x:v>
      </x:c>
      <x:c r="AE38" s="1">
        <x:v>1.3560000000000001</x:v>
      </x:c>
      <x:c r="AF38" s="1">
        <x:v>45</x:v>
      </x:c>
      <x:c r="AG38" s="1">
        <x:v>314.15926535897898</x:v>
      </x:c>
      <x:c r="AH38" s="1">
        <x:v>10.3966268148372</x:v>
      </x:c>
      <x:c r="AI38" s="1">
        <x:v>1.00230949454526E-2</x:v>
      </x:c>
      <x:c r="AJ38" s="1">
        <x:v>1.00230949454526E-2</x:v>
      </x:c>
      <x:c r="AK38" s="1">
        <x:v>8.04651832988693E-2</x:v>
      </x:c>
      <x:c r="AL38" s="1">
        <x:v>6.04384620930127E-2</x:v>
      </x:c>
      <x:c r="AM38" s="1">
        <x:v>1.2</x:v>
      </x:c>
      <x:c r="AN38" s="1">
        <x:v>2.00267212058566E-2</x:v>
      </x:c>
      <x:c r="AO38" s="1">
        <x:v>2.00267212058566E-2</x:v>
      </x:c>
      <x:c r="AP38" s="1">
        <x:v>9</x:v>
      </x:c>
      <x:c r="AQ38" s="1" t="b">
        <x:v>1</x:v>
      </x:c>
      <x:c r="AR38" s="1">
        <x:v>-24.6413311499442</x:v>
      </x:c>
      <x:c r="AS38" s="1">
        <x:v>8.7676344378332995</x:v>
      </x:c>
      <x:c r="AT38">
        <x:f t="shared" si="12"/>
        <x:v>7.7694709791917754E-2</x:v>
      </x:c>
      <x:c r="AU38">
        <x:f t="shared" si="13"/>
        <x:v>8.8976377952755925E-2</x:v>
      </x:c>
    </x:row>
    <x:row r="39">
      <x:c r="A39" s="1">
        <x:v>5.2648788668074697</x:v>
      </x:c>
      <x:c r="B39" s="1">
        <x:f t="shared" si="14"/>
        <x:v>5.4506036835502032</x:v>
      </x:c>
      <x:c r="C39" s="1">
        <x:v>3026.1517921730301</x:v>
      </x:c>
      <x:c r="D39" s="1">
        <x:v>1199.39622641509</x:v>
      </x:c>
      <x:c r="E39" s="1">
        <x:f t="shared" si="15"/>
        <x:v>8.1759055253253052</x:v>
      </x:c>
      <x:c r="F39" s="1">
        <x:f t="shared" si="16"/>
        <x:v>44.563620772696567</x:v>
      </x:c>
      <x:c r="G39" s="1">
        <x:f t="shared" si="17"/>
        <x:v>0.35456036402038815</x:v>
      </x:c>
      <x:c r="H39" s="1">
        <x:f t="shared" si="18"/>
        <x:v>9.1766974846959018E-2</x:v>
      </x:c>
      <x:c r="I39" s="1">
        <x:f t="shared" si="19"/>
        <x:v>8.4687105154741399E-2</x:v>
      </x:c>
      <x:c r="J39" s="1">
        <x:f t="shared" si="20"/>
        <x:v>1.094178897901588E-2</x:v>
      </x:c>
      <x:c r="L39" s="1">
        <x:v>5.2667120440089201</x:v>
      </x:c>
      <x:c r="M39" s="1">
        <x:f t="shared" si="21"/>
        <x:v>5.4525015282413358</x:v>
      </x:c>
      <x:c r="N39" s="1">
        <x:v>3084.1907226562498</x:v>
      </x:c>
      <x:c r="O39" s="1">
        <x:v>1237.03990024937</x:v>
      </x:c>
      <x:c r="P39" s="1">
        <x:f t="shared" si="22"/>
        <x:v>8.1787522923620042</x:v>
      </x:c>
      <x:c r="Q39" s="1">
        <x:f t="shared" si="23"/>
        <x:v>44.594659373211158</x:v>
      </x:c>
      <x:c r="R39" s="1">
        <x:f t="shared" si="24"/>
        <x:v>0.34800930584605749</x:v>
      </x:c>
      <x:c r="S39" s="1">
        <x:f t="shared" si="25"/>
        <x:v>9.0071436225867704E-2</x:v>
      </x:c>
      <x:c r="T39" s="1">
        <x:f t="shared" si="26"/>
        <x:v>8.4181487509708622E-2</x:v>
      </x:c>
      <x:c r="U39" s="1">
        <x:f t="shared" si="27"/>
        <x:v>1.0876461895678849E-2</x:v>
      </x:c>
      <x:c r="Y39" s="1"/>
      <x:c r="Z39" s="1"/>
      <x:c r="AA39" s="1"/>
      <x:c r="AC39" s="1"/>
      <x:c r="AD39" s="1">
        <x:v>3000</x:v>
      </x:c>
      <x:c r="AE39" s="1">
        <x:v>2.0339999999999998</x:v>
      </x:c>
      <x:c r="AF39" s="1">
        <x:v>45</x:v>
      </x:c>
      <x:c r="AG39" s="1">
        <x:v>314.15926535897898</x:v>
      </x:c>
      <x:c r="AH39" s="1">
        <x:v>9.9687238582502893</x:v>
      </x:c>
      <x:c r="AI39" s="1">
        <x:v>9.6105657628921693E-3</x:v>
      </x:c>
      <x:c r="AJ39" s="1">
        <x:v>9.6105657628921693E-3</x:v>
      </x:c>
      <x:c r="AK39" s="1">
        <x:v>8.3939479656612401E-2</x:v>
      </x:c>
      <x:c r="AL39" s="1">
        <x:v>5.3899397847827497E-2</x:v>
      </x:c>
      <x:c r="AM39" s="1">
        <x:v>1.2</x:v>
      </x:c>
      <x:c r="AN39" s="1">
        <x:v>3.00400818087849E-2</x:v>
      </x:c>
      <x:c r="AO39" s="1">
        <x:v>3.00400818087849E-2</x:v>
      </x:c>
      <x:c r="AP39" s="1">
        <x:v>7</x:v>
      </x:c>
      <x:c r="AQ39" s="1" t="b">
        <x:v>1</x:v>
      </x:c>
      <x:c r="AR39" s="1">
        <x:v>-27.122995904626901</x:v>
      </x:c>
      <x:c r="AS39" s="1">
        <x:v>7.9613968661985099</x:v>
      </x:c>
      <x:c r="AT39">
        <x:f t="shared" si="12"/>
        <x:v>7.4496961462269223E-2</x:v>
      </x:c>
      <x:c r="AU39">
        <x:f t="shared" si="13"/>
        <x:v>0.13346456692913383</x:v>
      </x:c>
    </x:row>
    <x:row r="40">
      <x:c r="A40" s="1">
        <x:v>5.9230135207082704</x:v>
      </x:c>
      <x:c r="B40" s="1">
        <x:f t="shared" si="14"/>
        <x:v>6.1319548142361366</x:v>
      </x:c>
      <x:c r="C40" s="1">
        <x:v>3008.0759465144201</x:v>
      </x:c>
      <x:c r="D40" s="1">
        <x:v>1208.8015717092301</x:v>
      </x:c>
      <x:c r="E40" s="1">
        <x:f t="shared" si="15"/>
        <x:v>9.1979322213542041</x:v>
      </x:c>
      <x:c r="F40" s="1">
        <x:f t="shared" si="16"/>
        <x:v>56.401304765750602</x:v>
      </x:c>
      <x:c r="G40" s="1">
        <x:f t="shared" si="17"/>
        <x:v>0.40127900385510951</x:v>
      </x:c>
      <x:c r="H40" s="1">
        <x:f t="shared" si="18"/>
        <x:v>0.10385864859747018</x:v>
      </x:c>
      <x:c r="I40" s="1">
        <x:f t="shared" si="19"/>
        <x:v>8.6404438894790395E-2</x:v>
      </x:c>
      <x:c r="J40" s="1">
        <x:f t="shared" si="20"/>
        <x:v>1.1163672857982171E-2</x:v>
      </x:c>
      <x:c r="L40" s="1">
        <x:v>5.9264541361480898</x:v>
      </x:c>
      <x:c r="M40" s="1">
        <x:f t="shared" si="21"/>
        <x:v>6.1355168014469328</x:v>
      </x:c>
      <x:c r="N40" s="1">
        <x:v>3058.5164355468701</x:v>
      </x:c>
      <x:c r="O40" s="1">
        <x:v>1260.4152046783599</x:v>
      </x:c>
      <x:c r="P40" s="1">
        <x:f t="shared" si="22"/>
        <x:v>9.2032752021703992</x:v>
      </x:c>
      <x:c r="Q40" s="1">
        <x:f t="shared" si="23"/>
        <x:v>56.466849631256395</x:v>
      </x:c>
      <x:c r="R40" s="1">
        <x:f t="shared" si="24"/>
        <x:v>0.39489043900026349</x:v>
      </x:c>
      <x:c r="S40" s="1">
        <x:f t="shared" si="25"/>
        <x:v>0.10220516634216342</x:v>
      </x:c>
      <x:c r="T40" s="1">
        <x:f t="shared" si="26"/>
        <x:v>8.7275092019413872E-2</x:v>
      </x:c>
      <x:c r="U40" s="1">
        <x:f t="shared" si="27"/>
        <x:v>1.1276163451988707E-2</x:v>
      </x:c>
      <x:c r="Y40" s="1"/>
      <x:c r="Z40" s="1"/>
      <x:c r="AA40" s="1"/>
      <x:c r="AC40" s="1"/>
      <x:c r="AD40" s="1">
        <x:v>3000</x:v>
      </x:c>
      <x:c r="AE40" s="1">
        <x:v>2.7120000000000002</x:v>
      </x:c>
      <x:c r="AF40" s="1">
        <x:v>45</x:v>
      </x:c>
      <x:c r="AG40" s="1">
        <x:v>314.15926535897898</x:v>
      </x:c>
      <x:c r="AH40" s="1">
        <x:v>9.5127650292153803</x:v>
      </x:c>
      <x:c r="AI40" s="1">
        <x:v>9.1709887042915692E-3</x:v>
      </x:c>
      <x:c r="AJ40" s="1">
        <x:v>9.1709887042915692E-3</x:v>
      </x:c>
      <x:c r="AK40" s="1">
        <x:v>8.7640756217772398E-2</x:v>
      </x:c>
      <x:c r="AL40" s="1">
        <x:v>4.7587313806059198E-2</x:v>
      </x:c>
      <x:c r="AM40" s="1">
        <x:v>1.2</x:v>
      </x:c>
      <x:c r="AN40" s="1">
        <x:v>4.00534424117132E-2</x:v>
      </x:c>
      <x:c r="AO40" s="1">
        <x:v>4.00534424117132E-2</x:v>
      </x:c>
      <x:c r="AP40" s="1">
        <x:v>6</x:v>
      </x:c>
      <x:c r="AQ40" s="1" t="b">
        <x:v>1</x:v>
      </x:c>
      <x:c r="AR40" s="1">
        <x:v>-30.2180574512577</x:v>
      </x:c>
      <x:c r="AS40" s="1">
        <x:v>7.1491938542253299</x:v>
      </x:c>
      <x:c r="AT40">
        <x:f t="shared" si="12"/>
        <x:v>7.1089549661321125E-2</x:v>
      </x:c>
      <x:c r="AU40">
        <x:f t="shared" si="13"/>
        <x:v>0.17795275590551185</x:v>
      </x:c>
    </x:row>
    <x:row r="41">
      <x:c r="A41" s="1">
        <x:v>6.5304595127006797</x:v>
      </x:c>
      <x:c r="B41" s="1">
        <x:f t="shared" si="14"/>
        <x:v>6.7608291806314513</x:v>
      </x:c>
      <x:c r="C41" s="1">
        <x:v>3028.70954975328</x:v>
      </x:c>
      <x:c r="D41" s="1">
        <x:v>1221.6588541666599</x:v>
      </x:c>
      <x:c r="E41" s="1">
        <x:f t="shared" si="15"/>
        <x:v>10.141243770947177</x:v>
      </x:c>
      <x:c r="F41" s="1">
        <x:f t="shared" si="16"/>
        <x:v>68.563216814516608</x:v>
      </x:c>
      <x:c r="G41" s="1">
        <x:f t="shared" si="17"/>
        <x:v>0.43941879011128243</x:v>
      </x:c>
      <x:c r="H41" s="1">
        <x:f t="shared" si="18"/>
        <x:v>0.1137299516567071</x:v>
      </x:c>
      <x:c r="I41" s="1">
        <x:f t="shared" si="19"/>
        <x:v>8.6170342781780276E-2</x:v>
      </x:c>
      <x:c r="J41" s="1">
        <x:f t="shared" si="20"/>
        <x:v>1.1133427045887351E-2</x:v>
      </x:c>
      <x:c r="L41" s="1">
        <x:v>6.5231127559690503</x:v>
      </x:c>
      <x:c r="M41" s="1">
        <x:f t="shared" si="21"/>
        <x:v>6.7532232583839287</x:v>
      </x:c>
      <x:c r="N41" s="1">
        <x:v>3058.7785738431398</x:v>
      </x:c>
      <x:c r="O41" s="1">
        <x:v>1272.5499058380401</x:v>
      </x:c>
      <x:c r="P41" s="1">
        <x:f t="shared" si="22"/>
        <x:v>10.129834887575893</x:v>
      </x:c>
      <x:c r="Q41" s="1">
        <x:f t="shared" si="23"/>
        <x:v>68.409036566366467</x:v>
      </x:c>
      <x:c r="R41" s="1">
        <x:f t="shared" si="24"/>
        <x:v>0.43460964076648573</x:v>
      </x:c>
      <x:c r="S41" s="1">
        <x:f t="shared" si="25"/>
        <x:v>0.11248525221553142</x:v>
      </x:c>
      <x:c r="T41" s="1">
        <x:f t="shared" si="26"/>
        <x:v>8.8129193430301234E-2</x:v>
      </x:c>
      <x:c r="U41" s="1">
        <x:f t="shared" si="27"/>
        <x:v>1.1386515522561119E-2</x:v>
      </x:c>
      <x:c r="Y41" s="1"/>
      <x:c r="Z41" s="1"/>
      <x:c r="AA41" s="1"/>
      <x:c r="AC41" s="1"/>
      <x:c r="AD41" s="1">
        <x:v>3000</x:v>
      </x:c>
      <x:c r="AE41" s="1">
        <x:v>3.39</x:v>
      </x:c>
      <x:c r="AF41" s="1">
        <x:v>45</x:v>
      </x:c>
      <x:c r="AG41" s="1">
        <x:v>314.15926535897898</x:v>
      </x:c>
      <x:c r="AH41" s="1">
        <x:v>9.0181498322328704</x:v>
      </x:c>
      <x:c r="AI41" s="1">
        <x:v>8.6941441306511696E-3</x:v>
      </x:c>
      <x:c r="AJ41" s="1">
        <x:v>8.6941441306511696E-3</x:v>
      </x:c>
      <x:c r="AK41" s="1">
        <x:v>9.1681048177959995E-2</x:v>
      </x:c>
      <x:c r="AL41" s="1">
        <x:v>4.1614245163318499E-2</x:v>
      </x:c>
      <x:c r="AM41" s="1">
        <x:v>1.2</x:v>
      </x:c>
      <x:c r="AN41" s="1">
        <x:v>5.0066803014641503E-2</x:v>
      </x:c>
      <x:c r="AO41" s="1">
        <x:v>5.0066803014641503E-2</x:v>
      </x:c>
      <x:c r="AP41" s="1">
        <x:v>4</x:v>
      </x:c>
      <x:c r="AQ41" s="1" t="b">
        <x:v>1</x:v>
      </x:c>
      <x:c r="AR41" s="1">
        <x:v>-33.854470731950599</x:v>
      </x:c>
      <x:c r="AS41" s="1">
        <x:v>6.3318694975273404</x:v>
      </x:c>
      <x:c r="AT41">
        <x:f t="shared" si="12"/>
        <x:v>6.7393256154528583E-2</x:v>
      </x:c>
      <x:c r="AU41">
        <x:f t="shared" si="13"/>
        <x:v>0.22244094488188976</x:v>
      </x:c>
    </x:row>
    <x:row r="42">
      <x:c r="A42" s="1">
        <x:v>5.9293301366118696</x:v>
      </x:c>
      <x:c r="B42" s="1">
        <x:f t="shared" si="14"/>
        <x:v>6.1384942562219322</x:v>
      </x:c>
      <x:c r="C42" s="1">
        <x:v>3005.90333048502</x:v>
      </x:c>
      <x:c r="D42" s="1">
        <x:v>1209.3522267206399</x:v>
      </x:c>
      <x:c r="E42" s="1">
        <x:f t="shared" si="15"/>
        <x:v>9.2077413843328983</x:v>
      </x:c>
      <x:c r="F42" s="1">
        <x:f t="shared" si="16"/>
        <x:v>56.521667600504479</x:v>
      </x:c>
      <x:c r="G42" s="1">
        <x:f t="shared" si="17"/>
        <x:v>0.40199729605819784</x:v>
      </x:c>
      <x:c r="H42" s="1">
        <x:f t="shared" si="18"/>
        <x:v>0.10404455629957809</x:v>
      </x:c>
      <x:c r="I42" s="1">
        <x:f t="shared" si="19"/>
        <x:v>8.6570223648923431E-2</x:v>
      </x:c>
      <x:c r="J42" s="1">
        <x:f t="shared" si="20"/>
        <x:v>1.1185092669089743E-2</x:v>
      </x:c>
      <x:c r="L42" s="1">
        <x:v>5.9308778991161901</x:v>
      </x:c>
      <x:c r="M42" s="1">
        <x:f t="shared" si="21"/>
        <x:v>6.1400966178755869</x:v>
      </x:c>
      <x:c r="N42" s="1">
        <x:v>3057.2112426757799</x:v>
      </x:c>
      <x:c r="O42" s="1">
        <x:v>1251.22394366197</x:v>
      </x:c>
      <x:c r="P42" s="1">
        <x:f t="shared" si="22"/>
        <x:v>9.2101449268133813</x:v>
      </x:c>
      <x:c r="Q42" s="1">
        <x:f t="shared" si="23"/>
        <x:v>56.551179715270834</x:v>
      </x:c>
      <x:c r="R42" s="1">
        <x:f t="shared" si="24"/>
        <x:v>0.3953539159210348</x:v>
      </x:c>
      <x:c r="S42" s="1">
        <x:f t="shared" si="25"/>
        <x:v>0.1023251229962245</x:v>
      </x:c>
      <x:c r="T42" s="1">
        <x:f t="shared" si="26"/>
        <x:v>8.6690694986708394E-2</x:v>
      </x:c>
      <x:c r="U42" s="1">
        <x:f t="shared" si="27"/>
        <x:v>1.1200657871769115E-2</x:v>
      </x:c>
      <x:c r="Y42" s="1"/>
      <x:c r="Z42" s="1"/>
      <x:c r="AA42" s="1"/>
      <x:c r="AC42" s="1"/>
      <x:c r="AD42" s="1">
        <x:v>3000</x:v>
      </x:c>
      <x:c r="AE42" s="1">
        <x:v>4.0679999999999996</x:v>
      </x:c>
      <x:c r="AF42" s="1">
        <x:v>45</x:v>
      </x:c>
      <x:c r="AG42" s="1">
        <x:v>314.15926535897898</x:v>
      </x:c>
      <x:c r="AH42" s="1">
        <x:v>8.47186445370094</x:v>
      </x:c>
      <x:c r="AI42" s="1">
        <x:v>8.16748579099392E-3</x:v>
      </x:c>
      <x:c r="AJ42" s="1">
        <x:v>8.16748579099392E-3</x:v>
      </x:c>
      <x:c r="AK42" s="1">
        <x:v>9.6110033598564501E-2</x:v>
      </x:c>
      <x:c r="AL42" s="1">
        <x:v>3.6029869980994597E-2</x:v>
      </x:c>
      <x:c r="AM42" s="1">
        <x:v>1.2</x:v>
      </x:c>
      <x:c r="AN42" s="1">
        <x:v>6.00801636175698E-2</x:v>
      </x:c>
      <x:c r="AO42" s="1">
        <x:v>6.00801636175698E-2</x:v>
      </x:c>
      <x:c r="AP42" s="1">
        <x:v>6</x:v>
      </x:c>
      <x:c r="AQ42" s="1" t="b">
        <x:v>1</x:v>
      </x:c>
      <x:c r="AR42" s="1">
        <x:v>-37.959451717274703</x:v>
      </x:c>
      <x:c r="AS42" s="1">
        <x:v>5.5116492645383799</x:v>
      </x:c>
      <x:c r="AT42">
        <x:f t="shared" si="12"/>
        <x:v>6.3310827814594753E-2</x:v>
      </x:c>
      <x:c r="AU42">
        <x:f t="shared" si="13"/>
        <x:v>0.26692913385826766</x:v>
      </x:c>
    </x:row>
    <x:row r="43">
      <x:c r="A43" s="1">
        <x:v>5.3994618574778199</x:v>
      </x:c>
      <x:c r="B43" s="1">
        <x:f t="shared" si="14"/>
        <x:v>5.5899342480795697</x:v>
      </x:c>
      <x:c r="C43" s="1">
        <x:v>3020.7271484375001</x:v>
      </x:c>
      <x:c r="D43" s="1">
        <x:v>1197.2541806019999</x:v>
      </x:c>
      <x:c r="E43" s="1">
        <x:f t="shared" si="15"/>
        <x:v>8.384901372119355</x:v>
      </x:c>
      <x:c r="F43" s="1">
        <x:f t="shared" si="16"/>
        <x:v>46.871047346779356</x:v>
      </x:c>
      <x:c r="G43" s="1">
        <x:f t="shared" si="17"/>
        <x:v>0.36427677953805288</x:v>
      </x:c>
      <x:c r="H43" s="1">
        <x:f t="shared" si="18"/>
        <x:v>9.4281768233060323E-2</x:v>
      </x:c>
      <x:c r="I43" s="1">
        <x:f t="shared" si="19"/>
        <x:v>8.4834243990210043E-2</x:v>
      </x:c>
      <x:c r="J43" s="1">
        <x:f t="shared" si="20"/>
        <x:v>1.0960799690096088E-2</x:v>
      </x:c>
      <x:c r="L43" s="1">
        <x:v>5.2758867305422497</x:v>
      </x:c>
      <x:c r="M43" s="1">
        <x:f t="shared" si="21"/>
        <x:v>5.4619998626720214</x:v>
      </x:c>
      <x:c r="N43" s="1">
        <x:v>3066.5140820312499</x:v>
      </x:c>
      <x:c r="O43" s="1">
        <x:v>1232.4373757455201</x:v>
      </x:c>
      <x:c r="P43" s="1">
        <x:f t="shared" si="22"/>
        <x:v>8.1929997940080312</x:v>
      </x:c>
      <x:c r="Q43" s="1">
        <x:f t="shared" si="23"/>
        <x:v>44.750163749743777</x:v>
      </x:c>
      <x:c r="R43" s="1">
        <x:f t="shared" si="24"/>
        <x:v>0.35062510544495096</x:v>
      </x:c>
      <x:c r="S43" s="1">
        <x:f t="shared" si="25"/>
        <x:v>9.0748454980232873E-2</x:v>
      </x:c>
      <x:c r="T43" s="1">
        <x:f t="shared" si="26"/>
        <x:v>8.4826836263276931E-2</x:v>
      </x:c>
      <x:c r="U43" s="1">
        <x:f t="shared" si="27"/>
        <x:v>1.0959842592970519E-2</x:v>
      </x:c>
      <x:c r="Y43" s="1"/>
      <x:c r="Z43" s="1"/>
      <x:c r="AA43" s="1"/>
      <x:c r="AC43" s="1"/>
      <x:c r="AD43" s="1">
        <x:v>3000</x:v>
      </x:c>
      <x:c r="AE43" s="1">
        <x:v>4.7460000000000004</x:v>
      </x:c>
      <x:c r="AF43" s="1">
        <x:v>45</x:v>
      </x:c>
      <x:c r="AG43" s="1">
        <x:v>314.15926535897898</x:v>
      </x:c>
      <x:c r="AH43" s="1">
        <x:v>7.8702264407413001</x:v>
      </x:c>
      <x:c r="AI43" s="1">
        <x:v>7.5874635362678097E-3</x:v>
      </x:c>
      <x:c r="AJ43" s="1">
        <x:v>7.5874635362678097E-3</x:v>
      </x:c>
      <x:c r="AK43" s="1">
        <x:v>0.100960413185311</x:v>
      </x:c>
      <x:c r="AL43" s="1">
        <x:v>3.0866888964813599E-2</x:v>
      </x:c>
      <x:c r="AM43" s="1">
        <x:v>1.2</x:v>
      </x:c>
      <x:c r="AN43" s="1">
        <x:v>7.0093524220498096E-2</x:v>
      </x:c>
      <x:c r="AO43" s="1">
        <x:v>7.0093524220498096E-2</x:v>
      </x:c>
      <x:c r="AP43" s="1">
        <x:v>7</x:v>
      </x:c>
      <x:c r="AQ43" s="1" t="b">
        <x:v>1</x:v>
      </x:c>
      <x:c r="AR43" s="1">
        <x:v>-42.482363381638798</x:v>
      </x:c>
      <x:c r="AS43" s="1">
        <x:v>4.7004839573604897</x:v>
      </x:c>
      <x:c r="AT43">
        <x:f t="shared" si="12"/>
        <x:v>5.8814745416987169E-2</x:v>
      </x:c>
      <x:c r="AU43">
        <x:f t="shared" si="13"/>
        <x:v>0.31141732283464568</x:v>
      </x:c>
    </x:row>
    <x:row r="44">
      <x:c r="A44" s="1">
        <x:v>4.6257517000524002</x:v>
      </x:c>
      <x:c r="B44" s="1">
        <x:f t="shared" si="14"/>
        <x:v>4.7889305515556968</x:v>
      </x:c>
      <x:c r="C44" s="1">
        <x:v>3007.9383719307998</x:v>
      </x:c>
      <x:c r="D44" s="1">
        <x:v>1167.8341463414599</x:v>
      </x:c>
      <x:c r="E44" s="1">
        <x:f t="shared" si="15"/>
        <x:v>7.1833958273335448</x:v>
      </x:c>
      <x:c r="F44" s="1">
        <x:f t="shared" si="16"/>
        <x:v>34.400783741435326</x:v>
      </x:c>
      <x:c r="G44" s="1">
        <x:f t="shared" si="17"/>
        <x:v>0.31340497972847281</x:v>
      </x:c>
      <x:c r="H44" s="1">
        <x:f t="shared" si="18"/>
        <x:v>8.1115177583698211E-2</x:v>
      </x:c>
      <x:c r="I44" s="1">
        <x:f t="shared" si="19"/>
        <x:v>8.3378329804139784E-2</x:v>
      </x:c>
      <x:c r="J44" s="1">
        <x:f t="shared" si="20"/>
        <x:v>1.0772691881163095E-2</x:v>
      </x:c>
      <x:c r="L44" s="1">
        <x:v>4.6123410211482501</x:v>
      </x:c>
      <x:c r="M44" s="1">
        <x:f t="shared" si="21"/>
        <x:v>4.7750467951231022</x:v>
      </x:c>
      <x:c r="N44" s="1">
        <x:v>3072.28600202287</x:v>
      </x:c>
      <x:c r="O44" s="1">
        <x:v>1215.1707746478801</x:v>
      </x:c>
      <x:c r="P44" s="1">
        <x:f t="shared" si="22"/>
        <x:v>7.1625701926846528</x:v>
      </x:c>
      <x:c r="Q44" s="1">
        <x:f t="shared" si="23"/>
        <x:v>34.201607843423112</x:v>
      </x:c>
      <x:c r="R44" s="1">
        <x:f t="shared" si="24"/>
        <x:v>0.30595128218556678</x:v>
      </x:c>
      <x:c r="S44" s="1">
        <x:f t="shared" si="25"/>
        <x:v>7.9186018703160249E-2</x:v>
      </x:c>
      <x:c r="T44" s="1">
        <x:f t="shared" si="26"/>
        <x:v>8.3282661172240688E-2</x:v>
      </x:c>
      <x:c r="U44" s="1">
        <x:f t="shared" si="27"/>
        <x:v>1.0760331251050182E-2</x:v>
      </x:c>
      <x:c r="Y44" s="1"/>
      <x:c r="Z44" s="1"/>
      <x:c r="AA44" s="1"/>
      <x:c r="AC44" s="1"/>
      <x:c r="AD44" s="1">
        <x:v>3000</x:v>
      </x:c>
      <x:c r="AE44" s="1">
        <x:v>5.4240000000000004</x:v>
      </x:c>
      <x:c r="AF44" s="1">
        <x:v>45</x:v>
      </x:c>
      <x:c r="AG44" s="1">
        <x:v>314.15926535897898</x:v>
      </x:c>
      <x:c r="AH44" s="1">
        <x:v>7.2083466070100704</x:v>
      </x:c>
      <x:c r="AI44" s="1">
        <x:v>6.9493638396911396E-3</x:v>
      </x:c>
      <x:c r="AJ44" s="1">
        <x:v>6.9493638396911396E-3</x:v>
      </x:c>
      <x:c r="AK44" s="1">
        <x:v>0.106223919463793</x:v>
      </x:c>
      <x:c r="AL44" s="1">
        <x:v>2.6117034640366601E-2</x:v>
      </x:c>
      <x:c r="AM44" s="1">
        <x:v>1.2</x:v>
      </x:c>
      <x:c r="AN44" s="1">
        <x:v>8.01068848234264E-2</x:v>
      </x:c>
      <x:c r="AO44" s="1">
        <x:v>8.01068848234264E-2</x:v>
      </x:c>
      <x:c r="AP44" s="1">
        <x:v>8</x:v>
      </x:c>
      <x:c r="AQ44" s="1" t="b">
        <x:v>1</x:v>
      </x:c>
      <x:c r="AR44" s="1">
        <x:v>-47.304024596597799</x:v>
      </x:c>
      <x:c r="AS44" s="1">
        <x:v>4.0408458870431101</x:v>
      </x:c>
      <x:c r="AT44">
        <x:f t="shared" si="12"/>
        <x:v>5.3868471734692273E-2</x:v>
      </x:c>
      <x:c r="AU44">
        <x:f t="shared" si="13"/>
        <x:v>0.3559055118110237</x:v>
      </x:c>
    </x:row>
    <x:row r="45">
      <x:c r="A45" s="1">
        <x:v>3.9604161757343199</x:v>
      </x:c>
      <x:c r="B45" s="1">
        <x:f t="shared" si="14"/>
        <x:v>4.100124531248535</x:v>
      </x:c>
      <x:c r="C45" s="1">
        <x:v>3002.6311487268499</x:v>
      </x:c>
      <x:c r="D45" s="1">
        <x:v>1150.2018867924501</x:v>
      </x:c>
      <x:c r="E45" s="1">
        <x:f t="shared" si="15"/>
        <x:v>6.1501867968728021</x:v>
      </x:c>
      <x:c r="F45" s="1">
        <x:f t="shared" si="16"/>
        <x:v>25.21653175761903</x:v>
      </x:c>
      <x:c r="G45" s="1">
        <x:f t="shared" si="17"/>
        <x:v>0.26880129067493186</x:v>
      </x:c>
      <x:c r="H45" s="1">
        <x:f t="shared" si="18"/>
        <x:v>6.9570893374810969E-2</x:v>
      </x:c>
      <x:c r="I45" s="1">
        <x:f t="shared" si="19"/>
        <x:v>8.2362886157866369E-2</x:v>
      </x:c>
      <x:c r="J45" s="1">
        <x:f t="shared" si="20"/>
        <x:v>1.064149398418333E-2</x:v>
      </x:c>
      <x:c r="L45" s="1">
        <x:v>3.9662032544612802</x:v>
      </x:c>
      <x:c r="M45" s="1">
        <x:f t="shared" si="21"/>
        <x:v>4.1061157560087151</x:v>
      </x:c>
      <x:c r="N45" s="1">
        <x:v>3074.6861165364498</x:v>
      </x:c>
      <x:c r="O45" s="1">
        <x:v>1189.60706860706</x:v>
      </x:c>
      <x:c r="P45" s="1">
        <x:f t="shared" si="22"/>
        <x:v>6.1591736340130723</x:v>
      </x:c>
      <x:c r="Q45" s="1">
        <x:f t="shared" si="23"/>
        <x:v>25.290279902614536</x:v>
      </x:c>
      <x:c r="R45" s="1">
        <x:f t="shared" si="24"/>
        <x:v>0.26288553449541674</x:v>
      </x:c>
      <x:c r="S45" s="1">
        <x:f t="shared" si="25"/>
        <x:v>6.8039783009369539E-2</x:v>
      </x:c>
      <x:c r="T45" s="1">
        <x:f t="shared" si="26"/>
        <x:v>8.1340770804898155E-2</x:v>
      </x:c>
      <x:c r="U45" s="1">
        <x:f t="shared" si="27"/>
        <x:v>1.0509434085761306E-2</x:v>
      </x:c>
      <x:c r="Y45" s="1"/>
      <x:c r="Z45" s="1"/>
      <x:c r="AA45" s="1"/>
      <x:c r="AC45" s="1"/>
      <x:c r="AD45" s="1">
        <x:v>3000</x:v>
      </x:c>
      <x:c r="AE45" s="1">
        <x:v>6.1020000000000003</x:v>
      </x:c>
      <x:c r="AF45" s="1">
        <x:v>45</x:v>
      </x:c>
      <x:c r="AG45" s="1">
        <x:v>314.15926535897898</x:v>
      </x:c>
      <x:c r="AH45" s="1">
        <x:v>6.4947088575756498</x:v>
      </x:c>
      <x:c r="AI45" s="1">
        <x:v>6.2613657950722499E-3</x:v>
      </x:c>
      <x:c r="AJ45" s="1">
        <x:v>6.2613657950722499E-3</x:v>
      </x:c>
      <x:c r="AK45" s="1">
        <x:v>0.11190899074786299</x:v>
      </x:c>
      <x:c r="AL45" s="1">
        <x:v>2.1788745321509002E-2</x:v>
      </x:c>
      <x:c r="AM45" s="1">
        <x:v>1.2</x:v>
      </x:c>
      <x:c r="AN45" s="1">
        <x:v>9.0120245426354703E-2</x:v>
      </x:c>
      <x:c r="AO45" s="1">
        <x:v>9.0120245426354703E-2</x:v>
      </x:c>
      <x:c r="AP45" s="1">
        <x:v>9</x:v>
      </x:c>
      <x:c r="AQ45" s="1" t="b">
        <x:v>1</x:v>
      </x:c>
      <x:c r="AR45" s="1">
        <x:v>-52.378408865459498</x:v>
      </x:c>
      <x:c r="AS45" s="1">
        <x:v>3.5014868865508499</x:v>
      </x:c>
      <x:c r="AT45">
        <x:f t="shared" si="12"/>
        <x:v>4.8535407575869445E-2</x:v>
      </x:c>
      <x:c r="AU45">
        <x:f t="shared" si="13"/>
        <x:v>0.40039370078740166</x:v>
      </x:c>
    </x:row>
    <x:row r="46">
      <x:c r="A46" s="1">
        <x:v>3.3069315000816601</x:v>
      </x:c>
      <x:c r="B46" s="1">
        <x:f t="shared" si="14"/>
        <x:v>3.4235874122823273</x:v>
      </x:c>
      <x:c r="C46" s="1">
        <x:v>2995.2017647879402</x:v>
      </x:c>
      <x:c r="D46" s="1">
        <x:v>1138.6264501159999</x:v>
      </x:c>
      <x:c r="E46" s="1">
        <x:f t="shared" si="15"/>
        <x:v>5.1353811184234912</x:v>
      </x:c>
      <x:c r="F46" s="1">
        <x:f t="shared" si="16"/>
        <x:v>17.581426154307003</x:v>
      </x:c>
      <x:c r="G46" s="1">
        <x:f t="shared" si="17"/>
        <x:v>0.22500471851336221</x:v>
      </x:c>
      <x:c r="H46" s="1">
        <x:f t="shared" si="18"/>
        <x:v>5.8235506389189874E-2</x:v>
      </x:c>
      <x:c r="I46" s="1">
        <x:f t="shared" si="19"/>
        <x:v>8.1907410023134689E-2</x:v>
      </x:c>
      <x:c r="J46" s="1">
        <x:f t="shared" si="20"/>
        <x:v>1.0582645311270194E-2</x:v>
      </x:c>
      <x:c r="L46" s="1">
        <x:v>3.30176295603022</x:v>
      </x:c>
      <x:c r="M46" s="1">
        <x:f t="shared" si="21"/>
        <x:v>3.4182365417384708</x:v>
      </x:c>
      <x:c r="N46" s="1">
        <x:v>3069.80840773809</x:v>
      </x:c>
      <x:c r="O46" s="1">
        <x:v>1182.38725490196</x:v>
      </x:c>
      <x:c r="P46" s="1">
        <x:f t="shared" si="22"/>
        <x:v>5.127354812607706</x:v>
      </x:c>
      <x:c r="Q46" s="1">
        <x:f t="shared" si="23"/>
        <x:v>17.526511582914271</x:v>
      </x:c>
      <x:c r="R46" s="1">
        <x:f t="shared" si="24"/>
        <x:v>0.21919322629630536</x:v>
      </x:c>
      <x:c r="S46" s="1">
        <x:f t="shared" si="25"/>
        <x:v>5.6731381522950493E-2</x:v>
      </x:c>
      <x:c r="T46" s="1">
        <x:f t="shared" si="26"/>
        <x:v>8.1086107934994475E-2</x:v>
      </x:c>
      <x:c r="U46" s="1">
        <x:f t="shared" si="27"/>
        <x:v>1.0476530996463529E-2</x:v>
      </x:c>
      <x:c r="Y46" s="1"/>
      <x:c r="Z46" s="1"/>
      <x:c r="AA46" s="1"/>
      <x:c r="AC46" s="1"/>
      <x:c r="AD46" s="1">
        <x:v>3000</x:v>
      </x:c>
      <x:c r="AE46" s="1">
        <x:v>6.78</x:v>
      </x:c>
      <x:c r="AF46" s="1">
        <x:v>45</x:v>
      </x:c>
      <x:c r="AG46" s="1">
        <x:v>314.15926535897898</x:v>
      </x:c>
      <x:c r="AH46" s="1">
        <x:v>5.7321477352540402</x:v>
      </x:c>
      <x:c r="AI46" s="1">
        <x:v>5.5262021052654197E-3</x:v>
      </x:c>
      <x:c r="AJ46" s="1">
        <x:v>5.5262021052654197E-3</x:v>
      </x:c>
      <x:c r="AK46" s="1">
        <x:v>0.11798881285061801</x:v>
      </x:c>
      <x:c r="AL46" s="1">
        <x:v>1.78552068213358E-2</x:v>
      </x:c>
      <x:c r="AM46" s="1">
        <x:v>1.2</x:v>
      </x:c>
      <x:c r="AN46" s="1">
        <x:v>0.10013360602928301</x:v>
      </x:c>
      <x:c r="AO46" s="1">
        <x:v>0.10013360602928301</x:v>
      </x:c>
      <x:c r="AP46" s="1">
        <x:v>10</x:v>
      </x:c>
      <x:c r="AQ46" s="1" t="b">
        <x:v>1</x:v>
      </x:c>
      <x:c r="AR46" s="1">
        <x:v>-57.530491256374702</x:v>
      </x:c>
      <x:c r="AS46" s="1">
        <x:v>2.9813928615055301</x:v>
      </x:c>
      <x:c r="AT46">
        <x:f t="shared" si="12"/>
        <x:v>4.2836735674630866E-2</x:v>
      </x:c>
      <x:c r="AU46">
        <x:f t="shared" si="13"/>
        <x:v>0.44488188976377951</x:v>
      </x:c>
    </x:row>
    <x:row r="47">
      <x:c r="A47" s="1">
        <x:v>2.64773155318366</x:v>
      </x:c>
      <x:c r="B47" s="1">
        <x:f t="shared" si="14"/>
        <x:v>2.741133409131236</x:v>
      </x:c>
      <x:c r="C47" s="1">
        <x:v>3022.3335367838499</x:v>
      </x:c>
      <x:c r="D47" s="1">
        <x:v>1127.73407202216</x:v>
      </x:c>
      <x:c r="E47" s="1">
        <x:f t="shared" si="15"/>
        <x:v>4.1117001136968536</x:v>
      </x:c>
      <x:c r="F47" s="1">
        <x:f t="shared" si="16"/>
        <x:v>11.270718549983147</x:v>
      </x:c>
      <x:c r="G47" s="1">
        <x:f t="shared" si="17"/>
        <x:v>0.1785352887782404</x:v>
      </x:c>
      <x:c r="H47" s="1">
        <x:f t="shared" si="18"/>
        <x:v>4.6208332958686968E-2</x:v>
      </x:c>
      <x:c r="I47" s="1">
        <x:f t="shared" si="19"/>
        <x:v>7.9644415437641225E-2</x:v>
      </x:c>
      <x:c r="J47" s="1">
        <x:f t="shared" si="20"/>
        <x:v>1.0290260665817017E-2</x:v>
      </x:c>
      <x:c r="L47" s="1">
        <x:v>2.6498144498238099</x:v>
      </x:c>
      <x:c r="M47" s="1">
        <x:f t="shared" si="21"/>
        <x:v>2.7432897824090396</x:v>
      </x:c>
      <x:c r="N47" s="1">
        <x:v>3052.9681859509601</x:v>
      </x:c>
      <x:c r="O47" s="1">
        <x:v>1166.65095986038</x:v>
      </x:c>
      <x:c r="P47" s="1">
        <x:f t="shared" si="22"/>
        <x:v>4.1149346736135595</x:v>
      </x:c>
      <x:c r="Q47" s="1">
        <x:f t="shared" si="23"/>
        <x:v>11.288458245404755</x:v>
      </x:c>
      <x:c r="R47" s="1">
        <x:f t="shared" si="24"/>
        <x:v>0.17688283690200277</x:v>
      </x:c>
      <x:c r="S47" s="1">
        <x:f t="shared" si="25"/>
        <x:v>4.578064694200127E-2</x:v>
      </x:c>
      <x:c r="T47" s="1">
        <x:f t="shared" si="26"/>
        <x:v>8.0851828023677685E-2</x:v>
      </x:c>
      <x:c r="U47" s="1">
        <x:f t="shared" si="27"/>
        <x:v>1.0446261437160882E-2</x:v>
      </x:c>
      <x:c r="Y47" s="1"/>
      <x:c r="Z47" s="1"/>
      <x:c r="AA47" s="1"/>
      <x:c r="AC47" s="1"/>
      <x:c r="AD47" s="1">
        <x:v>3000</x:v>
      </x:c>
      <x:c r="AE47" s="1">
        <x:v>0</x:v>
      </x:c>
      <x:c r="AF47" s="1">
        <x:v>60</x:v>
      </x:c>
      <x:c r="AG47" s="1">
        <x:v>314.15926535897898</x:v>
      </x:c>
      <x:c r="AH47" s="1">
        <x:v>11.3304080704818</x:v>
      </x:c>
      <x:c r="AI47" s="1">
        <x:v>1.0923327140980999E-2</x:v>
      </x:c>
      <x:c r="AJ47" s="1">
        <x:v>1.0923327140980999E-2</x:v>
      </x:c>
      <x:c r="AK47" s="1">
        <x:v>7.3903068750050399E-2</x:v>
      </x:c>
      <x:c r="AL47" s="1">
        <x:v>7.3903068750050399E-2</x:v>
      </x:c>
      <x:c r="AM47" s="1">
        <x:v>0</x:v>
      </x:c>
      <x:c r="AN47" s="1">
        <x:v>0</x:v>
      </x:c>
      <x:c r="AO47" s="1">
        <x:v>0</x:v>
      </x:c>
      <x:c r="AP47" s="1">
        <x:v>9</x:v>
      </x:c>
      <x:c r="AQ47" s="1" t="b">
        <x:v>1</x:v>
      </x:c>
      <x:c r="AR47" s="1">
        <x:v>-18.024494185672101</x:v>
      </x:c>
      <x:c r="AS47" s="1">
        <x:v>5.9041542766600603</x:v>
      </x:c>
      <x:c r="AT47">
        <x:f t="shared" si="12"/>
        <x:v>8.4672921567578205E-2</x:v>
      </x:c>
      <x:c r="AU47">
        <x:f t="shared" si="13"/>
        <x:v>0</x:v>
      </x:c>
    </x:row>
    <x:row r="48">
      <x:c r="A48" s="1">
        <x:v>1.9957038147189601</x:v>
      </x:c>
      <x:c r="B48" s="1">
        <x:f t="shared" si="14"/>
        <x:v>2.0661046225320772</x:v>
      </x:c>
      <x:c r="C48" s="1">
        <x:v>2981.50396437872</x:v>
      </x:c>
      <x:c r="D48" s="1">
        <x:v>1121.42180094786</x:v>
      </x:c>
      <x:c r="E48" s="1">
        <x:f t="shared" si="15"/>
        <x:v>3.099156933798116</x:v>
      </x:c>
      <x:c r="F48" s="1">
        <x:f t="shared" si="16"/>
        <x:v>6.4031824668726252</x:v>
      </x:c>
      <x:c r="G48" s="1">
        <x:f t="shared" si="17"/>
        <x:v>0.13641219774705426</x:v>
      </x:c>
      <x:c r="H48" s="1">
        <x:f t="shared" si="18"/>
        <x:v>3.5306074761228816E-2</x:v>
      </x:c>
      <x:c r="I48" s="1">
        <x:f t="shared" si="19"/>
        <x:v>8.136489073767994E-2</x:v>
      </x:c>
      <x:c r="J48" s="1">
        <x:f t="shared" si="20"/>
        <x:v>1.0512550442309379E-2</x:v>
      </x:c>
      <x:c r="L48" s="1">
        <x:v>1.9846947006557201</x:v>
      </x:c>
      <x:c r="M48" s="1">
        <x:f t="shared" si="21"/>
        <x:v>2.0547071489749871</x:v>
      </x:c>
      <x:c r="N48" s="1">
        <x:v>3067.9267153532601</x:v>
      </x:c>
      <x:c r="O48" s="1">
        <x:v>1161.9825708061001</x:v>
      </x:c>
      <x:c r="P48" s="1">
        <x:f t="shared" si="22"/>
        <x:v>3.0820607234624804</x:v>
      </x:c>
      <x:c r="Q48" s="1">
        <x:f t="shared" si="23"/>
        <x:v>6.3327322020733803</x:v>
      </x:c>
      <x:c r="R48" s="1">
        <x:f t="shared" si="24"/>
        <x:v>0.13183819195921551</x:v>
      </x:c>
      <x:c r="S48" s="1">
        <x:f t="shared" si="25"/>
        <x:v>3.4122234950926984E-2</x:v>
      </x:c>
      <x:c r="T48" s="1">
        <x:f t="shared" si="26"/>
        <x:v>7.9732970512685714E-2</x:v>
      </x:c>
      <x:c r="U48" s="1">
        <x:f t="shared" si="27"/>
        <x:v>1.0301702206325305E-2</x:v>
      </x:c>
      <x:c r="Y48" s="1"/>
      <x:c r="Z48" s="1"/>
      <x:c r="AA48" s="1"/>
      <x:c r="AC48" s="1"/>
      <x:c r="AD48" s="1">
        <x:v>3000</x:v>
      </x:c>
      <x:c r="AE48" s="1">
        <x:v>0.67800000000000005</x:v>
      </x:c>
      <x:c r="AF48" s="1">
        <x:v>60</x:v>
      </x:c>
      <x:c r="AG48" s="1">
        <x:v>314.15926535897898</x:v>
      </x:c>
      <x:c r="AH48" s="1">
        <x:v>10.980197691249201</x:v>
      </x:c>
      <x:c r="AI48" s="1">
        <x:v>1.05856991829473E-2</x:v>
      </x:c>
      <x:c r="AJ48" s="1">
        <x:v>1.05856991829473E-2</x:v>
      </x:c>
      <x:c r="AK48" s="1">
        <x:v>7.5911796727640105E-2</x:v>
      </x:c>
      <x:c r="AL48" s="1">
        <x:v>6.8831281542843306E-2</x:v>
      </x:c>
      <x:c r="AM48" s="1">
        <x:v>1.2</x:v>
      </x:c>
      <x:c r="AN48" s="1">
        <x:v>7.0805151847968201E-3</x:v>
      </x:c>
      <x:c r="AO48" s="1">
        <x:v>1.2263812043831E-2</x:v>
      </x:c>
      <x:c r="AP48" s="1">
        <x:v>11</x:v>
      </x:c>
      <x:c r="AQ48" s="1" t="b">
        <x:v>1</x:v>
      </x:c>
      <x:c r="AR48" s="1">
        <x:v>-22.817217002701501</x:v>
      </x:c>
      <x:c r="AS48" s="1">
        <x:v>10.1040162532308</x:v>
      </x:c>
      <x:c r="AT48">
        <x:f t="shared" si="12"/>
        <x:v>8.2055775231059933E-2</x:v>
      </x:c>
      <x:c r="AU48">
        <x:f t="shared" si="13"/>
        <x:v>4.4488188976377963E-2</x:v>
      </x:c>
    </x:row>
    <x:row r="49">
      <x:c r="A49" s="1">
        <x:v>1.32461142229537</x:v>
      </x:c>
      <x:c r="B49" s="1">
        <x:f t="shared" si="14"/>
        <x:v>1.3713386538015182</x:v>
      </x:c>
      <x:c r="C49" s="1">
        <x:v>3007.2345703125002</x:v>
      </x:c>
      <x:c r="D49" s="1">
        <x:v>1126.3420365535201</x:v>
      </x:c>
      <x:c r="E49" s="1">
        <x:f t="shared" si="15"/>
        <x:v>2.0570079807022772</x:v>
      </x:c>
      <x:c r="F49" s="1">
        <x:f t="shared" si="16"/>
        <x:v>2.8208545551152406</x:v>
      </x:c>
      <x:c r="G49" s="1">
        <x:f t="shared" si="17"/>
        <x:v>8.9766377575888484E-2</x:v>
      </x:c>
      <x:c r="H49" s="1">
        <x:f t="shared" si="18"/>
        <x:v>2.3233248126503785E-2</x:v>
      </x:c>
      <x:c r="I49" s="1">
        <x:f t="shared" si="19"/>
        <x:v>8.0343052217639807E-2</x:v>
      </x:c>
      <x:c r="J49" s="1">
        <x:f t="shared" si="20"/>
        <x:v>1.038052631140445E-2</x:v>
      </x:c>
      <x:c r="L49" s="1">
        <x:v>1.3317981706009201</x:v>
      </x:c>
      <x:c r="M49" s="1">
        <x:f t="shared" si="21"/>
        <x:v>1.3787789231368566</x:v>
      </x:c>
      <x:c r="N49" s="1">
        <x:v>3076.3535267223001</x:v>
      </x:c>
      <x:c r="O49" s="1">
        <x:v>1169.9977528089801</x:v>
      </x:c>
      <x:c r="P49" s="1">
        <x:f t="shared" si="22"/>
        <x:v>2.068168384705285</x:v>
      </x:c>
      <x:c r="Q49" s="1">
        <x:f t="shared" si="23"/>
        <x:v>2.8515469783296448</x:v>
      </x:c>
      <x:c r="R49" s="1">
        <x:f t="shared" si="24"/>
        <x:v>8.822561239735506E-2</x:v>
      </x:c>
      <x:c r="S49" s="1">
        <x:f t="shared" si="25"/>
        <x:v>2.2834468754268551E-2</x:v>
      </x:c>
      <x:c r="T49" s="1">
        <x:f t="shared" si="26"/>
        <x:v>7.9864245493080493E-2</x:v>
      </x:c>
      <x:c r="U49" s="1">
        <x:f t="shared" si="27"/>
        <x:v>1.0318663267056801E-2</x:v>
      </x:c>
      <x:c r="Y49" s="1"/>
      <x:c r="Z49" s="1"/>
      <x:c r="AA49" s="1"/>
      <x:c r="AC49" s="1"/>
      <x:c r="AD49" s="1">
        <x:v>3000</x:v>
      </x:c>
      <x:c r="AE49" s="1">
        <x:v>1.3560000000000001</x:v>
      </x:c>
      <x:c r="AF49" s="1">
        <x:v>60</x:v>
      </x:c>
      <x:c r="AG49" s="1">
        <x:v>314.15926535897898</x:v>
      </x:c>
      <x:c r="AH49" s="1">
        <x:v>10.771518903369</x:v>
      </x:c>
      <x:c r="AI49" s="1">
        <x:v>1.0384517843915199E-2</x:v>
      </x:c>
      <x:c r="AJ49" s="1">
        <x:v>1.0384517843915199E-2</x:v>
      </x:c>
      <x:c r="AK49" s="1">
        <x:v>7.7806562072437399E-2</x:v>
      </x:c>
      <x:c r="AL49" s="1">
        <x:v>6.3645531702843802E-2</x:v>
      </x:c>
      <x:c r="AM49" s="1">
        <x:v>1.2</x:v>
      </x:c>
      <x:c r="AN49" s="1">
        <x:v>1.41610303695936E-2</x:v>
      </x:c>
      <x:c r="AO49" s="1">
        <x:v>2.4527624087662001E-2</x:v>
      </x:c>
      <x:c r="AP49" s="1">
        <x:v>9</x:v>
      </x:c>
      <x:c r="AQ49" s="1" t="b">
        <x:v>1</x:v>
      </x:c>
      <x:c r="AR49" s="1">
        <x:v>-24.642176414704799</x:v>
      </x:c>
      <x:c r="AS49" s="1">
        <x:v>9.4567064864195594</x:v>
      </x:c>
      <x:c r="AT49">
        <x:f t="shared" si="12"/>
        <x:v>8.0496304245629424E-2</x:v>
      </x:c>
      <x:c r="AU49">
        <x:f t="shared" si="13"/>
        <x:v>8.8976377952755925E-2</x:v>
      </x:c>
    </x:row>
    <x:row r="50">
      <x:c r="A50" s="1">
        <x:v>0.59348851678394998</x:v>
      </x:c>
      <x:c r="B50" s="1">
        <x:f t="shared" si="14"/>
        <x:v>0.6144245247733332</x:v>
      </x:c>
      <x:c r="C50" s="1">
        <x:v>3003.29190673828</x:v>
      </x:c>
      <x:c r="D50" s="1">
        <x:v>1125.45522388059</x:v>
      </x:c>
      <x:c r="E50" s="1">
        <x:f t="shared" si="15"/>
        <x:v>0.92163678715999975</x:v>
      </x:c>
      <x:c r="F50" s="1">
        <x:f t="shared" si="16"/>
        <x:v>0.56627624496440454</x:v>
      </x:c>
      <x:c r="G50" s="1">
        <x:f t="shared" si="17"/>
        <x:v>4.0272378895199384E-2</x:v>
      </x:c>
      <x:c r="H50" s="1">
        <x:f t="shared" si="18"/>
        <x:v>1.0423258649662414E-2</x:v>
      </x:c>
      <x:c r="I50" s="1">
        <x:f t="shared" si="19"/>
        <x:v>8.0488256315365755E-2</x:v>
      </x:c>
      <x:c r="J50" s="1">
        <x:f t="shared" si="20"/>
        <x:v>1.0399287049456632E-2</x:v>
      </x:c>
      <x:c r="L50" s="1">
        <x:v>0.66637589637335204</x:v>
      </x:c>
      <x:c r="M50" s="1">
        <x:f t="shared" si="21"/>
        <x:v>0.68988309271474924</x:v>
      </x:c>
      <x:c r="N50" s="1">
        <x:v>3076.8335597825999</x:v>
      </x:c>
      <x:c r="O50" s="1">
        <x:v>1174.0216450216401</x:v>
      </x:c>
      <x:c r="P50" s="1">
        <x:f t="shared" si="22"/>
        <x:v>1.0348246390721239</x:v>
      </x:c>
      <x:c r="Q50" s="1">
        <x:f t="shared" si="23"/>
        <x:v>0.713908022420501</x:v>
      </x:c>
      <x:c r="R50" s="1">
        <x:f t="shared" si="24"/>
        <x:v>4.4137505578303267E-2</x:v>
      </x:c>
      <x:c r="S50" s="1">
        <x:f t="shared" si="25"/>
        <x:v>1.1423627046983634E-2</x:v>
      </x:c>
      <x:c r="T50" s="1">
        <x:f t="shared" si="26"/>
        <x:v>8.0124137180669297E-2</x:v>
      </x:c>
      <x:c r="U50" s="1">
        <x:f t="shared" si="27"/>
        <x:v>1.0352241932873762E-2</x:v>
      </x:c>
      <x:c r="Y50" s="1"/>
      <x:c r="Z50" s="1"/>
      <x:c r="AA50" s="1"/>
      <x:c r="AC50" s="1"/>
      <x:c r="AD50" s="1">
        <x:v>3000</x:v>
      </x:c>
      <x:c r="AE50" s="1">
        <x:v>2.0339999999999998</x:v>
      </x:c>
      <x:c r="AF50" s="1">
        <x:v>60</x:v>
      </x:c>
      <x:c r="AG50" s="1">
        <x:v>314.15926535897898</x:v>
      </x:c>
      <x:c r="AH50" s="1">
        <x:v>10.5960871621536</x:v>
      </x:c>
      <x:c r="AI50" s="1">
        <x:v>1.02153890457037E-2</x:v>
      </x:c>
      <x:c r="AJ50" s="1">
        <x:v>1.02153890457037E-2</x:v>
      </x:c>
      <x:c r="AK50" s="1">
        <x:v>7.9530145886313602E-2</x:v>
      </x:c>
      <x:c r="AL50" s="1">
        <x:v>5.8288600331923103E-2</x:v>
      </x:c>
      <x:c r="AM50" s="1">
        <x:v>1.2</x:v>
      </x:c>
      <x:c r="AN50" s="1">
        <x:v>2.1241545554390399E-2</x:v>
      </x:c>
      <x:c r="AO50" s="1">
        <x:v>3.6791436131493098E-2</x:v>
      </x:c>
      <x:c r="AP50" s="1">
        <x:v>7</x:v>
      </x:c>
      <x:c r="AQ50" s="1" t="b">
        <x:v>1</x:v>
      </x:c>
      <x:c r="AR50" s="1">
        <x:v>-27.237903116863599</x:v>
      </x:c>
      <x:c r="AS50" s="1">
        <x:v>8.8817131689571607</x:v>
      </x:c>
      <x:c r="AT50">
        <x:f t="shared" si="12"/>
        <x:v>7.9185290734731767E-2</x:v>
      </x:c>
      <x:c r="AU50">
        <x:f t="shared" si="13"/>
        <x:v>0.13346456692913383</x:v>
      </x:c>
    </x:row>
    <x:row r="51">
      <x:c r="A51" s="1">
        <x:v>6.9862724512174498E-2</x:v>
      </x:c>
      <x:c r="B51" s="1">
        <x:f t="shared" si="14"/>
        <x:v>7.2327214586005897E-2</x:v>
      </x:c>
      <x:c r="C51" s="1">
        <x:v>3008.0951199001702</x:v>
      </x:c>
      <x:c r="D51" s="1">
        <x:v>1123.75741239892</x:v>
      </x:c>
      <x:c r="E51" s="1">
        <x:f t="shared" si="15"/>
        <x:v>0.10849082187900885</x:v>
      </x:c>
      <x:c r="F51" s="1">
        <x:f t="shared" si="16"/>
        <x:v>7.8468389546552161E-3</x:v>
      </x:c>
      <x:c r="G51" s="1">
        <x:f t="shared" si="17"/>
        <x:v>4.7331085284992918E-3</x:v>
      </x:c>
      <x:c r="H51" s="1">
        <x:f t="shared" si="18"/>
        <x:v>1.2250186297127837E-3</x:v>
      </x:c>
      <x:c r="I51" s="1">
        <x:f t="shared" si="19"/>
        <x:v>8.0105694904442554E-2</x:v>
      </x:c>
      <x:c r="J51" s="1">
        <x:f t="shared" si="20"/>
        <x:v>1.0349859143966324E-2</x:v>
      </x:c>
      <x:c r="L51" s="1">
        <x:v>6.9696569486575904E-2</x:v>
      </x:c>
      <x:c r="M51" s="1">
        <x:f t="shared" si="21"/>
        <x:v>7.2155198245748245E-2</x:v>
      </x:c>
      <x:c r="N51" s="1">
        <x:v>3076.6545003255201</x:v>
      </x:c>
      <x:c r="O51" s="1">
        <x:v>1180.5254691688999</x:v>
      </x:c>
      <x:c r="P51" s="1">
        <x:f t="shared" si="22"/>
        <x:v>0.10823279736862237</x:v>
      </x:c>
      <x:c r="Q51" s="1">
        <x:f t="shared" si="23"/>
        <x:v>7.8095589508248454E-3</x:v>
      </x:c>
      <x:c r="R51" s="1">
        <x:f t="shared" si="24"/>
        <x:v>4.6166312079341703E-3</x:v>
      </x:c>
      <x:c r="S51" s="1">
        <x:f t="shared" si="25"/>
        <x:v>1.194872080828019E-3</x:v>
      </x:c>
      <x:c r="T51" s="1">
        <x:f t="shared" si="26"/>
        <x:v>8.0593856024884669E-2</x:v>
      </x:c>
      <x:c r="U51" s="1">
        <x:f t="shared" si="27"/>
        <x:v>1.0412930800009802E-2</x:v>
      </x:c>
      <x:c r="Y51" s="1"/>
      <x:c r="Z51" s="1"/>
      <x:c r="AA51" s="1"/>
      <x:c r="AC51" s="1"/>
      <x:c r="AD51" s="1">
        <x:v>3000</x:v>
      </x:c>
      <x:c r="AE51" s="1">
        <x:v>2.7120000000000002</x:v>
      </x:c>
      <x:c r="AF51" s="1">
        <x:v>60</x:v>
      </x:c>
      <x:c r="AG51" s="1">
        <x:v>314.15926535897898</x:v>
      </x:c>
      <x:c r="AH51" s="1">
        <x:v>10.424892311205401</x:v>
      </x:c>
      <x:c r="AI51" s="1">
        <x:v>1.00503449140073E-2</x:v>
      </x:c>
      <x:c r="AJ51" s="1">
        <x:v>1.00503449140073E-2</x:v>
      </x:c>
      <x:c r="AK51" s="1">
        <x:v>8.1262581491435101E-2</x:v>
      </x:c>
      <x:c r="AL51" s="1">
        <x:v>5.2940520752247797E-2</x:v>
      </x:c>
      <x:c r="AM51" s="1">
        <x:v>1.2</x:v>
      </x:c>
      <x:c r="AN51" s="1">
        <x:v>2.8322060739187201E-2</x:v>
      </x:c>
      <x:c r="AO51" s="1">
        <x:v>4.9055248175324098E-2</x:v>
      </x:c>
      <x:c r="AP51" s="1">
        <x:v>5</x:v>
      </x:c>
      <x:c r="AQ51" s="1" t="b">
        <x:v>1</x:v>
      </x:c>
      <x:c r="AR51" s="1">
        <x:v>-30.513747412643301</x:v>
      </x:c>
      <x:c r="AS51" s="1">
        <x:v>8.3779226874574597</x:v>
      </x:c>
      <x:c r="AT51">
        <x:f t="shared" si="12"/>
        <x:v>7.7905939797242293E-2</x:v>
      </x:c>
      <x:c r="AU51">
        <x:f t="shared" si="13"/>
        <x:v>0.17795275590551185</x:v>
      </x:c>
    </x:row>
    <x:row r="52">
      <x:c r="A52" s="1">
        <x:v>-8.9615668364475803E-3</x:v>
      </x:c>
      <x:c r="B52" s="1">
        <x:f t="shared" si="14"/>
        <x:v>-9.2776966849271222E-3</x:v>
      </x:c>
      <x:c r="C52" s="1">
        <x:v>0</x:v>
      </x:c>
      <x:c r="D52" s="1">
        <x:v>57.989144316730503</x:v>
      </x:c>
      <x:c r="E52" s="1">
        <x:f t="shared" si="15"/>
        <x:v>-1.3916545027390682E-2</x:v>
      </x:c>
      <x:c r="F52" s="1" t="n">
        <x:f>B52*B52*1.5</x:f>
        <x:v>0.00012911348366626156</x:v>
      </x:c>
      <x:c r="G52" s="1" t="e">
        <x:f>E52/(C52/60)/0.4572</x:f>
        <x:v>#DIV/0!</x:v>
      </x:c>
      <x:c r="H52" s="1" t="e">
        <x:f t="shared" si="18"/>
        <x:v>#DIV/0!</x:v>
      </x:c>
      <x:c r="I52" s="1" t="e">
        <x:f t="shared" ref="I52" si="28">(D52-$D$30)/1.205/(C52/60)^2/0.4572^4/1000</x:f>
        <x:v>#DIV/0!</x:v>
      </x:c>
      <x:c r="J52" s="1" t="e">
        <x:f t="shared" si="20"/>
        <x:v>#DIV/0!</x:v>
      </x:c>
      <x:c r="L52" s="1">
        <x:v>-1.37248453539328E-3</x:v>
      </x:c>
      <x:c r="M52" s="1">
        <x:f t="shared" si="21"/>
        <x:v>-1.4209005474738624E-3</x:v>
      </x:c>
      <x:c r="N52" s="1">
        <x:v>0</x:v>
      </x:c>
      <x:c r="O52" s="1">
        <x:v>57.702637889688198</x:v>
      </x:c>
      <x:c r="P52" s="1">
        <x:f t="shared" si="22"/>
        <x:v>-2.1313508212107935E-3</x:v>
      </x:c>
      <x:c r="Q52" s="1" t="n">
        <x:f>M52*M52*1.5</x:f>
        <x:v>0.0000030284375487172827</x:v>
      </x:c>
      <x:c r="R52" s="1" t="e">
        <x:f>P52/(N52/60)/0.4572</x:f>
        <x:v>#DIV/0!</x:v>
      </x:c>
      <x:c r="S52" s="1" t="e">
        <x:f t="shared" si="25"/>
        <x:v>#DIV/0!</x:v>
      </x:c>
      <x:c r="T52" s="1" t="e">
        <x:f t="shared" ref="T52" si="29">(O52-$D$30)/1.205/(N52/60)^2/0.4572^4/1000</x:f>
        <x:v>#DIV/0!</x:v>
      </x:c>
      <x:c r="U52" s="1" t="e">
        <x:f t="shared" si="27"/>
        <x:v>#DIV/0!</x:v>
      </x:c>
      <x:c r="Y52" s="1"/>
      <x:c r="Z52" s="1"/>
      <x:c r="AA52" s="1"/>
      <x:c r="AD52" s="1">
        <x:v>3000</x:v>
      </x:c>
      <x:c r="AE52" s="1">
        <x:v>3.39</x:v>
      </x:c>
      <x:c r="AF52" s="1">
        <x:v>60</x:v>
      </x:c>
      <x:c r="AG52" s="1">
        <x:v>314.15926535897898</x:v>
      </x:c>
      <x:c r="AH52" s="1">
        <x:v>10.2391892814101</x:v>
      </x:c>
      <x:c r="AI52" s="1">
        <x:v>9.8713138559105903E-3</x:v>
      </x:c>
      <x:c r="AJ52" s="1">
        <x:v>9.8713138559105903E-3</x:v>
      </x:c>
      <x:c r="AK52" s="1">
        <x:v>8.3168728822184498E-2</x:v>
      </x:c>
      <x:c r="AL52" s="1">
        <x:v>4.7766152898200402E-2</x:v>
      </x:c>
      <x:c r="AM52" s="1">
        <x:v>1.2</x:v>
      </x:c>
      <x:c r="AN52" s="1">
        <x:v>3.5402575923984103E-2</x:v>
      </x:c>
      <x:c r="AO52" s="1">
        <x:v>6.1319060219155098E-2</x:v>
      </x:c>
      <x:c r="AP52" s="1">
        <x:v>4</x:v>
      </x:c>
      <x:c r="AQ52" s="1" t="b">
        <x:v>1</x:v>
      </x:c>
      <x:c r="AR52" s="1">
        <x:v>-34.467721661279903</x:v>
      </x:c>
      <x:c r="AS52" s="1">
        <x:v>7.9725912526248699</x:v>
      </x:c>
      <x:c r="AT52">
        <x:f t="shared" si="12"/>
        <x:v>7.6518168237832432E-2</x:v>
      </x:c>
      <x:c r="AU52">
        <x:f t="shared" si="13"/>
        <x:v>0.22244094488188976</x:v>
      </x:c>
    </x:row>
    <x:row r="53">
      <x:c r="AD53" s="1">
        <x:v>3000</x:v>
      </x:c>
      <x:c r="AE53" s="1">
        <x:v>4.0679999999999996</x:v>
      </x:c>
      <x:c r="AF53" s="1">
        <x:v>60</x:v>
      </x:c>
      <x:c r="AG53" s="1">
        <x:v>314.15926535897898</x:v>
      </x:c>
      <x:c r="AH53" s="1">
        <x:v>10.0262290258066</x:v>
      </x:c>
      <x:c r="AI53" s="1">
        <x:v>9.6660048744941392E-3</x:v>
      </x:c>
      <x:c r="AJ53" s="1">
        <x:v>9.6660048744941392E-3</x:v>
      </x:c>
      <x:c r="AK53" s="1">
        <x:v>8.5366049021396107E-2</x:v>
      </x:c>
      <x:c r="AL53" s="1">
        <x:v>4.2882957912615198E-2</x:v>
      </x:c>
      <x:c r="AM53" s="1">
        <x:v>1.2</x:v>
      </x:c>
      <x:c r="AN53" s="1">
        <x:v>4.2483091108780902E-2</x:v>
      </x:c>
      <x:c r="AO53" s="1">
        <x:v>7.3582872262986196E-2</x:v>
      </x:c>
      <x:c r="AP53" s="1">
        <x:v>6</x:v>
      </x:c>
      <x:c r="AQ53" s="1" t="b">
        <x:v>1</x:v>
      </x:c>
      <x:c r="AR53" s="1">
        <x:v>-39.144690384296098</x:v>
      </x:c>
      <x:c r="AS53" s="1">
        <x:v>7.6405032742331898</x:v>
      </x:c>
      <x:c r="AT53">
        <x:f t="shared" si="12"/>
        <x:v>7.4926701548587674E-2</x:v>
      </x:c>
      <x:c r="AU53">
        <x:f t="shared" si="13"/>
        <x:v>0.26692913385826766</x:v>
      </x:c>
    </x:row>
    <x:row r="54">
      <x:c r="AD54" s="1">
        <x:v>3000</x:v>
      </x:c>
      <x:c r="AE54" s="1">
        <x:v>4.7460000000000004</x:v>
      </x:c>
      <x:c r="AF54" s="1">
        <x:v>60</x:v>
      </x:c>
      <x:c r="AG54" s="1">
        <x:v>314.15926535897898</x:v>
      </x:c>
      <x:c r="AH54" s="1">
        <x:v>9.7775542800239794</x:v>
      </x:c>
      <x:c r="AI54" s="1">
        <x:v>9.4262645594951292E-3</x:v>
      </x:c>
      <x:c r="AJ54" s="1">
        <x:v>9.4262645594951292E-3</x:v>
      </x:c>
      <x:c r="AK54" s="1">
        <x:v>8.7919323074757499E-2</x:v>
      </x:c>
      <x:c r="AL54" s="1">
        <x:v>3.8355716781179799E-2</x:v>
      </x:c>
      <x:c r="AM54" s="1">
        <x:v>1.2</x:v>
      </x:c>
      <x:c r="AN54" s="1">
        <x:v>4.95636062935777E-2</x:v>
      </x:c>
      <x:c r="AO54" s="1">
        <x:v>8.5846684306817203E-2</x:v>
      </x:c>
      <x:c r="AP54" s="1">
        <x:v>7</x:v>
      </x:c>
      <x:c r="AQ54" s="1" t="b">
        <x:v>1</x:v>
      </x:c>
      <x:c r="AR54" s="1">
        <x:v>-44.556807629606801</x:v>
      </x:c>
      <x:c r="AS54" s="1">
        <x:v>7.3610451964007604</x:v>
      </x:c>
      <x:c r="AT54">
        <x:f t="shared" si="12"/>
        <x:v>7.3068338009118078E-2</x:v>
      </x:c>
      <x:c r="AU54">
        <x:f t="shared" si="13"/>
        <x:v>0.31141732283464568</x:v>
      </x:c>
    </x:row>
    <x:row r="55">
      <x:c r="AD55" s="1">
        <x:v>3000</x:v>
      </x:c>
      <x:c r="AE55" s="1">
        <x:v>5.4240000000000004</x:v>
      </x:c>
      <x:c r="AF55" s="1">
        <x:v>60</x:v>
      </x:c>
      <x:c r="AG55" s="1">
        <x:v>314.15926535897898</x:v>
      </x:c>
      <x:c r="AH55" s="1">
        <x:v>9.4845059385294697</x:v>
      </x:c>
      <x:c r="AI55" s="1">
        <x:v>9.1437449112747003E-3</x:v>
      </x:c>
      <x:c r="AJ55" s="1">
        <x:v>9.1437449112747003E-3</x:v>
      </x:c>
      <x:c r="AK55" s="1">
        <x:v>9.0837828596199904E-2</x:v>
      </x:c>
      <x:c r="AL55" s="1">
        <x:v>3.4193707117825302E-2</x:v>
      </x:c>
      <x:c r="AM55" s="1">
        <x:v>1.2</x:v>
      </x:c>
      <x:c r="AN55" s="1">
        <x:v>5.6644121478374498E-2</x:v>
      </x:c>
      <x:c r="AO55" s="1">
        <x:v>9.8110496350648196E-2</x:v>
      </x:c>
      <x:c r="AP55" s="1">
        <x:v>8</x:v>
      </x:c>
      <x:c r="AQ55" s="1" t="b">
        <x:v>1</x:v>
      </x:c>
      <x:c r="AR55" s="1">
        <x:v>-50.640882345430498</x:v>
      </x:c>
      <x:c r="AS55" s="1">
        <x:v>7.1221514752503996</x:v>
      </x:c>
      <x:c r="AT55">
        <x:f t="shared" si="12"/>
        <x:v>7.0878367526102798E-2</x:v>
      </x:c>
      <x:c r="AU55">
        <x:f t="shared" si="13"/>
        <x:v>0.3559055118110237</x:v>
      </x:c>
    </x:row>
    <x:row r="56">
      <x:c r="A56" s="3" t="s">
        <x:v>32</x:v>
      </x:c>
      <x:c r="B56" s="3"/>
      <x:c r="C56" s="3"/>
      <x:c r="K56" s="3" t="s">
        <x:v>33</x:v>
      </x:c>
      <x:c r="L56" s="3"/>
      <x:c r="M56" s="3"/>
      <x:c r="W56" s="3"/>
      <x:c r="X56" s="3"/>
      <x:c r="Y56" s="3"/>
      <x:c r="AA56" s="3"/>
      <x:c r="AB56" s="3"/>
      <x:c r="AC56" s="3"/>
      <x:c r="AD56" s="1">
        <x:v>3000</x:v>
      </x:c>
      <x:c r="AE56" s="1">
        <x:v>6.1020000000000003</x:v>
      </x:c>
      <x:c r="AF56" s="1">
        <x:v>60</x:v>
      </x:c>
      <x:c r="AG56" s="1">
        <x:v>314.15926535897898</x:v>
      </x:c>
      <x:c r="AH56" s="1">
        <x:v>9.14760268667834</x:v>
      </x:c>
      <x:c r="AI56" s="1">
        <x:v>8.8189459797677495E-3</x:v>
      </x:c>
      <x:c r="AJ56" s="1">
        <x:v>8.8189459797677495E-3</x:v>
      </x:c>
      <x:c r="AK56" s="1">
        <x:v>9.4122907059788194E-2</x:v>
      </x:c>
      <x:c r="AL56" s="1">
        <x:v>3.03982703966168E-2</x:v>
      </x:c>
      <x:c r="AM56" s="1">
        <x:v>1.2</x:v>
      </x:c>
      <x:c r="AN56" s="1">
        <x:v>6.3724636663171394E-2</x:v>
      </x:c>
      <x:c r="AO56" s="1">
        <x:v>0.110374308394479</x:v>
      </x:c>
      <x:c r="AP56" s="1">
        <x:v>9</x:v>
      </x:c>
      <x:c r="AQ56" s="1" t="b">
        <x:v>1</x:v>
      </x:c>
      <x:c r="AR56" s="1">
        <x:v>-57.337287249234201</x:v>
      </x:c>
      <x:c r="AS56" s="1">
        <x:v>6.9026790990645397</x:v>
      </x:c>
      <x:c r="AT56">
        <x:f t="shared" si="12"/>
        <x:v>6.8360666271002291E-2</x:v>
      </x:c>
      <x:c r="AU56">
        <x:f t="shared" si="13"/>
        <x:v>0.40039370078740166</x:v>
      </x:c>
    </x:row>
    <x:row r="57">
      <x:c r="A57" s="1" t="s">
        <x:v>3</x:v>
      </x:c>
      <x:c r="B57" s="1" t="s">
        <x:v>4</x:v>
      </x:c>
      <x:c r="C57" s="1" t="s">
        <x:v>5</x:v>
      </x:c>
      <x:c r="D57" s="1" t="s">
        <x:v>6</x:v>
      </x:c>
      <x:c r="E57" s="1" t="s">
        <x:v>7</x:v>
      </x:c>
      <x:c r="F57" s="1" t="s">
        <x:v>8</x:v>
      </x:c>
      <x:c r="G57" s="1" t="s">
        <x:v>9</x:v>
      </x:c>
      <x:c r="H57" s="1" t="s">
        <x:v>10</x:v>
      </x:c>
      <x:c r="I57" s="1" t="s">
        <x:v>11</x:v>
      </x:c>
      <x:c r="K57" s="1" t="s">
        <x:v>3</x:v>
      </x:c>
      <x:c r="L57" s="1" t="s">
        <x:v>4</x:v>
      </x:c>
      <x:c r="M57" s="1" t="s">
        <x:v>5</x:v>
      </x:c>
      <x:c r="N57" s="1" t="s">
        <x:v>6</x:v>
      </x:c>
      <x:c r="O57" s="1" t="s">
        <x:v>7</x:v>
      </x:c>
      <x:c r="P57" s="1" t="s">
        <x:v>8</x:v>
      </x:c>
      <x:c r="Q57" s="1" t="s">
        <x:v>9</x:v>
      </x:c>
      <x:c r="R57" s="1" t="s">
        <x:v>10</x:v>
      </x:c>
      <x:c r="S57" s="1" t="s">
        <x:v>11</x:v>
      </x:c>
      <x:c r="W57" s="1"/>
      <x:c r="X57" s="1"/>
      <x:c r="Y57" s="1"/>
      <x:c r="AA57" s="1"/>
      <x:c r="AB57" s="1"/>
      <x:c r="AC57" s="1"/>
      <x:c r="AD57" s="1">
        <x:v>3000</x:v>
      </x:c>
      <x:c r="AE57" s="1">
        <x:v>6.78</x:v>
      </x:c>
      <x:c r="AF57" s="1">
        <x:v>60</x:v>
      </x:c>
      <x:c r="AG57" s="1">
        <x:v>314.15926535897898</x:v>
      </x:c>
      <x:c r="AH57" s="1">
        <x:v>8.7752470360961095</x:v>
      </x:c>
      <x:c r="AI57" s="1">
        <x:v>8.4599683896579292E-3</x:v>
      </x:c>
      <x:c r="AJ57" s="1">
        <x:v>8.4599683896579292E-3</x:v>
      </x:c>
      <x:c r="AK57" s="1">
        <x:v>9.7774903497955201E-2</x:v>
      </x:c>
      <x:c r="AL57" s="1">
        <x:v>2.6969751649986998E-2</x:v>
      </x:c>
      <x:c r="AM57" s="1">
        <x:v>1.2</x:v>
      </x:c>
      <x:c r="AN57" s="1">
        <x:v>7.0805151847968206E-2</x:v>
      </x:c>
      <x:c r="AO57" s="1">
        <x:v>0.12263812043831</x:v>
      </x:c>
      <x:c r="AP57" s="1">
        <x:v>9</x:v>
      </x:c>
      <x:c r="AQ57" s="1" t="b">
        <x:v>1</x:v>
      </x:c>
      <x:c r="AR57" s="1">
        <x:v>-64.378291989056095</x:v>
      </x:c>
      <x:c r="AS57" s="1">
        <x:v>6.6962099772428196</x:v>
      </x:c>
      <x:c r="AT57">
        <x:f t="shared" si="12"/>
        <x:v>6.5578026793159341E-2</x:v>
      </x:c>
      <x:c r="AU57">
        <x:f t="shared" si="13"/>
        <x:v>0.44488188976377951</x:v>
      </x:c>
    </x:row>
    <x:row r="58">
      <x:c r="A58" s="1">
        <x:v>-2.0337264299350202E-2</x:v>
      </x:c>
      <x:c r="B58" s="1">
        <x:v>0</x:v>
      </x:c>
      <x:c r="C58" s="1">
        <x:v>90.128847157016097</x:v>
      </x:c>
      <x:c r="D58" s="1" t="n">
        <x:f>-A58*1.5</x:f>
        <x:v>0.0305058964490253</x:v>
      </x:c>
      <x:c r="E58" s="1" t="n">
        <x:f>A58*A58*1.5</x:f>
        <x:v>0.0006204064787724364</x:v>
      </x:c>
      <x:c r="F58" s="1" t="e">
        <x:f>D58/(B58/60)/0.4572</x:f>
        <x:v>#DIV/0!</x:v>
      </x:c>
      <x:c r="G58" s="1" t="e">
        <x:f>D58*SIN(RADIANS(30))/(B58/60)/0.4572</x:f>
        <x:v>#DIV/0!</x:v>
      </x:c>
      <x:c r="H58" s="1" t="e">
        <x:f>(C58-$C$3)*9.8/1.205/(B58/60)^2/0.4572^4/1000</x:f>
        <x:v>#DIV/0!</x:v>
      </x:c>
      <x:c r="I58" s="1" t="e">
        <x:f>H58*4/(3.14^3)</x:f>
        <x:v>#DIV/0!</x:v>
      </x:c>
      <x:c r="K58" s="1">
        <x:v>-2.15443706889029E-2</x:v>
      </x:c>
      <x:c r="L58" s="1">
        <x:v>0</x:v>
      </x:c>
      <x:c r="M58" s="1">
        <x:v>91.844968268358997</x:v>
      </x:c>
      <x:c r="N58" s="1" t="n">
        <x:f>-K58*1.5</x:f>
        <x:v>0.03231655603335435</x:v>
      </x:c>
      <x:c r="O58" s="1" t="n">
        <x:f>K58*K58*1.5</x:f>
        <x:v>0.0006962398625712877</x:v>
      </x:c>
      <x:c r="P58" s="1" t="e">
        <x:f>N58/(L58/60)/0.4572</x:f>
        <x:v>#DIV/0!</x:v>
      </x:c>
      <x:c r="Q58" s="1" t="e">
        <x:f>N58*SIN(RADIANS(30))/(L58/60)/0.4572</x:f>
        <x:v>#DIV/0!</x:v>
      </x:c>
      <x:c r="R58" s="1" t="e">
        <x:f>(M58-$C$3)*9.8/1.205/(L58/60)^2/0.4572^4/1000</x:f>
        <x:v>#DIV/0!</x:v>
      </x:c>
      <x:c r="S58" s="1" t="e">
        <x:f>R58*4/(3.14^3)</x:f>
        <x:v>#DIV/0!</x:v>
      </x:c>
      <x:c r="W58" s="1"/>
      <x:c r="X58" s="1"/>
      <x:c r="Y58" s="1"/>
      <x:c r="AA58" s="1"/>
      <x:c r="AB58" s="1"/>
      <x:c r="AC58" s="1"/>
      <x:c r="AD58" s="1">
        <x:v>3000</x:v>
      </x:c>
      <x:c r="AE58" s="1">
        <x:v>0</x:v>
      </x:c>
      <x:c r="AF58" s="1">
        <x:v>75</x:v>
      </x:c>
      <x:c r="AG58" s="1">
        <x:v>314.15926535897898</x:v>
      </x:c>
      <x:c r="AH58" s="1">
        <x:v>11.3304080704818</x:v>
      </x:c>
      <x:c r="AI58" s="1">
        <x:v>1.0923327140980999E-2</x:v>
      </x:c>
      <x:c r="AJ58" s="1">
        <x:v>1.0923327140980999E-2</x:v>
      </x:c>
      <x:c r="AK58" s="1">
        <x:v>7.3903068750050399E-2</x:v>
      </x:c>
      <x:c r="AL58" s="1">
        <x:v>7.3903068750050399E-2</x:v>
      </x:c>
      <x:c r="AM58" s="1">
        <x:v>0</x:v>
      </x:c>
      <x:c r="AN58" s="1">
        <x:v>0</x:v>
      </x:c>
      <x:c r="AO58" s="1">
        <x:v>0</x:v>
      </x:c>
      <x:c r="AP58" s="1">
        <x:v>9</x:v>
      </x:c>
      <x:c r="AQ58" s="1" t="b">
        <x:v>1</x:v>
      </x:c>
      <x:c r="AR58" s="1">
        <x:v>-18.024494185672101</x:v>
      </x:c>
      <x:c r="AS58" s="1">
        <x:v>5.9041542766600603</x:v>
      </x:c>
      <x:c r="AT58">
        <x:f t="shared" si="12"/>
        <x:v>8.4672921567578205E-2</x:v>
      </x:c>
      <x:c r="AU58">
        <x:f t="shared" si="13"/>
        <x:v>0</x:v>
      </x:c>
    </x:row>
    <x:row r="59">
      <x:c r="A59" s="1">
        <x:v>-8.7648889941410096E-2</x:v>
      </x:c>
      <x:c r="B59" s="1">
        <x:v>3070.3093668619699</x:v>
      </x:c>
      <x:c r="C59" s="1">
        <x:v>1244.05555555555</x:v>
      </x:c>
      <x:c r="D59" s="1" t="n">
        <x:f t="shared" ref="D59:D80" si="30">-A59*1.5</x:f>
        <x:v>0.13147333491211516</x:v>
      </x:c>
      <x:c r="E59" s="1" t="n">
        <x:f t="shared" ref="E59:E79" si="31">A59*A59*1.5</x:f>
        <x:v>0.011523491861942129</x:v>
      </x:c>
      <x:c r="F59" s="1" t="n">
        <x:f t="shared" ref="F59:F79" si="32">D59/(B59/60)/0.4572</x:f>
        <x:v>0.005619537457242572</x:v>
      </x:c>
      <x:c r="G59" s="1" t="n">
        <x:f t="shared" ref="G59:G80" si="33">D59*SIN(RADIANS(30))/(B59/60)/0.4572</x:f>
        <x:v>0.0028097687286212855</x:v>
      </x:c>
      <x:c r="H59" s="1" t="n">
        <x:f t="shared" ref="H59:H79" si="34">(C59-$C$3)*9.8/1.205/(B59/60)^2/0.4572^4/1000</x:f>
        <x:v>0.08544308243735003</x:v>
      </x:c>
      <x:c r="I59" s="1" t="n">
        <x:f t="shared" ref="I59:I80" si="35">H59*4/(3.14^3)</x:f>
        <x:v>0.011039463163109423</x:v>
      </x:c>
      <x:c r="K59" s="1">
        <x:v>-4.9544677973307402E-2</x:v>
      </x:c>
      <x:c r="L59" s="1">
        <x:v>3079.5257873535102</x:v>
      </x:c>
      <x:c r="M59" s="1">
        <x:v>1246.9387755102</x:v>
      </x:c>
      <x:c r="N59" s="1" t="n">
        <x:f t="shared" ref="N59:N80" si="36">-K59*1.5</x:f>
        <x:v>0.0743170169599611</x:v>
      </x:c>
      <x:c r="O59" s="1" t="n">
        <x:f t="shared" ref="O59:O79" si="37">K59*K59*1.5</x:f>
        <x:v>0.0036820126732180973</x:v>
      </x:c>
      <x:c r="P59" s="1" t="n">
        <x:f t="shared" ref="P59:P79" si="38">N59/(L59/60)/0.4572</x:f>
        <x:v>0.0031670101302206503</x:v>
      </x:c>
      <x:c r="Q59" s="1" t="n">
        <x:f t="shared" ref="Q59:Q80" si="39">N59*SIN(RADIANS(30))/(L59/60)/0.4572</x:f>
        <x:v>0.001583505065110325</x:v>
      </x:c>
      <x:c r="R59" s="1" t="n">
        <x:f t="shared" ref="R59:R79" si="40">(M59-$C$3)*9.8/1.205/(L59/60)^2/0.4572^4/1000</x:f>
        <x:v>0.08513613549925624</x:v>
      </x:c>
      <x:c r="S59" s="1" t="n">
        <x:f t="shared" ref="S59:S80" si="41">R59*4/(3.14^3)</x:f>
        <x:v>0.010999804839469234</x:v>
      </x:c>
      <x:c r="W59" s="1"/>
      <x:c r="X59" s="1"/>
      <x:c r="Y59" s="1"/>
      <x:c r="AA59" s="1"/>
      <x:c r="AB59" s="1"/>
      <x:c r="AC59" s="1"/>
      <x:c r="AD59" s="1">
        <x:v>3000</x:v>
      </x:c>
      <x:c r="AE59" s="1">
        <x:v>0.67800000000000005</x:v>
      </x:c>
      <x:c r="AF59" s="1">
        <x:v>75</x:v>
      </x:c>
      <x:c r="AG59" s="1">
        <x:v>314.15926535897898</x:v>
      </x:c>
      <x:c r="AH59" s="1">
        <x:v>11.1607344312634</x:v>
      </x:c>
      <x:c r="AI59" s="1">
        <x:v>1.0759749566646999E-2</x:v>
      </x:c>
      <x:c r="AJ59" s="1">
        <x:v>1.0759749566646999E-2</x:v>
      </x:c>
      <x:c r="AK59" s="1">
        <x:v>7.4599410201456495E-2</x:v>
      </x:c>
      <x:c r="AL59" s="1">
        <x:v>7.0934265843530506E-2</x:v>
      </x:c>
      <x:c r="AM59" s="1">
        <x:v>1.2</x:v>
      </x:c>
      <x:c r="AN59" s="1">
        <x:v>3.6651443579260199E-3</x:v>
      </x:c>
      <x:c r="AO59" s="1">
        <x:v>1.36785049608543E-2</x:v>
      </x:c>
      <x:c r="AP59" s="1">
        <x:v>12</x:v>
      </x:c>
      <x:c r="AQ59" s="1" t="b">
        <x:v>1</x:v>
      </x:c>
      <x:c r="AR59" s="1">
        <x:v>-22.662524589800402</x:v>
      </x:c>
      <x:c r="AS59" s="1">
        <x:v>10.485869860165501</x:v>
      </x:c>
      <x:c r="AT59">
        <x:f t="shared" si="12"/>
        <x:v>8.340493875034348E-2</x:v>
      </x:c>
      <x:c r="AU59">
        <x:f t="shared" si="13"/>
        <x:v>4.4488188976377963E-2</x:v>
      </x:c>
    </x:row>
    <x:row r="60">
      <x:c r="A60" s="1">
        <x:v>-0.684614925234167</x:v>
      </x:c>
      <x:c r="B60" s="1">
        <x:v>3079.79585404829</x:v>
      </x:c>
      <x:c r="C60" s="1">
        <x:v>1214.26386806596</x:v>
      </x:c>
      <x:c r="D60" s="1">
        <x:f t="shared" si="30"/>
        <x:v>1.0269223878512506</x:v>
      </x:c>
      <x:c r="E60" s="1">
        <x:f t="shared" si="31"/>
        <x:v>0.70304639378007605</x:v>
      </x:c>
      <x:c r="F60" s="1">
        <x:f t="shared" si="32"/>
        <x:v>4.3758328133546423E-2</x:v>
      </x:c>
      <x:c r="G60" s="1">
        <x:f t="shared" si="33"/>
        <x:v>2.1879164066773205E-2</x:v>
      </x:c>
      <x:c r="H60" s="1">
        <x:f t="shared" si="34"/>
        <x:v>8.2812932133722386E-2</x:v>
      </x:c>
      <x:c r="I60" s="1">
        <x:f t="shared" si="35"/>
        <x:v>1.0699641066784324E-2</x:v>
      </x:c>
      <x:c r="K60" s="1">
        <x:v>-0.66712453484908896</x:v>
      </x:c>
      <x:c r="L60" s="1">
        <x:v>3056.4275207519499</x:v>
      </x:c>
      <x:c r="M60" s="1">
        <x:v>1200.1347962382399</x:v>
      </x:c>
      <x:c r="N60" s="1">
        <x:f t="shared" si="36"/>
        <x:v>1.0006868022736335</x:v>
      </x:c>
      <x:c r="O60" s="1">
        <x:f t="shared" si="37"/>
        <x:v>0.66758271749641995</x:v>
      </x:c>
      <x:c r="P60" s="1">
        <x:f t="shared" si="38"/>
        <x:v>4.2966413056046961E-2</x:v>
      </x:c>
      <x:c r="Q60" s="1">
        <x:f t="shared" si="39"/>
        <x:v>2.1483206528023477E-2</x:v>
      </x:c>
      <x:c r="R60" s="1">
        <x:f t="shared" si="40"/>
        <x:v>8.3070638745166098E-2</x:v>
      </x:c>
      <x:c r="S60" s="1">
        <x:f t="shared" si="41"/>
        <x:v>1.0732937415216142E-2</x:v>
      </x:c>
      <x:c r="W60" s="1"/>
      <x:c r="X60" s="1"/>
      <x:c r="Y60" s="1"/>
      <x:c r="AA60" s="1"/>
      <x:c r="AB60" s="1"/>
      <x:c r="AC60" s="1"/>
      <x:c r="AD60" s="1">
        <x:v>3000</x:v>
      </x:c>
      <x:c r="AE60" s="1">
        <x:v>1.3560000000000001</x:v>
      </x:c>
      <x:c r="AF60" s="1">
        <x:v>75</x:v>
      </x:c>
      <x:c r="AG60" s="1">
        <x:v>314.15926535897898</x:v>
      </x:c>
      <x:c r="AH60" s="1">
        <x:v>11.174812951558501</x:v>
      </x:c>
      <x:c r="AI60" s="1">
        <x:v>1.07733222713446E-2</x:v>
      </x:c>
      <x:c r="AJ60" s="1">
        <x:v>1.07733222713446E-2</x:v>
      </x:c>
      <x:c r="AK60" s="1">
        <x:v>7.4890710621315998E-2</x:v>
      </x:c>
      <x:c r="AL60" s="1">
        <x:v>6.7560421905463894E-2</x:v>
      </x:c>
      <x:c r="AM60" s="1">
        <x:v>1.2</x:v>
      </x:c>
      <x:c r="AN60" s="1">
        <x:v>7.3302887158520399E-3</x:v>
      </x:c>
      <x:c r="AO60" s="1">
        <x:v>2.73570099217086E-2</x:v>
      </x:c>
      <x:c r="AP60" s="1">
        <x:v>10</x:v>
      </x:c>
      <x:c r="AQ60" s="1" t="b">
        <x:v>1</x:v>
      </x:c>
      <x:c r="AR60" s="1">
        <x:v>-24.351778087332701</x:v>
      </x:c>
      <x:c r="AS60" s="1">
        <x:v>10.252326485527201</x:v>
      </x:c>
      <x:c r="AT60">
        <x:f t="shared" si="12"/>
        <x:v>8.3510148504247886E-2</x:v>
      </x:c>
      <x:c r="AU60">
        <x:f t="shared" si="13"/>
        <x:v>8.8976377952755925E-2</x:v>
      </x:c>
    </x:row>
    <x:row r="61">
      <x:c r="A61" s="1">
        <x:v>-1.3708973618114599</x:v>
      </x:c>
      <x:c r="B61" s="1">
        <x:v>3064.0174218749999</x:v>
      </x:c>
      <x:c r="C61" s="1">
        <x:v>1188.73622047244</x:v>
      </x:c>
      <x:c r="D61" s="1">
        <x:f t="shared" si="30"/>
        <x:v>2.0563460427171898</x:v>
      </x:c>
      <x:c r="E61" s="1">
        <x:f t="shared" si="31"/>
        <x:v>2.8190393649324315</x:v>
      </x:c>
      <x:c r="F61" s="1">
        <x:f t="shared" si="32"/>
        <x:v>8.807446180603537E-2</x:v>
      </x:c>
      <x:c r="G61" s="1">
        <x:f t="shared" si="33"/>
        <x:v>4.4037230903017678E-2</x:v>
      </x:c>
      <x:c r="H61" s="1">
        <x:f t="shared" si="34"/>
        <x:v>8.1846047655976709E-2</x:v>
      </x:c>
      <x:c r="I61" s="1">
        <x:f t="shared" si="35"/>
        <x:v>1.0574717137654285E-2</x:v>
      </x:c>
      <x:c r="K61" s="1">
        <x:v>-1.36371886607297</x:v>
      </x:c>
      <x:c r="L61" s="1">
        <x:v>3055.0330936826499</x:v>
      </x:c>
      <x:c r="M61" s="1">
        <x:v>1170.75684931506</x:v>
      </x:c>
      <x:c r="N61" s="1">
        <x:f t="shared" si="36"/>
        <x:v>2.0455782991094549</x:v>
      </x:c>
      <x:c r="O61" s="1">
        <x:f t="shared" si="37"/>
        <x:v>2.7895937185250208</x:v>
      </x:c>
      <x:c r="P61" s="1">
        <x:f t="shared" si="38"/>
        <x:v>8.787092887431136E-2</x:v>
      </x:c>
      <x:c r="Q61" s="1">
        <x:f t="shared" si="39"/>
        <x:v>4.3935464437155673E-2</x:v>
      </x:c>
      <x:c r="R61" s="1">
        <x:f t="shared" si="40"/>
        <x:v>8.1037344840579062E-2</x:v>
      </x:c>
      <x:c r="S61" s="1">
        <x:f t="shared" si="41"/>
        <x:v>1.0470230680871417E-2</x:v>
      </x:c>
      <x:c r="W61" s="1"/>
      <x:c r="X61" s="1"/>
      <x:c r="Y61" s="1"/>
      <x:c r="AA61" s="1"/>
      <x:c r="AB61" s="1"/>
      <x:c r="AC61" s="1"/>
      <x:c r="AD61" s="1">
        <x:v>3000</x:v>
      </x:c>
      <x:c r="AE61" s="1">
        <x:v>2.0339999999999998</x:v>
      </x:c>
      <x:c r="AF61" s="1">
        <x:v>75</x:v>
      </x:c>
      <x:c r="AG61" s="1">
        <x:v>314.15926535897898</x:v>
      </x:c>
      <x:c r="AH61" s="1">
        <x:v>11.2665280959312</x:v>
      </x:c>
      <x:c r="AI61" s="1">
        <x:v>1.08617422575916E-2</x:v>
      </x:c>
      <x:c r="AJ61" s="1">
        <x:v>1.08617422575916E-2</x:v>
      </x:c>
      <x:c r="AK61" s="1">
        <x:v>7.4709776785046395E-2</x:v>
      </x:c>
      <x:c r="AL61" s="1">
        <x:v>6.3714343711268301E-2</x:v>
      </x:c>
      <x:c r="AM61" s="1">
        <x:v>1.2</x:v>
      </x:c>
      <x:c r="AN61" s="1">
        <x:v>1.0995433073778E-2</x:v>
      </x:c>
      <x:c r="AO61" s="1">
        <x:v>4.10355148825629E-2</x:v>
      </x:c>
      <x:c r="AP61" s="1">
        <x:v>8</x:v>
      </x:c>
      <x:c r="AQ61" s="1" t="b">
        <x:v>1</x:v>
      </x:c>
      <x:c r="AR61" s="1">
        <x:v>-26.7274462164245</x:v>
      </x:c>
      <x:c r="AS61" s="1">
        <x:v>10.117084118742399</x:v>
      </x:c>
      <x:c r="AT61">
        <x:f t="shared" si="12"/>
        <x:v>8.4195542108583918E-2</x:v>
      </x:c>
      <x:c r="AU61">
        <x:f t="shared" si="13"/>
        <x:v>0.13346456692913383</x:v>
      </x:c>
    </x:row>
    <x:row r="62">
      <x:c r="A62" s="1">
        <x:v>-2.0531213937803701</x:v>
      </x:c>
      <x:c r="B62" s="1">
        <x:v>3081.0640758167601</x:v>
      </x:c>
      <x:c r="C62" s="1">
        <x:v>1175.86574074074</x:v>
      </x:c>
      <x:c r="D62" s="1">
        <x:f t="shared" si="30"/>
        <x:v>3.0796820906705551</x:v>
      </x:c>
      <x:c r="E62" s="1">
        <x:f t="shared" si="31"/>
        <x:v>6.3229611863979747</x:v>
      </x:c>
      <x:c r="F62" s="1">
        <x:f t="shared" si="32"/>
        <x:v>0.13117473208473826</x:v>
      </x:c>
      <x:c r="G62" s="1">
        <x:f t="shared" si="33"/>
        <x:v>6.558736604236913E-2</x:v>
      </x:c>
      <x:c r="H62" s="1">
        <x:f t="shared" si="34"/>
        <x:v>8.0034422498811375E-2</x:v>
      </x:c>
      <x:c r="I62" s="1">
        <x:f t="shared" si="35"/>
        <x:v>1.0340650568221314E-2</x:v>
      </x:c>
      <x:c r="K62" s="1">
        <x:v>-2.0525573735334399</x:v>
      </x:c>
      <x:c r="L62" s="1">
        <x:v>3048.3757731119699</x:v>
      </x:c>
      <x:c r="M62" s="1">
        <x:v>1161.0407470288601</x:v>
      </x:c>
      <x:c r="N62" s="1">
        <x:f t="shared" si="36"/>
        <x:v>3.0788360603001599</x:v>
      </x:c>
      <x:c r="O62" s="1">
        <x:f t="shared" si="37"/>
        <x:v>6.3194876574697396</x:v>
      </x:c>
      <x:c r="P62" s="1">
        <x:f t="shared" si="38"/>
        <x:v>0.13254492134381318</x:v>
      </x:c>
      <x:c r="Q62" s="1">
        <x:f t="shared" si="39"/>
        <x:v>6.6272460671906591E-2</x:v>
      </x:c>
      <x:c r="R62" s="1">
        <x:f t="shared" si="40"/>
        <x:v>8.0691082245915466E-2</x:v>
      </x:c>
      <x:c r="S62" s="1">
        <x:f t="shared" si="41"/>
        <x:v>1.0425492674592743E-2</x:v>
      </x:c>
      <x:c r="W62" s="1"/>
      <x:c r="X62" s="1"/>
      <x:c r="Y62" s="1"/>
      <x:c r="AA62" s="1"/>
      <x:c r="AB62" s="1"/>
      <x:c r="AC62" s="1"/>
      <x:c r="AD62" s="1">
        <x:v>3000</x:v>
      </x:c>
      <x:c r="AE62" s="1">
        <x:v>2.7120000000000002</x:v>
      </x:c>
      <x:c r="AF62" s="1">
        <x:v>75</x:v>
      </x:c>
      <x:c r="AG62" s="1">
        <x:v>314.15926535897898</x:v>
      </x:c>
      <x:c r="AH62" s="1">
        <x:v>11.408170520182701</x:v>
      </x:c>
      <x:c r="AI62" s="1">
        <x:v>1.09982957274682E-2</x:v>
      </x:c>
      <x:c r="AJ62" s="1">
        <x:v>1.09982957274682E-2</x:v>
      </x:c>
      <x:c r="AK62" s="1">
        <x:v>7.4272124157492597E-2</x:v>
      </x:c>
      <x:c r="AL62" s="1">
        <x:v>5.96115467257885E-2</x:v>
      </x:c>
      <x:c r="AM62" s="1">
        <x:v>1.2</x:v>
      </x:c>
      <x:c r="AN62" s="1">
        <x:v>1.4660577431704E-2</x:v>
      </x:c>
      <x:c r="AO62" s="1">
        <x:v>5.4714019843417297E-2</x:v>
      </x:c>
      <x:c r="AP62" s="1">
        <x:v>6</x:v>
      </x:c>
      <x:c r="AQ62" s="1" t="b">
        <x:v>1</x:v>
      </x:c>
      <x:c r="AR62" s="1">
        <x:v>-29.7634067899263</x:v>
      </x:c>
      <x:c r="AS62" s="1">
        <x:v>10.0744903681267</x:v>
      </x:c>
      <x:c r="AT62">
        <x:f t="shared" si="12"/>
        <x:v>8.5254045721577756E-2</x:v>
      </x:c>
      <x:c r="AU62">
        <x:f t="shared" si="13"/>
        <x:v>0.17795275590551185</x:v>
      </x:c>
    </x:row>
    <x:row r="63">
      <x:c r="A63" s="1">
        <x:v>-2.73979362068473</x:v>
      </x:c>
      <x:c r="B63" s="1">
        <x:v>3077.7405724158598</x:v>
      </x:c>
      <x:c r="C63" s="1">
        <x:v>1157.0484496124</x:v>
      </x:c>
      <x:c r="D63" s="1">
        <x:f t="shared" si="30"/>
        <x:v>4.1096904310270954</x:v>
      </x:c>
      <x:c r="E63" s="1">
        <x:f t="shared" si="31"/>
        <x:v>11.259703625917112</x:v>
      </x:c>
      <x:c r="F63" s="1">
        <x:f t="shared" si="32"/>
        <x:v>0.17523551456039405</x:v>
      </x:c>
      <x:c r="G63" s="1">
        <x:f t="shared" si="33"/>
        <x:v>8.7617757280197009E-2</x:v>
      </x:c>
      <x:c r="H63" s="1">
        <x:f t="shared" si="34"/>
        <x:v>7.8876269370608557E-2</x:v>
      </x:c>
      <x:c r="I63" s="1">
        <x:f t="shared" si="35"/>
        <x:v>1.0191014243883301E-2</x:v>
      </x:c>
      <x:c r="K63" s="1">
        <x:v>-2.7401893655459002</x:v>
      </x:c>
      <x:c r="L63" s="1">
        <x:v>3042.5901367187498</x:v>
      </x:c>
      <x:c r="M63" s="1">
        <x:v>1136.9733333333299</x:v>
      </x:c>
      <x:c r="N63" s="1">
        <x:f t="shared" si="36"/>
        <x:v>4.1102840483188503</x:v>
      </x:c>
      <x:c r="O63" s="1">
        <x:f t="shared" si="37"/>
        <x:v>11.262956638576265</x:v>
      </x:c>
      <x:c r="P63" s="1">
        <x:f t="shared" si="38"/>
        <x:v>0.17728557945176923</x:v>
      </x:c>
      <x:c r="Q63" s="1">
        <x:f t="shared" si="39"/>
        <x:v>8.8642789725884602E-2</x:v>
      </x:c>
      <x:c r="R63" s="1">
        <x:f t="shared" si="40"/>
        <x:v>7.9256206065497936E-2</x:v>
      </x:c>
      <x:c r="S63" s="1">
        <x:f t="shared" si="41"/>
        <x:v>1.0240103029398737E-2</x:v>
      </x:c>
      <x:c r="W63" s="1"/>
      <x:c r="X63" s="1"/>
      <x:c r="Y63" s="1"/>
      <x:c r="AA63" s="1"/>
      <x:c r="AB63" s="1"/>
      <x:c r="AC63" s="1"/>
      <x:c r="AD63" s="1">
        <x:v>3000</x:v>
      </x:c>
      <x:c r="AE63" s="1">
        <x:v>3.39</x:v>
      </x:c>
      <x:c r="AF63" s="1">
        <x:v>75</x:v>
      </x:c>
      <x:c r="AG63" s="1">
        <x:v>314.15926535897898</x:v>
      </x:c>
      <x:c r="AH63" s="1">
        <x:v>11.569966219384501</x:v>
      </x:c>
      <x:c r="AI63" s="1">
        <x:v>1.11542784018247E-2</x:v>
      </x:c>
      <x:c r="AJ63" s="1">
        <x:v>1.11542784018247E-2</x:v>
      </x:c>
      <x:c r="AK63" s="1">
        <x:v>7.3767640384897498E-2</x:v>
      </x:c>
      <x:c r="AL63" s="1">
        <x:v>5.5441918595267398E-2</x:v>
      </x:c>
      <x:c r="AM63" s="1">
        <x:v>1.2</x:v>
      </x:c>
      <x:c r="AN63" s="1">
        <x:v>1.8325721789630101E-2</x:v>
      </x:c>
      <x:c r="AO63" s="1">
        <x:v>6.8392524804271604E-2</x:v>
      </x:c>
      <x:c r="AP63" s="1">
        <x:v>5</x:v>
      </x:c>
      <x:c r="AQ63" s="1" t="b">
        <x:v>1</x:v>
      </x:c>
      <x:c r="AR63" s="1">
        <x:v>-33.534041995197597</x:v>
      </x:c>
      <x:c r="AS63" s="1">
        <x:v>10.098942097846599</x:v>
      </x:c>
      <x:c r="AT63">
        <x:f t="shared" si="12"/>
        <x:v>8.6463156149309842E-2</x:v>
      </x:c>
      <x:c r="AU63">
        <x:f t="shared" si="13"/>
        <x:v>0.22244094488188976</x:v>
      </x:c>
    </x:row>
    <x:row r="64">
      <x:c r="A64" s="1">
        <x:v>-3.4248135130513799</x:v>
      </x:c>
      <x:c r="B64" s="1">
        <x:v>3093.47241210937</x:v>
      </x:c>
      <x:c r="C64" s="1">
        <x:v>1132.8409090908999</x:v>
      </x:c>
      <x:c r="D64" s="1">
        <x:f t="shared" si="30"/>
        <x:v>5.1372202695770701</x:v>
      </x:c>
      <x:c r="E64" s="1">
        <x:f t="shared" si="31"/>
        <x:v>17.594021398769002</x:v>
      </x:c>
      <x:c r="F64" s="1">
        <x:f t="shared" si="32"/>
        <x:v>0.21793499297323146</x:v>
      </x:c>
      <x:c r="G64" s="1">
        <x:f t="shared" si="33"/>
        <x:v>0.10896749648661572</x:v>
      </x:c>
      <x:c r="H64" s="1">
        <x:f t="shared" si="34"/>
        <x:v>7.6381039525119362E-2</x:v>
      </x:c>
      <x:c r="I64" s="1">
        <x:f t="shared" si="35"/>
        <x:v>9.8686242132688621E-3</x:v>
      </x:c>
      <x:c r="K64" s="1">
        <x:v>-3.42361181312137</x:v>
      </x:c>
      <x:c r="L64" s="1">
        <x:v>3051.5726623535102</x:v>
      </x:c>
      <x:c r="M64" s="1">
        <x:v>1110.75460122699</x:v>
      </x:c>
      <x:c r="N64" s="1">
        <x:f t="shared" si="36"/>
        <x:v>5.1354177196820547</x:v>
      </x:c>
      <x:c r="O64" s="1">
        <x:f t="shared" si="37"/>
        <x:v>17.581676770416291</x:v>
      </x:c>
      <x:c r="P64" s="1">
        <x:f t="shared" si="38"/>
        <x:v>0.22084983969276875</x:v>
      </x:c>
      <x:c r="Q64" s="1">
        <x:f t="shared" si="39"/>
        <x:v>0.11042491984638435</x:v>
      </x:c>
      <x:c r="R64" s="1">
        <x:f t="shared" si="40"/>
        <x:v>7.6903695362209396E-2</x:v>
      </x:c>
      <x:c r="S64" s="1">
        <x:f t="shared" si="41"/>
        <x:v>9.9361526742741194E-3</x:v>
      </x:c>
      <x:c r="W64" s="1"/>
      <x:c r="X64" s="1"/>
      <x:c r="Y64" s="1"/>
      <x:c r="AA64" s="1"/>
      <x:c r="AB64" s="1"/>
      <x:c r="AC64" s="1"/>
      <x:c r="AD64" s="1">
        <x:v>3000</x:v>
      </x:c>
      <x:c r="AE64" s="1">
        <x:v>4.0679999999999996</x:v>
      </x:c>
      <x:c r="AF64" s="1">
        <x:v>75</x:v>
      </x:c>
      <x:c r="AG64" s="1">
        <x:v>314.15926535897898</x:v>
      </x:c>
      <x:c r="AH64" s="1">
        <x:v>11.7295762414533</x:v>
      </x:c>
      <x:c r="AI64" s="1">
        <x:v>1.1308153926447601E-2</x:v>
      </x:c>
      <x:c r="AJ64" s="1">
        <x:v>1.1308153926447601E-2</x:v>
      </x:c>
      <x:c r="AK64" s="1">
        <x:v>7.3356086211031193E-2</x:v>
      </x:c>
      <x:c r="AL64" s="1">
        <x:v>5.1365220063475103E-2</x:v>
      </x:c>
      <x:c r="AM64" s="1">
        <x:v>1.2</x:v>
      </x:c>
      <x:c r="AN64" s="1">
        <x:v>2.1990866147556101E-2</x:v>
      </x:c>
      <x:c r="AO64" s="1">
        <x:v>8.2071029765125897E-2</x:v>
      </x:c>
      <x:c r="AP64" s="1">
        <x:v>5</x:v>
      </x:c>
      <x:c r="AQ64" s="1" t="b">
        <x:v>1</x:v>
      </x:c>
      <x:c r="AR64" s="1">
        <x:v>-38.213237197125203</x:v>
      </x:c>
      <x:c r="AS64" s="1">
        <x:v>10.1597615455615</x:v>
      </x:c>
      <x:c r="AT64">
        <x:f t="shared" si="12"/>
        <x:v>8.7655932860966082E-2</x:v>
      </x:c>
      <x:c r="AU64">
        <x:f t="shared" si="13"/>
        <x:v>0.26692913385826766</x:v>
      </x:c>
    </x:row>
    <x:row r="65">
      <x:c r="A65" s="1">
        <x:v>-4.1074854241477103</x:v>
      </x:c>
      <x:c r="B65" s="1">
        <x:v>3059.6209988064202</x:v>
      </x:c>
      <x:c r="C65" s="1">
        <x:v>1106.2333333333299</x:v>
      </x:c>
      <x:c r="D65" s="1">
        <x:f t="shared" si="30"/>
        <x:v>6.1612281362215651</x:v>
      </x:c>
      <x:c r="E65" s="1">
        <x:f t="shared" si="31"/>
        <x:v>25.307154764378843</x:v>
      </x:c>
      <x:c r="F65" s="1">
        <x:f t="shared" si="32"/>
        <x:v>0.26426806561307675</x:v>
      </x:c>
      <x:c r="G65" s="1">
        <x:f t="shared" si="33"/>
        <x:v>0.13213403280653835</x:v>
      </x:c>
      <x:c r="H65" s="1">
        <x:f t="shared" si="34"/>
        <x:v>7.61760123194897E-2</x:v>
      </x:c>
      <x:c r="I65" s="1">
        <x:f t="shared" si="35"/>
        <x:v>9.8421341778041019E-3</x:v>
      </x:c>
      <x:c r="K65" s="1">
        <x:v>-4.1103758963327497</x:v>
      </x:c>
      <x:c r="L65" s="1">
        <x:v>3074.12252004523</x:v>
      </x:c>
      <x:c r="M65" s="1">
        <x:v>1088.1196808510599</x:v>
      </x:c>
      <x:c r="N65" s="1">
        <x:f t="shared" si="36"/>
        <x:v>6.1655638444991245</x:v>
      </x:c>
      <x:c r="O65" s="1">
        <x:f t="shared" si="37"/>
        <x:v>25.342785013729888</x:v>
      </x:c>
      <x:c r="P65" s="1">
        <x:f t="shared" si="38"/>
        <x:v>0.26320652744817208</x:v>
      </x:c>
      <x:c r="Q65" s="1">
        <x:f t="shared" si="39"/>
        <x:v>0.13160326372408601</x:v>
      </x:c>
      <x:c r="R65" s="1">
        <x:f t="shared" si="40"/>
        <x:v>7.4174678125735471E-2</x:v>
      </x:c>
      <x:c r="S65" s="1">
        <x:f t="shared" si="41"/>
        <x:v>9.5835567192342867E-3</x:v>
      </x:c>
      <x:c r="W65" s="1"/>
      <x:c r="X65" s="1"/>
      <x:c r="Y65" s="1"/>
      <x:c r="AA65" s="1"/>
      <x:c r="AB65" s="1"/>
      <x:c r="AC65" s="1"/>
      <x:c r="AD65" s="1">
        <x:v>3000</x:v>
      </x:c>
      <x:c r="AE65" s="1">
        <x:v>4.7460000000000004</x:v>
      </x:c>
      <x:c r="AF65" s="1">
        <x:v>75</x:v>
      </x:c>
      <x:c r="AG65" s="1">
        <x:v>314.15926535897898</x:v>
      </x:c>
      <x:c r="AH65" s="1">
        <x:v>11.8720672624509</x:v>
      </x:c>
      <x:c r="AI65" s="1">
        <x:v>1.14455255045343E-2</x:v>
      </x:c>
      <x:c r="AJ65" s="1">
        <x:v>1.14455255045343E-2</x:v>
      </x:c>
      <x:c r="AK65" s="1">
        <x:v>7.3150290670578003E-2</x:v>
      </x:c>
      <x:c r="AL65" s="1">
        <x:v>4.7494280165095798E-2</x:v>
      </x:c>
      <x:c r="AM65" s="1">
        <x:v>1.2</x:v>
      </x:c>
      <x:c r="AN65" s="1">
        <x:v>2.5656010505482101E-2</x:v>
      </x:c>
      <x:c r="AO65" s="1">
        <x:v>9.5749534725980301E-2</x:v>
      </x:c>
      <x:c r="AP65" s="1">
        <x:v>6</x:v>
      </x:c>
      <x:c r="AQ65" s="1" t="b">
        <x:v>1</x:v>
      </x:c>
      <x:c r="AR65" s="1">
        <x:v>-44.034174939235299</x:v>
      </x:c>
      <x:c r="AS65" s="1">
        <x:v>10.255307095341699</x:v>
      </x:c>
      <x:c r="AT65">
        <x:f t="shared" si="12"/>
        <x:v>8.8720778096014585E-2</x:v>
      </x:c>
      <x:c r="AU65">
        <x:f t="shared" si="13"/>
        <x:v>0.31141732283464568</x:v>
      </x:c>
    </x:row>
    <x:row r="66">
      <x:c r="A66" s="1">
        <x:v>-4.7901707927576096</x:v>
      </x:c>
      <x:c r="B66" s="1">
        <x:v>3069.89996047247</x:v>
      </x:c>
      <x:c r="C66" s="1">
        <x:v>1090.1004784688901</x:v>
      </x:c>
      <x:c r="D66" s="1">
        <x:f t="shared" si="30"/>
        <x:v>7.185256189136414</x:v>
      </x:c>
      <x:c r="E66" s="1">
        <x:f t="shared" si="31"/>
        <x:v>34.418604335682105</x:v>
      </x:c>
      <x:c r="F66" s="1">
        <x:f t="shared" si="32"/>
        <x:v>0.30715887116504764</x:v>
      </x:c>
      <x:c r="G66" s="1">
        <x:f t="shared" si="33"/>
        <x:v>0.15357943558252382</x:v>
      </x:c>
      <x:c r="H66" s="1">
        <x:f t="shared" si="34"/>
        <x:v>7.4519703009137725E-2</x:v>
      </x:c>
      <x:c r="I66" s="1">
        <x:f t="shared" si="35"/>
        <x:v>9.6281348100758501E-3</x:v>
      </x:c>
      <x:c r="K66" s="1">
        <x:v>-4.7894128135770302</x:v>
      </x:c>
      <x:c r="L66" s="1">
        <x:v>3027.8227108226101</x:v>
      </x:c>
      <x:c r="M66" s="1">
        <x:v>1064.00583090379</x:v>
      </x:c>
      <x:c r="N66" s="1">
        <x:f t="shared" si="36"/>
        <x:v>7.1841192203655453</x:v>
      </x:c>
      <x:c r="O66" s="1">
        <x:f t="shared" si="37"/>
        <x:v>34.407712648283763</x:v>
      </x:c>
      <x:c r="P66" s="1">
        <x:f t="shared" si="38"/>
        <x:v>0.31137813801921427</x:v>
      </x:c>
      <x:c r="Q66" s="1">
        <x:f t="shared" si="39"/>
        <x:v>0.15568906900960713</x:v>
      </x:c>
      <x:c r="R66" s="1">
        <x:f t="shared" si="40"/>
        <x:v>7.4698027168011313E-2</x:v>
      </x:c>
      <x:c r="S66" s="1">
        <x:f t="shared" si="41"/>
        <x:v>9.6511747441093733E-3</x:v>
      </x:c>
      <x:c r="W66" s="1"/>
      <x:c r="X66" s="1"/>
      <x:c r="Y66" s="1"/>
      <x:c r="AA66" s="1"/>
      <x:c r="AB66" s="1"/>
      <x:c r="AC66" s="1"/>
      <x:c r="AD66" s="1">
        <x:v>3000</x:v>
      </x:c>
      <x:c r="AE66" s="1">
        <x:v>5.4240000000000004</x:v>
      </x:c>
      <x:c r="AF66" s="1">
        <x:v>75</x:v>
      </x:c>
      <x:c r="AG66" s="1">
        <x:v>314.15926535897898</x:v>
      </x:c>
      <x:c r="AH66" s="1">
        <x:v>11.9920956463941</x:v>
      </x:c>
      <x:c r="AI66" s="1">
        <x:v>1.1561241487212E-2</x:v>
      </x:c>
      <x:c r="AJ66" s="1">
        <x:v>1.1561241487212E-2</x:v>
      </x:c>
      <x:c r="AK66" s="1">
        <x:v>7.32246760925684E-2</x:v>
      </x:c>
      <x:c r="AL66" s="1">
        <x:v>4.3903521229160199E-2</x:v>
      </x:c>
      <x:c r="AM66" s="1">
        <x:v>1.2</x:v>
      </x:c>
      <x:c r="AN66" s="1">
        <x:v>2.9321154863408101E-2</x:v>
      </x:c>
      <x:c r="AO66" s="1">
        <x:v>0.109428039686834</x:v>
      </x:c>
      <x:c r="AP66" s="1">
        <x:v>7</x:v>
      </x:c>
      <x:c r="AQ66" s="1" t="b">
        <x:v>1</x:v>
      </x:c>
      <x:c r="AR66" s="1">
        <x:v>-51.106769286901198</x:v>
      </x:c>
      <x:c r="AS66" s="1">
        <x:v>10.371006578306901</x:v>
      </x:c>
      <x:c r="AT66">
        <x:f t="shared" si="12"/>
        <x:v>8.9617758493921465E-2</x:v>
      </x:c>
      <x:c r="AU66">
        <x:f t="shared" si="13"/>
        <x:v>0.3559055118110237</x:v>
      </x:c>
    </x:row>
    <x:row r="67">
      <x:c r="A67" s="1">
        <x:v>-5.4672019519503099</x:v>
      </x:c>
      <x:c r="B67" s="1">
        <x:v>3089.5677625868002</x:v>
      </x:c>
      <x:c r="C67" s="1">
        <x:v>1075.7877984084801</x:v>
      </x:c>
      <x:c r="D67" s="1">
        <x:f t="shared" si="30"/>
        <x:v>8.2008029279254657</x:v>
      </x:c>
      <x:c r="E67" s="1">
        <x:f t="shared" si="31"/>
        <x:v>44.835445775113918</x:v>
      </x:c>
      <x:c r="F67" s="1">
        <x:f t="shared" si="32"/>
        <x:v>0.34834026614196845</x:v>
      </x:c>
      <x:c r="G67" s="1">
        <x:f t="shared" si="33"/>
        <x:v>0.1741701330709842</x:v>
      </x:c>
      <x:c r="H67" s="1">
        <x:f t="shared" si="34"/>
        <x:v>7.2569243335865993E-2</x:v>
      </x:c>
      <x:c r="I67" s="1">
        <x:f t="shared" si="35"/>
        <x:v>9.3761304687062386E-3</x:v>
      </x:c>
      <x:c r="K67" s="1">
        <x:v>-5.4710522711962097</x:v>
      </x:c>
      <x:c r="L67" s="1">
        <x:v>3046.1682942708298</x:v>
      </x:c>
      <x:c r="M67" s="1">
        <x:v>1048.4028571428501</x:v>
      </x:c>
      <x:c r="N67" s="1">
        <x:f t="shared" si="36"/>
        <x:v>8.2065784067943142</x:v>
      </x:c>
      <x:c r="O67" s="1">
        <x:f t="shared" si="37"/>
        <x:v>44.898619431241805</x:v>
      </x:c>
      <x:c r="P67" s="1">
        <x:f t="shared" si="38"/>
        <x:v>0.35355196742350725</x:v>
      </x:c>
      <x:c r="Q67" s="1">
        <x:f t="shared" si="39"/>
        <x:v>0.17677598371175354</x:v>
      </x:c>
      <x:c r="R67" s="1">
        <x:f t="shared" si="40"/>
        <x:v>7.2674276467121185E-2</x:v>
      </x:c>
      <x:c r="S67" s="1">
        <x:f t="shared" si="41"/>
        <x:v>9.3897010159093783E-3</x:v>
      </x:c>
      <x:c r="W67" s="1"/>
      <x:c r="X67" s="1"/>
      <x:c r="Y67" s="1"/>
      <x:c r="AA67" s="1"/>
      <x:c r="AB67" s="1"/>
      <x:c r="AC67" s="1"/>
      <x:c r="AD67" s="1">
        <x:v>3000</x:v>
      </x:c>
      <x:c r="AE67" s="1">
        <x:v>6.1020000000000003</x:v>
      </x:c>
      <x:c r="AF67" s="1">
        <x:v>75</x:v>
      </x:c>
      <x:c r="AG67" s="1">
        <x:v>314.15926535897898</x:v>
      </x:c>
      <x:c r="AH67" s="1">
        <x:v>12.085564320152001</x:v>
      </x:c>
      <x:c r="AI67" s="1">
        <x:v>1.16513520017266E-2</x:v>
      </x:c>
      <x:c r="AJ67" s="1">
        <x:v>1.16513520017266E-2</x:v>
      </x:c>
      <x:c r="AK67" s="1">
        <x:v>7.3603011143804298E-2</x:v>
      </x:c>
      <x:c r="AL67" s="1">
        <x:v>4.06167119224701E-2</x:v>
      </x:c>
      <x:c r="AM67" s="1">
        <x:v>1.2</x:v>
      </x:c>
      <x:c r="AN67" s="1">
        <x:v>3.2986299221334198E-2</x:v>
      </x:c>
      <x:c r="AO67" s="1">
        <x:v>0.123106544647688</x:v>
      </x:c>
      <x:c r="AP67" s="1">
        <x:v>8</x:v>
      </x:c>
      <x:c r="AQ67" s="1" t="b">
        <x:v>1</x:v>
      </x:c>
      <x:c r="AR67" s="1">
        <x:v>-59.610038680222502</x:v>
      </x:c>
      <x:c r="AS67" s="1">
        <x:v>10.477565111830801</x:v>
      </x:c>
      <x:c r="AT67">
        <x:f t="shared" si="12"/>
        <x:v>9.0316256344387155E-2</x:v>
      </x:c>
      <x:c r="AU67">
        <x:f t="shared" si="13"/>
        <x:v>0.40039370078740166</x:v>
      </x:c>
    </x:row>
    <x:row r="68">
      <x:c r="A68" s="1">
        <x:v>-6.1481580220296701</x:v>
      </x:c>
      <x:c r="B68" s="1">
        <x:v>3087.0998678768301</x:v>
      </x:c>
      <x:c r="C68" s="1">
        <x:v>1078.2305389221499</x:v>
      </x:c>
      <x:c r="D68" s="1">
        <x:f t="shared" si="30"/>
        <x:v>9.2222370330445056</x:v>
      </x:c>
      <x:c r="E68" s="1">
        <x:f t="shared" si="31"/>
        <x:v>56.699770595771682</x:v>
      </x:c>
      <x:c r="F68" s="1">
        <x:f t="shared" si="32"/>
        <x:v>0.39204022512027215</x:v>
      </x:c>
      <x:c r="G68" s="1">
        <x:f t="shared" si="33"/>
        <x:v>0.19602011256013605</x:v>
      </x:c>
      <x:c r="H68" s="1">
        <x:f t="shared" si="34"/>
        <x:v>7.285706494113009E-2</x:v>
      </x:c>
      <x:c r="I68" s="1">
        <x:f t="shared" si="35"/>
        <x:v>9.4133177507918289E-3</x:v>
      </x:c>
      <x:c r="K68" s="1">
        <x:v>-6.14928108332108</x:v>
      </x:c>
      <x:c r="L68" s="1">
        <x:v>3054.2689941406202</x:v>
      </x:c>
      <x:c r="M68" s="1">
        <x:v>1045.7176870748201</x:v>
      </x:c>
      <x:c r="N68" s="1">
        <x:f t="shared" si="36"/>
        <x:v>9.2239216249816209</x:v>
      </x:c>
      <x:c r="O68" s="1">
        <x:f t="shared" si="37"/>
        <x:v>56.720486762535714</x:v>
      </x:c>
      <x:c r="P68" s="1">
        <x:f t="shared" si="38"/>
        <x:v>0.39632671665488139</x:v>
      </x:c>
      <x:c r="Q68" s="1">
        <x:f t="shared" si="39"/>
        <x:v>0.19816335832744064</x:v>
      </x:c>
      <x:c r="R68" s="1">
        <x:f t="shared" si="40"/>
        <x:v>7.209641219853441E-2</x:v>
      </x:c>
      <x:c r="S68" s="1">
        <x:f t="shared" si="41"/>
        <x:v>9.3150394853984859E-3</x:v>
      </x:c>
      <x:c r="W68" s="1"/>
      <x:c r="X68" s="1"/>
      <x:c r="Y68" s="1"/>
      <x:c r="AA68" s="1"/>
      <x:c r="AB68" s="1"/>
      <x:c r="AC68" s="1"/>
      <x:c r="AD68" s="1">
        <x:v>3000</x:v>
      </x:c>
      <x:c r="AE68" s="1">
        <x:v>6.78</x:v>
      </x:c>
      <x:c r="AF68" s="1">
        <x:v>75</x:v>
      </x:c>
      <x:c r="AG68" s="1">
        <x:v>314.15926535897898</x:v>
      </x:c>
      <x:c r="AH68" s="1">
        <x:v>12.151552917209299</x:v>
      </x:c>
      <x:c r="AI68" s="1">
        <x:v>1.17149697486557E-2</x:v>
      </x:c>
      <x:c r="AJ68" s="1">
        <x:v>1.17149697486557E-2</x:v>
      </x:c>
      <x:c r="AK68" s="1">
        <x:v>7.4283135031912806E-2</x:v>
      </x:c>
      <x:c r="AL68" s="1">
        <x:v>3.7631691452652598E-2</x:v>
      </x:c>
      <x:c r="AM68" s="1">
        <x:v>1.2</x:v>
      </x:c>
      <x:c r="AN68" s="1">
        <x:v>3.6651443579260201E-2</x:v>
      </x:c>
      <x:c r="AO68" s="1">
        <x:v>0.13678504960854301</x:v>
      </x:c>
      <x:c r="AP68" s="1">
        <x:v>9</x:v>
      </x:c>
      <x:c r="AQ68" s="1" t="b">
        <x:v>1</x:v>
      </x:c>
      <x:c r="AR68" s="1">
        <x:v>-69.251347045628705</x:v>
      </x:c>
      <x:c r="AS68" s="1">
        <x:v>10.5692213983441</x:v>
      </x:c>
      <x:c r="AT68" t="n">
        <x:f t="shared" ref="AT68:AT79" si="42">3.1415926^3/4*AJ68</x:f>
        <x:v>0.09080939368491635</x:v>
      </x:c>
      <x:c r="AU68" t="n">
        <x:f t="shared" ref="AU68:AU79" si="43">AE68*1.5/AD68*60/0.4572</x:f>
        <x:v>0.4448818897637795</x:v>
      </x:c>
    </x:row>
    <x:row r="69">
      <x:c r="A69" s="1">
        <x:v>-6.77074734176077</x:v>
      </x:c>
      <x:c r="B69" s="1">
        <x:v>3064.1395048253598</x:v>
      </x:c>
      <x:c r="C69" s="1">
        <x:v>1050.46341463414</x:v>
      </x:c>
      <x:c r="D69" s="1">
        <x:f t="shared" si="30"/>
        <x:v>10.156121012641155</x:v>
      </x:c>
      <x:c r="E69" s="1">
        <x:f t="shared" si="31"/>
        <x:v>68.764529348940798</x:v>
      </x:c>
      <x:c r="F69" s="1">
        <x:f t="shared" si="32"/>
        <x:v>0.43497506486739784</x:v>
      </x:c>
      <x:c r="G69" s="1">
        <x:f t="shared" si="33"/>
        <x:v>0.21748753243369889</x:v>
      </x:c>
      <x:c r="H69" s="1">
        <x:f t="shared" si="34"/>
        <x:v>7.1971362073229669E-2</x:v>
      </x:c>
      <x:c r="I69" s="1">
        <x:f t="shared" si="35"/>
        <x:v>9.2988826917475061E-3</x:v>
      </x:c>
      <x:c r="K69" s="1">
        <x:v>-6.7753375326649499</x:v>
      </x:c>
      <x:c r="L69" s="1">
        <x:v>3036.2471133961399</x:v>
      </x:c>
      <x:c r="M69" s="1">
        <x:v>1027.63202247191</x:v>
      </x:c>
      <x:c r="N69" s="1">
        <x:f t="shared" si="36"/>
        <x:v>10.163006298997425</x:v>
      </x:c>
      <x:c r="O69" s="1">
        <x:f t="shared" si="37"/>
        <x:v>68.857798022307563</x:v>
      </x:c>
      <x:c r="P69" s="1">
        <x:f t="shared" si="38"/>
        <x:v>0.43926854796380504</x:v>
      </x:c>
      <x:c r="Q69" s="1">
        <x:f t="shared" si="39"/>
        <x:v>0.21963427398190249</x:v>
      </x:c>
      <x:c r="R69" s="1">
        <x:f t="shared" si="40"/>
        <x:v>7.1640270628550121E-2</x:v>
      </x:c>
      <x:c r="S69" s="1">
        <x:f t="shared" si="41"/>
        <x:v>9.2561048365613872E-3</x:v>
      </x:c>
      <x:c r="W69" s="1"/>
      <x:c r="X69" s="1"/>
      <x:c r="Y69" s="1"/>
      <x:c r="AA69" s="1"/>
      <x:c r="AB69" s="1"/>
      <x:c r="AC69" s="1"/>
      <x:c r="AD69" s="1">
        <x:v>3000</x:v>
      </x:c>
      <x:c r="AE69" s="1">
        <x:v>0</x:v>
      </x:c>
      <x:c r="AF69" s="1">
        <x:v>90</x:v>
      </x:c>
      <x:c r="AG69" s="1">
        <x:v>314.15926535897898</x:v>
      </x:c>
      <x:c r="AH69" s="1">
        <x:v>11.3304080704818</x:v>
      </x:c>
      <x:c r="AI69" s="1">
        <x:v>1.0923327140980999E-2</x:v>
      </x:c>
      <x:c r="AJ69" s="1">
        <x:v>1.0923327140980999E-2</x:v>
      </x:c>
      <x:c r="AK69" s="1">
        <x:v>7.3903068750050399E-2</x:v>
      </x:c>
      <x:c r="AL69" s="1">
        <x:v>7.3903068750050399E-2</x:v>
      </x:c>
      <x:c r="AM69" s="1">
        <x:v>0</x:v>
      </x:c>
      <x:c r="AN69" s="1">
        <x:v>0</x:v>
      </x:c>
      <x:c r="AO69" s="1">
        <x:v>0</x:v>
      </x:c>
      <x:c r="AP69" s="1">
        <x:v>9</x:v>
      </x:c>
      <x:c r="AQ69" s="1" t="b">
        <x:v>1</x:v>
      </x:c>
      <x:c r="AR69" s="1">
        <x:v>-18.024494185672101</x:v>
      </x:c>
      <x:c r="AS69" s="1">
        <x:v>5.9041542766600603</x:v>
      </x:c>
      <x:c r="AT69">
        <x:f t="shared" si="42"/>
        <x:v>8.4672921567578205E-2</x:v>
      </x:c>
      <x:c r="AU69">
        <x:f t="shared" si="43"/>
        <x:v>0</x:v>
      </x:c>
    </x:row>
    <x:row r="70">
      <x:c r="A70" s="1">
        <x:v>-6.1508408296303596</x:v>
      </x:c>
      <x:c r="B70" s="1">
        <x:v>3079.52809651692</x:v>
      </x:c>
      <x:c r="C70" s="1">
        <x:v>1070.9320987654301</x:v>
      </x:c>
      <x:c r="D70" s="1">
        <x:f t="shared" si="30"/>
        <x:v>9.2262612444455385</x:v>
      </x:c>
      <x:c r="E70" s="1">
        <x:f t="shared" si="31"/>
        <x:v>56.749264367171833</x:v>
      </x:c>
      <x:c r="F70" s="1">
        <x:f t="shared" si="32"/>
        <x:v>0.39317564281133732</x:v>
      </x:c>
      <x:c r="G70" s="1">
        <x:f t="shared" si="33"/>
        <x:v>0.19658782140566861</x:v>
      </x:c>
      <x:c r="H70" s="1">
        <x:f t="shared" si="34"/>
        <x:v>7.2700101440001275E-2</x:v>
      </x:c>
      <x:c r="I70" s="1">
        <x:f t="shared" si="35"/>
        <x:v>9.393037667966694E-3</x:v>
      </x:c>
      <x:c r="K70" s="1">
        <x:v>-6.1540569481642304</x:v>
      </x:c>
      <x:c r="L70" s="1">
        <x:v>3042.7636590254901</x:v>
      </x:c>
      <x:c r="M70" s="1">
        <x:v>1047.6476964769599</x:v>
      </x:c>
      <x:c r="N70" s="1">
        <x:f t="shared" si="36"/>
        <x:v>9.2310854222463448</x:v>
      </x:c>
      <x:c r="O70" s="1">
        <x:f t="shared" si="37"/>
        <x:v>56.808625381872666</x:v>
      </x:c>
      <x:c r="P70" s="1">
        <x:f t="shared" si="38"/>
        <x:v>0.39813428476767748</x:v>
      </x:c>
      <x:c r="Q70" s="1">
        <x:f t="shared" si="39"/>
        <x:v>0.19906714238383871</x:v>
      </x:c>
      <x:c r="R70" s="1">
        <x:f t="shared" si="40"/>
        <x:v>7.2782348407354813E-2</x:v>
      </x:c>
      <x:c r="S70" s="1">
        <x:f t="shared" si="41"/>
        <x:v>9.4036641849470793E-3</x:v>
      </x:c>
      <x:c r="W70" s="1"/>
      <x:c r="X70" s="1"/>
      <x:c r="Y70" s="1"/>
      <x:c r="AA70" s="1"/>
      <x:c r="AB70" s="1"/>
      <x:c r="AC70" s="1"/>
      <x:c r="AD70" s="1">
        <x:v>3000</x:v>
      </x:c>
      <x:c r="AE70" s="1">
        <x:v>0.67800000000000005</x:v>
      </x:c>
      <x:c r="AF70" s="1">
        <x:v>90</x:v>
      </x:c>
      <x:c r="AG70" s="1">
        <x:v>314.15926535897898</x:v>
      </x:c>
      <x:c r="AH70" s="1">
        <x:v>11.339852304375601</x:v>
      </x:c>
      <x:c r="AI70" s="1">
        <x:v>1.09324320607487E-2</x:v>
      </x:c>
      <x:c r="AJ70" s="1">
        <x:v>1.09324320607487E-2</x:v>
      </x:c>
      <x:c r="AK70" s="1">
        <x:v>7.3258917640604798E-2</x:v>
      </x:c>
      <x:c r="AL70" s="1">
        <x:v>7.3258917640604798E-2</x:v>
      </x:c>
      <x:c r="AM70" s="1">
        <x:v>1.2</x:v>
      </x:c>
      <x:c r="AN70" s="2">
        <x:v>8.6711302573756502E-19</x:v>
      </x:c>
      <x:c r="AO70" s="1">
        <x:v>1.41610303695936E-2</x:v>
      </x:c>
      <x:c r="AP70" s="1">
        <x:v>11</x:v>
      </x:c>
      <x:c r="AQ70" s="1" t="b">
        <x:v>1</x:v>
      </x:c>
      <x:c r="AR70" s="1">
        <x:v>-22.427835268051702</x:v>
      </x:c>
      <x:c r="AS70" s="1">
        <x:v>10.8859431052785</x:v>
      </x:c>
      <x:c r="AT70">
        <x:f t="shared" si="42"/>
        <x:v>8.4743498979333753E-2</x:v>
      </x:c>
      <x:c r="AU70">
        <x:f t="shared" si="43"/>
        <x:v>4.4488188976377963E-2</x:v>
      </x:c>
    </x:row>
    <x:row r="71">
      <x:c r="A71" s="1">
        <x:v>-5.4756855481231197</x:v>
      </x:c>
      <x:c r="B71" s="1">
        <x:v>3110.3271833147301</x:v>
      </x:c>
      <x:c r="C71" s="1">
        <x:v>1093.72119815668</x:v>
      </x:c>
      <x:c r="D71" s="1">
        <x:f t="shared" si="30"/>
        <x:v>8.2135283221846791</x:v>
      </x:c>
      <x:c r="E71" s="1">
        <x:f t="shared" si="31"/>
        <x:v>44.974698332886582</x:v>
      </x:c>
      <x:c r="F71" s="1">
        <x:f t="shared" si="32"/>
        <x:v>0.34655224109928551</x:v>
      </x:c>
      <x:c r="G71" s="1">
        <x:f t="shared" si="33"/>
        <x:v>0.17327612054964273</x:v>
      </x:c>
      <x:c r="H71" s="1">
        <x:f t="shared" si="34"/>
        <x:v>7.284590081937109E-2</x:v>
      </x:c>
      <x:c r="I71" s="1">
        <x:f t="shared" si="35"/>
        <x:v>9.4118753179184902E-3</x:v>
      </x:c>
      <x:c r="K71" s="1">
        <x:v>-5.4608309202724001</x:v>
      </x:c>
      <x:c r="L71" s="1">
        <x:v>3043.0836588541601</x:v>
      </x:c>
      <x:c r="M71" s="1">
        <x:v>1066.2685185185101</x:v>
      </x:c>
      <x:c r="N71" s="1">
        <x:f t="shared" si="36"/>
        <x:v>8.1912463804086002</x:v>
      </x:c>
      <x:c r="O71" s="1">
        <x:f t="shared" si="37"/>
        <x:v>44.731011509704665</x:v>
      </x:c>
      <x:c r="P71" s="1">
        <x:f t="shared" si="38"/>
        <x:v>0.3532491502365801</x:v>
      </x:c>
      <x:c r="Q71" s="1">
        <x:f t="shared" si="39"/>
        <x:v>0.17662457511829002</x:v>
      </x:c>
      <x:c r="R71" s="1">
        <x:f t="shared" si="40"/>
        <x:v>7.4114414738494436E-2</x:v>
      </x:c>
      <x:c r="S71" s="1">
        <x:f t="shared" si="41"/>
        <x:v>9.5757705366135999E-3</x:v>
      </x:c>
      <x:c r="W71" s="1"/>
      <x:c r="X71" s="1"/>
      <x:c r="Y71" s="1"/>
      <x:c r="AA71" s="1"/>
      <x:c r="AB71" s="1"/>
      <x:c r="AC71" s="1"/>
      <x:c r="AD71" s="1">
        <x:v>3000</x:v>
      </x:c>
      <x:c r="AE71" s="1">
        <x:v>1.3560000000000001</x:v>
      </x:c>
      <x:c r="AF71" s="1">
        <x:v>90</x:v>
      </x:c>
      <x:c r="AG71" s="1">
        <x:v>314.15926535897898</x:v>
      </x:c>
      <x:c r="AH71" s="1">
        <x:v>11.5632737734924</x:v>
      </x:c>
      <x:c r="AI71" s="1">
        <x:v>1.1147826403326601E-2</x:v>
      </x:c>
      <x:c r="AJ71" s="1">
        <x:v>1.1147826403326601E-2</x:v>
      </x:c>
      <x:c r="AK71" s="1">
        <x:v>7.2022570532201097E-2</x:v>
      </x:c>
      <x:c r="AL71" s="1">
        <x:v>7.2022570532201097E-2</x:v>
      </x:c>
      <x:c r="AM71" s="1">
        <x:v>1.2</x:v>
      </x:c>
      <x:c r="AN71" s="2">
        <x:v>1.73422605147513E-18</x:v>
      </x:c>
      <x:c r="AO71" s="1">
        <x:v>2.8322060739187201E-2</x:v>
      </x:c>
      <x:c r="AP71" s="1">
        <x:v>10</x:v>
      </x:c>
      <x:c r="AQ71" s="1" t="b">
        <x:v>1</x:v>
      </x:c>
      <x:c r="AR71" s="1">
        <x:v>-23.780326452023999</x:v>
      </x:c>
      <x:c r="AS71" s="1">
        <x:v>11.072017249382499</x:v>
      </x:c>
      <x:c r="AT71">
        <x:f t="shared" si="42"/>
        <x:v>8.6413143039225995E-2</x:v>
      </x:c>
      <x:c r="AU71">
        <x:f t="shared" si="43"/>
        <x:v>8.8976377952755925E-2</x:v>
      </x:c>
    </x:row>
    <x:row r="72">
      <x:c r="A72" s="1">
        <x:v>-4.79321375969917</x:v>
      </x:c>
      <x:c r="B72" s="1">
        <x:v>3084.0563836348601</x:v>
      </x:c>
      <x:c r="C72" s="1">
        <x:v>1102.50670241286</x:v>
      </x:c>
      <x:c r="D72" s="1">
        <x:f t="shared" si="30"/>
        <x:v>7.1898206395487545</x:v>
      </x:c>
      <x:c r="E72" s="1">
        <x:f t="shared" si="31"/>
        <x:v>34.462347219254177</x:v>
      </x:c>
      <x:c r="F72" s="1">
        <x:f t="shared" si="32"/>
        <x:v>0.30594317947480337</x:v>
      </x:c>
      <x:c r="G72" s="1">
        <x:f t="shared" si="33"/>
        <x:v>0.15297158973740166</x:v>
      </x:c>
      <x:c r="H72" s="1">
        <x:f t="shared" si="34"/>
        <x:v>7.4711153469757499E-2</x:v>
      </x:c>
      <x:c r="I72" s="1">
        <x:f t="shared" si="35"/>
        <x:v>9.6528706956183919E-3</x:v>
      </x:c>
      <x:c r="K72" s="1">
        <x:v>-4.7945678142400796</x:v>
      </x:c>
      <x:c r="L72" s="1">
        <x:v>3062.5794270833298</x:v>
      </x:c>
      <x:c r="M72" s="1">
        <x:v>1081.3525179856099</x:v>
      </x:c>
      <x:c r="N72" s="1">
        <x:f t="shared" si="36"/>
        <x:v>7.1918517213601199</x:v>
      </x:c>
      <x:c r="O72" s="1">
        <x:f t="shared" si="37"/>
        <x:v>34.481820788020343</x:v>
      </x:c>
      <x:c r="P72" s="1">
        <x:f t="shared" si="38"/>
        <x:v>0.30817570101590158</x:v>
      </x:c>
      <x:c r="Q72" s="1">
        <x:f t="shared" si="39"/>
        <x:v>0.15408785050795079</x:v>
      </x:c>
      <x:c r="R72" s="1">
        <x:f t="shared" si="40"/>
        <x:v>7.4251425120086867E-2</x:v>
      </x:c>
      <x:c r="S72" s="1">
        <x:f t="shared" si="41"/>
        <x:v>9.5934726257401511E-3</x:v>
      </x:c>
      <x:c r="W72" s="1"/>
      <x:c r="X72" s="1"/>
      <x:c r="Y72" s="1"/>
      <x:c r="AA72" s="1"/>
      <x:c r="AB72" s="1"/>
      <x:c r="AC72" s="1"/>
      <x:c r="AD72" s="1">
        <x:v>3000</x:v>
      </x:c>
      <x:c r="AE72" s="1">
        <x:v>2.0339999999999998</x:v>
      </x:c>
      <x:c r="AF72" s="1">
        <x:v>90</x:v>
      </x:c>
      <x:c r="AG72" s="1">
        <x:v>314.15926535897898</x:v>
      </x:c>
      <x:c r="AH72" s="1">
        <x:v>11.903655967429801</x:v>
      </x:c>
      <x:c r="AI72" s="1">
        <x:v>1.14759792848658E-2</x:v>
      </x:c>
      <x:c r="AJ72" s="1">
        <x:v>1.14759792848658E-2</x:v>
      </x:c>
      <x:c r="AK72" s="1">
        <x:v>7.0043654716332296E-2</x:v>
      </x:c>
      <x:c r="AL72" s="1">
        <x:v>7.0043654716332296E-2</x:v>
      </x:c>
      <x:c r="AM72" s="1">
        <x:v>1.2</x:v>
      </x:c>
      <x:c r="AN72" s="2">
        <x:v>2.6013390772126901E-18</x:v>
      </x:c>
      <x:c r="AO72" s="1">
        <x:v>4.2483091108780902E-2</x:v>
      </x:c>
      <x:c r="AP72" s="1">
        <x:v>9</x:v>
      </x:c>
      <x:c r="AQ72" s="1" t="b">
        <x:v>1</x:v>
      </x:c>
      <x:c r="AR72" s="1">
        <x:v>-25.664921703068501</x:v>
      </x:c>
      <x:c r="AS72" s="1">
        <x:v>11.385643959644399</x:v>
      </x:c>
      <x:c r="AT72">
        <x:f t="shared" si="42"/>
        <x:v>8.8956842668663993E-2</x:v>
      </x:c>
      <x:c r="AU72">
        <x:f t="shared" si="43"/>
        <x:v>0.13346456692913383</x:v>
      </x:c>
    </x:row>
    <x:row r="73">
      <x:c r="A73" s="1">
        <x:v>-4.1145538016210601</x:v>
      </x:c>
      <x:c r="B73" s="1">
        <x:v>3087.4683634440098</x:v>
      </x:c>
      <x:c r="C73" s="1">
        <x:v>1097.7836134453701</x:v>
      </x:c>
      <x:c r="D73" s="1">
        <x:f t="shared" si="30"/>
        <x:v>6.1718307024315902</x:v>
      </x:c>
      <x:c r="E73" s="1">
        <x:f t="shared" si="31"/>
        <x:v>25.394329479651475</x:v>
      </x:c>
      <x:c r="F73" s="1">
        <x:f t="shared" si="32"/>
        <x:v>0.26233516927399131</x:v>
      </x:c>
      <x:c r="G73" s="1">
        <x:f t="shared" si="33"/>
        <x:v>0.13116758463699563</x:v>
      </x:c>
      <x:c r="H73" s="1">
        <x:f t="shared" si="34"/>
        <x:v>7.4214117489030909E-2</x:v>
      </x:c>
      <x:c r="I73" s="1">
        <x:f t="shared" si="35"/>
        <x:v>9.5886523850957778E-3</x:v>
      </x:c>
      <x:c r="K73" s="1">
        <x:v>-4.1183700229397999</x:v>
      </x:c>
      <x:c r="L73" s="1">
        <x:v>3032.8218750000001</x:v>
      </x:c>
      <x:c r="M73" s="1">
        <x:v>1072.8129675810401</x:v>
      </x:c>
      <x:c r="N73" s="1">
        <x:f t="shared" si="36"/>
        <x:v>6.1775550344096999</x:v>
      </x:c>
      <x:c r="O73" s="1">
        <x:f t="shared" si="37"/>
        <x:v>25.441457468773748</x:v>
      </x:c>
      <x:c r="P73" s="1">
        <x:f t="shared" si="38"/>
        <x:v>0.26730971808926973</x:v>
      </x:c>
      <x:c r="Q73" s="1">
        <x:f t="shared" si="39"/>
        <x:v>0.13365485904463484</x:v>
      </x:c>
      <x:c r="R73" s="1">
        <x:f t="shared" si="40"/>
        <x:v>7.509356251625135E-2</x:v>
      </x:c>
      <x:c r="S73" s="1">
        <x:f t="shared" si="41"/>
        <x:v>9.7022789152376235E-3</x:v>
      </x:c>
      <x:c r="W73" s="1"/>
      <x:c r="X73" s="1"/>
      <x:c r="Y73" s="1"/>
      <x:c r="AA73" s="1"/>
      <x:c r="AB73" s="1"/>
      <x:c r="AC73" s="1"/>
      <x:c r="AD73" s="1">
        <x:v>3000</x:v>
      </x:c>
      <x:c r="AE73" s="1">
        <x:v>2.7120000000000002</x:v>
      </x:c>
      <x:c r="AF73" s="1">
        <x:v>90</x:v>
      </x:c>
      <x:c r="AG73" s="1">
        <x:v>314.15926535897898</x:v>
      </x:c>
      <x:c r="AH73" s="1">
        <x:v>12.336447529408099</x:v>
      </x:c>
      <x:c r="AI73" s="1">
        <x:v>1.1893221434128E-2</x:v>
      </x:c>
      <x:c r="AJ73" s="1">
        <x:v>1.1893221434128E-2</x:v>
      </x:c>
      <x:c r="AK73" s="1">
        <x:v>6.7490299748019497E-2</x:v>
      </x:c>
      <x:c r="AL73" s="1">
        <x:v>6.7490299748019497E-2</x:v>
      </x:c>
      <x:c r="AM73" s="1">
        <x:v>1.2</x:v>
      </x:c>
      <x:c r="AN73" s="2">
        <x:v>3.4684521029502601E-18</x:v>
      </x:c>
      <x:c r="AO73" s="1">
        <x:v>5.6644121478374498E-2</x:v>
      </x:c>
      <x:c r="AP73" s="1">
        <x:v>7</x:v>
      </x:c>
      <x:c r="AQ73" s="1" t="b">
        <x:v>1</x:v>
      </x:c>
      <x:c r="AR73" s="1">
        <x:v>-28.0000081232463</x:v>
      </x:c>
      <x:c r="AS73" s="1">
        <x:v>11.786721105635699</x:v>
      </x:c>
      <x:c r="AT73">
        <x:f t="shared" si="42"/>
        <x:v>9.2191123883827997E-2</x:v>
      </x:c>
      <x:c r="AU73">
        <x:f t="shared" si="43"/>
        <x:v>0.17795275590551185</x:v>
      </x:c>
    </x:row>
    <x:row r="74">
      <x:c r="A74" s="1">
        <x:v>-3.43174775342146</x:v>
      </x:c>
      <x:c r="B74" s="1">
        <x:v>3096.84032185872</x:v>
      </x:c>
      <x:c r="C74" s="1">
        <x:v>1119.53541666666</x:v>
      </x:c>
      <x:c r="D74" s="1">
        <x:f t="shared" si="30"/>
        <x:v>5.14762163013219</x:v>
      </x:c>
      <x:c r="E74" s="1">
        <x:f t="shared" si="31"/>
        <x:v>17.665338964669857</x:v>
      </x:c>
      <x:c r="F74" s="1">
        <x:f t="shared" si="32"/>
        <x:v>0.21813875632352533</x:v>
      </x:c>
      <x:c r="G74" s="1">
        <x:f t="shared" si="33"/>
        <x:v>0.10906937816176264</x:v>
      </x:c>
      <x:c r="H74" s="1">
        <x:f t="shared" si="34"/>
        <x:v>7.5285366717304555E-2</x:v>
      </x:c>
      <x:c r="I74" s="1">
        <x:f t="shared" si="35"/>
        <x:v>9.7270605049421966E-3</x:v>
      </x:c>
      <x:c r="K74" s="1">
        <x:v>-3.4345954055184702</x:v>
      </x:c>
      <x:c r="L74" s="1">
        <x:v>3054.4789706143401</x:v>
      </x:c>
      <x:c r="M74" s="1">
        <x:v>1097.6479820627801</x:v>
      </x:c>
      <x:c r="N74" s="1">
        <x:f t="shared" si="36"/>
        <x:v>5.1518931082777053</x:v>
      </x:c>
      <x:c r="O74" s="1">
        <x:f t="shared" si="37"/>
        <x:v>17.694668399412876</x:v>
      </x:c>
      <x:c r="P74" s="1">
        <x:f t="shared" si="38"/>
        <x:v>0.22134755691025229</x:v>
      </x:c>
      <x:c r="Q74" s="1">
        <x:f t="shared" si="39"/>
        <x:v>0.11067377845512612</x:v>
      </x:c>
      <x:c r="R74" s="1">
        <x:f t="shared" si="40"/>
        <x:v>7.5816107881901434E-2</x:v>
      </x:c>
      <x:c r="S74" s="1">
        <x:f t="shared" si="41"/>
        <x:v>9.7956336107873562E-3</x:v>
      </x:c>
      <x:c r="W74" s="1"/>
      <x:c r="X74" s="1"/>
      <x:c r="Y74" s="1"/>
      <x:c r="AA74" s="1"/>
      <x:c r="AB74" s="1"/>
      <x:c r="AC74" s="1"/>
      <x:c r="AD74" s="1">
        <x:v>3000</x:v>
      </x:c>
      <x:c r="AE74" s="1">
        <x:v>3.39</x:v>
      </x:c>
      <x:c r="AF74" s="1">
        <x:v>90</x:v>
      </x:c>
      <x:c r="AG74" s="1">
        <x:v>314.15926535897898</x:v>
      </x:c>
      <x:c r="AH74" s="1">
        <x:v>12.8357740244693</x:v>
      </x:c>
      <x:c r="AI74" s="1">
        <x:v>1.2374608037486299E-2</x:v>
      </x:c>
      <x:c r="AJ74" s="1">
        <x:v>1.2374608037486299E-2</x:v>
      </x:c>
      <x:c r="AK74" s="1">
        <x:v>6.4568707057203495E-2</x:v>
      </x:c>
      <x:c r="AL74" s="1">
        <x:v>6.4568707057203495E-2</x:v>
      </x:c>
      <x:c r="AM74" s="1">
        <x:v>1.2</x:v>
      </x:c>
      <x:c r="AN74" s="2">
        <x:v>4.3355651286878197E-18</x:v>
      </x:c>
      <x:c r="AO74" s="1">
        <x:v>7.0805151847968206E-2</x:v>
      </x:c>
      <x:c r="AP74" s="1">
        <x:v>5</x:v>
      </x:c>
      <x:c r="AQ74" s="1" t="b">
        <x:v>1</x:v>
      </x:c>
      <x:c r="AR74" s="1">
        <x:v>-30.928064607528999</x:v>
      </x:c>
      <x:c r="AS74" s="1">
        <x:v>12.241145344802201</x:v>
      </x:c>
      <x:c r="AT74">
        <x:f t="shared" si="42"/>
        <x:v>9.5922625246349633E-2</x:v>
      </x:c>
      <x:c r="AU74">
        <x:f t="shared" si="43"/>
        <x:v>0.22244094488188976</x:v>
      </x:c>
    </x:row>
    <x:row r="75">
      <x:c r="A75" s="1">
        <x:v>-2.7498259001308001</x:v>
      </x:c>
      <x:c r="B75" s="1">
        <x:v>3064.4293212890602</x:v>
      </x:c>
      <x:c r="C75" s="1">
        <x:v>1137.2790055248599</x:v>
      </x:c>
      <x:c r="D75" s="1">
        <x:f t="shared" si="30"/>
        <x:v>4.1247388501962003</x:v>
      </x:c>
      <x:c r="E75" s="1">
        <x:f t="shared" si="31"/>
        <x:v>11.342313721545247</x:v>
      </x:c>
      <x:c r="F75" s="1">
        <x:f t="shared" si="32"/>
        <x:v>0.17664114727295099</x:v>
      </x:c>
      <x:c r="G75" s="1">
        <x:f t="shared" si="33"/>
        <x:v>8.8320573636475469E-2</x:v>
      </x:c>
      <x:c r="H75" s="1">
        <x:f t="shared" si="34"/>
        <x:v>7.8152376264963672E-2</x:v>
      </x:c>
      <x:c r="I75" s="1">
        <x:f t="shared" si="35"/>
        <x:v>1.0097485416904766E-2</x:v>
      </x:c>
      <x:c r="K75" s="1">
        <x:v>-2.7513385693232202</x:v>
      </x:c>
      <x:c r="L75" s="1">
        <x:v>3025.2225864955299</x:v>
      </x:c>
      <x:c r="M75" s="1">
        <x:v>1118.68171021377</x:v>
      </x:c>
      <x:c r="N75" s="1">
        <x:f t="shared" si="36"/>
        <x:v>4.1270078539848303</x:v>
      </x:c>
      <x:c r="O75" s="1">
        <x:f t="shared" si="37"/>
        <x:v>11.354795884568315</x:v>
      </x:c>
      <x:c r="P75" s="1">
        <x:f t="shared" si="38"/>
        <x:v>0.17902883675175726</x:v>
      </x:c>
      <x:c r="Q75" s="1">
        <x:f t="shared" si="39"/>
        <x:v>8.9514418375878618E-2</x:v>
      </x:c>
      <x:c r="R75" s="1">
        <x:f t="shared" si="40"/>
        <x:v>7.8829597652472924E-2</x:v>
      </x:c>
      <x:c r="S75" s="1">
        <x:f t="shared" si="41"/>
        <x:v>1.018498413941586E-2</x:v>
      </x:c>
      <x:c r="W75" s="1"/>
      <x:c r="X75" s="1"/>
      <x:c r="Y75" s="1"/>
      <x:c r="AA75" s="1"/>
      <x:c r="AB75" s="1"/>
      <x:c r="AC75" s="1"/>
      <x:c r="AD75" s="1">
        <x:v>3000</x:v>
      </x:c>
      <x:c r="AE75" s="1">
        <x:v>4.0679999999999996</x:v>
      </x:c>
      <x:c r="AF75" s="1">
        <x:v>90</x:v>
      </x:c>
      <x:c r="AG75" s="1">
        <x:v>314.15926535897898</x:v>
      </x:c>
      <x:c r="AH75" s="1">
        <x:v>13.3685067615523</x:v>
      </x:c>
      <x:c r="AI75" s="1">
        <x:v>1.2888200657422799E-2</x:v>
      </x:c>
      <x:c r="AJ75" s="1">
        <x:v>1.2888200657422799E-2</x:v>
      </x:c>
      <x:c r="AK75" s="1">
        <x:v>6.14538221239571E-2</x:v>
      </x:c>
      <x:c r="AL75" s="1">
        <x:v>6.14538221239571E-2</x:v>
      </x:c>
      <x:c r="AM75" s="1">
        <x:v>1.2</x:v>
      </x:c>
      <x:c r="AN75" s="2">
        <x:v>5.2026781544253901E-18</x:v>
      </x:c>
      <x:c r="AO75" s="1">
        <x:v>8.4966182217561803E-2</x:v>
      </x:c>
      <x:c r="AP75" s="1">
        <x:v>4</x:v>
      </x:c>
      <x:c r="AQ75" s="1" t="b">
        <x:v>1</x:v>
      </x:c>
      <x:c r="AR75" s="1">
        <x:v>-34.691708608995199</x:v>
      </x:c>
      <x:c r="AS75" s="1">
        <x:v>12.735519100552899</x:v>
      </x:c>
      <x:c r="AT75">
        <x:f t="shared" si="42"/>
        <x:v>9.9903773761294209E-2</x:v>
      </x:c>
      <x:c r="AU75">
        <x:f t="shared" si="43"/>
        <x:v>0.26692913385826766</x:v>
      </x:c>
    </x:row>
    <x:row r="76">
      <x:c r="A76" s="1">
        <x:v>-2.06239189420427</x:v>
      </x:c>
      <x:c r="B76" s="1">
        <x:v>3069.9146484375001</x:v>
      </x:c>
      <x:c r="C76" s="1">
        <x:v>1153.46899224806</x:v>
      </x:c>
      <x:c r="D76" s="1">
        <x:f t="shared" si="30"/>
        <x:v>3.0935878413064053</x:v>
      </x:c>
      <x:c r="E76" s="1">
        <x:f t="shared" si="31"/>
        <x:v>6.3801904879192151</x:v>
      </x:c>
      <x:c r="F76" s="1">
        <x:f t="shared" si="32"/>
        <x:v>0.13224558426927505</x:v>
      </x:c>
      <x:c r="G76" s="1">
        <x:f t="shared" si="33"/>
        <x:v>6.6122792134637509E-2</x:v>
      </x:c>
      <x:c r="H76" s="1">
        <x:f t="shared" si="34"/>
        <x:v>7.9024433579199679E-2</x:v>
      </x:c>
      <x:c r="I76" s="1">
        <x:f t="shared" si="35"/>
        <x:v>1.0210157435774022E-2</x:v>
      </x:c>
      <x:c r="K76" s="1">
        <x:v>-2.0651798237924899</x:v>
      </x:c>
      <x:c r="L76" s="1">
        <x:v>3032.08814538043</x:v>
      </x:c>
      <x:c r="M76" s="1">
        <x:v>1139.67755991285</x:v>
      </x:c>
      <x:c r="N76" s="1">
        <x:f t="shared" si="36"/>
        <x:v>3.0977697356887348</x:v>
      </x:c>
      <x:c r="O76" s="1">
        <x:f t="shared" si="37"/>
        <x:v>6.3974515568993695</x:v>
      </x:c>
      <x:c r="P76" s="1">
        <x:f t="shared" si="38"/>
        <x:v>0.134076399459511</x:v>
      </x:c>
      <x:c r="Q76" s="1">
        <x:f t="shared" si="39"/>
        <x:v>6.7038199729755499E-2</x:v>
      </x:c>
      <x:c r="R76" s="1">
        <x:f t="shared" si="40"/>
        <x:v>8.0003278334449285E-2</x:v>
      </x:c>
      <x:c r="S76" s="1">
        <x:f t="shared" si="41"/>
        <x:v>1.0336626663120825E-2</x:v>
      </x:c>
      <x:c r="W76" s="1"/>
      <x:c r="X76" s="1"/>
      <x:c r="Y76" s="1"/>
      <x:c r="AA76" s="1"/>
      <x:c r="AB76" s="1"/>
      <x:c r="AC76" s="1"/>
      <x:c r="AD76" s="1">
        <x:v>3000</x:v>
      </x:c>
      <x:c r="AE76" s="1">
        <x:v>4.7460000000000004</x:v>
      </x:c>
      <x:c r="AF76" s="1">
        <x:v>90</x:v>
      </x:c>
      <x:c r="AG76" s="1">
        <x:v>314.15926535897898</x:v>
      </x:c>
      <x:c r="AH76" s="1">
        <x:v>13.916037661633499</x:v>
      </x:c>
      <x:c r="AI76" s="1">
        <x:v>1.3416059769308E-2</x:v>
      </x:c>
      <x:c r="AJ76" s="1">
        <x:v>1.3416059769308E-2</x:v>
      </x:c>
      <x:c r="AK76" s="1">
        <x:v>5.8324302198363202E-2</x:v>
      </x:c>
      <x:c r="AL76" s="1">
        <x:v>5.8324302198363202E-2</x:v>
      </x:c>
      <x:c r="AM76" s="1">
        <x:v>1.2</x:v>
      </x:c>
      <x:c r="AN76" s="2">
        <x:v>6.0697911801629598E-18</x:v>
      </x:c>
      <x:c r="AO76" s="1">
        <x:v>9.9127212587155497E-2</x:v>
      </x:c>
      <x:c r="AP76" s="1">
        <x:v>6</x:v>
      </x:c>
      <x:c r="AQ76" s="1" t="b">
        <x:v>1</x:v>
      </x:c>
      <x:c r="AR76" s="1">
        <x:v>-39.710432626258701</x:v>
      </x:c>
      <x:c r="AS76" s="1">
        <x:v>13.252010328539599</x:v>
      </x:c>
      <x:c r="AT76">
        <x:f t="shared" si="42"/>
        <x:v>0.10399550996973418</x:v>
      </x:c>
      <x:c r="AU76">
        <x:f t="shared" si="43"/>
        <x:v>0.31141732283464568</x:v>
      </x:c>
    </x:row>
    <x:row r="77">
      <x:c r="A77" s="1">
        <x:v>-1.3776100984553701</x:v>
      </x:c>
      <x:c r="B77" s="1">
        <x:v>3051.5022141028999</x:v>
      </x:c>
      <x:c r="C77" s="1">
        <x:v>1178.44845360824</x:v>
      </x:c>
      <x:c r="D77" s="1">
        <x:f t="shared" si="30"/>
        <x:v>2.0664151476830552</x:v>
      </x:c>
      <x:c r="E77" s="1">
        <x:f t="shared" si="31"/>
        <x:v>2.8467143750493218</x:v>
      </x:c>
      <x:c r="F77" s="1">
        <x:f t="shared" si="32"/>
        <x:v>8.8868718165699995E-2</x:v>
      </x:c>
      <x:c r="G77" s="1">
        <x:f t="shared" si="33"/>
        <x:v>4.4434359082849977E-2</x:v>
      </x:c>
      <x:c r="H77" s="1">
        <x:f t="shared" si="34"/>
        <x:v>8.1778474673603371E-2</x:v>
      </x:c>
      <x:c r="I77" s="1">
        <x:f t="shared" si="35"/>
        <x:v>1.0565986536785818E-2</x:v>
      </x:c>
      <x:c r="K77" s="1">
        <x:v>-1.38009001607092</x:v>
      </x:c>
      <x:c r="L77" s="1">
        <x:v>3053.0666271391301</x:v>
      </x:c>
      <x:c r="M77" s="1">
        <x:v>1154.9252336448501</x:v>
      </x:c>
      <x:c r="N77" s="1">
        <x:f t="shared" si="36"/>
        <x:v>2.0701350241063801</x:v>
      </x:c>
      <x:c r="O77" s="1">
        <x:f t="shared" si="37"/>
        <x:v>2.8569726786879484</x:v>
      </x:c>
      <x:c r="P77" s="1">
        <x:f t="shared" si="38"/>
        <x:v>8.8983077077703893E-2</x:v>
      </x:c>
      <x:c r="Q77" s="1">
        <x:f t="shared" si="39"/>
        <x:v>4.4491538538851932E-2</x:v>
      </x:c>
      <x:c r="R77" s="1">
        <x:f t="shared" si="40"/>
        <x:v>8.000369914622027E-2</x:v>
      </x:c>
      <x:c r="S77" s="1">
        <x:f t="shared" si="41"/>
        <x:v>1.0336681033069941E-2</x:v>
      </x:c>
      <x:c r="W77" s="1"/>
      <x:c r="X77" s="1"/>
      <x:c r="Y77" s="1"/>
      <x:c r="AA77" s="1"/>
      <x:c r="AB77" s="1"/>
      <x:c r="AC77" s="1"/>
      <x:c r="AD77" s="1">
        <x:v>3000</x:v>
      </x:c>
      <x:c r="AE77" s="1">
        <x:v>5.4240000000000004</x:v>
      </x:c>
      <x:c r="AF77" s="1">
        <x:v>90</x:v>
      </x:c>
      <x:c r="AG77" s="1">
        <x:v>314.15926535897898</x:v>
      </x:c>
      <x:c r="AH77" s="1">
        <x:v>14.459313802923599</x:v>
      </x:c>
      <x:c r="AI77" s="1">
        <x:v>1.3939816988137701E-2</x:v>
      </x:c>
      <x:c r="AJ77" s="1">
        <x:v>1.3939816988137701E-2</x:v>
      </x:c>
      <x:c r="AK77" s="1">
        <x:v>5.5290337188335197E-2</x:v>
      </x:c>
      <x:c r="AL77" s="1">
        <x:v>5.5290337188335197E-2</x:v>
      </x:c>
      <x:c r="AM77" s="1">
        <x:v>1.2</x:v>
      </x:c>
      <x:c r="AN77" s="2">
        <x:v>6.9369042059005202E-18</x:v>
      </x:c>
      <x:c r="AO77" s="1">
        <x:v>0.113288242956749</x:v>
      </x:c>
      <x:c r="AP77" s="1">
        <x:v>7</x:v>
      </x:c>
      <x:c r="AQ77" s="1" t="b">
        <x:v>1</x:v>
      </x:c>
      <x:c r="AR77" s="1">
        <x:v>-46.528850727785198</x:v>
      </x:c>
      <x:c r="AS77" s="1">
        <x:v>13.7479005225899</x:v>
      </x:c>
      <x:c r="AT77">
        <x:f t="shared" si="42"/>
        <x:v>0.10805545007205335</x:v>
      </x:c>
      <x:c r="AU77">
        <x:f t="shared" si="43"/>
        <x:v>0.3559055118110237</x:v>
      </x:c>
    </x:row>
    <x:row r="78">
      <x:c r="A78" s="1">
        <x:v>-0.69182612476768002</x:v>
      </x:c>
      <x:c r="B78" s="1">
        <x:v>3071.6636827256898</x:v>
      </x:c>
      <x:c r="C78" s="1">
        <x:v>1210.9450549450501</x:v>
      </x:c>
      <x:c r="D78" s="1">
        <x:f t="shared" si="30"/>
        <x:v>1.03773918715152</x:v>
      </x:c>
      <x:c r="E78" s="1">
        <x:f t="shared" si="31"/>
        <x:v>0.71793508036659825</x:v>
      </x:c>
      <x:c r="F78" s="1">
        <x:f t="shared" si="32"/>
        <x:v>4.4336313835035751E-2</x:v>
      </x:c>
      <x:c r="G78" s="1">
        <x:f t="shared" si="33"/>
        <x:v>2.2168156917517872E-2</x:v>
      </x:c>
      <x:c r="H78" s="1">
        <x:f t="shared" si="34"/>
        <x:v>8.3016307968403355E-2</x:v>
      </x:c>
      <x:c r="I78" s="1">
        <x:f t="shared" si="35"/>
        <x:v>1.0725917740930221E-2</x:v>
      </x:c>
      <x:c r="K78" s="1">
        <x:v>-0.69335254697964099</x:v>
      </x:c>
      <x:c r="L78" s="1">
        <x:v>3020.2189857219801</x:v>
      </x:c>
      <x:c r="M78" s="1">
        <x:v>1191.98106712564</x:v>
      </x:c>
      <x:c r="N78" s="1">
        <x:f t="shared" si="36"/>
        <x:v>1.0400288204694614</x:v>
      </x:c>
      <x:c r="O78" s="1">
        <x:f t="shared" si="37"/>
        <x:v>0.72110663160473287</x:v>
      </x:c>
      <x:c r="P78" s="1">
        <x:f t="shared" si="38"/>
        <x:v>4.5191001874905108E-2</x:v>
      </x:c>
      <x:c r="Q78" s="1">
        <x:f t="shared" si="39"/>
        <x:v>2.2595500937452551E-2</x:v>
      </x:c>
      <x:c r="R78" s="1">
        <x:f t="shared" si="40"/>
        <x:v>8.4475440752789427E-2</x:v>
      </x:c>
      <x:c r="S78" s="1">
        <x:f t="shared" si="41"/>
        <x:v>1.0914441400936592E-2</x:v>
      </x:c>
      <x:c r="W78" s="1"/>
      <x:c r="X78" s="1"/>
      <x:c r="Y78" s="1"/>
      <x:c r="AA78" s="1"/>
      <x:c r="AB78" s="1"/>
      <x:c r="AC78" s="1"/>
      <x:c r="AD78" s="1">
        <x:v>3000</x:v>
      </x:c>
      <x:c r="AE78" s="1">
        <x:v>6.1020000000000003</x:v>
      </x:c>
      <x:c r="AF78" s="1">
        <x:v>90</x:v>
      </x:c>
      <x:c r="AG78" s="1">
        <x:v>314.15926535897898</x:v>
      </x:c>
      <x:c r="AH78" s="1">
        <x:v>14.9986479842575</x:v>
      </x:c>
      <x:c r="AI78" s="1">
        <x:v>1.4459773874454299E-2</x:v>
      </x:c>
      <x:c r="AJ78" s="1">
        <x:v>1.4459773874454299E-2</x:v>
      </x:c>
      <x:c r="AK78" s="1">
        <x:v>5.2457963816410602E-2</x:v>
      </x:c>
      <x:c r="AL78" s="1">
        <x:v>5.2457963816410498E-2</x:v>
      </x:c>
      <x:c r="AM78" s="1">
        <x:v>1.2</x:v>
      </x:c>
      <x:c r="AN78" s="2">
        <x:v>7.8040172316380906E-18</x:v>
      </x:c>
      <x:c r="AO78" s="1">
        <x:v>0.12744927332634201</x:v>
      </x:c>
      <x:c r="AP78" s="1">
        <x:v>8</x:v>
      </x:c>
      <x:c r="AQ78" s="1" t="b">
        <x:v>1</x:v>
      </x:c>
      <x:c r="AR78" s="1">
        <x:v>-55.902642220138198</x:v>
      </x:c>
      <x:c r="AS78" s="1">
        <x:v>14.205510146997099</x:v>
      </x:c>
      <x:c r="AT78">
        <x:f t="shared" si="42"/>
        <x:v>0.11208593163553544</x:v>
      </x:c>
      <x:c r="AU78">
        <x:f t="shared" si="43"/>
        <x:v>0.40039370078740166</x:v>
      </x:c>
    </x:row>
    <x:row r="79">
      <x:c r="A79" s="1">
        <x:v>-8.1738172729653599E-2</x:v>
      </x:c>
      <x:c r="B79" s="1">
        <x:v>3047.66746012369</x:v>
      </x:c>
      <x:c r="C79" s="1">
        <x:v>1232.3503937007799</x:v>
      </x:c>
      <x:c r="D79" s="1">
        <x:f t="shared" si="30"/>
        <x:v>0.12260725909448039</x:v>
      </x:c>
      <x:c r="E79" s="1">
        <x:f t="shared" si="31"/>
        <x:v>1.0021693321774031E-2</x:v>
      </x:c>
      <x:c r="F79" s="1">
        <x:f t="shared" si="32"/>
        <x:v>5.2795102132180303E-3</x:v>
      </x:c>
      <x:c r="G79" s="1">
        <x:f t="shared" si="33"/>
        <x:v>2.6397551066090152E-3</x:v>
      </x:c>
      <x:c r="H79" s="1">
        <x:f t="shared" si="34"/>
        <x:v>8.5872934940880899E-2</x:v>
      </x:c>
      <x:c r="I79" s="1">
        <x:f t="shared" si="35"/>
        <x:v>1.1095001197821348E-2</x:v>
      </x:c>
      <x:c r="K79" s="1">
        <x:v>-8.7552379904769495E-2</x:v>
      </x:c>
      <x:c r="L79" s="1">
        <x:v>3028.5675142728301</x:v>
      </x:c>
      <x:c r="M79" s="1">
        <x:v>1215.50588235294</x:v>
      </x:c>
      <x:c r="N79" s="1">
        <x:f t="shared" si="36"/>
        <x:v>0.13132856985715424</x:v>
      </x:c>
      <x:c r="O79" s="1">
        <x:f t="shared" si="37"/>
        <x:v>1.1498128840483627E-2</x:v>
      </x:c>
      <x:c r="P79" s="1">
        <x:f t="shared" si="38"/>
        <x:v>5.6907169387745678E-3</x:v>
      </x:c>
      <x:c r="Q79" s="1">
        <x:f t="shared" si="39"/>
        <x:v>2.8453584693872835E-3</x:v>
      </x:c>
      <x:c r="R79" s="1">
        <x:f t="shared" si="40"/>
        <x:v>8.5728928242396821E-2</x:v>
      </x:c>
      <x:c r="S79" s="1">
        <x:f t="shared" si="41"/>
        <x:v>1.1076395166791021E-2</x:v>
      </x:c>
      <x:c r="W79" s="1"/>
      <x:c r="X79" s="1"/>
      <x:c r="Y79" s="1"/>
      <x:c r="AA79" s="1"/>
      <x:c r="AB79" s="1"/>
      <x:c r="AC79" s="1"/>
      <x:c r="AD79" s="1">
        <x:v>3000</x:v>
      </x:c>
      <x:c r="AE79" s="1">
        <x:v>6.78</x:v>
      </x:c>
      <x:c r="AF79" s="1">
        <x:v>90</x:v>
      </x:c>
      <x:c r="AG79" s="1">
        <x:v>314.15926535897898</x:v>
      </x:c>
      <x:c r="AH79" s="1">
        <x:v>15.5210982376946</x:v>
      </x:c>
      <x:c r="AI79" s="1">
        <x:v>1.4963453441658E-2</x:v>
      </x:c>
      <x:c r="AJ79" s="1">
        <x:v>1.4963453441658E-2</x:v>
      </x:c>
      <x:c r="AK79" s="1">
        <x:v>4.9837126090259899E-2</x:v>
      </x:c>
      <x:c r="AL79" s="1">
        <x:v>4.9837126090259899E-2</x:v>
      </x:c>
      <x:c r="AM79" s="1">
        <x:v>1.2</x:v>
      </x:c>
      <x:c r="AN79" s="2">
        <x:v>8.6711302573756502E-18</x:v>
      </x:c>
      <x:c r="AO79" s="1">
        <x:v>0.141610303695936</x:v>
      </x:c>
      <x:c r="AP79" s="1">
        <x:v>9</x:v>
      </x:c>
      <x:c r="AQ79" s="1" t="b">
        <x:v>1</x:v>
      </x:c>
      <x:c r="AR79" s="1">
        <x:v>-68.663421686241193</x:v>
      </x:c>
      <x:c r="AS79" s="1">
        <x:v>14.629986318542199</x:v>
      </x:c>
      <x:c r="AT79">
        <x:f t="shared" si="42"/>
        <x:v>0.11599023844046746</x:v>
      </x:c>
      <x:c r="AU79">
        <x:f t="shared" si="43"/>
        <x:v>0.44488188976377951</x:v>
      </x:c>
    </x:row>
    <x:row r="80">
      <x:c r="A80" s="1">
        <x:v>-5.1986871879886399E-3</x:v>
      </x:c>
      <x:c r="B80" s="1">
        <x:v>0</x:v>
      </x:c>
      <x:c r="C80" s="1">
        <x:v>92.257575757575694</x:v>
      </x:c>
      <x:c r="D80" s="1">
        <x:f t="shared" si="30"/>
        <x:v>7.7980307819829602E-3</x:v>
      </x:c>
      <x:c r="E80" s="1" t="n">
        <x:f>A80*A80*1.5</x:f>
        <x:v>0.000040539522717835846</x:v>
      </x:c>
      <x:c r="F80" s="1" t="e">
        <x:f>D80/(B80/60)/0.4572</x:f>
        <x:v>#DIV/0!</x:v>
      </x:c>
      <x:c r="G80" s="1" t="e">
        <x:f t="shared" si="33"/>
        <x:v>#DIV/0!</x:v>
      </x:c>
      <x:c r="H80" s="1" t="e">
        <x:f t="shared" ref="H80" si="44">(C80-$D$30)/1.205/(B80/60)^2/0.4572^4/1000</x:f>
        <x:v>#DIV/0!</x:v>
      </x:c>
      <x:c r="I80" s="1" t="e">
        <x:f t="shared" si="35"/>
        <x:v>#DIV/0!</x:v>
      </x:c>
      <x:c r="K80" s="1">
        <x:v>-7.4715539034622802E-2</x:v>
      </x:c>
      <x:c r="L80" s="1">
        <x:v>0</x:v>
      </x:c>
      <x:c r="M80" s="1">
        <x:v>89.6691449814126</x:v>
      </x:c>
      <x:c r="N80" s="1">
        <x:f t="shared" si="36"/>
        <x:v>0.1120733085519342</x:v>
      </x:c>
      <x:c r="O80" s="1" t="n">
        <x:f>K80*K80*1.5</x:f>
        <x:v>0.008373617659851366</x:v>
      </x:c>
      <x:c r="P80" s="1" t="e">
        <x:f>N80/(L80/60)/0.4572</x:f>
        <x:v>#DIV/0!</x:v>
      </x:c>
      <x:c r="Q80" s="1" t="e">
        <x:f t="shared" si="39"/>
        <x:v>#DIV/0!</x:v>
      </x:c>
      <x:c r="R80" s="1" t="e">
        <x:f t="shared" ref="R80" si="45">(M80-$D$30)/1.205/(L80/60)^2/0.4572^4/1000</x:f>
        <x:v>#DIV/0!</x:v>
      </x:c>
      <x:c r="S80" s="1" t="e">
        <x:f t="shared" si="41"/>
        <x:v>#DIV/0!</x:v>
      </x:c>
      <x:c r="W80" s="1"/>
      <x:c r="X80" s="1"/>
      <x:c r="Y80" s="1"/>
      <x:c r="AA80" s="1"/>
      <x:c r="AB80" s="1"/>
      <x:c r="AC80" s="1"/>
    </x:row>
    <x:row r="84">
      <x:c r="A84" s="3" t="s">
        <x:v>34</x:v>
      </x:c>
      <x:c r="B84" s="3"/>
      <x:c r="C84" s="3"/>
      <x:c r="K84" s="3" t="s">
        <x:v>35</x:v>
      </x:c>
      <x:c r="L84" s="3"/>
      <x:c r="M84" s="3"/>
      <x:c r="W84" s="3"/>
      <x:c r="X84" s="3"/>
      <x:c r="Y84" s="3"/>
      <x:c r="AA84" s="3"/>
      <x:c r="AB84" s="3"/>
      <x:c r="AC84" s="3"/>
    </x:row>
    <x:row r="85">
      <x:c r="A85" s="1" t="s">
        <x:v>3</x:v>
      </x:c>
      <x:c r="B85" s="1" t="s">
        <x:v>4</x:v>
      </x:c>
      <x:c r="C85" s="1" t="s">
        <x:v>5</x:v>
      </x:c>
      <x:c r="D85" s="1" t="s">
        <x:v>6</x:v>
      </x:c>
      <x:c r="E85" s="1" t="s">
        <x:v>7</x:v>
      </x:c>
      <x:c r="F85" s="1" t="s">
        <x:v>8</x:v>
      </x:c>
      <x:c r="G85" s="1" t="s">
        <x:v>9</x:v>
      </x:c>
      <x:c r="H85" s="1" t="s">
        <x:v>11</x:v>
      </x:c>
      <x:c r="K85" s="1" t="s">
        <x:v>3</x:v>
      </x:c>
      <x:c r="L85" s="1" t="s">
        <x:v>4</x:v>
      </x:c>
      <x:c r="M85" s="1" t="s">
        <x:v>5</x:v>
      </x:c>
      <x:c r="N85" s="1" t="s">
        <x:v>6</x:v>
      </x:c>
      <x:c r="O85" s="1" t="s">
        <x:v>7</x:v>
      </x:c>
      <x:c r="P85" s="1" t="s">
        <x:v>8</x:v>
      </x:c>
      <x:c r="Q85" s="1" t="s">
        <x:v>9</x:v>
      </x:c>
      <x:c r="R85" s="1" t="s">
        <x:v>11</x:v>
      </x:c>
      <x:c r="W85" s="1"/>
      <x:c r="X85" s="1"/>
      <x:c r="Y85" s="1"/>
      <x:c r="AA85" s="1"/>
      <x:c r="AB85" s="1"/>
      <x:c r="AC85" s="1"/>
    </x:row>
    <x:row r="86">
      <x:c r="A86" s="1">
        <x:v>-1.2744145192381401E-2</x:v>
      </x:c>
      <x:c r="B86" s="1">
        <x:v>0</x:v>
      </x:c>
      <x:c r="C86" s="1">
        <x:v>157.79895561357699</x:v>
      </x:c>
      <x:c r="D86" s="1" t="n">
        <x:f>-A86*1.5</x:f>
        <x:v>0.0191162177885721</x:v>
      </x:c>
      <x:c r="E86" s="1" t="n">
        <x:f>A86*A86*1.5</x:f>
        <x:v>0.00024361985502674693</x:v>
      </x:c>
      <x:c r="F86" s="1" t="e">
        <x:f>D86/(B86/60)/0.4572</x:f>
        <x:v>#DIV/0!</x:v>
      </x:c>
      <x:c r="G86" s="1" t="e">
        <x:f>D86*SIN(RADIANS(45))/(B86/60)/0.4572</x:f>
        <x:v>#DIV/0!</x:v>
      </x:c>
      <x:c r="H86" s="1" t="e">
        <x:f>(C86-$C$86)*9.8/1.205/(B86/60)^2/0.4572^4/1000</x:f>
        <x:v>#DIV/0!</x:v>
      </x:c>
      <x:c r="K86" s="1">
        <x:v>-1.30758408714479E-2</x:v>
      </x:c>
      <x:c r="L86" s="1">
        <x:v>0</x:v>
      </x:c>
      <x:c r="M86" s="1">
        <x:v>157.34146341463401</x:v>
      </x:c>
      <x:c r="N86" s="1" t="n">
        <x:f>-K86*1.5</x:f>
        <x:v>0.01961376130717185</x:v>
      </x:c>
      <x:c r="O86" s="1" t="n">
        <x:f>K86*K86*1.5</x:f>
        <x:v>0.00025646642174314107</x:v>
      </x:c>
      <x:c r="P86" s="1" t="e">
        <x:f>N86/(L86/60)/0.4572</x:f>
        <x:v>#DIV/0!</x:v>
      </x:c>
      <x:c r="Q86" s="1" t="e">
        <x:f>N86*SIN(RADIANS(45))/(L86/60)/0.4572</x:f>
        <x:v>#DIV/0!</x:v>
      </x:c>
      <x:c r="R86" s="1" t="e">
        <x:f>(M86-$C$86)*9.8/1.205/(L86/60)^2/0.4572^4/1000</x:f>
        <x:v>#DIV/0!</x:v>
      </x:c>
      <x:c r="W86" s="1"/>
      <x:c r="X86" s="1"/>
      <x:c r="Y86" s="1"/>
      <x:c r="AA86" s="1"/>
      <x:c r="AB86" s="1"/>
      <x:c r="AC86" s="1"/>
    </x:row>
    <x:row r="87">
      <x:c r="A87" s="1">
        <x:v>-4.4616661213624897E-2</x:v>
      </x:c>
      <x:c r="B87" s="1">
        <x:v>3043.6531943044301</x:v>
      </x:c>
      <x:c r="C87" s="1">
        <x:v>1308.0592948717899</x:v>
      </x:c>
      <x:c r="D87" s="1" t="n">
        <x:f t="shared" ref="D87:D108" si="46">-A87*1.5</x:f>
        <x:v>0.06692499182043735</x:v>
      </x:c>
      <x:c r="E87" s="1" t="n">
        <x:f t="shared" ref="E87:E107" si="47">A87*A87*1.5</x:f>
        <x:v>0.0029859696867770708</x:v>
      </x:c>
      <x:c r="F87" s="1" t="n">
        <x:f t="shared" ref="F87:F107" si="48">D87/(B87/60)/0.4572</x:f>
        <x:v>0.002885613690137867</x:v>
      </x:c>
      <x:c r="G87" s="1" t="n">
        <x:f t="shared" ref="G87:G108" si="49">D87*SIN(RADIANS(45))/(B87/60)/0.4572</x:f>
        <x:v>0.002040437008181222</x:v>
      </x:c>
      <x:c r="H87" s="1" t="n">
        <x:f t="shared" ref="H87:H108" si="50">(C87-$C$86)*9.8/1.205/(B87/60)^2/0.4572^4/1000</x:f>
        <x:v>0.0831998334453332</x:v>
      </x:c>
      <x:c r="K87" s="1">
        <x:v>-5.5240327611756602E-2</x:v>
      </x:c>
      <x:c r="L87" s="1">
        <x:v>3124.27589448969</x:v>
      </x:c>
      <x:c r="M87" s="1">
        <x:v>1364.6527777777701</x:v>
      </x:c>
      <x:c r="N87" s="1" t="n">
        <x:f t="shared" ref="N87:N108" si="51">-K87*1.5</x:f>
        <x:v>0.08286049141763491</x:v>
      </x:c>
      <x:c r="O87" s="1" t="n">
        <x:f t="shared" ref="O87:O107" si="52">K87*K87*1.5</x:f>
        <x:v>0.004577240691981298</x:v>
      </x:c>
      <x:c r="P87" s="1" t="n">
        <x:f t="shared" ref="P87:P107" si="53">N87/(L87/60)/0.4572</x:f>
        <x:v>0.003480512158901672</x:v>
      </x:c>
      <x:c r="Q87" s="1" t="n">
        <x:f t="shared" ref="Q87:Q108" si="54">N87*SIN(RADIANS(45))/(L87/60)/0.4572</x:f>
        <x:v>0.002461093749561603</x:v>
      </x:c>
      <x:c r="R87" s="1" t="n">
        <x:f t="shared" ref="R87:R108" si="55">(M87-$C$86)*9.8/1.205/(L87/60)^2/0.4572^4/1000</x:f>
        <x:v>0.08284619311359463</x:v>
      </x:c>
      <x:c r="W87" s="1"/>
      <x:c r="X87" s="1"/>
      <x:c r="Y87" s="1"/>
      <x:c r="AA87" s="1"/>
      <x:c r="AB87" s="1"/>
      <x:c r="AC87" s="1"/>
    </x:row>
    <x:row r="88">
      <x:c r="A88" s="1">
        <x:v>-0.66751480883764902</x:v>
      </x:c>
      <x:c r="B88" s="1">
        <x:v>3039.7094190644002</x:v>
      </x:c>
      <x:c r="C88" s="1">
        <x:v>1260.30097087378</x:v>
      </x:c>
      <x:c r="D88" s="1">
        <x:f t="shared" si="46"/>
        <x:v>1.0012722132564735</x:v>
      </x:c>
      <x:c r="E88" s="1">
        <x:f t="shared" si="47"/>
        <x:v>0.6683640300263447</x:v>
      </x:c>
      <x:c r="F88" s="1">
        <x:f t="shared" si="48"/>
        <x:v>4.3227998076619166E-2</x:v>
      </x:c>
      <x:c r="G88" s="1">
        <x:f t="shared" si="49"/>
        <x:v>3.0566810577096443E-2</x:v>
      </x:c>
      <x:c r="H88" s="1">
        <x:f t="shared" si="50"/>
        <x:v>7.9952472041741982E-2</x:v>
      </x:c>
      <x:c r="K88" s="1">
        <x:v>-0.67612033671346194</x:v>
      </x:c>
      <x:c r="L88" s="1">
        <x:v>3107.6640167236301</x:v>
      </x:c>
      <x:c r="M88" s="1">
        <x:v>1331.0234375</x:v>
      </x:c>
      <x:c r="N88" s="1">
        <x:f t="shared" si="51"/>
        <x:v>1.0141805050701929</x:v>
      </x:c>
      <x:c r="O88" s="1">
        <x:f t="shared" si="52"/>
        <x:v>0.68570806457628775</x:v>
      </x:c>
      <x:c r="P88" s="1">
        <x:f t="shared" si="53"/>
        <x:v>4.2827845531214728E-2</x:v>
      </x:c>
      <x:c r="Q88" s="1">
        <x:f t="shared" si="54"/>
        <x:v>3.0283859998731903E-2</x:v>
      </x:c>
      <x:c r="R88" s="1">
        <x:f t="shared" si="55"/>
        <x:v>8.1400981452477539E-2</x:v>
      </x:c>
      <x:c r="W88" s="1"/>
      <x:c r="X88" s="1"/>
      <x:c r="Y88" s="1"/>
      <x:c r="AA88" s="1"/>
      <x:c r="AB88" s="1"/>
      <x:c r="AC88" s="1"/>
    </x:row>
    <x:row r="89">
      <x:c r="A89" s="1">
        <x:v>-1.3610062128967699</x:v>
      </x:c>
      <x:c r="B89" s="1">
        <x:v>3036.4217936197902</x:v>
      </x:c>
      <x:c r="C89" s="1">
        <x:v>1214.1307371349001</x:v>
      </x:c>
      <x:c r="D89" s="1">
        <x:f t="shared" si="46"/>
        <x:v>2.0415093193451548</x:v>
      </x:c>
      <x:c r="E89" s="1">
        <x:f t="shared" si="47"/>
        <x:v>2.7785068673154116</x:v>
      </x:c>
      <x:c r="F89" s="1">
        <x:f t="shared" si="48"/>
        <x:v>8.8233660224971408E-2</x:v>
      </x:c>
      <x:c r="G89" s="1">
        <x:f t="shared" si="49"/>
        <x:v>6.2390619473987038E-2</x:v>
      </x:c>
      <x:c r="H89" s="1">
        <x:f t="shared" si="50"/>
        <x:v>7.6770220745545265E-2</x:v>
      </x:c>
      <x:c r="K89" s="1">
        <x:v>-1.36907881965457</x:v>
      </x:c>
      <x:c r="L89" s="1">
        <x:v>3090.60031890869</x:v>
      </x:c>
      <x:c r="M89" s="1">
        <x:v>1275.9796557120501</x:v>
      </x:c>
      <x:c r="N89" s="1">
        <x:f t="shared" si="51"/>
        <x:v>2.053618229481855</x:v>
      </x:c>
      <x:c r="O89" s="1">
        <x:f t="shared" si="52"/>
        <x:v>2.8115652216401261</x:v>
      </x:c>
      <x:c r="P89" s="1">
        <x:f t="shared" si="53"/>
        <x:v>8.720108614742357E-2</x:v>
      </x:c>
      <x:c r="Q89" s="1">
        <x:f t="shared" si="54"/>
        <x:v>6.1660479341675511E-2</x:v>
      </x:c>
      <x:c r="R89" s="1">
        <x:f t="shared" si="55"/>
        <x:v>7.8440968016214682E-2</x:v>
      </x:c>
      <x:c r="W89" s="1"/>
      <x:c r="X89" s="1"/>
      <x:c r="Y89" s="1"/>
      <x:c r="AA89" s="1"/>
      <x:c r="AB89" s="1"/>
      <x:c r="AC89" s="1"/>
    </x:row>
    <x:row r="90">
      <x:c r="A90" s="1">
        <x:v>-2.05043421036157</x:v>
      </x:c>
      <x:c r="B90" s="1">
        <x:v>3046.0305812669799</x:v>
      </x:c>
      <x:c r="C90" s="1">
        <x:v>1164.30277185501</x:v>
      </x:c>
      <x:c r="D90" s="1">
        <x:f t="shared" si="46"/>
        <x:v>3.075651315542355</x:v>
      </x:c>
      <x:c r="E90" s="1">
        <x:f t="shared" si="47"/>
        <x:v>6.3064206765316131</x:v>
      </x:c>
      <x:c r="F90" s="1">
        <x:f t="shared" si="48"/>
        <x:v>0.13250976009549811</x:v>
      </x:c>
      <x:c r="G90" s="1">
        <x:f t="shared" si="49"/>
        <x:v>9.369854993692929E-2</x:v>
      </x:c>
      <x:c r="H90" s="1">
        <x:f t="shared" si="50"/>
        <x:v>7.2688139026293286E-2</x:v>
      </x:c>
      <x:c r="K90" s="1">
        <x:v>-1.9113519703969299</x:v>
      </x:c>
      <x:c r="L90" s="1">
        <x:v>3116.8992187499998</x:v>
      </x:c>
      <x:c r="M90" s="1">
        <x:v>1237.2612085769899</x:v>
      </x:c>
      <x:c r="N90" s="1">
        <x:f t="shared" si="51"/>
        <x:v>2.867027955595395</x:v>
      </x:c>
      <x:c r="O90" s="1">
        <x:f t="shared" si="52"/>
        <x:v>5.4798995321103394</x:v>
      </x:c>
      <x:c r="P90" s="1">
        <x:f t="shared" si="53"/>
        <x:v>0.12071304250392245</x:v>
      </x:c>
      <x:c r="Q90" s="1">
        <x:f t="shared" si="54"/>
        <x:v>8.5357010932183508E-2</x:v>
      </x:c>
      <x:c r="R90" s="1">
        <x:f t="shared" si="55"/>
        <x:v>7.4452379574960606E-2</x:v>
      </x:c>
      <x:c r="W90" s="1"/>
      <x:c r="X90" s="1"/>
      <x:c r="Y90" s="1"/>
      <x:c r="AA90" s="1"/>
      <x:c r="AB90" s="1"/>
      <x:c r="AC90" s="1"/>
    </x:row>
    <x:row r="91">
      <x:c r="A91" s="1">
        <x:v>-2.7408348766200201</x:v>
      </x:c>
      <x:c r="B91" s="1">
        <x:v>3036.1985224970999</x:v>
      </x:c>
      <x:c r="C91" s="1">
        <x:v>1118.42988929889</x:v>
      </x:c>
      <x:c r="D91" s="1">
        <x:f t="shared" si="46"/>
        <x:v>4.11125231493003</x:v>
      </x:c>
      <x:c r="E91" s="1">
        <x:f t="shared" si="47"/>
        <x:v>11.268263731345023</x:v>
      </x:c>
      <x:c r="F91" s="1">
        <x:f t="shared" si="48"/>
        <x:v>0.1777006412900049</x:v>
      </x:c>
      <x:c r="G91" s="1">
        <x:f t="shared" si="49"/>
        <x:v>0.12565332847736066</x:v>
      </x:c>
      <x:c r="H91" s="1">
        <x:f t="shared" si="50"/>
        <x:v>6.9825311352346653E-2</x:v>
      </x:c>
      <x:c r="K91" s="1">
        <x:v>-2.7446989982686101</x:v>
      </x:c>
      <x:c r="L91" s="1">
        <x:v>3113.7244501528498</x:v>
      </x:c>
      <x:c r="M91" s="1">
        <x:v>1175.12127659574</x:v>
      </x:c>
      <x:c r="N91" s="1">
        <x:f t="shared" si="51"/>
        <x:v>4.1170484974029149</x:v>
      </x:c>
      <x:c r="O91" s="1">
        <x:f t="shared" si="52"/>
        <x:v>11.300058886645068</x:v>
      </x:c>
      <x:c r="P91" s="1">
        <x:f t="shared" si="53"/>
        <x:v>0.17352051764657919</x:v>
      </x:c>
      <x:c r="Q91" s="1">
        <x:f t="shared" si="54"/>
        <x:v>0.12269753470289611</x:v>
      </x:c>
      <x:c r="R91" s="1">
        <x:f t="shared" si="55"/>
        <x:v>7.0309638049567746E-2</x:v>
      </x:c>
      <x:c r="W91" s="1"/>
      <x:c r="X91" s="1"/>
      <x:c r="Y91" s="1"/>
      <x:c r="AA91" s="1"/>
      <x:c r="AB91" s="1"/>
      <x:c r="AC91" s="1"/>
    </x:row>
    <x:row r="92">
      <x:c r="A92" s="1">
        <x:v>-3.4261390651975301</x:v>
      </x:c>
      <x:c r="B92" s="1">
        <x:v>3044.2696024576799</x:v>
      </x:c>
      <x:c r="C92" s="1">
        <x:v>1073.58613445378</x:v>
      </x:c>
      <x:c r="D92" s="1">
        <x:f t="shared" si="46"/>
        <x:v>5.1392085977962951</x:v>
      </x:c>
      <x:c r="E92" s="1">
        <x:f t="shared" si="47"/>
        <x:v>17.607643341108908</x:v>
      </x:c>
      <x:c r="F92" s="1">
        <x:f t="shared" si="48"/>
        <x:v>0.22154306678794139</x:v>
      </x:c>
      <x:c r="G92" s="1">
        <x:f t="shared" si="49"/>
        <x:v>0.15665460485061755</x:v>
      </x:c>
      <x:c r="H92" s="1">
        <x:f t="shared" si="50"/>
        <x:v>6.621326129186822E-2</x:v>
      </x:c>
      <x:c r="K92" s="1">
        <x:v>-3.4270545996672701</x:v>
      </x:c>
      <x:c r="L92" s="1">
        <x:v>3117.5763898577002</x:v>
      </x:c>
      <x:c r="M92" s="1">
        <x:v>1133.51504424778</x:v>
      </x:c>
      <x:c r="N92" s="1">
        <x:f t="shared" si="51"/>
        <x:v>5.1405818995009049</x:v>
      </x:c>
      <x:c r="O92" s="1">
        <x:f t="shared" si="52"/>
        <x:v>17.617054843650887</x:v>
      </x:c>
      <x:c r="P92" s="1">
        <x:f t="shared" si="53"/>
        <x:v>0.21639150507211435</x:v>
      </x:c>
      <x:c r="Q92" s="1">
        <x:f t="shared" si="54"/>
        <x:v>0.15301190062765521</x:v>
      </x:c>
      <x:c r="R92" s="1">
        <x:f t="shared" si="55"/>
        <x:v>6.7267595076937692E-2</x:v>
      </x:c>
      <x:c r="W92" s="1"/>
      <x:c r="X92" s="1"/>
      <x:c r="Y92" s="1"/>
      <x:c r="AA92" s="1"/>
      <x:c r="AB92" s="1"/>
      <x:c r="AC92" s="1"/>
    </x:row>
    <x:row r="93">
      <x:c r="A93" s="1">
        <x:v>-4.1101531846736501</x:v>
      </x:c>
      <x:c r="B93" s="1">
        <x:v>3057.5072530110601</x:v>
      </x:c>
      <x:c r="C93" s="1">
        <x:v>1033.41547861507</x:v>
      </x:c>
      <x:c r="D93" s="1">
        <x:f t="shared" si="46"/>
        <x:v>6.1652297770104756</x:v>
      </x:c>
      <x:c r="E93" s="1">
        <x:f t="shared" si="47"/>
        <x:v>25.34003880222442</x:v>
      </x:c>
      <x:c r="F93" s="1">
        <x:f t="shared" si="48"/>
        <x:v>0.26462251946475646</x:v>
      </x:c>
      <x:c r="G93" s="1">
        <x:f t="shared" si="49"/>
        <x:v>0.18711637796819844</x:v>
      </x:c>
      <x:c r="H93" s="1">
        <x:f t="shared" si="50"/>
        <x:v>6.2761830108100672E-2</x:v>
      </x:c>
      <x:c r="K93" s="1">
        <x:v>-4.1120242815915704</x:v>
      </x:c>
      <x:c r="L93" s="1">
        <x:v>3132.8344615589399</x:v>
      </x:c>
      <x:c r="M93" s="1">
        <x:v>1091.8747203579401</x:v>
      </x:c>
      <x:c r="N93" s="1">
        <x:f t="shared" si="51"/>
        <x:v>6.1680364223873561</x:v>
      </x:c>
      <x:c r="O93" s="1">
        <x:f t="shared" si="52"/>
        <x:v>25.363115538598002</x:v>
      </x:c>
      <x:c r="P93" s="1">
        <x:f t="shared" si="53"/>
        <x:v>0.25837739231702123</x:v>
      </x:c>
      <x:c r="Q93" s="1">
        <x:f t="shared" si="54"/>
        <x:v>0.18270040621266267</x:v>
      </x:c>
      <x:c r="R93" s="1">
        <x:f t="shared" si="55"/>
        <x:v>6.377109172431461E-2</x:v>
      </x:c>
      <x:c r="W93" s="1"/>
      <x:c r="X93" s="1"/>
      <x:c r="Y93" s="1"/>
      <x:c r="AA93" s="1"/>
      <x:c r="AB93" s="1"/>
      <x:c r="AC93" s="1"/>
    </x:row>
    <x:row r="94">
      <x:c r="A94" s="1">
        <x:v>-4.7949262432935704</x:v>
      </x:c>
      <x:c r="B94" s="1">
        <x:v>3063.5602539062502</x:v>
      </x:c>
      <x:c r="C94" s="1">
        <x:v>995.60294117647004</x:v>
      </x:c>
      <x:c r="D94" s="1">
        <x:f t="shared" si="46"/>
        <x:v>7.1923893649403556</x:v>
      </x:c>
      <x:c r="E94" s="1">
        <x:f t="shared" si="47"/>
        <x:v>34.486976517938089</x:v>
      </x:c>
      <x:c r="F94" s="1">
        <x:f t="shared" si="48"/>
        <x:v>0.30810006676221263</x:v>
      </x:c>
      <x:c r="G94" s="1">
        <x:f t="shared" si="49"/>
        <x:v>0.21785964649158854</x:v>
      </x:c>
      <x:c r="H94" s="1">
        <x:f t="shared" si="50"/>
        <x:v>5.9814463515093161E-2</x:v>
      </x:c>
      <x:c r="K94" s="1">
        <x:v>-4.7914365283374103</x:v>
      </x:c>
      <x:c r="L94" s="1">
        <x:v>3156.1059994904799</x:v>
      </x:c>
      <x:c r="M94" s="1">
        <x:v>1048.1400862068899</x:v>
      </x:c>
      <x:c r="N94" s="1">
        <x:f t="shared" si="51"/>
        <x:v>7.1871547925061154</x:v>
      </x:c>
      <x:c r="O94" s="1">
        <x:f t="shared" si="52"/>
        <x:v>34.436796007629084</x:v>
      </x:c>
      <x:c r="P94" s="1">
        <x:f t="shared" si="53"/>
        <x:v>0.29884806376839762</x:v>
      </x:c>
      <x:c r="Q94" s="1">
        <x:f t="shared" si="54"/>
        <x:v>0.21131749243510373</x:v>
      </x:c>
      <x:c r="R94" s="1">
        <x:f t="shared" si="55"/>
        <x:v>5.9892151953394875E-2</x:v>
      </x:c>
      <x:c r="W94" s="1"/>
      <x:c r="X94" s="1"/>
      <x:c r="Y94" s="1"/>
      <x:c r="AA94" s="1"/>
      <x:c r="AB94" s="1"/>
      <x:c r="AC94" s="1"/>
    </x:row>
    <x:row r="95">
      <x:c r="A95" s="1">
        <x:v>-5.4696779870069898</x:v>
      </x:c>
      <x:c r="B95" s="1">
        <x:v>3058.0192522321399</x:v>
      </x:c>
      <x:c r="C95" s="1">
        <x:v>954.40527577937598</x:v>
      </x:c>
      <x:c r="D95" s="1">
        <x:f t="shared" si="46"/>
        <x:v>8.2045169805104852</x:v>
      </x:c>
      <x:c r="E95" s="1">
        <x:f t="shared" si="47"/>
        <x:v>44.876065922323257</x:v>
      </x:c>
      <x:c r="F95" s="1">
        <x:f t="shared" si="48"/>
        <x:v>0.35209335728443653</x:v>
      </x:c>
      <x:c r="G95" s="1">
        <x:f t="shared" si="49"/>
        <x:v>0.24896760054656292</x:v>
      </x:c>
      <x:c r="H95" s="1">
        <x:f t="shared" si="50"/>
        <x:v>5.7079473675258285E-2</x:v>
      </x:c>
      <x:c r="K95" s="1">
        <x:v>-5.4702580824665601</x:v>
      </x:c>
      <x:c r="L95" s="1">
        <x:v>3117.5936748797999</x:v>
      </x:c>
      <x:c r="M95" s="1">
        <x:v>1004.85086042065</x:v>
      </x:c>
      <x:c r="N95" s="1">
        <x:f t="shared" si="51"/>
        <x:v>8.2053871236998397</x:v>
      </x:c>
      <x:c r="O95" s="1">
        <x:f t="shared" si="52"/>
        <x:v>44.885585233186092</x:v>
      </x:c>
      <x:c r="P95" s="1">
        <x:f t="shared" si="53"/>
        <x:v>0.34540179685858968</x:v>
      </x:c>
      <x:c r="Q95" s="1">
        <x:f t="shared" si="54"/>
        <x:v>0.24423595279272706</x:v>
      </x:c>
      <x:c r="R95" s="1">
        <x:f t="shared" si="55"/>
        <x:v>5.8396610840851321E-2</x:v>
      </x:c>
      <x:c r="W95" s="1"/>
      <x:c r="X95" s="1"/>
      <x:c r="Y95" s="1"/>
      <x:c r="AA95" s="1"/>
      <x:c r="AB95" s="1"/>
      <x:c r="AC95" s="1"/>
    </x:row>
    <x:row r="96">
      <x:c r="A96" s="1">
        <x:v>-6.1499129075270398</x:v>
      </x:c>
      <x:c r="B96" s="1">
        <x:v>3090.9531901041601</x:v>
      </x:c>
      <x:c r="C96" s="1">
        <x:v>916.95150501672197</x:v>
      </x:c>
      <x:c r="D96" s="1">
        <x:f t="shared" si="46"/>
        <x:v>9.2248693612905601</x:v>
      </x:c>
      <x:c r="E96" s="1">
        <x:f t="shared" si="47"/>
        <x:v>56.732143155251528</x:v>
      </x:c>
      <x:c r="F96" s="1">
        <x:f t="shared" si="48"/>
        <x:v>0.39166325162997906</x:v>
      </x:c>
      <x:c r="G96" s="1">
        <x:f t="shared" si="49"/>
        <x:v>0.27694774116913123</x:v>
      </x:c>
      <x:c r="H96" s="1">
        <x:f t="shared" si="50"/>
        <x:v>5.324279444308621E-2</x:v>
      </x:c>
      <x:c r="K96" s="1">
        <x:v>-6.1517730347653599</x:v>
      </x:c>
      <x:c r="L96" s="1">
        <x:v>3148.4874064127598</x:v>
      </x:c>
      <x:c r="M96" s="1">
        <x:v>960.90658174097598</x:v>
      </x:c>
      <x:c r="N96" s="1">
        <x:f t="shared" si="51"/>
        <x:v>9.2276595521480402</x:v>
      </x:c>
      <x:c r="O96" s="1">
        <x:f t="shared" si="52"/>
        <x:v>56.766467206899307</x:v>
      </x:c>
      <x:c r="P96" s="1">
        <x:f t="shared" si="53"/>
        <x:v>0.38462245120782673</x:v>
      </x:c>
      <x:c r="Q96" s="1">
        <x:f t="shared" si="54"/>
        <x:v>0.27196914344564632</x:v>
      </x:c>
      <x:c r="R96" s="1">
        <x:f t="shared" si="55"/>
        <x:v>5.4285828647770547E-2</x:v>
      </x:c>
      <x:c r="W96" s="1"/>
      <x:c r="X96" s="1"/>
      <x:c r="Y96" s="1"/>
      <x:c r="AA96" s="1"/>
      <x:c r="AB96" s="1"/>
      <x:c r="AC96" s="1"/>
    </x:row>
    <x:row r="97">
      <x:c r="A97" s="1">
        <x:v>-6.7735069923930702</x:v>
      </x:c>
      <x:c r="B97" s="1">
        <x:v>3103.8481183733202</x:v>
      </x:c>
      <x:c r="C97" s="1">
        <x:v>862.21180555555497</x:v>
      </x:c>
      <x:c r="D97" s="1">
        <x:f t="shared" si="46"/>
        <x:v>10.160260488589605</x:v>
      </x:c>
      <x:c r="E97" s="1">
        <x:f t="shared" si="47"/>
        <x:v>68.820595463996725</x:v>
      </x:c>
      <x:c r="F97" s="1">
        <x:f t="shared" si="48"/>
        <x:v>0.42958529777752463</x:v>
      </x:c>
      <x:c r="G97" s="1">
        <x:f t="shared" si="49"/>
        <x:v>0.30376267715652994</x:v>
      </x:c>
      <x:c r="H97" s="1">
        <x:f t="shared" si="50"/>
        <x:v>4.8994010303468741E-2</x:v>
      </x:c>
      <x:c r="K97" s="1">
        <x:v>-6.7805672707213196</x:v>
      </x:c>
      <x:c r="L97" s="1">
        <x:v>3163.00762469951</x:v>
      </x:c>
      <x:c r="M97" s="1">
        <x:v>906.56273764258503</x:v>
      </x:c>
      <x:c r="N97" s="1" t="n">
        <x:f>-K97*1.5</x:f>
        <x:v>10.170850906081979</x:v>
      </x:c>
      <x:c r="O97" s="1">
        <x:f t="shared" si="52"/>
        <x:v>68.964138769165743</x:v>
      </x:c>
      <x:c r="P97" s="1">
        <x:f t="shared" si="53"/>
        <x:v>0.42198992071129421</x:v>
      </x:c>
      <x:c r="Q97" s="1">
        <x:f t="shared" si="54"/>
        <x:v>0.29839193452732959</x:v>
      </x:c>
      <x:c r="R97" s="1">
        <x:f t="shared" si="55"/>
        <x:v>5.0148851839188685E-2</x:v>
      </x:c>
      <x:c r="W97" s="1"/>
      <x:c r="X97" s="1"/>
      <x:c r="Y97" s="1"/>
      <x:c r="AA97" s="1"/>
      <x:c r="AB97" s="1"/>
      <x:c r="AC97" s="1"/>
    </x:row>
    <x:row r="98">
      <x:c r="A98" s="1">
        <x:v>-6.1537461401759703</x:v>
      </x:c>
      <x:c r="B98" s="1">
        <x:v>3094.77072482638</x:v>
      </x:c>
      <x:c r="C98" s="1">
        <x:v>908.75768535262205</x:v>
      </x:c>
      <x:c r="D98" s="1">
        <x:f t="shared" si="46"/>
        <x:v>9.2306192102639564</x:v>
      </x:c>
      <x:c r="E98" s="1">
        <x:f t="shared" si="47"/>
        <x:v>56.80288733659598</x:v>
      </x:c>
      <x:c r="F98" s="1">
        <x:f t="shared" si="48"/>
        <x:v>0.39142393997419622</x:v>
      </x:c>
      <x:c r="G98" s="1">
        <x:f t="shared" si="49"/>
        <x:v>0.27677852227451027</x:v>
      </x:c>
      <x:c r="H98" s="1">
        <x:f t="shared" si="50"/>
        <x:v>5.2538268171462982E-2</x:v>
      </x:c>
      <x:c r="K98" s="1">
        <x:v>-6.1552922089175404</x:v>
      </x:c>
      <x:c r="L98" s="1">
        <x:v>3148.9598943536898</x:v>
      </x:c>
      <x:c r="M98" s="1">
        <x:v>945.09750566893399</x:v>
      </x:c>
      <x:c r="N98" s="1">
        <x:f t="shared" si="51"/>
        <x:v>9.2329383133763105</x:v>
      </x:c>
      <x:c r="O98" s="1">
        <x:f t="shared" si="52"/>
        <x:v>56.831433265741452</x:v>
      </x:c>
      <x:c r="P98" s="1">
        <x:f t="shared" si="53"/>
        <x:v>0.38478473379144051</x:v>
      </x:c>
      <x:c r="Q98" s="1">
        <x:f t="shared" si="54"/>
        <x:v>0.27208389456098808</x:v>
      </x:c>
      <x:c r="R98" s="1">
        <x:f t="shared" si="55"/>
        <x:v>5.3201249871372355E-2</x:v>
      </x:c>
      <x:c r="W98" s="1"/>
      <x:c r="X98" s="1"/>
      <x:c r="Y98" s="1"/>
      <x:c r="AA98" s="1"/>
      <x:c r="AB98" s="1"/>
      <x:c r="AC98" s="1"/>
    </x:row>
    <x:row r="99">
      <x:c r="A99" s="1">
        <x:v>-5.4783324068608596</x:v>
      </x:c>
      <x:c r="B99" s="1">
        <x:v>3078.8736063639299</x:v>
      </x:c>
      <x:c r="C99" s="1">
        <x:v>951.98734177215101</x:v>
      </x:c>
      <x:c r="D99" s="1">
        <x:f t="shared" si="46"/>
        <x:v>8.2174986102912904</x:v>
      </x:c>
      <x:c r="E99" s="1">
        <x:f t="shared" si="47"/>
        <x:v>45.018188940092848</x:v>
      </x:c>
      <x:c r="F99" s="1">
        <x:f t="shared" si="48"/>
        <x:v>0.35026182591104127</x:v>
      </x:c>
      <x:c r="G99" s="1">
        <x:f t="shared" si="49"/>
        <x:v>0.24767251229247922</x:v>
      </x:c>
      <x:c r="H99" s="1">
        <x:f t="shared" si="50"/>
        <x:v>5.6137937568893674E-2</x:v>
      </x:c>
      <x:c r="K99" s="1">
        <x:v>-5.4799843468689504</x:v>
      </x:c>
      <x:c r="L99" s="1">
        <x:v>3121.0474121093698</x:v>
      </x:c>
      <x:c r="M99" s="1">
        <x:v>999.16461916461901</x:v>
      </x:c>
      <x:c r="N99" s="1">
        <x:f t="shared" si="51"/>
        <x:v>8.2199765203034261</x:v>
      </x:c>
      <x:c r="O99" s="1">
        <x:f t="shared" si="52"/>
        <x:v>45.045342662893077</x:v>
      </x:c>
      <x:c r="P99" s="1">
        <x:f t="shared" si="53"/>
        <x:v>0.34563303074791724</x:v>
      </x:c>
      <x:c r="Q99" s="1">
        <x:f t="shared" si="54"/>
        <x:v>0.24439945984391076</x:v>
      </x:c>
      <x:c r="R99" s="1">
        <x:f t="shared" si="55"/>
        <x:v>5.7876291418659284E-2</x:v>
      </x:c>
      <x:c r="W99" s="1"/>
      <x:c r="X99" s="1"/>
      <x:c r="Y99" s="1"/>
      <x:c r="AA99" s="1"/>
      <x:c r="AB99" s="1"/>
      <x:c r="AC99" s="1"/>
    </x:row>
    <x:row r="100">
      <x:c r="A100" s="1">
        <x:v>-4.8706724054673103</x:v>
      </x:c>
      <x:c r="B100" s="1">
        <x:v>3064.1805371093701</x:v>
      </x:c>
      <x:c r="C100" s="1">
        <x:v>985.38823529411695</x:v>
      </x:c>
      <x:c r="D100" s="1">
        <x:f t="shared" si="46"/>
        <x:v>7.3060086082009654</x:v>
      </x:c>
      <x:c r="E100" s="1">
        <x:f t="shared" si="47"/>
        <x:v>35.585174522071071</x:v>
      </x:c>
      <x:c r="F100" s="1">
        <x:f t="shared" si="48"/>
        <x:v>0.31290381522633465</x:v>
      </x:c>
      <x:c r="G100" s="1">
        <x:f t="shared" si="49"/>
        <x:v>0.22125640960568371</x:v>
      </x:c>
      <x:c r="H100" s="1">
        <x:f t="shared" si="50"/>
        <x:v>5.9061272465945239E-2</x:v>
      </x:c>
      <x:c r="K100" s="1">
        <x:v>-4.8008877234916101</x:v>
      </x:c>
      <x:c r="L100" s="1">
        <x:v>3110.7921353044098</x:v>
      </x:c>
      <x:c r="M100" s="1">
        <x:v>1037.7482876712299</x:v>
      </x:c>
      <x:c r="N100" s="1">
        <x:f t="shared" si="51"/>
        <x:v>7.2013315852374156</x:v>
      </x:c>
      <x:c r="O100" s="1">
        <x:f t="shared" si="52"/>
        <x:v>34.572784400358678</x:v>
      </x:c>
      <x:c r="P100" s="1">
        <x:f t="shared" si="53"/>
        <x:v>0.30379935314775414</x:v>
      </x:c>
      <x:c r="Q100" s="1">
        <x:f t="shared" si="54"/>
        <x:v>0.21481858273086366</x:v>
      </x:c>
      <x:c r="R100" s="1">
        <x:f t="shared" si="55"/>
        <x:v>6.0930160765066965E-2</x:v>
      </x:c>
      <x:c r="W100" s="1"/>
      <x:c r="X100" s="1"/>
      <x:c r="Y100" s="1"/>
      <x:c r="AA100" s="1"/>
      <x:c r="AB100" s="1"/>
      <x:c r="AC100" s="1"/>
    </x:row>
    <x:row r="101">
      <x:c r="A101" s="1">
        <x:v>-4.11788507041783</x:v>
      </x:c>
      <x:c r="B101" s="1">
        <x:v>3043.28909067007</x:v>
      </x:c>
      <x:c r="C101" s="1">
        <x:v>1028.4208494208401</x:v>
      </x:c>
      <x:c r="D101" s="1">
        <x:f t="shared" si="46"/>
        <x:v>6.1768276056267446</x:v>
      </x:c>
      <x:c r="E101" s="1">
        <x:f t="shared" si="47"/>
        <x:v>25.435466179755089</x:v>
      </x:c>
      <x:c r="F101" s="1">
        <x:f t="shared" si="48"/>
        <x:v>0.26635895347946231</x:v>
      </x:c>
      <x:c r="G101" s="1">
        <x:f t="shared" si="49"/>
        <x:v>0.18834422223507993</x:v>
      </x:c>
      <x:c r="H101" s="1">
        <x:f t="shared" si="50"/>
        <x:v>6.2988288588016458E-2</x:v>
      </x:c>
      <x:c r="K101" s="1">
        <x:v>-4.1217439010853001</x:v>
      </x:c>
      <x:c r="L101" s="1">
        <x:v>3107.50659179687</x:v>
      </x:c>
      <x:c r="M101" s="1">
        <x:v>1079.6570881226</x:v>
      </x:c>
      <x:c r="N101" s="1">
        <x:f t="shared" si="51"/>
        <x:v>6.1826158516279506</x:v>
      </x:c>
      <x:c r="O101" s="1">
        <x:f t="shared" si="52"/>
        <x:v>25.483159179200804</x:v>
      </x:c>
      <x:c r="P101" s="1">
        <x:f t="shared" si="53"/>
        <x:v>0.26109901481924119</x:v>
      </x:c>
      <x:c r="Q101" s="1">
        <x:f t="shared" si="54"/>
        <x:v>0.18462488393981233</x:v>
      </x:c>
      <x:c r="R101" s="1">
        <x:f t="shared" si="55"/>
        <x:v>6.3967093340254064E-2</x:v>
      </x:c>
      <x:c r="W101" s="1"/>
      <x:c r="X101" s="1"/>
      <x:c r="Y101" s="1"/>
      <x:c r="AA101" s="1"/>
      <x:c r="AB101" s="1"/>
      <x:c r="AC101" s="1"/>
    </x:row>
    <x:row r="102">
      <x:c r="A102" s="1">
        <x:v>-3.4351113261999902</x:v>
      </x:c>
      <x:c r="B102" s="1">
        <x:v>3037.44844193892</x:v>
      </x:c>
      <x:c r="C102" s="1">
        <x:v>1063.1160092807399</x:v>
      </x:c>
      <x:c r="D102" s="1">
        <x:f t="shared" si="46"/>
        <x:v>5.152666989299985</x:v>
      </x:c>
      <x:c r="E102" s="1">
        <x:f t="shared" si="47"/>
        <x:v>17.699984735081184</x:v>
      </x:c>
      <x:c r="F102" s="1">
        <x:f t="shared" si="48"/>
        <x:v>0.22262205594405271</x:v>
      </x:c>
      <x:c r="G102" s="1">
        <x:f t="shared" si="49"/>
        <x:v>0.15741756539973059</x:v>
      </x:c>
      <x:c r="H102" s="1">
        <x:f t="shared" si="50"/>
        <x:v>6.5750568801883125E-2</x:v>
      </x:c>
      <x:c r="K102" s="1">
        <x:v>-3.43704408587831</x:v>
      </x:c>
      <x:c r="L102" s="1">
        <x:v>3098.7642923990802</x:v>
      </x:c>
      <x:c r="M102" s="1">
        <x:v>1122.03679653679</x:v>
      </x:c>
      <x:c r="N102" s="1">
        <x:f t="shared" si="51"/>
        <x:v>5.1555661288174655</x:v>
      </x:c>
      <x:c r="O102" s="1">
        <x:f t="shared" si="52"/>
        <x:v>17.719908072406604</x:v>
      </x:c>
      <x:c r="P102" s="1">
        <x:f t="shared" si="53"/>
        <x:v>0.21833976954352138</x:v>
      </x:c>
      <x:c r="Q102" s="1">
        <x:f t="shared" si="54"/>
        <x:v>0.15438953164693198</x:v>
      </x:c>
      <x:c r="R102" s="1">
        <x:f t="shared" si="55"/>
        <x:v>6.7285847665779649E-2</x:v>
      </x:c>
      <x:c r="W102" s="1"/>
      <x:c r="X102" s="1"/>
      <x:c r="Y102" s="1"/>
      <x:c r="AA102" s="1"/>
      <x:c r="AB102" s="1"/>
      <x:c r="AC102" s="1"/>
    </x:row>
    <x:row r="103">
      <x:c r="A103" s="1">
        <x:v>-2.81992114067077</x:v>
      </x:c>
      <x:c r="B103" s="1">
        <x:v>3025.783203125</x:v>
      </x:c>
      <x:c r="C103" s="1">
        <x:v>1107.6393805309699</x:v>
      </x:c>
      <x:c r="D103" s="1">
        <x:f t="shared" si="46"/>
        <x:v>4.2298817110061551</x:v>
      </x:c>
      <x:c r="E103" s="1">
        <x:f t="shared" si="47"/>
        <x:v>11.927932859402906</x:v>
      </x:c>
      <x:c r="F103" s="1">
        <x:f t="shared" si="48"/>
        <x:v>0.18345748835306835</x:v>
      </x:c>
      <x:c r="G103" s="1">
        <x:f t="shared" si="49"/>
        <x:v>0.1297240340739067</x:v>
      </x:c>
      <x:c r="H103" s="1">
        <x:f t="shared" si="50"/>
        <x:v>6.951710476267163E-2</x:v>
      </x:c>
      <x:c r="K103" s="1">
        <x:v>-2.75453306671599</x:v>
      </x:c>
      <x:c r="L103" s="1">
        <x:v>3095.7137493265</x:v>
      </x:c>
      <x:c r="M103" s="1">
        <x:v>1162.5334507042201</x:v>
      </x:c>
      <x:c r="N103" s="1">
        <x:f t="shared" si="51"/>
        <x:v>4.1317996000739852</x:v>
      </x:c>
      <x:c r="O103" s="1">
        <x:f t="shared" si="52"/>
        <x:v>11.381178623447695</x:v>
      </x:c>
      <x:c r="P103" s="1">
        <x:f t="shared" si="53"/>
        <x:v>0.17515538016486412</x:v>
      </x:c>
      <x:c r="Q103" s="1">
        <x:f t="shared" si="54"/>
        <x:v>0.12385355707588311</x:v>
      </x:c>
      <x:c r="R103" s="1">
        <x:f t="shared" si="55"/>
        <x:v>7.0250005647873578E-2</x:v>
      </x:c>
      <x:c r="W103" s="1"/>
      <x:c r="X103" s="1"/>
      <x:c r="Y103" s="1"/>
      <x:c r="AA103" s="1"/>
      <x:c r="AB103" s="1"/>
      <x:c r="AC103" s="1"/>
    </x:row>
    <x:row r="104">
      <x:c r="A104" s="1">
        <x:v>-2.0666193436353599</x:v>
      </x:c>
      <x:c r="B104" s="1">
        <x:v>3029.9197034333802</x:v>
      </x:c>
      <x:c r="C104" s="1">
        <x:v>1156.2448453608199</x:v>
      </x:c>
      <x:c r="D104" s="1">
        <x:f t="shared" si="46"/>
        <x:v>3.0999290154530401</x:v>
      </x:c>
      <x:c r="E104" s="1">
        <x:f t="shared" si="47"/>
        <x:v>6.4063732672317695</x:v>
      </x:c>
      <x:c r="F104" s="1">
        <x:f t="shared" si="48"/>
        <x:v>0.1342658787172801</x:v>
      </x:c>
      <x:c r="G104" s="1">
        <x:f t="shared" si="49"/>
        <x:v>9.494031332295931E-2</x:v>
      </x:c>
      <x:c r="H104" s="1">
        <x:f t="shared" si="50"/>
        <x:v>7.2875062040721986E-2</x:v>
      </x:c>
      <x:c r="K104" s="1">
        <x:v>-2.0671486417755802</x:v>
      </x:c>
      <x:c r="L104" s="1">
        <x:v>3085.8035029658499</x:v>
      </x:c>
      <x:c r="M104" s="1">
        <x:v>1205.5496183206101</x:v>
      </x:c>
      <x:c r="N104" s="1">
        <x:f t="shared" si="51"/>
        <x:v>3.1007229626633706</x:v>
      </x:c>
      <x:c r="O104" s="1">
        <x:f t="shared" si="52"/>
        <x:v>6.4096552607919381</x:v>
      </x:c>
      <x:c r="P104" s="1">
        <x:f t="shared" si="53"/>
        <x:v>0.13186809321477208</x:v>
      </x:c>
      <x:c r="Q104" s="1">
        <x:f t="shared" si="54"/>
        <x:v>9.3244822934305097E-2</x:v>
      </x:c>
      <x:c r="R104" s="1">
        <x:f t="shared" si="55"/>
        <x:v>7.3728950412115579E-2</x:v>
      </x:c>
      <x:c r="W104" s="1"/>
      <x:c r="X104" s="1"/>
      <x:c r="Y104" s="1"/>
      <x:c r="AA104" s="1"/>
      <x:c r="AB104" s="1"/>
      <x:c r="AC104" s="1"/>
    </x:row>
    <x:row r="105">
      <x:c r="A105" s="1">
        <x:v>-1.38224937009417</x:v>
      </x:c>
      <x:c r="B105" s="1">
        <x:v>3042.40161132812</x:v>
      </x:c>
      <x:c r="C105" s="1">
        <x:v>1199.06995884773</x:v>
      </x:c>
      <x:c r="D105" s="1">
        <x:f t="shared" si="46"/>
        <x:v>2.0733740551412549</x:v>
      </x:c>
      <x:c r="E105" s="1">
        <x:f t="shared" si="47"/>
        <x:v>2.8659199816885947</x:v>
      </x:c>
      <x:c r="F105" s="1">
        <x:f t="shared" si="48"/>
        <x:v>8.9434718836124583E-2</x:v>
      </x:c>
      <x:c r="G105" s="1">
        <x:f t="shared" si="49"/>
        <x:v>6.3239896162535933E-2</x:v>
      </x:c>
      <x:c r="H105" s="1">
        <x:f t="shared" si="50"/>
        <x:v>7.5378472481994419E-2</x:v>
      </x:c>
      <x:c r="K105" s="1">
        <x:v>-1.3831898005662699</x:v>
      </x:c>
      <x:c r="L105" s="1">
        <x:v>3071.3963676120902</x:v>
      </x:c>
      <x:c r="M105" s="1">
        <x:v>1248.7395143487799</x:v>
      </x:c>
      <x:c r="N105" s="1">
        <x:f t="shared" si="51"/>
        <x:v>2.0747847008494049</x:v>
      </x:c>
      <x:c r="O105" s="1">
        <x:f t="shared" si="52"/>
        <x:v>2.8698210365858365</x:v>
      </x:c>
      <x:c r="P105" s="1">
        <x:f t="shared" si="53"/>
        <x:v>8.8650706133403992E-2</x:v>
      </x:c>
      <x:c r="Q105" s="1">
        <x:f t="shared" si="54"/>
        <x:v>6.2685515463905814E-2</x:v>
      </x:c>
      <x:c r="R105" s="1">
        <x:f t="shared" si="55"/>
        <x:v>7.7490060180869236E-2</x:v>
      </x:c>
      <x:c r="W105" s="1"/>
      <x:c r="X105" s="1"/>
      <x:c r="Y105" s="1"/>
      <x:c r="AA105" s="1"/>
      <x:c r="AB105" s="1"/>
      <x:c r="AC105" s="1"/>
    </x:row>
    <x:row r="106">
      <x:c r="A106" s="1">
        <x:v>-0.69726746409903895</x:v>
      </x:c>
      <x:c r="B106" s="1">
        <x:v>3018.7197453425401</x:v>
      </x:c>
      <x:c r="C106" s="1">
        <x:v>1247.4980916030499</x:v>
      </x:c>
      <x:c r="D106" s="1">
        <x:f t="shared" si="46"/>
        <x:v>1.0459011961485585</x:v>
      </x:c>
      <x:c r="E106" s="1">
        <x:f t="shared" si="47"/>
        <x:v>0.72927287473665692</x:v>
      </x:c>
      <x:c r="F106" s="1">
        <x:f t="shared" si="48"/>
        <x:v>4.5468737213653E-2</x:v>
      </x:c>
      <x:c r="G106" s="1">
        <x:f t="shared" si="49"/>
        <x:v>3.2151252415763165E-2</x:v>
      </x:c>
      <x:c r="H106" s="1">
        <x:f t="shared" si="50"/>
        <x:v>8.0126774072835846E-2</x:v>
      </x:c>
      <x:c r="K106" s="1">
        <x:v>-0.69630346544410804</x:v>
      </x:c>
      <x:c r="L106" s="1">
        <x:v>3073.90003313337</x:v>
      </x:c>
      <x:c r="M106" s="1">
        <x:v>1299.10344827586</x:v>
      </x:c>
      <x:c r="N106" s="1">
        <x:f t="shared" si="51"/>
        <x:v>1.0444551981661621</x:v>
      </x:c>
      <x:c r="O106" s="1">
        <x:f t="shared" si="52"/>
        <x:v>0.72725777398421121</x:v>
      </x:c>
      <x:c r="P106" s="1">
        <x:f t="shared" si="53"/>
        <x:v>4.4590783639823141E-2</x:v>
      </x:c>
      <x:c r="Q106" s="1">
        <x:f t="shared" si="54"/>
        <x:v>3.1530445490141099E-2</x:v>
      </x:c>
      <x:c r="R106" s="1">
        <x:f t="shared" si="55"/>
        <x:v>8.0935432205778812E-2</x:v>
      </x:c>
      <x:c r="W106" s="1"/>
      <x:c r="X106" s="1"/>
      <x:c r="Y106" s="1"/>
      <x:c r="AA106" s="1"/>
      <x:c r="AB106" s="1"/>
      <x:c r="AC106" s="1"/>
    </x:row>
    <x:row r="107">
      <x:c r="A107" s="1">
        <x:v>-9.06182382646845E-2</x:v>
      </x:c>
      <x:c r="B107" s="1">
        <x:v>3009.10304090711</x:v>
      </x:c>
      <x:c r="C107" s="1">
        <x:v>1300.1135734072</x:v>
      </x:c>
      <x:c r="D107" s="1">
        <x:f t="shared" si="46"/>
        <x:v>0.13592735739702674</x:v>
      </x:c>
      <x:c r="E107" s="1">
        <x:f t="shared" si="47"/>
        <x:v>1.2317497659292697E-2</x:v>
      </x:c>
      <x:c r="F107" s="1">
        <x:f t="shared" si="48"/>
        <x:v>5.928090742116119E-3</x:v>
      </x:c>
      <x:c r="G107" s="1">
        <x:f t="shared" si="49"/>
        <x:v>4.1917931632395001E-3</x:v>
      </x:c>
      <x:c r="H107" s="1">
        <x:f t="shared" si="50"/>
        <x:v>8.4533384597308719E-2</x:v>
      </x:c>
      <x:c r="K107" s="1">
        <x:v>-9.0737465096430603E-2</x:v>
      </x:c>
      <x:c r="L107" s="1">
        <x:v>3091.6807454426998</x:v>
      </x:c>
      <x:c r="M107" s="1">
        <x:v>1324.5659722222199</x:v>
      </x:c>
      <x:c r="N107" s="1">
        <x:f t="shared" si="51"/>
        <x:v>0.1361061976446459</x:v>
      </x:c>
      <x:c r="O107" s="1">
        <x:f t="shared" si="52"/>
        <x:v>1.2349931358188942E-2</x:v>
      </x:c>
      <x:c r="P107" s="1">
        <x:f t="shared" si="53"/>
        <x:v>5.7773448160755008E-3</x:v>
      </x:c>
      <x:c r="Q107" s="1">
        <x:f t="shared" si="54"/>
        <x:v>4.0851996966999333E-3</x:v>
      </x:c>
      <x:c r="R107" s="1">
        <x:f t="shared" si="55"/>
        <x:v>8.1792127292747929E-2</x:v>
      </x:c>
      <x:c r="W107" s="1"/>
      <x:c r="X107" s="1"/>
      <x:c r="Y107" s="1"/>
      <x:c r="AA107" s="1"/>
      <x:c r="AB107" s="1"/>
      <x:c r="AC107" s="1"/>
    </x:row>
    <x:row r="108">
      <x:c r="A108" s="1">
        <x:v>-8.3878705564759196E-2</x:v>
      </x:c>
      <x:c r="B108" s="1">
        <x:v>0</x:v>
      </x:c>
      <x:c r="C108" s="1">
        <x:v>155.02831594634799</x:v>
      </x:c>
      <x:c r="D108" s="1">
        <x:f t="shared" si="46"/>
        <x:v>0.1258180583471388</x:v>
      </x:c>
      <x:c r="E108" s="1" t="n">
        <x:f>A108*A108*1.5</x:f>
        <x:v>0.010553455870829348</x:v>
      </x:c>
      <x:c r="F108" s="1" t="e">
        <x:f>D108/(B108/60)/0.4572</x:f>
        <x:v>#DIV/0!</x:v>
      </x:c>
      <x:c r="G108" s="1" t="e">
        <x:f t="shared" si="49"/>
        <x:v>#DIV/0!</x:v>
      </x:c>
      <x:c r="H108" s="1" t="e">
        <x:f t="shared" si="50"/>
        <x:v>#DIV/0!</x:v>
      </x:c>
      <x:c r="K108" s="1">
        <x:v>1.3026338820746001E-2</x:v>
      </x:c>
      <x:c r="L108" s="1">
        <x:v>0</x:v>
      </x:c>
      <x:c r="M108" s="1">
        <x:v>158.453302961275</x:v>
      </x:c>
      <x:c r="N108" s="1">
        <x:f t="shared" si="51"/>
        <x:v>-1.9539508231119003E-2</x:v>
      </x:c>
      <x:c r="O108" s="1" t="n">
        <x:f>K108*K108*1.5</x:f>
        <x:v>0.00025452825460931146</x:v>
      </x:c>
      <x:c r="P108" s="1" t="e">
        <x:f>N108/(L108/60)/0.4572</x:f>
        <x:v>#DIV/0!</x:v>
      </x:c>
      <x:c r="Q108" s="1" t="e">
        <x:f t="shared" si="54"/>
        <x:v>#DIV/0!</x:v>
      </x:c>
      <x:c r="R108" s="1" t="e">
        <x:f t="shared" si="55"/>
        <x:v>#DIV/0!</x:v>
      </x:c>
    </x:row>
    <x:row r="113">
      <x:c r="A113" s="3" t="s">
        <x:v>36</x:v>
      </x:c>
      <x:c r="B113" s="3"/>
      <x:c r="C113" s="3"/>
      <x:c r="K113" s="3" t="s">
        <x:v>37</x:v>
      </x:c>
      <x:c r="L113" s="3"/>
      <x:c r="M113" s="3"/>
    </x:row>
    <x:row r="114">
      <x:c r="A114" s="1" t="s">
        <x:v>3</x:v>
      </x:c>
      <x:c r="B114" s="1" t="s">
        <x:v>4</x:v>
      </x:c>
      <x:c r="C114" s="1" t="s">
        <x:v>5</x:v>
      </x:c>
      <x:c r="D114" s="1" t="s">
        <x:v>6</x:v>
      </x:c>
      <x:c r="E114" s="1" t="s">
        <x:v>7</x:v>
      </x:c>
      <x:c r="F114" s="1" t="s">
        <x:v>8</x:v>
      </x:c>
      <x:c r="G114" s="1" t="s">
        <x:v>9</x:v>
      </x:c>
      <x:c r="H114" s="1" t="s">
        <x:v>11</x:v>
      </x:c>
      <x:c r="K114" s="1" t="s">
        <x:v>3</x:v>
      </x:c>
      <x:c r="L114" s="1" t="s">
        <x:v>4</x:v>
      </x:c>
      <x:c r="M114" s="1" t="s">
        <x:v>5</x:v>
      </x:c>
      <x:c r="N114" s="1" t="s">
        <x:v>6</x:v>
      </x:c>
      <x:c r="O114" s="1" t="s">
        <x:v>7</x:v>
      </x:c>
      <x:c r="P114" s="1" t="s">
        <x:v>8</x:v>
      </x:c>
      <x:c r="Q114" s="1" t="s">
        <x:v>9</x:v>
      </x:c>
      <x:c r="R114" s="1" t="s">
        <x:v>11</x:v>
      </x:c>
    </x:row>
    <x:row r="115">
      <x:c r="A115" s="1">
        <x:v>-1.5710573300904501E-2</x:v>
      </x:c>
      <x:c r="B115" s="1">
        <x:v>0</x:v>
      </x:c>
      <x:c r="C115" s="1">
        <x:v>237.743758212877</x:v>
      </x:c>
      <x:c r="D115" s="1" t="n">
        <x:f>-A115*1.5</x:f>
        <x:v>0.023565859951356752</x:v>
      </x:c>
      <x:c r="E115" s="1" t="n">
        <x:f>A115*A115*1.5</x:f>
        <x:v>0.00037023317016464006</x:v>
      </x:c>
      <x:c r="F115" s="1" t="e">
        <x:f>D115/(B115/60)/0.4572</x:f>
        <x:v>#DIV/0!</x:v>
      </x:c>
      <x:c r="G115" s="1" t="e">
        <x:f>D115*SIN(RADIANS(60))/(B115/60)/0.4572</x:f>
        <x:v>#DIV/0!</x:v>
      </x:c>
      <x:c r="H115" s="1" t="e">
        <x:f>(C115-$C$115)*9.8/1.205/(B115/60)^2/0.4572^4/1000</x:f>
        <x:v>#DIV/0!</x:v>
      </x:c>
      <x:c r="K115" s="1">
        <x:v>-0.12791716644451701</x:v>
      </x:c>
      <x:c r="L115" s="1">
        <x:v>0</x:v>
      </x:c>
      <x:c r="M115" s="1">
        <x:v>241.619047619047</x:v>
      </x:c>
      <x:c r="N115" s="1" t="n">
        <x:f>-K115*1.5</x:f>
        <x:v>0.1918757496667755</x:v>
      </x:c>
      <x:c r="O115" s="1" t="n">
        <x:f>K115*K115*1.5</x:f>
        <x:v>0.0245442022067914</x:v>
      </x:c>
      <x:c r="P115" s="1" t="e">
        <x:f>N115/(L115/60)/0.4572</x:f>
        <x:v>#DIV/0!</x:v>
      </x:c>
      <x:c r="Q115" s="1" t="e">
        <x:f>N115*SIN(RADIANS(60))/(L115/60)/0.4572</x:f>
        <x:v>#DIV/0!</x:v>
      </x:c>
      <x:c r="R115" s="1" t="e">
        <x:f>(M115-$M$115)*9.8/1.205/(L115/60)^2/0.4572^4/1000</x:f>
        <x:v>#DIV/0!</x:v>
      </x:c>
    </x:row>
    <x:row r="116">
      <x:c r="A116" s="1" t="n">
        <x:f>-36.893/500</x:f>
        <x:v>-0.073786</x:v>
      </x:c>
      <x:c r="B116" s="1">
        <x:v>3010.2420000000002</x:v>
      </x:c>
      <x:c r="C116" s="1">
        <x:v>1315.9</x:v>
      </x:c>
      <x:c r="D116" s="1" t="n">
        <x:f t="shared" ref="D116:D137" si="56">-A116*1.5</x:f>
        <x:v>0.110679</x:v>
      </x:c>
      <x:c r="E116" s="1" t="n">
        <x:f t="shared" ref="E116:E137" si="57">A116*A116*1.5</x:f>
        <x:v>0.008166560694000001</x:v>
      </x:c>
      <x:c r="F116" s="1" t="n">
        <x:f t="shared" ref="F116:F137" si="58">D116/(B116/60)/0.4572</x:f>
        <x:v>0.004825128062662836</x:v>
      </x:c>
      <x:c r="G116" s="1" t="n">
        <x:f t="shared" ref="G116:G137" si="59">D116*SIN(RADIANS(60))/(B116/60)/0.4572</x:f>
        <x:v>0.004178683478779208</x:v>
      </x:c>
      <x:c r="H116" s="1" t="n">
        <x:f t="shared" ref="H116:H137" si="60">(C116-$C$115)*9.8/1.205/(B116/60)^2/0.4572^4/1000</x:f>
        <x:v>0.07972518255872804</x:v>
      </x:c>
      <x:c r="K116" s="1" t="n">
        <x:f>-73.315/500</x:f>
        <x:v>-0.14662999999999998</x:v>
      </x:c>
      <x:c r="L116" s="1">
        <x:v>3104.2</x:v>
      </x:c>
      <x:c r="M116" s="1">
        <x:v>1394.8</x:v>
      </x:c>
      <x:c r="N116" s="1" t="n">
        <x:f t="shared" ref="N116:N137" si="61">-K116*1.5</x:f>
        <x:v>0.21994499999999997</x:v>
      </x:c>
      <x:c r="O116" s="1" t="n">
        <x:f t="shared" ref="O116:O137" si="62">K116*K116*1.5</x:f>
        <x:v>0.03225053535</x:v>
      </x:c>
      <x:c r="P116" s="1" t="n">
        <x:f t="shared" ref="P116:P137" si="63">N116/(L116/60)/0.4572</x:f>
        <x:v>0.009298425754895449</x:v>
      </x:c>
      <x:c r="Q116" s="1" t="n">
        <x:f t="shared" ref="Q116:Q137" si="64">N116*SIN(RADIANS(60))/(L116/60)/0.4572</x:f>
        <x:v>0.008052672918942955</x:v>
      </x:c>
      <x:c r="R116" s="1" t="n">
        <x:f t="shared" ref="R116:R137" si="65">(M116-$M$115)*9.8/1.205/(L116/60)^2/0.4572^4/1000</x:f>
        <x:v>0.08018898452939686</x:v>
      </x:c>
    </x:row>
    <x:row r="117">
      <x:c r="A117" s="1">
        <x:v>-0.68907991359973697</x:v>
      </x:c>
      <x:c r="B117" s="1">
        <x:v>2990.7732570482299</x:v>
      </x:c>
      <x:c r="C117" s="1">
        <x:v>1280.8728448275799</x:v>
      </x:c>
      <x:c r="D117" s="1">
        <x:f t="shared" si="56"/>
        <x:v>1.0336198703996056</x:v>
      </x:c>
      <x:c r="E117" s="1">
        <x:f t="shared" si="57"/>
        <x:v>0.71224669098993143</x:v>
      </x:c>
      <x:c r="F117" s="1">
        <x:f t="shared" si="58"/>
        <x:v>4.5354709509904299E-2</x:v>
      </x:c>
      <x:c r="G117" s="1">
        <x:f t="shared" si="59"/>
        <x:v>3.9278330616840787E-2</x:v>
      </x:c>
      <x:c r="H117" s="1">
        <x:f t="shared" si="60"/>
        <x:v>7.8142575472496562E-2</x:v>
      </x:c>
      <x:c r="K117" s="1">
        <x:v>-0.692283133522267</x:v>
      </x:c>
      <x:c r="L117" s="1">
        <x:v>3085.0854944299699</x:v>
      </x:c>
      <x:c r="M117" s="1">
        <x:v>1353.39673913043</x:v>
      </x:c>
      <x:c r="N117" s="1">
        <x:f t="shared" si="61"/>
        <x:v>1.0384247002834006</x:v>
      </x:c>
      <x:c r="O117" s="1">
        <x:f t="shared" si="62"/>
        <x:v>0.71888390543911351</x:v>
      </x:c>
      <x:c r="P117" s="1">
        <x:f t="shared" si="63"/>
        <x:v>4.4172586993882566E-2</x:v>
      </x:c>
      <x:c r="Q117" s="1">
        <x:f t="shared" si="64"/>
        <x:v>3.8254582487580388E-2</x:v>
      </x:c>
      <x:c r="R117" s="1">
        <x:f t="shared" si="65"/>
        <x:v>7.8270875292708264E-2</x:v>
      </x:c>
    </x:row>
    <x:row r="118">
      <x:c r="A118" s="1">
        <x:v>-1.3720234831174201</x:v>
      </x:c>
      <x:c r="B118" s="1">
        <x:v>3009.9692214439601</x:v>
      </x:c>
      <x:c r="C118" s="1">
        <x:v>1216.38160136286</x:v>
      </x:c>
      <x:c r="D118" s="1">
        <x:f t="shared" si="56"/>
        <x:v>2.05803522467613</x:v>
      </x:c>
      <x:c r="E118" s="1">
        <x:f t="shared" si="57"/>
        <x:v>2.823672657338486</x:v>
      </x:c>
      <x:c r="F118" s="1">
        <x:f t="shared" si="58"/>
        <x:v>8.9729609490433196E-2</x:v>
      </x:c>
      <x:c r="G118" s="1">
        <x:f t="shared" si="59"/>
        <x:v>7.7708121290372384E-2</x:v>
      </x:c>
      <x:c r="H118" s="1">
        <x:f t="shared" si="60"/>
        <x:v>7.2379326694356802E-2</x:v>
      </x:c>
      <x:c r="K118" s="1">
        <x:v>-1.3766772945721899</x:v>
      </x:c>
      <x:c r="L118" s="1">
        <x:v>3092.1776123046802</x:v>
      </x:c>
      <x:c r="M118" s="1">
        <x:v>1291.0136286201</x:v>
      </x:c>
      <x:c r="N118" s="1">
        <x:f t="shared" si="61"/>
        <x:v>2.065015941858285</x:v>
      </x:c>
      <x:c r="O118" s="1">
        <x:f t="shared" si="62"/>
        <x:v>2.842860560085906</x:v>
      </x:c>
      <x:c r="P118" s="1">
        <x:f t="shared" si="63"/>
        <x:v>8.7640330347482059E-2</x:v>
      </x:c>
      <x:c r="Q118" s="1">
        <x:f t="shared" si="64"/>
        <x:v>7.5898752476979733E-2</x:v>
      </x:c>
      <x:c r="R118" s="1">
        <x:f t="shared" si="65"/>
        <x:v>7.3540503141196575E-2</x:v>
      </x:c>
    </x:row>
    <x:row r="119">
      <x:c r="A119" s="1">
        <x:v>-2.0553634176448901</x:v>
      </x:c>
      <x:c r="B119" s="1">
        <x:v>3012.6304589843699</x:v>
      </x:c>
      <x:c r="C119" s="1">
        <x:v>1149.7224489795899</x:v>
      </x:c>
      <x:c r="D119" s="1">
        <x:f t="shared" si="56"/>
        <x:v>3.0830451264673351</x:v>
      </x:c>
      <x:c r="E119" s="1">
        <x:f t="shared" si="57"/>
        <x:v>6.3367781678893236</x:v>
      </x:c>
      <x:c r="F119" s="1">
        <x:f t="shared" si="58"/>
        <x:v>0.13430093848881572</x:v>
      </x:c>
      <x:c r="G119" s="1">
        <x:f t="shared" si="59"/>
        <x:v>0.11630802448340569</x:v>
      </x:c>
      <x:c r="H119" s="1">
        <x:f t="shared" si="60"/>
        <x:v>6.7330154036706266E-2</x:v>
      </x:c>
      <x:c r="K119" s="1">
        <x:v>-2.0576522922932301</x:v>
      </x:c>
      <x:c r="L119" s="1">
        <x:v>3096.36720872961</x:v>
      </x:c>
      <x:c r="M119" s="1">
        <x:v>1222.7821350762499</x:v>
      </x:c>
      <x:c r="N119" s="1">
        <x:f t="shared" si="61"/>
        <x:v>3.0864784384398449</x:v>
      </x:c>
      <x:c r="O119" s="1">
        <x:f t="shared" si="62"/>
        <x:v>6.350899433969377</x:v>
      </x:c>
      <x:c r="P119" s="1">
        <x:f t="shared" si="63"/>
        <x:v>0.13081447920495043</x:v>
      </x:c>
      <x:c r="Q119" s="1">
        <x:f t="shared" si="64"/>
        <x:v>0.11328866217431825</x:v>
      </x:c>
      <x:c r="R119" s="1">
        <x:f t="shared" si="65"/>
        <x:v>6.8572964462796232E-2</x:v>
      </x:c>
    </x:row>
    <x:row r="120">
      <x:c r="A120" s="1">
        <x:v>-2.7388524385598898</x:v>
      </x:c>
      <x:c r="B120" s="1">
        <x:v>3034.0971191406202</x:v>
      </x:c>
      <x:c r="C120" s="1">
        <x:v>1086.2736572890001</x:v>
      </x:c>
      <x:c r="D120" s="1">
        <x:f t="shared" si="56"/>
        <x:v>4.1082786578398345</x:v>
      </x:c>
      <x:c r="E120" s="1">
        <x:f t="shared" si="57"/>
        <x:v>11.251969020308183</x:v>
      </x:c>
      <x:c r="F120" s="1">
        <x:f t="shared" si="58"/>
        <x:v>0.17769509664594504</x:v>
      </x:c>
      <x:c r="G120" s="1">
        <x:f t="shared" si="59"/>
        <x:v>0.15388846782331941</x:v>
      </x:c>
      <x:c r="H120" s="1">
        <x:f t="shared" si="60"/>
        <x:v>6.1762495649026639E-2</x:v>
      </x:c>
      <x:c r="K120" s="1">
        <x:v>-2.7460071955840601</x:v>
      </x:c>
      <x:c r="L120" s="1">
        <x:v>3108.4789916992099</x:v>
      </x:c>
      <x:c r="M120" s="1">
        <x:v>1157.02791878172</x:v>
      </x:c>
      <x:c r="N120" s="1">
        <x:f t="shared" si="61"/>
        <x:v>4.1190107933760904</x:v>
      </x:c>
      <x:c r="O120" s="1">
        <x:f t="shared" si="62"/>
        <x:v>11.310833277299153</x:v>
      </x:c>
      <x:c r="P120" s="1">
        <x:f t="shared" si="63"/>
        <x:v>0.17389617205050864</x:v>
      </x:c>
      <x:c r="Q120" s="1">
        <x:f t="shared" si="64"/>
        <x:v>0.15059850261660992</x:v>
      </x:c>
      <x:c r="R120" s="1">
        <x:f t="shared" si="65"/>
        <x:v>6.3479849188782869E-2</x:v>
      </x:c>
    </x:row>
    <x:row r="121">
      <x:c r="A121" s="1">
        <x:v>-3.42166082830314</x:v>
      </x:c>
      <x:c r="B121" s="1">
        <x:v>3037.6468847656201</x:v>
      </x:c>
      <x:c r="C121" s="1">
        <x:v>1029.5050100200399</x:v>
      </x:c>
      <x:c r="D121" s="1">
        <x:f t="shared" si="56"/>
        <x:v>5.1324912424547104</x:v>
      </x:c>
      <x:c r="E121" s="1">
        <x:f t="shared" si="57"/>
        <x:v>17.561644235916194</x:v>
      </x:c>
      <x:c r="F121" s="1">
        <x:f t="shared" si="58"/>
        <x:v>0.22173587211207596</x:v>
      </x:c>
      <x:c r="G121" s="1">
        <x:f t="shared" si="59"/>
        <x:v>0.19202889817935523</x:v>
      </x:c>
      <x:c r="H121" s="1">
        <x:f t="shared" si="60"/>
        <x:v>5.749582525155409E-2</x:v>
      </x:c>
      <x:c r="K121" s="1">
        <x:v>-3.42871103040489</x:v>
      </x:c>
      <x:c r="L121" s="1">
        <x:v>3118.33697219122</x:v>
      </x:c>
      <x:c r="M121" s="1">
        <x:v>1094.62763466042</x:v>
      </x:c>
      <x:c r="N121" s="1">
        <x:f t="shared" si="61"/>
        <x:v>5.1430665456073346</x:v>
      </x:c>
      <x:c r="O121" s="1">
        <x:f t="shared" si="62"/>
        <x:v>17.634088995030243</x:v>
      </x:c>
      <x:c r="P121" s="1">
        <x:f t="shared" si="63"/>
        <x:v>0.21644329084395267</x:v>
      </x:c>
      <x:c r="Q121" s="1">
        <x:f t="shared" si="64"/>
        <x:v>0.18744538834956681</x:v>
      </x:c>
      <x:c r="R121" s="1">
        <x:f t="shared" si="65"/>
        <x:v>5.8779238852070793E-2</x:v>
      </x:c>
    </x:row>
    <x:row r="122">
      <x:c r="A122" s="1">
        <x:v>-4.1055249788064803</x:v>
      </x:c>
      <x:c r="B122" s="1">
        <x:v>3047.0640073029799</x:v>
      </x:c>
      <x:c r="C122" s="1">
        <x:v>973.477876106194</x:v>
      </x:c>
      <x:c r="D122" s="1">
        <x:f t="shared" si="56"/>
        <x:v>6.1582874682097204</x:v>
      </x:c>
      <x:c r="E122" s="1">
        <x:f t="shared" si="57"/>
        <x:v>25.283003027405925</x:v>
      </x:c>
      <x:c r="F122" s="1">
        <x:f t="shared" si="58"/>
        <x:v>0.26523046660309718</x:v>
      </x:c>
      <x:c r="G122" s="1">
        <x:f t="shared" si="59"/>
        <x:v>0.22969632193588232</x:v>
      </x:c>
      <x:c r="H122" s="1">
        <x:f t="shared" si="60"/>
        <x:v>5.3097537965049395E-2</x:v>
      </x:c>
      <x:c r="K122" s="1">
        <x:v>-4.1722173412640799</x:v>
      </x:c>
      <x:c r="L122" s="1">
        <x:v>3112.81787109375</x:v>
      </x:c>
      <x:c r="M122" s="1">
        <x:v>1034.69854469854</x:v>
      </x:c>
      <x:c r="N122" s="1">
        <x:f t="shared" si="61"/>
        <x:v>6.2583260118961199</x:v>
      </x:c>
      <x:c r="O122" s="1">
        <x:f t="shared" si="62"/>
        <x:v>26.111096314117063</x:v>
      </x:c>
      <x:c r="P122" s="1">
        <x:f t="shared" si="63"/>
        <x:v>0.26384538390757367</x:v>
      </x:c>
      <x:c r="Q122" s="1">
        <x:f t="shared" si="64"/>
        <x:v>0.22849680513521672</x:v>
      </x:c>
      <x:c r="R122" s="1">
        <x:f t="shared" si="65"/>
        <x:v>5.4843598512081662E-2</x:v>
      </x:c>
    </x:row>
    <x:row r="123">
      <x:c r="A123" s="1">
        <x:v>-4.7861779676773404</x:v>
      </x:c>
      <x:c r="B123" s="1">
        <x:v>3061.0257873535102</x:v>
      </x:c>
      <x:c r="C123" s="1">
        <x:v>924.45341614906795</x:v>
      </x:c>
      <x:c r="D123" s="1">
        <x:f t="shared" si="56"/>
        <x:v>7.179266951516011</x:v>
      </x:c>
      <x:c r="E123" s="1">
        <x:f t="shared" si="57"/>
        <x:v>34.361249307419996</x:v>
      </x:c>
      <x:c r="F123" s="1">
        <x:f t="shared" si="58"/>
        <x:v>0.30779257762277429</x:v>
      </x:c>
      <x:c r="G123" s="1">
        <x:f t="shared" si="59"/>
        <x:v>0.26655619131761626</x:v>
      </x:c>
      <x:c r="H123" s="1">
        <x:f t="shared" si="60"/>
        <x:v>4.9108404166051688E-2</x:v>
      </x:c>
      <x:c r="K123" s="1">
        <x:v>-4.8580002243779203</x:v>
      </x:c>
      <x:c r="L123" s="1">
        <x:v>3120.1026000976499</x:v>
      </x:c>
      <x:c r="M123" s="1">
        <x:v>981.67647058823502</x:v>
      </x:c>
      <x:c r="N123" s="1">
        <x:f t="shared" si="61"/>
        <x:v>7.2870003365668801</x:v>
      </x:c>
      <x:c r="O123" s="1">
        <x:f t="shared" si="62"/>
        <x:v>35.40024927008389</x:v>
      </x:c>
      <x:c r="P123" s="1">
        <x:f t="shared" si="63"/>
        <x:v>0.3064960930250748</x:v>
      </x:c>
      <x:c r="Q123" s="1">
        <x:f t="shared" si="64"/>
        <x:v>0.26543340272039329</x:v>
      </x:c>
      <x:c r="R123" s="1">
        <x:f t="shared" si="65"/>
        <x:v>5.0938284056333778E-2</x:v>
      </x:c>
    </x:row>
    <x:row r="124">
      <x:c r="A124" s="1">
        <x:v>-5.4604765317571404</x:v>
      </x:c>
      <x:c r="B124" s="1">
        <x:v>3073.9317345252398</x:v>
      </x:c>
      <x:c r="C124" s="1">
        <x:v>873.30769230769204</x:v>
      </x:c>
      <x:c r="D124" s="1">
        <x:f t="shared" si="56"/>
        <x:v>8.1907147976357102</x:v>
      </x:c>
      <x:c r="E124" s="1">
        <x:f t="shared" si="57"/>
        <x:v>44.725205930805735</x:v>
      </x:c>
      <x:c r="F124" s="1">
        <x:f t="shared" si="58"/>
        <x:v>0.34968146592114152</x:v>
      </x:c>
      <x:c r="G124" s="1">
        <x:f t="shared" si="59"/>
        <x:v>0.302833032720291</x:v>
      </x:c>
      <x:c r="H124" s="1">
        <x:f t="shared" si="60"/>
        <x:v>4.5069988810798177E-2</x:v>
      </x:c>
      <x:c r="K124" s="1">
        <x:v>-5.4691857834384798</x:v>
      </x:c>
      <x:c r="L124" s="1">
        <x:v>3201.9368230646301</x:v>
      </x:c>
      <x:c r="M124" s="1">
        <x:v>931.095454545454</x:v>
      </x:c>
      <x:c r="N124" s="1">
        <x:f t="shared" si="61"/>
        <x:v>8.2037786751577197</x:v>
      </x:c>
      <x:c r="O124" s="1">
        <x:f t="shared" si="62"/>
        <x:v>44.867989700648366</x:v>
      </x:c>
      <x:c r="P124" s="1">
        <x:f t="shared" si="63"/>
        <x:v>0.33623754439419901</x:v>
      </x:c>
      <x:c r="Q124" s="1">
        <x:f t="shared" si="64"/>
        <x:v>0.29119025515147434</x:v>
      </x:c>
      <x:c r="R124" s="1">
        <x:f t="shared" si="65"/>
        <x:v>4.5062007450127402E-2</x:v>
      </x:c>
    </x:row>
    <x:row r="125">
      <x:c r="A125" s="1">
        <x:v>-6.1403437043413698</x:v>
      </x:c>
      <x:c r="B125" s="1">
        <x:v>3097.6326751708898</x:v>
      </x:c>
      <x:c r="C125" s="1">
        <x:v>812.73846153846102</x:v>
      </x:c>
      <x:c r="D125" s="1">
        <x:f t="shared" si="56"/>
        <x:v>9.2105155565120551</x:v>
      </x:c>
      <x:c r="E125" s="1">
        <x:f t="shared" si="57"/>
        <x:v>56.555731211167043</x:v>
      </x:c>
      <x:c r="F125" s="1">
        <x:f t="shared" si="58"/>
        <x:v>0.39021059060563629</x:v>
      </x:c>
      <x:c r="G125" s="1">
        <x:f t="shared" si="59"/>
        <x:v>0.33793228429021044</x:v>
      </x:c>
      <x:c r="H125" s="1">
        <x:f t="shared" si="60"/>
        <x:v>4.0153245416980503E-2</x:v>
      </x:c>
      <x:c r="K125" s="1">
        <x:v>-6.1452994436165502</x:v>
      </x:c>
      <x:c r="L125" s="1">
        <x:v>3175.77508835565</x:v>
      </x:c>
      <x:c r="M125" s="1">
        <x:v>873.52224824355903</x:v>
      </x:c>
      <x:c r="N125" s="1">
        <x:f t="shared" si="61"/>
        <x:v>9.2179491654248249</x:v>
      </x:c>
      <x:c r="O125" s="1">
        <x:f t="shared" si="62"/>
        <x:v>56.64705787757083</x:v>
      </x:c>
      <x:c r="P125" s="1">
        <x:f t="shared" si="63"/>
        <x:v>0.38091633734412456</x:v>
      </x:c>
      <x:c r="Q125" s="1">
        <x:f t="shared" si="64"/>
        <x:v>0.32988322485653487</x:v>
      </x:c>
      <x:c r="R125" s="1">
        <x:f t="shared" si="65"/>
        <x:v>4.1982444490072546E-2</x:v>
      </x:c>
    </x:row>
    <x:row r="126">
      <x:c r="A126" s="1">
        <x:v>-6.7637528344696598</x:v>
      </x:c>
      <x:c r="B126" s="1">
        <x:v>3104.0503051757801</x:v>
      </x:c>
      <x:c r="C126" s="1">
        <x:v>755.99755501222398</x:v>
      </x:c>
      <x:c r="D126" s="1">
        <x:f t="shared" si="56"/>
        <x:v>10.14562925170449</x:v>
      </x:c>
      <x:c r="E126" s="1">
        <x:f t="shared" si="57"/>
        <x:v>68.622528608694537</x:v>
      </x:c>
      <x:c r="F126" s="1">
        <x:f t="shared" si="58"/>
        <x:v>0.42893873405984323</x:v>
      </x:c>
      <x:c r="G126" s="1">
        <x:f t="shared" si="59"/>
        <x:v>0.37147184036296171</x:v>
      </x:c>
      <x:c r="H126" s="1">
        <x:f t="shared" si="60"/>
        <x:v>3.6041398404116576E-2</x:v>
      </x:c>
      <x:c r="K126" s="1">
        <x:v>-6.7683611814888298</x:v>
      </x:c>
      <x:c r="L126" s="1">
        <x:v>3218.7503983347001</x:v>
      </x:c>
      <x:c r="M126" s="1">
        <x:v>806.00261780104699</x:v>
      </x:c>
      <x:c r="N126" s="1">
        <x:f t="shared" si="61"/>
        <x:v>10.152541772233246</x:v>
      </x:c>
      <x:c r="O126" s="1">
        <x:f t="shared" si="62"/>
        <x:v>68.716069624627309</x:v>
      </x:c>
      <x:c r="P126" s="1">
        <x:f t="shared" si="63"/>
        <x:v>0.4139353470758495</x:v>
      </x:c>
      <x:c r="Q126" s="1">
        <x:f t="shared" si="64"/>
        <x:v>0.3584785260920143</x:v>
      </x:c>
      <x:c r="R126" s="1">
        <x:f t="shared" si="65"/>
        <x:v>3.6501978493054095E-2</x:v>
      </x:c>
    </x:row>
    <x:row r="127">
      <x:c r="A127" s="1">
        <x:v>-6.13987090631767</x:v>
      </x:c>
      <x:c r="B127" s="1">
        <x:v>3097.34228515625</x:v>
      </x:c>
      <x:c r="C127" s="1">
        <x:v>803.91916859122398</x:v>
      </x:c>
      <x:c r="D127" s="1">
        <x:f t="shared" si="56"/>
        <x:v>9.2098063594765058</x:v>
      </x:c>
      <x:c r="E127" s="1">
        <x:f t="shared" si="57"/>
        <x:v>56.547022119369245</x:v>
      </x:c>
      <x:c r="F127" s="1">
        <x:f t="shared" si="58"/>
        <x:v>0.39021712613840881</x:v>
      </x:c>
      <x:c r="G127" s="1">
        <x:f t="shared" si="59"/>
        <x:v>0.33793794422761869</x:v>
      </x:c>
      <x:c r="H127" s="1">
        <x:f t="shared" si="60"/>
        <x:v>3.9544787216606252E-2</x:v>
      </x:c>
      <x:c r="K127" s="1">
        <x:v>-6.1470378762510798</x:v>
      </x:c>
      <x:c r="L127" s="1">
        <x:v>3181.8006258877799</x:v>
      </x:c>
      <x:c r="M127" s="1">
        <x:v>857.59132420091305</x:v>
      </x:c>
      <x:c r="N127" s="1">
        <x:f t="shared" si="61"/>
        <x:v>9.2205568143766197</x:v>
      </x:c>
      <x:c r="O127" s="1">
        <x:f t="shared" si="62"/>
        <x:v>56.679111978098078</x:v>
      </x:c>
      <x:c r="P127" s="1">
        <x:f t="shared" si="63"/>
        <x:v>0.38030252938807324</x:v>
      </x:c>
      <x:c r="Q127" s="1">
        <x:f t="shared" si="64"/>
        <x:v>0.3293516515735494</x:v>
      </x:c>
      <x:c r="R127" s="1">
        <x:f t="shared" si="65"/>
        <x:v>4.0769171211607148E-2</x:v>
      </x:c>
    </x:row>
    <x:row r="128">
      <x:c r="A128" s="1">
        <x:v>-5.4606926296696496</x:v>
      </x:c>
      <x:c r="B128" s="1">
        <x:v>3068.0581711989098</x:v>
      </x:c>
      <x:c r="C128" s="1">
        <x:v>859.419659735349</x:v>
      </x:c>
      <x:c r="D128" s="1">
        <x:f t="shared" si="56"/>
        <x:v>8.1910389445044736</x:v>
      </x:c>
      <x:c r="E128" s="1">
        <x:f t="shared" si="57"/>
        <x:v>44.728745993592653</x:v>
      </x:c>
      <x:c r="F128" s="1">
        <x:f t="shared" si="58"/>
        <x:v>0.35036476952110812</x:v>
      </x:c>
      <x:c r="G128" s="1">
        <x:f t="shared" si="59"/>
        <x:v>0.30342479099635944</x:v>
      </x:c>
      <x:c r="H128" s="1">
        <x:f t="shared" si="60"/>
        <x:v>4.4254098288463953E-2</x:v>
      </x:c>
      <x:c r="K128" s="1">
        <x:v>-5.4739285707473702</x:v>
      </x:c>
      <x:c r="L128" s="1">
        <x:v>3138.95156028054</x:v>
      </x:c>
      <x:c r="M128" s="1">
        <x:v>916.19545454545403</x:v>
      </x:c>
      <x:c r="N128" s="1">
        <x:f t="shared" si="61"/>
        <x:v>8.2108928561210561</x:v>
      </x:c>
      <x:c r="O128" s="1">
        <x:f t="shared" si="62"/>
        <x:v>44.945840996466522</x:v>
      </x:c>
      <x:c r="P128" s="1">
        <x:f t="shared" si="63"/>
        <x:v>0.3432818167303302</x:v>
      </x:c>
      <x:c r="Q128" s="1">
        <x:f t="shared" si="64"/>
        <x:v>0.29729077394573988</x:v>
      </x:c>
      <x:c r="R128" s="1">
        <x:f t="shared" si="65"/>
        <x:v>4.5875262559267875E-2</x:v>
      </x:c>
    </x:row>
    <x:row r="129">
      <x:c r="A129" s="1">
        <x:v>-4.7954275974007503</x:v>
      </x:c>
      <x:c r="B129" s="1">
        <x:v>3049.8561314174099</x:v>
      </x:c>
      <x:c r="C129" s="1">
        <x:v>916.44883720930204</x:v>
      </x:c>
      <x:c r="D129" s="1">
        <x:f t="shared" si="56"/>
        <x:v>7.1931413961011259</x:v>
      </x:c>
      <x:c r="E129" s="1">
        <x:f t="shared" si="57"/>
        <x:v>34.494188762869101</x:v>
      </x:c>
      <x:c r="F129" s="1">
        <x:f t="shared" si="58"/>
        <x:v>0.30951683287212856</x:v>
      </x:c>
      <x:c r="G129" s="1">
        <x:f t="shared" si="59"/>
        <x:v>0.26804944016616566</x:v>
      </x:c>
      <x:c r="H129" s="1">
        <x:f t="shared" si="60"/>
        <x:v>4.889213874033984E-2</x:v>
      </x:c>
      <x:c r="K129" s="1">
        <x:v>-4.7947965189814497</x:v>
      </x:c>
      <x:c r="L129" s="1">
        <x:v>3153.7797363281202</x:v>
      </x:c>
      <x:c r="M129" s="1">
        <x:v>980.62953367875605</x:v>
      </x:c>
      <x:c r="N129" s="1">
        <x:f t="shared" si="61"/>
        <x:v>7.1921947784721745</x:v>
      </x:c>
      <x:c r="O129" s="1">
        <x:f t="shared" si="62"/>
        <x:v>34.485110487654943</x:v>
      </x:c>
      <x:c r="P129" s="1">
        <x:f t="shared" si="63"/>
        <x:v>0.29927821895880941</x:v>
      </x:c>
      <x:c r="Q129" s="1">
        <x:f t="shared" si="64"/>
        <x:v>0.25918254041769051</x:v>
      </x:c>
      <x:c r="R129" s="1">
        <x:f t="shared" si="65"/>
        <x:v>4.9785689545807248E-2</x:v>
      </x:c>
    </x:row>
    <x:row r="130">
      <x:c r="A130" s="1">
        <x:v>-4.1182497763729398</x:v>
      </x:c>
      <x:c r="B130" s="1">
        <x:v>3020.5554882812498</x:v>
      </x:c>
      <x:c r="C130" s="1">
        <x:v>972.46292585170295</x:v>
      </x:c>
      <x:c r="D130" s="1">
        <x:f t="shared" si="56"/>
        <x:v>6.1773746645594096</x:v>
      </x:c>
      <x:c r="E130" s="1">
        <x:f t="shared" si="57"/>
        <x:v>25.439971830893654</x:v>
      </x:c>
      <x:c r="F130" s="1">
        <x:f t="shared" si="58"/>
        <x:v>0.26838741846735076</x:v>
      </x:c>
      <x:c r="G130" s="1">
        <x:f t="shared" si="59"/>
        <x:v>0.23243032244885059</x:v>
      </x:c>
      <x:c r="H130" s="1">
        <x:f t="shared" si="60"/>
        <x:v>5.3959060105704129E-2</x:v>
      </x:c>
      <x:c r="K130" s="1">
        <x:v>-4.1186955965482204</x:v>
      </x:c>
      <x:c r="L130" s="1">
        <x:v>3128.77783203125</x:v>
      </x:c>
      <x:c r="M130" s="1">
        <x:v>1037.1053984575799</x:v>
      </x:c>
      <x:c r="N130" s="1">
        <x:f t="shared" si="61"/>
        <x:v>6.1780433948223301</x:v>
      </x:c>
      <x:c r="O130" s="1">
        <x:f t="shared" si="62"/>
        <x:v>25.445480125538552</x:v>
      </x:c>
      <x:c r="P130" s="1">
        <x:f t="shared" si="63"/>
        <x:v>0.25913212546250192</x:v>
      </x:c>
      <x:c r="Q130" s="1">
        <x:f t="shared" si="64"/>
        <x:v>0.224415003587183</x:v>
      </x:c>
      <x:c r="R130" s="1">
        <x:f t="shared" si="65"/>
        <x:v>5.4450255651346799E-2</x:v>
      </x:c>
    </x:row>
    <x:row r="131">
      <x:c r="A131" s="1">
        <x:v>-3.4356299330081201</x:v>
      </x:c>
      <x:c r="B131" s="1">
        <x:v>3033.15815873579</x:v>
      </x:c>
      <x:c r="C131" s="1">
        <x:v>1025.9753914988801</x:v>
      </x:c>
      <x:c r="D131" s="1">
        <x:f t="shared" si="56"/>
        <x:v>5.1534448995121807</x:v>
      </x:c>
      <x:c r="E131" s="1">
        <x:f t="shared" si="57"/>
        <x:v>17.705329554872073</x:v>
      </x:c>
      <x:c r="F131" s="1">
        <x:f t="shared" si="58"/>
        <x:v>0.22297060342040984</x:v>
      </x:c>
      <x:c r="G131" s="1">
        <x:f t="shared" si="59"/>
        <x:v>0.19309820685922033</x:v>
      </x:c>
      <x:c r="H131" s="1">
        <x:f t="shared" si="60"/>
        <x:v>5.740905390098483E-2</x:v>
      </x:c>
      <x:c r="K131" s="1">
        <x:v>-3.4354010056226598</x:v>
      </x:c>
      <x:c r="L131" s="1">
        <x:v>3098.2921508789</x:v>
      </x:c>
      <x:c r="M131" s="1">
        <x:v>1091.4807197943401</x:v>
      </x:c>
      <x:c r="N131" s="1">
        <x:f t="shared" si="61"/>
        <x:v>5.1531015084339895</x:v>
      </x:c>
      <x:c r="O131" s="1">
        <x:f t="shared" si="62"/>
        <x:v>17.702970104149774</x:v>
      </x:c>
      <x:c r="P131" s="1">
        <x:f t="shared" si="63"/>
        <x:v>0.2182686485149779</x:v>
      </x:c>
      <x:c r="Q131" s="1">
        <x:f t="shared" si="64"/>
        <x:v>0.18902619446366747</x:v>
      </x:c>
      <x:c r="R131" s="1">
        <x:f t="shared" si="65"/>
        <x:v>5.9322596647314922E-2</x:v>
      </x:c>
    </x:row>
    <x:row r="132">
      <x:c r="A132" s="1">
        <x:v>-2.7530898225718499</x:v>
      </x:c>
      <x:c r="B132" s="1">
        <x:v>2997.0715163658401</x:v>
      </x:c>
      <x:c r="C132" s="1">
        <x:v>1079.3920552677</x:v>
      </x:c>
      <x:c r="D132" s="1">
        <x:f t="shared" si="56"/>
        <x:v>4.1296347338577748</x:v>
      </x:c>
      <x:c r="E132" s="1">
        <x:f t="shared" si="57"/>
        <x:v>11.36925535672305</x:v>
      </x:c>
      <x:c r="F132" s="1">
        <x:f t="shared" si="58"/>
        <x:v>0.1808254532824923</x:v>
      </x:c>
      <x:c r="G132" s="1">
        <x:f t="shared" si="59"/>
        <x:v>0.15659943619347452</x:v>
      </x:c>
      <x:c r="H132" s="1">
        <x:f t="shared" si="60"/>
        <x:v>6.2784592409795378E-2</x:v>
      </x:c>
      <x:c r="K132" s="1">
        <x:v>-2.7540822404402201</x:v>
      </x:c>
      <x:c r="L132" s="1">
        <x:v>3102.8322975852202</x:v>
      </x:c>
      <x:c r="M132" s="1">
        <x:v>1149.75981524249</x:v>
      </x:c>
      <x:c r="N132" s="1">
        <x:f t="shared" si="61"/>
        <x:v>4.1311233606603306</x:v>
      </x:c>
      <x:c r="O132" s="1">
        <x:f t="shared" si="62"/>
        <x:v>11.377453480662334</x:v>
      </x:c>
      <x:c r="P132" s="1">
        <x:f t="shared" si="63"/>
        <x:v>0.17472493558125146</x:v>
      </x:c>
      <x:c r="Q132" s="1">
        <x:f t="shared" si="64"/>
        <x:v>0.15131623288796331</x:v>
      </x:c>
      <x:c r="R132" s="1">
        <x:f t="shared" si="65"/>
        <x:v>6.3205257940824003E-2</x:v>
      </x:c>
    </x:row>
    <x:row r="133">
      <x:c r="A133" s="1">
        <x:v>-2.0661860103960299</x:v>
      </x:c>
      <x:c r="B133" s="1">
        <x:v>2988.1532660590201</x:v>
      </x:c>
      <x:c r="C133" s="1">
        <x:v>1136.51386321626</x:v>
      </x:c>
      <x:c r="D133" s="1">
        <x:f t="shared" si="56"/>
        <x:v>3.0992790155940448</x:v>
      </x:c>
      <x:c r="E133" s="1">
        <x:f t="shared" si="57"/>
        <x:v>6.4036869443343942</x:v>
      </x:c>
      <x:c r="F133" s="1">
        <x:f t="shared" si="58"/>
        <x:v>0.13611401203056103</x:v>
      </x:c>
      <x:c r="G133" s="1">
        <x:f t="shared" si="59"/>
        <x:v>0.11787819222948655</x:v>
      </x:c>
      <x:c r="H133" s="1">
        <x:f t="shared" si="60"/>
        <x:v>6.7446516292027303E-2</x:v>
      </x:c>
      <x:c r="K133" s="1">
        <x:v>-2.0677134706159599</x:v>
      </x:c>
      <x:c r="L133" s="1">
        <x:v>3095.7381286620998</x:v>
      </x:c>
      <x:c r="M133" s="1">
        <x:v>1208.68659793814</x:v>
      </x:c>
      <x:c r="N133" s="1">
        <x:f t="shared" si="61"/>
        <x:v>3.1015702059239398</x:v>
      </x:c>
      <x:c r="O133" s="1">
        <x:f t="shared" si="62"/>
        <x:v>6.4131584948500464</x:v>
      </x:c>
      <x:c r="P133" s="1">
        <x:f t="shared" si="63"/>
        <x:v>0.13148082745845219</x:v>
      </x:c>
      <x:c r="Q133" s="1">
        <x:f t="shared" si="64"/>
        <x:v>0.11386573668961816</x:v>
      </x:c>
      <x:c r="R133" s="1">
        <x:f t="shared" si="65"/>
        <x:v>6.7615306521874738E-2</x:v>
      </x:c>
    </x:row>
    <x:row r="134">
      <x:c r="A134" s="1">
        <x:v>-1.3829607022813999</x:v>
      </x:c>
      <x:c r="B134" s="1">
        <x:v>2983.72192382812</x:v>
      </x:c>
      <x:c r="C134" s="1">
        <x:v>1198.75113122171</x:v>
      </x:c>
      <x:c r="D134" s="1">
        <x:f t="shared" si="56"/>
        <x:v>2.0744410534220998</x:v>
      </x:c>
      <x:c r="E134" s="1">
        <x:f t="shared" si="57"/>
        <x:v>2.8688704560819942</x:v>
      </x:c>
      <x:c r="F134" s="1">
        <x:f t="shared" si="58"/>
        <x:v>9.1240526318059609E-2</x:v>
      </x:c>
      <x:c r="G134" s="1">
        <x:f t="shared" si="59"/>
        <x:v>7.9016613646102254E-2</x:v>
      </x:c>
      <x:c r="H134" s="1">
        <x:f t="shared" si="60"/>
        <x:v>7.2331366753220036E-2</x:v>
      </x:c>
      <x:c r="K134" s="1">
        <x:v>-1.38448057451633</x:v>
      </x:c>
      <x:c r="L134" s="1">
        <x:v>3071.5985107421802</x:v>
      </x:c>
      <x:c r="M134" s="1">
        <x:v>1275.47848101265</x:v>
      </x:c>
      <x:c r="N134" s="1">
        <x:f t="shared" si="61"/>
        <x:v>2.0767208617744952</x:v>
      </x:c>
      <x:c r="O134" s="1">
        <x:f t="shared" si="62"/>
        <x:v>2.8751796918196009</x:v>
      </x:c>
      <x:c r="P134" s="1">
        <x:f t="shared" si="63"/>
        <x:v>8.8727594186383457E-2</x:v>
      </x:c>
      <x:c r="Q134" s="1">
        <x:f t="shared" si="64"/>
        <x:v>7.6840350582084535E-2</x:v>
      </x:c>
      <x:c r="R134" s="1">
        <x:f t="shared" si="65"/>
        <x:v>7.342589362112821E-2</x:v>
      </x:c>
    </x:row>
    <x:row r="135">
      <x:c r="A135" s="1">
        <x:v>-0.69694690443115404</x:v>
      </x:c>
      <x:c r="B135" s="1">
        <x:v>2956.8358191287798</x:v>
      </x:c>
      <x:c r="C135" s="1">
        <x:v>1262.62403697996</x:v>
      </x:c>
      <x:c r="D135" s="1">
        <x:f t="shared" si="56"/>
        <x:v>1.0454203566467311</x:v>
      </x:c>
      <x:c r="E135" s="1">
        <x:f t="shared" si="57"/>
        <x:v>0.72860248139425221</x:v>
      </x:c>
      <x:c r="F135" s="1">
        <x:f t="shared" si="58"/>
        <x:v>4.6399016015113578E-2</x:v>
      </x:c>
      <x:c r="G135" s="1">
        <x:f t="shared" si="59"/>
        <x:v>4.0182726579689368E-2</x:v>
      </x:c>
      <x:c r="H135" s="1">
        <x:f t="shared" si="60"/>
        <x:v>7.8548040925807486E-2</x:v>
      </x:c>
      <x:c r="K135" s="1">
        <x:v>-0.689252191576464</x:v>
      </x:c>
      <x:c r="L135" s="1">
        <x:v>3071.3135375976499</x:v>
      </x:c>
      <x:c r="M135" s="1">
        <x:v>1339.34698275862</x:v>
      </x:c>
      <x:c r="N135" s="1">
        <x:f t="shared" si="61"/>
        <x:v>1.0338782873646961</x:v>
      </x:c>
      <x:c r="O135" s="1">
        <x:f t="shared" si="62"/>
        <x:v>0.7126028753894379</x:v>
      </x:c>
      <x:c r="P135" s="1">
        <x:f t="shared" si="63"/>
        <x:v>4.4176396714314184E-2</x:v>
      </x:c>
      <x:c r="Q135" s="1">
        <x:f t="shared" si="64"/>
        <x:v>3.8257881802255485E-2</x:v>
      </x:c>
      <x:c r="R135" s="1">
        <x:f t="shared" si="65"/>
        <x:v>7.7976376670478048E-2</x:v>
      </x:c>
    </x:row>
    <x:row r="136">
      <x:c r="A136" s="1" t="n">
        <x:f>-77.732/500</x:f>
        <x:v>-0.155464</x:v>
      </x:c>
      <x:c r="B136" s="1">
        <x:v>2994.02</x:v>
      </x:c>
      <x:c r="C136" s="1">
        <x:v>1299.74</x:v>
      </x:c>
      <x:c r="D136" s="1">
        <x:f t="shared" si="56"/>
        <x:v>0.23319599999999999</x:v>
      </x:c>
      <x:c r="E136" s="1">
        <x:f t="shared" si="57"/>
        <x:v>3.6253582943999996E-2</x:v>
      </x:c>
      <x:c r="F136" s="1">
        <x:f t="shared" si="58"/>
        <x:v>1.0221424575086076E-2</x:v>
      </x:c>
      <x:c r="G136" s="1">
        <x:f t="shared" si="59"/>
        <x:v>8.8520133448911006E-3</x:v>
      </x:c>
      <x:c r="H136" s="1">
        <x:f t="shared" si="60"/>
        <x:v>7.9383497328838426E-2</x:v>
      </x:c>
      <x:c r="K136" s="1" t="n">
        <x:f>-79.743/500</x:f>
        <x:v>-0.159486</x:v>
      </x:c>
      <x:c r="L136" s="1">
        <x:v>3032.1</x:v>
      </x:c>
      <x:c r="M136" s="1">
        <x:v>1381.1</x:v>
      </x:c>
      <x:c r="N136" s="1">
        <x:f t="shared" si="61"/>
        <x:v>0.23922899999999997</x:v>
      </x:c>
      <x:c r="O136" s="1">
        <x:f t="shared" si="62"/>
        <x:v>3.8153676293999995E-2</x:v>
      </x:c>
      <x:c r="P136" s="1">
        <x:f t="shared" si="63"/>
        <x:v>1.0354171000218916E-2</x:v>
      </x:c>
      <x:c r="Q136" s="1">
        <x:f t="shared" si="64"/>
        <x:v>8.9669751213177114E-3</x:v>
      </x:c>
      <x:c r="R136" s="1">
        <x:f t="shared" si="65"/>
        <x:v>8.3049432990025512E-2</x:v>
      </x:c>
    </x:row>
    <x:row r="137">
      <x:c r="A137" s="1">
        <x:v>-9.2004156514396099E-2</x:v>
      </x:c>
      <x:c r="B137" s="1">
        <x:v>0</x:v>
      </x:c>
      <x:c r="C137" s="1">
        <x:v>238.234939759036</x:v>
      </x:c>
      <x:c r="D137" s="1">
        <x:f t="shared" si="56"/>
        <x:v>0.13800623477159416</x:v>
      </x:c>
      <x:c r="E137" s="1">
        <x:f t="shared" si="57"/>
        <x:v>1.269714722388824E-2</x:v>
      </x:c>
      <x:c r="F137" s="1" t="e">
        <x:f t="shared" si="58"/>
        <x:v>#DIV/0!</x:v>
      </x:c>
      <x:c r="G137" s="1" t="e">
        <x:f t="shared" si="59"/>
        <x:v>#DIV/0!</x:v>
      </x:c>
      <x:c r="H137" s="1" t="e">
        <x:f t="shared" si="60"/>
        <x:v>#DIV/0!</x:v>
      </x:c>
      <x:c r="K137" s="1">
        <x:v>-0.121364793864389</x:v>
      </x:c>
      <x:c r="L137" s="1">
        <x:v>0</x:v>
      </x:c>
      <x:c r="M137" s="1">
        <x:v>240.19832985386199</x:v>
      </x:c>
      <x:c r="N137" s="1">
        <x:f t="shared" si="61"/>
        <x:v>0.18204719079658349</x:v>
      </x:c>
      <x:c r="O137" s="1">
        <x:f t="shared" si="62"/>
        <x:v>2.2094119784618452E-2</x:v>
      </x:c>
      <x:c r="P137" s="1" t="e">
        <x:f t="shared" si="63"/>
        <x:v>#DIV/0!</x:v>
      </x:c>
      <x:c r="Q137" s="1" t="e">
        <x:f t="shared" si="64"/>
        <x:v>#DIV/0!</x:v>
      </x:c>
      <x:c r="R137" s="1" t="e">
        <x:f t="shared" si="65"/>
        <x:v>#DIV/0!</x:v>
      </x:c>
    </x:row>
    <x:row r="142">
      <x:c r="A142" s="3" t="s">
        <x:v>38</x:v>
      </x:c>
      <x:c r="B142" s="3"/>
      <x:c r="C142" s="3"/>
      <x:c r="K142" s="3" t="s">
        <x:v>39</x:v>
      </x:c>
      <x:c r="L142" s="3"/>
      <x:c r="M142" s="3"/>
    </x:row>
    <x:row r="143">
      <x:c r="A143" s="1" t="s">
        <x:v>3</x:v>
      </x:c>
      <x:c r="B143" s="1" t="s">
        <x:v>4</x:v>
      </x:c>
      <x:c r="C143" s="1" t="s">
        <x:v>5</x:v>
      </x:c>
      <x:c r="D143" s="1" t="s">
        <x:v>40</x:v>
      </x:c>
      <x:c r="E143" s="1" t="s">
        <x:v>6</x:v>
      </x:c>
      <x:c r="F143" s="1" t="s">
        <x:v>7</x:v>
      </x:c>
      <x:c r="G143" s="1" t="s">
        <x:v>8</x:v>
      </x:c>
      <x:c r="H143" s="1" t="s">
        <x:v>9</x:v>
      </x:c>
      <x:c r="I143" s="1" t="s">
        <x:v>11</x:v>
      </x:c>
      <x:c r="K143" s="1" t="s">
        <x:v>3</x:v>
      </x:c>
      <x:c r="L143" s="1" t="s">
        <x:v>4</x:v>
      </x:c>
      <x:c r="M143" s="1" t="s">
        <x:v>5</x:v>
      </x:c>
      <x:c r="N143" s="1" t="s">
        <x:v>40</x:v>
      </x:c>
      <x:c r="O143" s="1" t="s">
        <x:v>6</x:v>
      </x:c>
      <x:c r="P143" s="1" t="s">
        <x:v>7</x:v>
      </x:c>
      <x:c r="Q143" s="1" t="s">
        <x:v>8</x:v>
      </x:c>
      <x:c r="R143" s="1" t="s">
        <x:v>9</x:v>
      </x:c>
      <x:c r="S143" s="1" t="s">
        <x:v>11</x:v>
      </x:c>
    </x:row>
    <x:row r="144">
      <x:c r="A144" s="1">
        <x:v>-3.1775764388374601E-2</x:v>
      </x:c>
      <x:c r="B144" s="1">
        <x:v>0</x:v>
      </x:c>
      <x:c r="C144" s="1">
        <x:v>-46.346598202824097</x:v>
      </x:c>
      <x:c r="D144" t="n">
        <x:f>C144*(-1.047)-13.539</x:f>
        <x:v>34.98588831835683</x:v>
      </x:c>
      <x:c r="E144" s="1" t="n">
        <x:f>-A144*1.5</x:f>
        <x:v>0.047663646582561905</x:v>
      </x:c>
      <x:c r="F144" s="1" t="n">
        <x:f>A144*A144*1.5</x:f>
        <x:v>0.0015145488036982433</x:v>
      </x:c>
      <x:c r="G144" s="1" t="e">
        <x:f>E144/(B144/60)/0.4572</x:f>
        <x:v>#DIV/0!</x:v>
      </x:c>
      <x:c r="H144" s="1" t="e">
        <x:f>E144*SIN(RADIANS(75))/(B144/60)/0.4572</x:f>
        <x:v>#DIV/0!</x:v>
      </x:c>
      <x:c r="I144" s="1" t="e">
        <x:f>(D144-$D$144)*9.8/1.205/(B144/60)^2/0.4572^4/1000</x:f>
        <x:v>#DIV/0!</x:v>
      </x:c>
      <x:c r="K144" s="1">
        <x:v>-5.1246471493404097E-2</x:v>
      </x:c>
      <x:c r="L144" s="1">
        <x:v>0</x:v>
      </x:c>
      <x:c r="M144" s="1">
        <x:v>-51.769480519480503</x:v>
      </x:c>
      <x:c r="N144" t="n">
        <x:f>M144*(-1.047)-13.539</x:f>
        <x:v>40.663646103896085</x:v>
      </x:c>
      <x:c r="O144" s="1" t="n">
        <x:f>-K144*1.5</x:f>
        <x:v>0.07686970724010614</x:v>
      </x:c>
      <x:c r="P144" s="1" t="n">
        <x:f>K144*K144*1.5</x:f>
        <x:v>0.003939301260786418</x:v>
      </x:c>
      <x:c r="Q144" s="1" t="e">
        <x:f>O144/(L144/60)/0.4572</x:f>
        <x:v>#DIV/0!</x:v>
      </x:c>
      <x:c r="R144" s="1" t="e">
        <x:f>O144*SIN(RADIANS(75))/(L144/60)/0.4572</x:f>
        <x:v>#DIV/0!</x:v>
      </x:c>
      <x:c r="S144" s="1" t="e">
        <x:f t="shared" ref="S144:S166" si="66">(N144-$N$144)*9.8/1.205/(L144/60)^2/0.4572^4/1000</x:f>
        <x:v>#DIV/0!</x:v>
      </x:c>
    </x:row>
    <x:row r="145">
      <x:c r="A145" s="1" t="n">
        <x:f>-37.528/500</x:f>
        <x:v>-0.075056</x:v>
      </x:c>
      <x:c r="B145" s="1">
        <x:v>3142.9</x:v>
      </x:c>
      <x:c r="C145" s="1">
        <x:v>-1169.5530000000001</x:v>
      </x:c>
      <x:c r="D145" t="n">
        <x:f t="shared" ref="D145:D166" si="67">C145*(-1.047)-13.539</x:f>
        <x:v>1210.982991</x:v>
      </x:c>
      <x:c r="E145" s="1" t="n">
        <x:f t="shared" ref="E145:E166" si="68">-A145*1.5</x:f>
        <x:v>0.11258399999999999</x:v>
      </x:c>
      <x:c r="F145" s="1" t="n">
        <x:f t="shared" ref="F145:F166" si="69">A145*A145*1.5</x:f>
        <x:v>0.008450104704</x:v>
      </x:c>
      <x:c r="G145" s="1" t="n">
        <x:f t="shared" ref="G145:G166" si="70">E145/(B145/60)/0.4572</x:f>
        <x:v>0.004701009624743484</x:v>
      </x:c>
      <x:c r="H145" s="1" t="n">
        <x:f t="shared" ref="H145:H166" si="71">E145*SIN(RADIANS(75))/(B145/60)/0.4572</x:f>
        <x:v>0.004540826606173214</x:v>
      </x:c>
      <x:c r="I145" s="1" t="n">
        <x:f t="shared" ref="I145:I166" si="72">(D145-$D$144)*9.8/1.205/(B145/60)^2/0.4572^4/1000</x:f>
        <x:v>0.0797740734105854</x:v>
      </x:c>
      <x:c r="K145" s="1" t="n">
        <x:f>-35.909/500</x:f>
        <x:v>-0.07181799999999999</x:v>
      </x:c>
      <x:c r="L145" s="1">
        <x:v>3046.15</x:v>
      </x:c>
      <x:c r="M145" s="1">
        <x:v>-1108.498</x:v>
      </x:c>
      <x:c r="N145" t="n">
        <x:f t="shared" ref="N145:N166" si="73">M145*(-1.047)-13.539</x:f>
        <x:v>1147.0584059999999</x:v>
      </x:c>
      <x:c r="O145" s="1" t="n">
        <x:f t="shared" ref="O145:O166" si="74">-K145*1.5</x:f>
        <x:v>0.10772699999999999</x:v>
      </x:c>
      <x:c r="P145" s="1" t="n">
        <x:f t="shared" ref="P145:P166" si="75">K145*K145*1.5</x:f>
        <x:v>0.007736737685999999</x:v>
      </x:c>
      <x:c r="Q145" s="1" t="n">
        <x:f t="shared" ref="Q145:Q166" si="76">O145/(L145/60)/0.4572</x:f>
        <x:v>0.004641072033485924</x:v>
      </x:c>
      <x:c r="R145" s="1" t="n">
        <x:f t="shared" ref="R145:R166" si="77">O145*SIN(RADIANS(75))/(L145/60)/0.4572</x:f>
        <x:v>0.0044829313388119775</x:v>
      </x:c>
      <x:c r="S145" s="1">
        <x:f t="shared" si="66"/>
        <x:v>7.9895842791966959E-2</x:v>
      </x:c>
    </x:row>
    <x:row r="146">
      <x:c r="A146" s="1">
        <x:v>-0.68418798095817801</x:v>
      </x:c>
      <x:c r="B146" s="1">
        <x:v>3130.5294799804601</x:v>
      </x:c>
      <x:c r="C146" s="1">
        <x:v>-1117.43512658227</x:v>
      </x:c>
      <x:c r="D146">
        <x:f t="shared" si="67"/>
        <x:v>1156.4155775316365</x:v>
      </x:c>
      <x:c r="E146" s="1">
        <x:f t="shared" si="68"/>
        <x:v>1.0262819714372671</x:v>
      </x:c>
      <x:c r="F146" s="1">
        <x:f t="shared" si="69"/>
        <x:v>0.7021697899314423</x:v>
      </x:c>
      <x:c r="G146" s="1">
        <x:f t="shared" si="70"/>
        <x:v>4.3022330336849227E-2</x:v>
      </x:c>
      <x:c r="H146" s="1">
        <x:f t="shared" si="71"/>
        <x:v>4.1556379979502338E-2</x:v>
      </x:c>
      <x:c r="I146" s="1">
        <x:f t="shared" si="72"/>
        <x:v>7.6674878514188541E-2</x:v>
      </x:c>
      <x:c r="K146" s="1">
        <x:v>-0.68111463186245602</x:v>
      </x:c>
      <x:c r="L146" s="1">
        <x:v>3047.9841773623498</x:v>
      </x:c>
      <x:c r="M146" s="1">
        <x:v>-1054.32445520581</x:v>
      </x:c>
      <x:c r="N146">
        <x:f t="shared" si="73"/>
        <x:v>1090.338704600483</x:v>
      </x:c>
      <x:c r="O146" s="1">
        <x:f t="shared" si="74"/>
        <x:v>1.021671947793684</x:v>
      </x:c>
      <x:c r="P146" s="1">
        <x:f t="shared" si="75"/>
        <x:v>0.69587571260569347</x:v>
      </x:c>
      <x:c r="Q146" s="1">
        <x:f t="shared" si="76"/>
        <x:v>4.3988969638785611E-2</x:v>
      </x:c>
      <x:c r="R146" s="1">
        <x:f t="shared" si="77"/>
        <x:v>4.2490081845948727E-2</x:v>
      </x:c>
      <x:c r="S146" s="1">
        <x:f t="shared" si="66"/>
        <x:v>7.5708754973581996E-2</x:v>
      </x:c>
    </x:row>
    <x:row r="147">
      <x:c r="A147" s="1">
        <x:v>-1.3726364280951799</x:v>
      </x:c>
      <x:c r="B147" s="1">
        <x:v>3123.5474344889299</x:v>
      </x:c>
      <x:c r="C147" s="1">
        <x:v>-1029.9856557377</x:v>
      </x:c>
      <x:c r="D147">
        <x:f t="shared" si="67"/>
        <x:v>1064.8559815573717</x:v>
      </x:c>
      <x:c r="E147" s="1">
        <x:f t="shared" si="68"/>
        <x:v>2.05895464214277</x:v>
      </x:c>
      <x:c r="F147" s="1">
        <x:f t="shared" si="69"/>
        <x:v>2.8261961456008411</x:v>
      </x:c>
      <x:c r="G147" s="1">
        <x:f t="shared" si="70"/>
        <x:v>8.6505496377323021E-2</x:v>
      </x:c>
      <x:c r="H147" s="1">
        <x:f t="shared" si="71"/>
        <x:v>8.3557893066811731E-2</x:v>
      </x:c>
      <x:c r="I147" s="1">
        <x:f t="shared" si="72"/>
        <x:v>7.0729872989425666E-2</x:v>
      </x:c>
      <x:c r="K147" s="1">
        <x:v>-1.4405420755346601</x:v>
      </x:c>
      <x:c r="L147" s="1">
        <x:v>3057.65111287434</x:v>
      </x:c>
      <x:c r="M147" s="1">
        <x:v>-963.96257796257703</x:v>
      </x:c>
      <x:c r="N147">
        <x:f t="shared" si="73"/>
        <x:v>995.72981912681814</x:v>
      </x:c>
      <x:c r="O147" s="1">
        <x:f t="shared" si="74"/>
        <x:v>2.1608131133019901</x:v>
      </x:c>
      <x:c r="P147" s="1">
        <x:f t="shared" si="75"/>
        <x:v>3.1127422070785595</x:v>
      </x:c>
      <x:c r="Q147" s="1">
        <x:f t="shared" si="76"/>
        <x:v>9.2741540562806896E-2</x:v>
      </x:c>
      <x:c r="R147" s="1">
        <x:f t="shared" si="77"/>
        <x:v>8.9581449199450394E-2</x:v>
      </x:c>
      <x:c r="S147" s="1">
        <x:f t="shared" si="66"/>
        <x:v>6.8450125186338709E-2</x:v>
      </x:c>
    </x:row>
    <x:row r="148">
      <x:c r="A148" s="1">
        <x:v>-2.0561630963092998</x:v>
      </x:c>
      <x:c r="B148" s="1">
        <x:v>3157.6901611328099</x:v>
      </x:c>
      <x:c r="C148" s="1">
        <x:v>-942.40198511166204</x:v>
      </x:c>
      <x:c r="D148">
        <x:f t="shared" si="67"/>
        <x:v>973.15587841191007</x:v>
      </x:c>
      <x:c r="E148" s="1">
        <x:f t="shared" si="68"/>
        <x:v>3.0842446444639497</x:v>
      </x:c>
      <x:c r="F148" s="1">
        <x:f t="shared" si="69"/>
        <x:v>6.3417100179363697</x:v>
      </x:c>
      <x:c r="G148" s="1">
        <x:f t="shared" si="70"/>
        <x:v>0.12818120029747021</x:v>
      </x:c>
      <x:c r="H148" s="1">
        <x:f t="shared" si="71"/>
        <x:v>0.12381353181205849</x:v>
      </x:c>
      <x:c r="I148" s="1">
        <x:f t="shared" si="72"/>
        <x:v>6.3046234290407607E-2</x:v>
      </x:c>
      <x:c r="K148" s="1">
        <x:v>-2.0584801801463999</x:v>
      </x:c>
      <x:c r="L148" s="1">
        <x:v>3063.9347189198302</x:v>
      </x:c>
      <x:c r="M148" s="1">
        <x:v>-885.74945054944999</x:v>
      </x:c>
      <x:c r="N148">
        <x:f t="shared" si="73"/>
        <x:v>913.84067472527408</x:v>
      </x:c>
      <x:c r="O148" s="1">
        <x:f t="shared" si="74"/>
        <x:v>3.0877202702195996</x:v>
      </x:c>
      <x:c r="P148" s="1">
        <x:f t="shared" si="75"/>
        <x:v>6.3560109780833329</x:v>
      </x:c>
      <x:c r="Q148" s="1">
        <x:f t="shared" si="76"/>
        <x:v>0.13225237188798253</x:v>
      </x:c>
      <x:c r="R148" s="1">
        <x:f t="shared" si="77"/>
        <x:v>0.12774598159458866</x:v>
      </x:c>
      <x:c r="S148" s="1">
        <x:f t="shared" si="66"/>
        <x:v>6.2324661552898501E-2</x:v>
      </x:c>
    </x:row>
    <x:row r="149">
      <x:c r="A149" s="1">
        <x:v>-2.74361805678492</x:v>
      </x:c>
      <x:c r="B149" s="1">
        <x:v>3156.9839643998498</x:v>
      </x:c>
      <x:c r="C149" s="1">
        <x:v>-856.41441441441395</x:v>
      </x:c>
      <x:c r="D149">
        <x:f t="shared" si="67"/>
        <x:v>883.12689189189132</x:v>
      </x:c>
      <x:c r="E149" s="1">
        <x:f t="shared" si="68"/>
        <x:v>4.1154270851773802</x:v>
      </x:c>
      <x:c r="F149" s="1">
        <x:f t="shared" si="69"/>
        <x:v>11.29116006227439</x:v>
      </x:c>
      <x:c r="G149" s="1">
        <x:f t="shared" si="70"/>
        <x:v>0.17107540004415947</x:v>
      </x:c>
      <x:c r="H149" s="1">
        <x:f t="shared" si="71"/>
        <x:v>0.16524614714538766</x:v>
      </x:c>
      <x:c r="I149" s="1">
        <x:f t="shared" si="72"/>
        <x:v>5.7021672385544273E-2</x:v>
      </x:c>
      <x:c r="K149" s="1">
        <x:v>-2.7444562054516899</x:v>
      </x:c>
      <x:c r="L149" s="1">
        <x:v>3074.7217858355898</x:v>
      </x:c>
      <x:c r="M149" s="1">
        <x:v>-801.89230769230699</x:v>
      </x:c>
      <x:c r="N149">
        <x:f t="shared" si="73"/>
        <x:v>826.04224615384533</x:v>
      </x:c>
      <x:c r="O149" s="1">
        <x:f t="shared" si="74"/>
        <x:v>4.1166843081775344</x:v>
      </x:c>
      <x:c r="P149" s="1">
        <x:f t="shared" si="75"/>
        <x:v>11.298059795463432</x:v>
      </x:c>
      <x:c r="Q149" s="1">
        <x:f t="shared" si="76"/>
        <x:v>0.17570607104242961</x:v>
      </x:c>
      <x:c r="R149" s="1">
        <x:f t="shared" si="77"/>
        <x:v>0.16971903185566453</x:v>
      </x:c>
      <x:c r="S149" s="1">
        <x:f t="shared" si="66"/>
        <x:v>5.5665236177319277E-2</x:v>
      </x:c>
    </x:row>
    <x:row r="150">
      <x:c r="A150" s="1">
        <x:v>-3.4294949557429999</x:v>
      </x:c>
      <x:c r="B150" s="1">
        <x:v>3158.6321645883399</x:v>
      </x:c>
      <x:c r="C150" s="1">
        <x:v>-774.32432432432404</x:v>
      </x:c>
      <x:c r="D150">
        <x:f t="shared" si="67"/>
        <x:v>797.17856756756726</x:v>
      </x:c>
      <x:c r="E150" s="1">
        <x:f t="shared" si="68"/>
        <x:v>5.1442424336145001</x:v>
      </x:c>
      <x:c r="F150" s="1">
        <x:f t="shared" si="69"/>
        <x:v>17.642153477200019</x:v>
      </x:c>
      <x:c r="G150" s="1">
        <x:f t="shared" si="70"/>
        <x:v>0.21373094334992265</x:v>
      </x:c>
      <x:c r="H150" s="1">
        <x:f t="shared" si="71"/>
        <x:v>0.20644823805881607</x:v>
      </x:c>
      <x:c r="I150" s="1">
        <x:f t="shared" si="72"/>
        <x:v>5.1189785384272907E-2</x:v>
      </x:c>
      <x:c r="K150" s="1">
        <x:v>-3.4289919173768602</x:v>
      </x:c>
      <x:c r="L150" s="1">
        <x:v>3087.0001167628998</x:v>
      </x:c>
      <x:c r="M150" s="1">
        <x:v>-728.12903225806394</x:v>
      </x:c>
      <x:c r="N150">
        <x:f t="shared" si="73"/>
        <x:v>748.81209677419292</x:v>
      </x:c>
      <x:c r="O150" s="1">
        <x:f t="shared" si="74"/>
        <x:v>5.14348787606529</x:v>
      </x:c>
      <x:c r="P150" s="1">
        <x:f t="shared" si="75"/>
        <x:v>17.636978354153754</x:v>
      </x:c>
      <x:c r="Q150" s="1">
        <x:f t="shared" si="76"/>
        <x:v>0.21865836844874231</x:v>
      </x:c>
      <x:c r="R150" s="1">
        <x:f t="shared" si="77"/>
        <x:v>0.21120776521887097</x:v>
      </x:c>
      <x:c r="S150" s="1">
        <x:f t="shared" si="66"/>
        <x:v>4.9792927435345621E-2</x:v>
      </x:c>
    </x:row>
    <x:row r="151">
      <x:c r="A151" s="1">
        <x:v>-4.1142228998209998</x:v>
      </x:c>
      <x:c r="B151" s="1">
        <x:v>3189.26884321732</x:v>
      </x:c>
      <x:c r="C151" s="1">
        <x:v>-689.63038548752797</x:v>
      </x:c>
      <x:c r="D151">
        <x:f t="shared" si="67"/>
        <x:v>708.50401360544174</x:v>
      </x:c>
      <x:c r="E151" s="1">
        <x:f t="shared" si="68"/>
        <x:v>6.1713343497314996</x:v>
      </x:c>
      <x:c r="F151" s="1">
        <x:f t="shared" si="69"/>
        <x:v>25.390245104117273</x:v>
      </x:c>
      <x:c r="G151" s="1">
        <x:f t="shared" si="70"/>
        <x:v>0.25394108725733805</x:v>
      </x:c>
      <x:c r="H151" s="1">
        <x:f t="shared" si="71"/>
        <x:v>0.24528825453778863</x:v>
      </x:c>
      <x:c r="I151" s="1">
        <x:f t="shared" si="72"/>
        <x:v>4.4369411661864061E-2</x:v>
      </x:c>
      <x:c r="K151" s="1">
        <x:v>-4.1124785116740599</x:v>
      </x:c>
      <x:c r="L151" s="1">
        <x:v>3112.9796316964198</x:v>
      </x:c>
      <x:c r="M151" s="1">
        <x:v>-648.47593582887703</x:v>
      </x:c>
      <x:c r="N151">
        <x:f t="shared" si="73"/>
        <x:v>665.41530481283417</x:v>
      </x:c>
      <x:c r="O151" s="1">
        <x:f t="shared" si="74"/>
        <x:v>6.1687177675110902</x:v>
      </x:c>
      <x:c r="P151" s="1">
        <x:f t="shared" si="75"/>
        <x:v>25.368719263471334</x:v>
      </x:c>
      <x:c r="Q151" s="1">
        <x:f t="shared" si="76"/>
        <x:v>0.26005406712793233</x:v>
      </x:c>
      <x:c r="R151" s="1">
        <x:f t="shared" si="77"/>
        <x:v>0.25119293967038087</x:v>
      </x:c>
      <x:c r="S151" s="1">
        <x:f t="shared" si="66"/>
        <x:v>4.3198782036620101E-2</x:v>
      </x:c>
    </x:row>
    <x:row r="152">
      <x:c r="A152" s="1">
        <x:v>-4.86416147356835</x:v>
      </x:c>
      <x:c r="B152" s="1">
        <x:v>3227.3159412202299</x:v>
      </x:c>
      <x:c r="C152" s="1">
        <x:v>-599.79487179487103</x:v>
      </x:c>
      <x:c r="D152">
        <x:f t="shared" si="67"/>
        <x:v>614.44623076922994</x:v>
      </x:c>
      <x:c r="E152" s="1">
        <x:f t="shared" si="68"/>
        <x:v>7.2962422103525251</x:v>
      </x:c>
      <x:c r="F152" s="1">
        <x:f t="shared" si="69"/>
        <x:v>35.490100261419933</x:v>
      </x:c>
      <x:c r="G152" s="1">
        <x:f t="shared" si="70"/>
        <x:v>0.29668991773210218</x:v>
      </x:c>
      <x:c r="H152" s="1">
        <x:f t="shared" si="71"/>
        <x:v>0.28658045393701648</x:v>
      </x:c>
      <x:c r="I152" s="1">
        <x:f t="shared" si="72"/>
        <x:v>3.7278411247476849E-2</x:v>
      </x:c>
      <x:c r="K152" s="1">
        <x:v>-4.7950546764410404</x:v>
      </x:c>
      <x:c r="L152" s="1">
        <x:v>3130.0831705729101</x:v>
      </x:c>
      <x:c r="M152" s="1">
        <x:v>-566.20143884892002</x:v>
      </x:c>
      <x:c r="N152">
        <x:f t="shared" si="73"/>
        <x:v>579.27390647481923</x:v>
      </x:c>
      <x:c r="O152" s="1">
        <x:f t="shared" si="74"/>
        <x:v>7.1925820146615607</x:v>
      </x:c>
      <x:c r="P152" s="1">
        <x:f t="shared" si="75"/>
        <x:v>34.488824025088633</x:v>
      </x:c>
      <x:c r="Q152" s="1">
        <x:f t="shared" si="76"/>
        <x:v>0.30156016611579484</x:v>
      </x:c>
      <x:c r="R152" s="1">
        <x:f t="shared" si="77"/>
        <x:v>0.2912847526312678</x:v>
      </x:c>
      <x:c r="S152" s="1">
        <x:f t="shared" si="66"/>
        <x:v>3.6836597607746886E-2</x:v>
      </x:c>
    </x:row>
    <x:row r="153">
      <x:c r="A153" s="1">
        <x:v>-5.4698775499424999</x:v>
      </x:c>
      <x:c r="B153" s="1">
        <x:v>3242.5050113075599</x:v>
      </x:c>
      <x:c r="C153" s="1">
        <x:v>-531.66931216931198</x:v>
      </x:c>
      <x:c r="D153">
        <x:f t="shared" si="67"/>
        <x:v>543.11876984126957</x:v>
      </x:c>
      <x:c r="E153" s="1">
        <x:f t="shared" si="68"/>
        <x:v>8.2048163249137502</x:v>
      </x:c>
      <x:c r="F153" s="1">
        <x:f t="shared" si="69"/>
        <x:v>44.879340617047447</x:v>
      </x:c>
      <x:c r="G153" s="1">
        <x:f t="shared" si="70"/>
        <x:v>0.33207274790519892</x:v>
      </x:c>
      <x:c r="H153" s="1">
        <x:f t="shared" si="71"/>
        <x:v>0.32075764340841073</x:v>
      </x:c>
      <x:c r="I153" s="1">
        <x:f t="shared" si="72"/>
        <x:v>3.2384159509064724E-2</x:v>
      </x:c>
      <x:c r="K153" s="1">
        <x:v>-5.46862050864073</x:v>
      </x:c>
      <x:c r="L153" s="1">
        <x:v>3168.0471413352202</x:v>
      </x:c>
      <x:c r="M153" s="1">
        <x:v>-486.93212669683197</x:v>
      </x:c>
      <x:c r="N153">
        <x:f t="shared" si="73"/>
        <x:v>496.27893665158308</x:v>
      </x:c>
      <x:c r="O153" s="1">
        <x:f t="shared" si="74"/>
        <x:v>8.2029307629610955</x:v>
      </x:c>
      <x:c r="P153" s="1">
        <x:f t="shared" si="75"/>
        <x:v>44.858715401288997</x:v>
      </x:c>
      <x:c r="Q153" s="1">
        <x:f t="shared" si="76"/>
        <x:v>0.33979926816127526</x:v>
      </x:c>
      <x:c r="R153" s="1">
        <x:f t="shared" si="77"/>
        <x:v>0.32822088887110057</x:v>
      </x:c>
      <x:c r="S153" s="1">
        <x:f t="shared" si="66"/>
        <x:v>3.0418070531367677E-2</x:v>
      </x:c>
    </x:row>
    <x:row r="154">
      <x:c r="A154" s="1">
        <x:v>-6.1453771181884198</x:v>
      </x:c>
      <x:c r="B154" s="1">
        <x:v>3257.5594429347798</x:v>
      </x:c>
      <x:c r="C154" s="1">
        <x:v>-435.66236559139702</x:v>
      </x:c>
      <x:c r="D154">
        <x:f t="shared" si="67"/>
        <x:v>442.59949677419269</x:v>
      </x:c>
      <x:c r="E154" s="1">
        <x:f t="shared" si="68"/>
        <x:v>9.2180656772826293</x:v>
      </x:c>
      <x:c r="F154" s="1">
        <x:f t="shared" si="69"/>
        <x:v>56.648489887130708</x:v>
      </x:c>
      <x:c r="G154" s="1">
        <x:f t="shared" si="70"/>
        <x:v>0.37135773770112618</x:v>
      </x:c>
      <x:c r="H154" s="1">
        <x:f t="shared" si="71"/>
        <x:v>0.3587040296377994</x:v>
      </x:c>
      <x:c r="I154" s="1">
        <x:f t="shared" si="72"/>
        <x:v>2.5738345051692008E-2</x:v>
      </x:c>
      <x:c r="K154" s="1">
        <x:v>-6.1419783241447297</x:v>
      </x:c>
      <x:c r="L154" s="1">
        <x:v>3192.0560866135802</x:v>
      </x:c>
      <x:c r="M154" s="1">
        <x:v>-395.92130518234097</x:v>
      </x:c>
      <x:c r="N154">
        <x:f t="shared" si="73"/>
        <x:v>400.99060652591101</x:v>
      </x:c>
      <x:c r="O154" s="1">
        <x:f t="shared" si="74"/>
        <x:v>9.212967486217094</x:v>
      </x:c>
      <x:c r="P154" s="1">
        <x:f t="shared" si="75"/>
        <x:v>56.585846601395552</x:v>
      </x:c>
      <x:c r="Q154" s="1">
        <x:f t="shared" si="76"/>
        <x:v>0.37876867398412861</x:v>
      </x:c>
      <x:c r="R154" s="1">
        <x:f t="shared" si="77"/>
        <x:v>0.36586244439053411</x:v>
      </x:c>
      <x:c r="S154" s="1">
        <x:f t="shared" si="66"/>
        <x:v>2.3695854453425529E-2</x:v>
      </x:c>
    </x:row>
    <x:row r="155">
      <x:c r="A155" s="1">
        <x:v>-6.7640898136493197</x:v>
      </x:c>
      <x:c r="B155" s="1">
        <x:v>3289.0196533203102</x:v>
      </x:c>
      <x:c r="C155" s="1">
        <x:v>-349.59452054794502</x:v>
      </x:c>
      <x:c r="D155">
        <x:f t="shared" si="67"/>
        <x:v>352.48646301369843</x:v>
      </x:c>
      <x:c r="E155" s="1">
        <x:f t="shared" si="68"/>
        <x:v>10.146134720473979</x:v>
      </x:c>
      <x:c r="F155" s="1">
        <x:f t="shared" si="69"/>
        <x:v>68.62936651067173</x:v>
      </x:c>
      <x:c r="G155" s="1">
        <x:f t="shared" si="70"/>
        <x:v>0.40483605547938062</x:v>
      </x:c>
      <x:c r="H155" s="1">
        <x:f t="shared" si="71"/>
        <x:v>0.39104160140052774</x:v>
      </x:c>
      <x:c r="I155" s="1">
        <x:f t="shared" si="72"/>
        <x:v>1.9666551839225579E-2</x:v>
      </x:c>
      <x:c r="K155" s="1">
        <x:v>-6.7637581668272899</x:v>
      </x:c>
      <x:c r="L155" s="1">
        <x:v>3248.9356180826799</x:v>
      </x:c>
      <x:c r="M155" s="1">
        <x:v>-311.646817248459</x:v>
      </x:c>
      <x:c r="N155">
        <x:f t="shared" si="73"/>
        <x:v>312.75521765913658</x:v>
      </x:c>
      <x:c r="O155" s="1">
        <x:f t="shared" si="74"/>
        <x:v>10.145637250240934</x:v>
      </x:c>
      <x:c r="P155" s="1">
        <x:f t="shared" si="75"/>
        <x:v>68.622636808984296</x:v>
      </x:c>
      <x:c r="Q155" s="1">
        <x:f t="shared" si="76"/>
        <x:v>0.40981066249093795</x:v>
      </x:c>
      <x:c r="R155" s="1">
        <x:f t="shared" si="77"/>
        <x:v>0.39584670278862982</x:v>
      </x:c>
      <x:c r="S155" s="1">
        <x:f t="shared" si="66"/>
        <x:v>1.727227408929902E-2</x:v>
      </x:c>
    </x:row>
    <x:row r="156">
      <x:c r="A156" s="1">
        <x:v>-6.0817028056076898</x:v>
      </x:c>
      <x:c r="B156" s="1">
        <x:v>3256.4233669704799</x:v>
      </x:c>
      <x:c r="C156" s="1">
        <x:v>-437.49726775956202</x:v>
      </x:c>
      <x:c r="D156">
        <x:f t="shared" si="67"/>
        <x:v>444.52063934426144</x:v>
      </x:c>
      <x:c r="E156" s="1">
        <x:f t="shared" si="68"/>
        <x:v>9.1225542084115343</x:v>
      </x:c>
      <x:c r="F156" s="1">
        <x:f t="shared" si="69"/>
        <x:v>55.480663523604662</x:v>
      </x:c>
      <x:c r="G156" s="1">
        <x:f t="shared" si="70"/>
        <x:v>0.3676381897384628</x:v>
      </x:c>
      <x:c r="H156" s="1">
        <x:f t="shared" si="71"/>
        <x:v>0.35511122219854191</x:v>
      </x:c>
      <x:c r="I156" s="1">
        <x:f t="shared" si="72"/>
        <x:v>2.5877700219388036E-2</x:v>
      </x:c>
      <x:c r="K156" s="1">
        <x:v>-6.1452458047459197</x:v>
      </x:c>
      <x:c r="L156" s="1">
        <x:v>3204.90088952106</x:v>
      </x:c>
      <x:c r="M156" s="1">
        <x:v>-389.057815845824</x:v>
      </x:c>
      <x:c r="N156">
        <x:f t="shared" si="73"/>
        <x:v>393.80453319057773</x:v>
      </x:c>
      <x:c r="O156" s="1">
        <x:f t="shared" si="74"/>
        <x:v>9.2178687071188801</x:v>
      </x:c>
      <x:c r="P156" s="1">
        <x:f t="shared" si="75"/>
        <x:v>56.646069001120992</x:v>
      </x:c>
      <x:c r="Q156" s="1">
        <x:f t="shared" si="76"/>
        <x:v>0.37745131526770026</x:v>
      </x:c>
      <x:c r="R156" s="1">
        <x:f t="shared" si="77"/>
        <x:v>0.36458997358384898</x:v>
      </x:c>
      <x:c r="S156" s="1">
        <x:f t="shared" si="66"/>
        <x:v>2.3037504813830642E-2</x:v>
      </x:c>
    </x:row>
    <x:row r="157">
      <x:c r="A157" s="1">
        <x:v>-5.4085401181251704</x:v>
      </x:c>
      <x:c r="B157" s="1">
        <x:v>3204.0512823807499</x:v>
      </x:c>
      <x:c r="C157" s="1">
        <x:v>-524.85752688171999</x:v>
      </x:c>
      <x:c r="D157">
        <x:f t="shared" si="67"/>
        <x:v>535.98683064516081</x:v>
      </x:c>
      <x:c r="E157" s="1">
        <x:f t="shared" si="68"/>
        <x:v>8.1128101771877557</x:v>
      </x:c>
      <x:c r="F157" s="1">
        <x:f t="shared" si="69"/>
        <x:v>43.878459314054147</x:v>
      </x:c>
      <x:c r="G157" s="1">
        <x:f t="shared" si="70"/>
        <x:v>0.33228970380534745</x:v>
      </x:c>
      <x:c r="H157" s="1">
        <x:f t="shared" si="71"/>
        <x:v>0.32096720671553003</x:v>
      </x:c>
      <x:c r="I157" s="1">
        <x:f t="shared" si="72"/>
        <x:v>3.2700641184675056E-2</x:v>
      </x:c>
      <x:c r="K157" s="1">
        <x:v>-5.4111743945080999</x:v>
      </x:c>
      <x:c r="L157" s="1">
        <x:v>3175.7385137648798</x:v>
      </x:c>
      <x:c r="M157" s="1">
        <x:v>-480.52482269503503</x:v>
      </x:c>
      <x:c r="N157">
        <x:f t="shared" si="73"/>
        <x:v>489.57048936170168</x:v>
      </x:c>
      <x:c r="O157" s="1">
        <x:f t="shared" si="74"/>
        <x:v>8.116761591762149</x:v>
      </x:c>
      <x:c r="P157" s="1">
        <x:f t="shared" si="75"/>
        <x:v>43.921212491670147</x:v>
      </x:c>
      <x:c r="Q157" s="1">
        <x:f t="shared" si="76"/>
        <x:v>0.33541546488339191</x:v>
      </x:c>
      <x:c r="R157" s="1">
        <x:f t="shared" si="77"/>
        <x:v>0.32398646006762233</x:v>
      </x:c>
      <x:c r="S157" s="1">
        <x:f t="shared" si="66"/>
        <x:v>2.9825202200362839E-2</x:v>
      </x:c>
    </x:row>
    <x:row r="158">
      <x:c r="A158" s="1">
        <x:v>-4.8011643454200801</x:v>
      </x:c>
      <x:c r="B158" s="1">
        <x:v>3220.7252518503201</x:v>
      </x:c>
      <x:c r="C158" s="1">
        <x:v>-606.69767441860404</x:v>
      </x:c>
      <x:c r="D158">
        <x:f t="shared" si="67"/>
        <x:v>621.67346511627841</x:v>
      </x:c>
      <x:c r="E158" s="1">
        <x:f t="shared" si="68"/>
        <x:v>7.2017465181301201</x:v>
      </x:c>
      <x:c r="F158" s="1">
        <x:f t="shared" si="69"/>
        <x:v>34.576768607599533</x:v>
      </x:c>
      <x:c r="G158" s="1">
        <x:f t="shared" si="70"/>
        <x:v>0.29344666735393082</x:v>
      </x:c>
      <x:c r="H158" s="1">
        <x:f t="shared" si="71"/>
        <x:v>0.28344771463561896</x:v>
      </x:c>
      <x:c r="I158" s="1">
        <x:f t="shared" si="72"/>
        <x:v>3.7897990102276902E-2</x:v>
      </x:c>
      <x:c r="K158" s="1">
        <x:v>-4.8017020581061303</x:v>
      </x:c>
      <x:c r="L158" s="1">
        <x:v>3119.4017493206502</x:v>
      </x:c>
      <x:c r="M158" s="1">
        <x:v>-557.21881838074398</x:v>
      </x:c>
      <x:c r="N158">
        <x:f t="shared" si="73"/>
        <x:v>569.86910284463897</x:v>
      </x:c>
      <x:c r="O158" s="1">
        <x:f t="shared" si="74"/>
        <x:v>7.2025530871591954</x:v>
      </x:c>
      <x:c r="P158" s="1">
        <x:f t="shared" si="75"/>
        <x:v>34.584513982230973</x:v>
      </x:c>
      <x:c r="Q158" s="1">
        <x:f t="shared" si="76"/>
        <x:v>0.30301224931284476</x:v>
      </x:c>
      <x:c r="R158" s="1">
        <x:f t="shared" si="77"/>
        <x:v>0.29268735729321876</x:v>
      </x:c>
      <x:c r="S158" s="1">
        <x:f t="shared" si="66"/>
        <x:v>3.6441675247662189E-2</x:v>
      </x:c>
    </x:row>
    <x:row r="159">
      <x:c r="A159" s="1">
        <x:v>-4.1255492224143104</x:v>
      </x:c>
      <x:c r="B159" s="1">
        <x:v>3199.2624976748498</x:v>
      </x:c>
      <x:c r="C159" s="1">
        <x:v>-695.173076923076</x:v>
      </x:c>
      <x:c r="D159">
        <x:f t="shared" si="67"/>
        <x:v>714.30721153846048</x:v>
      </x:c>
      <x:c r="E159" s="1">
        <x:f t="shared" si="68"/>
        <x:v>6.1883238336214657</x:v>
      </x:c>
      <x:c r="F159" s="1">
        <x:f t="shared" si="69"/>
        <x:v>25.530234579844983</x:v>
      </x:c>
      <x:c r="G159" s="1">
        <x:f t="shared" si="70"/>
        <x:v>0.25384474992422834</x:v>
      </x:c>
      <x:c r="H159" s="1">
        <x:f t="shared" si="71"/>
        <x:v>0.24519519981970217</x:v>
      </x:c>
      <x:c r="I159" s="1">
        <x:f t="shared" si="72"/>
        <x:v>4.4472560971978103E-2</x:v>
      </x:c>
      <x:c r="K159" s="1">
        <x:v>-4.1246776717538003</x:v>
      </x:c>
      <x:c r="L159" s="1">
        <x:v>3111.0189525462902</x:v>
      </x:c>
      <x:c r="M159" s="1">
        <x:v>-643.41651705565505</x:v>
      </x:c>
      <x:c r="N159">
        <x:f t="shared" si="73"/>
        <x:v>660.11809335727082</x:v>
      </x:c>
      <x:c r="O159" s="1">
        <x:f t="shared" si="74"/>
        <x:v>6.1870165076307</x:v>
      </x:c>
      <x:c r="P159" s="1">
        <x:f t="shared" si="75"/>
        <x:v>25.519448843796525</x:v>
      </x:c>
      <x:c r="Q159" s="1">
        <x:f t="shared" si="76"/>
        <x:v>0.26098986729380957</x:v>
      </x:c>
      <x:c r="R159" s="1">
        <x:f t="shared" si="77"/>
        <x:v>0.25209685321884728</x:v>
      </x:c>
      <x:c r="S159" s="1">
        <x:f t="shared" si="66"/>
        <x:v>4.2886509831712792E-2</x:v>
      </x:c>
    </x:row>
    <x:row r="160">
      <x:c r="A160" s="1">
        <x:v>-3.3753399383453999</x:v>
      </x:c>
      <x:c r="B160" s="1">
        <x:v>3177.0708472842198</x:v>
      </x:c>
      <x:c r="C160" s="1">
        <x:v>-786.49164677804299</x:v>
      </x:c>
      <x:c r="D160">
        <x:f t="shared" si="67"/>
        <x:v>809.91775417661097</x:v>
      </x:c>
      <x:c r="E160" s="1">
        <x:f t="shared" si="68"/>
        <x:v>5.0630099075180999</x:v>
      </x:c>
      <x:c r="F160" s="1">
        <x:f t="shared" si="69"/>
        <x:v>17.089379549084292</x:v>
      </x:c>
      <x:c r="G160" s="1">
        <x:f t="shared" si="70"/>
        <x:v>0.20913508941900003</x:v>
      </x:c>
      <x:c r="H160" s="1">
        <x:f t="shared" si="71"/>
        <x:v>0.20200898405308576</x:v>
      </x:c>
      <x:c r="I160" s="1">
        <x:f t="shared" si="72"/>
        <x:v>5.1443009009278028E-2</x:v>
      </x:c>
      <x:c r="K160" s="1">
        <x:v>-3.4432579936268102</x:v>
      </x:c>
      <x:c r="L160" s="1">
        <x:v>3087.6658528645798</x:v>
      </x:c>
      <x:c r="M160" s="1">
        <x:v>-721.44262295081899</x:v>
      </x:c>
      <x:c r="N160">
        <x:f t="shared" si="73"/>
        <x:v>741.81142622950745</x:v>
      </x:c>
      <x:c r="O160" s="1">
        <x:f t="shared" si="74"/>
        <x:v>5.1648869904402153</x:v>
      </x:c>
      <x:c r="P160" s="1">
        <x:f t="shared" si="75"/>
        <x:v>17.78403841601239</x:v>
      </x:c>
      <x:c r="Q160" s="1">
        <x:f t="shared" si="76"/>
        <x:v>0.21952073960010482</x:v>
      </x:c>
      <x:c r="R160" s="1">
        <x:f t="shared" si="77"/>
        <x:v>0.21204075178581863</x:v>
      </x:c>
      <x:c r="S160" s="1">
        <x:f t="shared" si="66"/>
        <x:v>4.9279423243939247E-2</x:v>
      </x:c>
    </x:row>
    <x:row r="161">
      <x:c r="A161" s="1">
        <x:v>-2.7608649269543499</x:v>
      </x:c>
      <x:c r="B161" s="1">
        <x:v>3148.12111409505</x:v>
      </x:c>
      <x:c r="C161" s="1">
        <x:v>-858.14197530864203</x:v>
      </x:c>
      <x:c r="D161">
        <x:f t="shared" si="67"/>
        <x:v>884.93564814814818</x:v>
      </x:c>
      <x:c r="E161" s="1">
        <x:f t="shared" si="68"/>
        <x:v>4.1412973904315251</x:v>
      </x:c>
      <x:c r="F161" s="1">
        <x:f t="shared" si="69"/>
        <x:v>11.433562717329973</x:v>
      </x:c>
      <x:c r="G161" s="1">
        <x:f t="shared" si="70"/>
        <x:v>0.17263546354438333</x:v>
      </x:c>
      <x:c r="H161" s="1">
        <x:f t="shared" si="71"/>
        <x:v>0.1667530527709048</x:v>
      </x:c>
      <x:c r="I161" s="1">
        <x:f t="shared" si="72"/>
        <x:v>5.7465479373342628E-2</x:v>
      </x:c>
      <x:c r="K161" s="1">
        <x:v>-2.7605554348713599</x:v>
      </x:c>
      <x:c r="L161" s="1">
        <x:v>3066.68359375</x:v>
      </x:c>
      <x:c r="M161" s="1">
        <x:v>-797.82432432432404</x:v>
      </x:c>
      <x:c r="N161">
        <x:f t="shared" si="73"/>
        <x:v>821.78306756756717</x:v>
      </x:c>
      <x:c r="O161" s="1">
        <x:f t="shared" si="74"/>
        <x:v>4.1408331523070396</x:v>
      </x:c>
      <x:c r="P161" s="1">
        <x:f t="shared" si="75"/>
        <x:v>11.430999463496704</x:v>
      </x:c>
      <x:c r="Q161" s="1">
        <x:f t="shared" si="76"/>
        <x:v>0.177200029795958</x:v>
      </x:c>
      <x:c r="R161" s="1">
        <x:f t="shared" si="77"/>
        <x:v>0.17116208519910825</x:v>
      </x:c>
      <x:c r="S161" s="1">
        <x:f t="shared" si="66"/>
        <x:v>5.5653968662502835E-2</x:v>
      </x:c>
    </x:row>
    <x:row r="162">
      <x:c r="A162" s="1">
        <x:v>-2.0756322014222399</x:v>
      </x:c>
      <x:c r="B162" s="1">
        <x:v>3124.9288995916099</x:v>
      </x:c>
      <x:c r="C162" s="1">
        <x:v>-942.39816933638394</x:v>
      </x:c>
      <x:c r="D162">
        <x:f t="shared" si="67"/>
        <x:v>973.1518832951939</x:v>
      </x:c>
      <x:c r="E162" s="1">
        <x:f t="shared" si="68"/>
        <x:v>3.1134483021333601</x:v>
      </x:c>
      <x:c r="F162" s="1">
        <x:f t="shared" si="69"/>
        <x:v>6.4623735533714006</x:v>
      </x:c>
      <x:c r="G162" s="1">
        <x:f t="shared" si="70"/>
        <x:v>0.13075146000326521</x:v>
      </x:c>
      <x:c r="H162" s="1">
        <x:f t="shared" si="71"/>
        <x:v>0.12629621204215602</x:v>
      </x:c>
      <x:c r="I162" s="1">
        <x:f t="shared" si="72"/>
        <x:v>6.4374823172022533E-2</x:v>
      </x:c>
      <x:c r="K162" s="1">
        <x:v>-2.0751737300856701</x:v>
      </x:c>
      <x:c r="L162" s="1">
        <x:v>3056.5064290364498</x:v>
      </x:c>
      <x:c r="M162" s="1">
        <x:v>-878.646934460887</x:v>
      </x:c>
      <x:c r="N162">
        <x:f t="shared" si="73"/>
        <x:v>906.40434038054866</x:v>
      </x:c>
      <x:c r="O162" s="1">
        <x:f t="shared" si="74"/>
        <x:v>3.1127605951285053</x:v>
      </x:c>
      <x:c r="P162" s="1">
        <x:f t="shared" si="75"/>
        <x:v>6.45951901505651</x:v>
      </x:c>
      <x:c r="Q162" s="1">
        <x:f t="shared" si="76"/>
        <x:v>0.13364891429123321</x:v>
      </x:c>
      <x:c r="R162" s="1">
        <x:f t="shared" si="77"/>
        <x:v>0.12909493796939631</x:v>
      </x:c>
      <x:c r="S162" s="1">
        <x:f t="shared" si="66"/>
        <x:v>6.2094601958503977E-2</x:v>
      </x:c>
    </x:row>
    <x:row r="163">
      <x:c r="A163" s="1">
        <x:v>-1.3929869816038301</x:v>
      </x:c>
      <x:c r="B163" s="1">
        <x:v>3138.0641665251301</x:v>
      </x:c>
      <x:c r="C163" s="1">
        <x:v>-1025.6450892857099</x:v>
      </x:c>
      <x:c r="D163">
        <x:f t="shared" si="67"/>
        <x:v>1060.3114084821382</x:v>
      </x:c>
      <x:c r="E163" s="1">
        <x:f t="shared" si="68"/>
        <x:v>2.0894804724057452</x:v>
      </x:c>
      <x:c r="F163" s="1">
        <x:f t="shared" si="69"/>
        <x:v>2.9106190963766236</x:v>
      </x:c>
      <x:c r="G163" s="1">
        <x:f t="shared" si="70"/>
        <x:v>8.7381908462511218E-2</x:v>
      </x:c>
      <x:c r="H163" s="1">
        <x:f t="shared" si="71"/>
        <x:v>8.4404442134366889E-2</x:v>
      </x:c>
      <x:c r="I163" s="1">
        <x:f t="shared" si="72"/>
        <x:v>6.9767758511511291E-2</x:v>
      </x:c>
      <x:c r="K163" s="1">
        <x:v>-1.39095117989613</x:v>
      </x:c>
      <x:c r="L163" s="1">
        <x:v>3063.12307942708</x:v>
      </x:c>
      <x:c r="M163" s="1">
        <x:v>-965.58655462184799</x:v>
      </x:c>
      <x:c r="N163">
        <x:f t="shared" si="73"/>
        <x:v>997.43012268907478</x:v>
      </x:c>
      <x:c r="O163" s="1">
        <x:f t="shared" si="74"/>
        <x:v>2.086426769844195</x:v>
      </x:c>
      <x:c r="P163" s="1">
        <x:f t="shared" si="75"/>
        <x:v>2.9021177772816547</x:v>
      </x:c>
      <x:c r="Q163" s="1">
        <x:f t="shared" si="76"/>
        <x:v>8.938892766670696E-2</x:v>
      </x:c>
      <x:c r="R163" s="1">
        <x:f t="shared" si="77"/>
        <x:v>8.6343073817557695E-2</x:v>
      </x:c>
      <x:c r="S163" s="1">
        <x:f t="shared" si="66"/>
        <x:v>6.8327211568951385E-2</x:v>
      </x:c>
    </x:row>
    <x:row r="164">
      <x:c r="A164" s="1">
        <x:v>-0.70790014847028304</x:v>
      </x:c>
      <x:c r="B164" s="1">
        <x:v>3118.5270634403901</x:v>
      </x:c>
      <x:c r="C164" s="1">
        <x:v>-1107.79270633397</x:v>
      </x:c>
      <x:c r="D164">
        <x:f t="shared" si="67"/>
        <x:v>1146.3199635316666</x:v>
      </x:c>
      <x:c r="E164" s="1">
        <x:f t="shared" si="68"/>
        <x:v>1.0618502227054245</x:v>
      </x:c>
      <x:c r="F164" s="1">
        <x:f t="shared" si="69"/>
        <x:v>0.75168393030637315</x:v>
      </x:c>
      <x:c r="G164" s="1">
        <x:f t="shared" si="70"/>
        <x:v>4.468469251425649E-2</x:v>
      </x:c>
      <x:c r="H164" s="1">
        <x:f t="shared" si="71"/>
        <x:v>4.3162098539306137E-2</x:v>
      </x:c>
      <x:c r="I164" s="1">
        <x:f t="shared" si="72"/>
        <x:v>7.6570633231850857E-2</x:v>
      </x:c>
      <x:c r="K164" s="1">
        <x:v>-0.70452500541857099</x:v>
      </x:c>
      <x:c r="L164" s="1">
        <x:v>3043.0286187065899</x:v>
      </x:c>
      <x:c r="M164" s="1">
        <x:v>-1042.2979515828599</x:v>
      </x:c>
      <x:c r="N164">
        <x:f t="shared" si="73"/>
        <x:v>1077.7469553072542</x:v>
      </x:c>
      <x:c r="O164" s="1">
        <x:f t="shared" si="74"/>
        <x:v>1.0567875081278566</x:v>
      </x:c>
      <x:c r="P164" s="1">
        <x:f t="shared" si="75"/>
        <x:v>0.74453322489005624</x:v>
      </x:c>
      <x:c r="Q164" s="1">
        <x:f t="shared" si="76"/>
        <x:v>4.5574998485437272E-2</x:v>
      </x:c>
      <x:c r="R164" s="1">
        <x:f t="shared" si="77"/>
        <x:v>4.4022068070169028E-2</x:v>
      </x:c>
      <x:c r="S164" s="1">
        <x:f t="shared" si="66"/>
        <x:v>7.5044386909049188E-2</x:v>
      </x:c>
    </x:row>
    <x:row r="165">
      <x:c r="A165" s="1" t="n">
        <x:f>-51.94/500</x:f>
        <x:v>-0.10388</x:v>
      </x:c>
      <x:c r="B165" s="1">
        <x:v>3108.55</x:v>
      </x:c>
      <x:c r="C165" s="1">
        <x:v>-1156.8979999999999</x:v>
      </x:c>
      <x:c r="D165">
        <x:f t="shared" si="67"/>
        <x:v>1197.7332059999999</x:v>
      </x:c>
      <x:c r="E165" s="1">
        <x:f t="shared" si="68"/>
        <x:v>0.15582000000000001</x:v>
      </x:c>
      <x:c r="F165" s="1">
        <x:f t="shared" si="69"/>
        <x:v>1.61865816E-2</x:v>
      </x:c>
      <x:c r="G165" s="1">
        <x:f t="shared" si="70"/>
        <x:v>6.5782499550072525E-3</x:v>
      </x:c>
      <x:c r="H165" s="1">
        <x:f t="shared" si="71"/>
        <x:v>6.3541015233264074E-3</x:v>
      </x:c>
      <x:c r="I165" s="1">
        <x:f t="shared" si="72"/>
        <x:v>8.0628071912801066E-2</x:v>
      </x:c>
      <x:c r="K165" s="1" t="n">
        <x:f>-50.925/500</x:f>
        <x:v>-0.10185</x:v>
      </x:c>
      <x:c r="L165" s="1">
        <x:v>3031.9180000000001</x:v>
      </x:c>
      <x:c r="M165" s="1">
        <x:v>-1107.99</x:v>
      </x:c>
      <x:c r="N165">
        <x:f t="shared" si="73"/>
        <x:v>1146.5265299999999</x:v>
      </x:c>
      <x:c r="O165" s="1">
        <x:f t="shared" si="74"/>
        <x:v>0.15277499999999999</x:v>
      </x:c>
      <x:c r="P165" s="1">
        <x:f t="shared" si="75"/>
        <x:v>1.556013375E-2</x:v>
      </x:c>
      <x:c r="Q165" s="1">
        <x:f t="shared" si="76"/>
        <x:v>6.61271597662773E-3</x:v>
      </x:c>
      <x:c r="R165" s="1">
        <x:f t="shared" si="77"/>
        <x:v>6.3873931437390639E-3</x:v>
      </x:c>
      <x:c r="S165" s="1">
        <x:f t="shared" si="66"/>
        <x:v>8.0608905054761065E-2</x:v>
      </x:c>
    </x:row>
    <x:row r="166">
      <x:c r="A166" s="1">
        <x:v>-8.9849397885026702E-2</x:v>
      </x:c>
      <x:c r="B166" s="1">
        <x:v>0</x:v>
      </x:c>
      <x:c r="C166" s="1">
        <x:v>-47.875</x:v>
      </x:c>
      <x:c r="D166">
        <x:f t="shared" si="67"/>
        <x:v>36.586124999999996</x:v>
      </x:c>
      <x:c r="E166" s="1">
        <x:f t="shared" si="68"/>
        <x:v>0.13477409682754005</x:v>
      </x:c>
      <x:c r="F166" s="1">
        <x:f t="shared" si="69"/>
        <x:v>1.2109371450452763E-2</x:v>
      </x:c>
      <x:c r="G166" s="1" t="e">
        <x:f t="shared" si="70"/>
        <x:v>#DIV/0!</x:v>
      </x:c>
      <x:c r="H166" s="1" t="e">
        <x:f t="shared" si="71"/>
        <x:v>#DIV/0!</x:v>
      </x:c>
      <x:c r="I166" s="1" t="e">
        <x:f t="shared" si="72"/>
        <x:v>#DIV/0!</x:v>
      </x:c>
      <x:c r="K166" s="1">
        <x:v>-5.7760468469216202E-4</x:v>
      </x:c>
      <x:c r="L166" s="1">
        <x:v>0</x:v>
      </x:c>
      <x:c r="M166" s="1">
        <x:v>-51.96</x:v>
      </x:c>
      <x:c r="N166">
        <x:f t="shared" si="73"/>
        <x:v>40.863119999999995</x:v>
      </x:c>
      <x:c r="O166" s="1">
        <x:f t="shared" si="74"/>
        <x:v>8.6640702703824298E-4</x:v>
      </x:c>
      <x:c r="P166" s="1">
        <x:f t="shared" si="75"/>
        <x:v>5.004407576674979E-7</x:v>
      </x:c>
      <x:c r="Q166" s="1" t="e">
        <x:f t="shared" si="76"/>
        <x:v>#DIV/0!</x:v>
      </x:c>
      <x:c r="R166" s="1" t="e">
        <x:f t="shared" si="77"/>
        <x:v>#DIV/0!</x:v>
      </x:c>
      <x:c r="S166" s="1" t="e">
        <x:f t="shared" si="66"/>
        <x:v>#DIV/0!</x:v>
      </x:c>
    </x:row>
    <x:row r="172">
      <x:c r="A172" s="3" t="s">
        <x:v>41</x:v>
      </x:c>
      <x:c r="B172" s="3"/>
      <x:c r="C172" s="3"/>
      <x:c r="K172" s="3" t="s">
        <x:v>42</x:v>
      </x:c>
      <x:c r="L172" s="3"/>
      <x:c r="M172" s="3"/>
    </x:row>
    <x:row r="173">
      <x:c r="A173" s="1" t="s">
        <x:v>3</x:v>
      </x:c>
      <x:c r="B173" s="1" t="s">
        <x:v>4</x:v>
      </x:c>
      <x:c r="C173" s="1" t="s">
        <x:v>5</x:v>
      </x:c>
      <x:c r="D173" s="1" t="s">
        <x:v>40</x:v>
      </x:c>
      <x:c r="E173" s="1" t="s">
        <x:v>6</x:v>
      </x:c>
      <x:c r="F173" s="1" t="s">
        <x:v>7</x:v>
      </x:c>
      <x:c r="G173" s="1" t="s">
        <x:v>8</x:v>
      </x:c>
      <x:c r="H173" s="1" t="s">
        <x:v>9</x:v>
      </x:c>
      <x:c r="I173" s="1" t="s">
        <x:v>11</x:v>
      </x:c>
      <x:c r="K173" s="1" t="s">
        <x:v>3</x:v>
      </x:c>
      <x:c r="L173" s="1" t="s">
        <x:v>4</x:v>
      </x:c>
      <x:c r="M173" s="1" t="s">
        <x:v>5</x:v>
      </x:c>
      <x:c r="N173" s="1" t="s">
        <x:v>40</x:v>
      </x:c>
      <x:c r="O173" s="1" t="s">
        <x:v>6</x:v>
      </x:c>
      <x:c r="P173" s="1" t="s">
        <x:v>7</x:v>
      </x:c>
      <x:c r="Q173" s="1" t="s">
        <x:v>8</x:v>
      </x:c>
      <x:c r="R173" s="1" t="s">
        <x:v>9</x:v>
      </x:c>
      <x:c r="S173" s="1" t="s">
        <x:v>11</x:v>
      </x:c>
    </x:row>
    <x:row r="174">
      <x:c r="A174" s="1">
        <x:v>-2.5186777395107699E-3</x:v>
      </x:c>
      <x:c r="B174" s="1">
        <x:v>0</x:v>
      </x:c>
      <x:c r="C174" s="1">
        <x:v>-204.95495495495399</x:v>
      </x:c>
      <x:c r="D174" t="n">
        <x:f>C174*(-1.121)-4.2564</x:f>
        <x:v>225.4981045045034</x:v>
      </x:c>
      <x:c r="E174" s="1" t="n">
        <x:f>-A174*1.5</x:f>
        <x:v>0.003778016609266155</x:v>
      </x:c>
      <x:c r="F174" s="1" t="n">
        <x:f>A174*A174*1.5</x:f>
        <x:v>0.000009515606333260621</x:v>
      </x:c>
      <x:c r="G174" s="1" t="e">
        <x:f>E174/(B174/60)/0.4572</x:f>
        <x:v>#DIV/0!</x:v>
      </x:c>
      <x:c r="H174" s="1" t="e">
        <x:f>E174*SIN(RADIANS(90))/(B174/60)/0.4572</x:f>
        <x:v>#DIV/0!</x:v>
      </x:c>
      <x:c r="I174" s="1" t="e">
        <x:f>(D174-$D$174)*9.8/1.205/(B174/60)^2/0.4572^4/1000</x:f>
        <x:v>#DIV/0!</x:v>
      </x:c>
      <x:c r="K174" s="1">
        <x:v>-7.5439550400806395E-4</x:v>
      </x:c>
      <x:c r="L174" s="1">
        <x:v>0</x:v>
      </x:c>
      <x:c r="M174" s="1">
        <x:v>-195.041666666666</x:v>
      </x:c>
      <x:c r="N174" t="n">
        <x:f>M174*(-1.121)-4.2564</x:f>
        <x:v>214.38530833333257</x:v>
      </x:c>
      <x:c r="O174" s="1" t="n">
        <x:f>-K174*1.5</x:f>
        <x:v>0.0011315932560120958</x:v>
      </x:c>
      <x:c r="P174" s="1" t="n">
        <x:f>K174*K174*1.5</x:f>
        <x:v>8.536688647013711e-7</x:v>
      </x:c>
      <x:c r="Q174" s="1" t="e">
        <x:f>O174/(L174/60)/0.4572</x:f>
        <x:v>#DIV/0!</x:v>
      </x:c>
      <x:c r="R174" s="1" t="e">
        <x:f>O174*SIN(RADIANS(75))/(L174/60)/0.4572</x:f>
        <x:v>#DIV/0!</x:v>
      </x:c>
      <x:c r="S174" s="1" t="e">
        <x:f>(N174-$N$174)*9.8/1.205/(L174/60)^2/0.4572^4/1000</x:f>
        <x:v>#DIV/0!</x:v>
      </x:c>
    </x:row>
    <x:row r="175">
      <x:c r="A175" s="1" t="n">
        <x:f>-29.987/500</x:f>
        <x:v>-0.059974</x:v>
      </x:c>
      <x:c r="B175" s="1">
        <x:v>3047.2</x:v>
      </x:c>
      <x:c r="C175" s="1">
        <x:v>-1200.8</x:v>
      </x:c>
      <x:c r="D175" t="n">
        <x:f t="shared" ref="D175:D196" si="78">C175*(-1.121)-4.2564</x:f>
        <x:v>1341.8404</x:v>
      </x:c>
      <x:c r="E175" s="1" t="n">
        <x:f t="shared" ref="E175:E196" si="79">-A175*1.5</x:f>
        <x:v>0.089961</x:v>
      </x:c>
      <x:c r="F175" s="1" t="n">
        <x:f t="shared" ref="F175:F196" si="80">A175*A175*1.5</x:f>
        <x:v>0.005395321014000001</x:v>
      </x:c>
      <x:c r="G175" s="1" t="n">
        <x:f t="shared" ref="G175:G196" si="81">E175/(B175/60)/0.4572</x:f>
        <x:v>0.00387434546856492</x:v>
      </x:c>
      <x:c r="H175" s="1" t="n">
        <x:f t="shared" ref="H175:H196" si="82">E175*SIN(RADIANS(90))/(B175/60)/0.4572</x:f>
        <x:v>0.00387434546856492</x:v>
      </x:c>
      <x:c r="I175" s="1" t="n">
        <x:f t="shared" ref="I175:I196" si="83">(D175-$D$174)*9.8/1.205/(B175/60)^2/0.4572^4/1000</x:f>
        <x:v>0.08055863572731986</x:v>
      </x:c>
      <x:c r="K175" s="1" t="n">
        <x:f>-23.87/500</x:f>
        <x:v>-0.047740000000000005</x:v>
      </x:c>
      <x:c r="L175" s="1">
        <x:v>3030.7788999999998</x:v>
      </x:c>
      <x:c r="M175" s="1">
        <x:v>-1185.9090000000001</x:v>
      </x:c>
      <x:c r="N175" t="n">
        <x:f t="shared" ref="N175:N196" si="84">M175*(-1.121)-4.2564</x:f>
        <x:v>1325.1475890000002</x:v>
      </x:c>
      <x:c r="O175" s="1" t="n">
        <x:f t="shared" ref="O175:O196" si="85">-K175*1.5</x:f>
        <x:v>0.07161000000000001</x:v>
      </x:c>
      <x:c r="P175" s="1" t="n">
        <x:f t="shared" ref="P175:P196" si="86">K175*K175*1.5</x:f>
        <x:v>0.003418661400000001</x:v>
      </x:c>
      <x:c r="Q175" s="1" t="n">
        <x:f t="shared" ref="Q175:Q196" si="87">O175/(L175/60)/0.4572</x:f>
        <x:v>0.0031007335425476245</x:v>
      </x:c>
      <x:c r="R175" s="1" t="n">
        <x:f t="shared" ref="R175:R196" si="88">O175*SIN(RADIANS(75))/(L175/60)/0.4572</x:f>
        <x:v>0.002995078609187544</x:v>
      </x:c>
      <x:c r="S175" s="1" t="n">
        <x:f t="shared" ref="S175:S196" si="89">(N175-$N$174)*9.8/1.205/(L175/60)^2/0.4572^4/1000</x:f>
        <x:v>0.08102690605412417</x:v>
      </x:c>
    </x:row>
    <x:row r="176">
      <x:c r="A176" s="1">
        <x:v>-0.67754996912952503</x:v>
      </x:c>
      <x:c r="B176" s="1">
        <x:v>3048.4010058593699</x:v>
      </x:c>
      <x:c r="C176" s="1">
        <x:v>-1150.12280701754</x:v>
      </x:c>
      <x:c r="D176">
        <x:f t="shared" si="78"/>
        <x:v>1285.0312666666623</x:v>
      </x:c>
      <x:c r="E176" s="1">
        <x:f t="shared" si="79"/>
        <x:v>1.0163249536942875</x:v>
      </x:c>
      <x:c r="F176" s="1">
        <x:f t="shared" si="80"/>
        <x:v>0.68861094100113052</x:v>
      </x:c>
      <x:c r="G176" s="1">
        <x:f t="shared" si="81"/>
        <x:v>4.3752766751729746E-2</x:v>
      </x:c>
      <x:c r="H176" s="1">
        <x:f t="shared" si="82"/>
        <x:v>4.3752766751729746E-2</x:v>
      </x:c>
      <x:c r="I176" s="1">
        <x:f t="shared" si="83"/>
        <x:v>7.6398882183188882E-2</x:v>
      </x:c>
      <x:c r="K176" s="1">
        <x:v>-0.68064078561261099</x:v>
      </x:c>
      <x:c r="L176" s="1">
        <x:v>3000.0307756696402</x:v>
      </x:c>
      <x:c r="M176" s="1">
        <x:v>-1136.02991452991</x:v>
      </x:c>
      <x:c r="N176">
        <x:f t="shared" si="84"/>
        <x:v>1269.2331341880292</x:v>
      </x:c>
      <x:c r="O176" s="1">
        <x:f t="shared" si="85"/>
        <x:v>1.0209611784189165</x:v>
      </x:c>
      <x:c r="P176" s="1">
        <x:f t="shared" si="86"/>
        <x:v>0.6949078185590285</x:v>
      </x:c>
      <x:c r="Q176" s="1">
        <x:f t="shared" si="87"/>
        <x:v>4.4661010714714719E-2</x:v>
      </x:c>
      <x:c r="R176" s="1">
        <x:f t="shared" si="88"/>
        <x:v>4.3139223677515749E-2</x:v>
      </x:c>
      <x:c r="S176" s="1">
        <x:f t="shared" si="89"/>
        <x:v>7.8533514793981518E-2</x:v>
      </x:c>
    </x:row>
    <x:row r="177">
      <x:c r="A177" s="1">
        <x:v>-1.3693239755100599</x:v>
      </x:c>
      <x:c r="B177" s="1">
        <x:v>3070.3059175931398</x:v>
      </x:c>
      <x:c r="C177" s="1">
        <x:v>-1072.35643564356</x:v>
      </x:c>
      <x:c r="D177">
        <x:f t="shared" si="78"/>
        <x:v>1197.8551643564308</x:v>
      </x:c>
      <x:c r="E177" s="1">
        <x:f t="shared" si="79"/>
        <x:v>2.0539859632650899</x:v>
      </x:c>
      <x:c r="F177" s="1">
        <x:f t="shared" si="80"/>
        <x:v>2.8125722248600127</x:v>
      </x:c>
      <x:c r="G177" s="1">
        <x:f t="shared" si="81"/>
        <x:v>8.7793194202090655E-2</x:v>
      </x:c>
      <x:c r="H177" s="1">
        <x:f t="shared" si="82"/>
        <x:v>8.7793194202090655E-2</x:v>
      </x:c>
      <x:c r="I177" s="1">
        <x:f t="shared" si="83"/>
        <x:v>6.9116082622901101E-2</x:v>
      </x:c>
      <x:c r="K177" s="1">
        <x:v>-1.3758919926790001</x:v>
      </x:c>
      <x:c r="L177" s="1">
        <x:v>3023.61547851562</x:v>
      </x:c>
      <x:c r="M177" s="1">
        <x:v>-1054.2094395280201</x:v>
      </x:c>
      <x:c r="N177">
        <x:f t="shared" si="84"/>
        <x:v>1177.5123817109106</x:v>
      </x:c>
      <x:c r="O177" s="1">
        <x:f t="shared" si="85"/>
        <x:v>2.0638379890185004</x:v>
      </x:c>
      <x:c r="P177" s="1">
        <x:f t="shared" si="86"/>
        <x:v>2.8396181632772848</x:v>
      </x:c>
      <x:c r="Q177" s="1">
        <x:f t="shared" si="87"/>
        <x:v>8.957649620896492E-2</x:v>
      </x:c>
      <x:c r="R177" s="1">
        <x:f t="shared" si="88"/>
        <x:v>8.6524251116724057E-2</x:v>
      </x:c>
      <x:c r="S177" s="1">
        <x:f t="shared" si="89"/>
        <x:v>7.0590639094519833E-2</x:v>
      </x:c>
    </x:row>
    <x:row r="178">
      <x:c r="A178" s="1">
        <x:v>-2.0543547807370901</x:v>
      </x:c>
      <x:c r="B178" s="1">
        <x:v>3073.0797616464101</x:v>
      </x:c>
      <x:c r="C178" s="1">
        <x:v>-990.61213235294099</x:v>
      </x:c>
      <x:c r="D178">
        <x:f t="shared" si="78"/>
        <x:v>1106.2198003676469</x:v>
      </x:c>
      <x:c r="E178" s="1">
        <x:f t="shared" si="79"/>
        <x:v>3.0815321711056352</x:v>
      </x:c>
      <x:c r="F178" s="1">
        <x:f t="shared" si="80"/>
        <x:v>6.3305603477060064</x:v>
      </x:c>
      <x:c r="G178" s="1">
        <x:f t="shared" si="81"/>
        <x:v>0.13159454968800821</x:v>
      </x:c>
      <x:c r="H178" s="1">
        <x:f t="shared" si="82"/>
        <x:v>0.13159454968800821</x:v>
      </x:c>
      <x:c r="I178" s="1">
        <x:f t="shared" si="83"/>
        <x:v>6.2489589625817958E-2</x:v>
      </x:c>
      <x:c r="K178" s="1">
        <x:v>-2.0612332843817098</x:v>
      </x:c>
      <x:c r="L178" s="1">
        <x:v>3043.62474822998</x:v>
      </x:c>
      <x:c r="M178" s="1">
        <x:v>-980.130225080385</x:v>
      </x:c>
      <x:c r="N178">
        <x:f t="shared" si="84"/>
        <x:v>1094.4695823151117</x:v>
      </x:c>
      <x:c r="O178" s="1">
        <x:f t="shared" si="85"/>
        <x:v>3.0918499265725647</x:v>
      </x:c>
      <x:c r="P178" s="1">
        <x:f t="shared" si="86"/>
        <x:v>6.3730239789645156</x:v>
      </x:c>
      <x:c r="Q178" s="1">
        <x:f t="shared" si="87"/>
        <x:v>0.13331294660278775</x:v>
      </x:c>
      <x:c r="R178" s="1">
        <x:f t="shared" si="88"/>
        <x:v>0.12877041810232823</x:v>
      </x:c>
      <x:c r="S178" s="1">
        <x:f t="shared" si="89"/>
        <x:v>6.3658835499583524E-2</x:v>
      </x:c>
    </x:row>
    <x:row r="179">
      <x:c r="A179" s="1">
        <x:v>-2.7407563441748</x:v>
      </x:c>
      <x:c r="B179" s="1">
        <x:v>3083.94361255787</x:v>
      </x:c>
      <x:c r="C179" s="1">
        <x:v>-915.02234636871503</x:v>
      </x:c>
      <x:c r="D179">
        <x:f t="shared" si="78"/>
        <x:v>1021.4836502793296</x:v>
      </x:c>
      <x:c r="E179" s="1">
        <x:f t="shared" si="79"/>
        <x:v>4.1111345162621999</x:v>
      </x:c>
      <x:c r="F179" s="1">
        <x:f t="shared" si="80"/>
        <x:v>11.267618007201621</x:v>
      </x:c>
      <x:c r="G179" s="1">
        <x:f t="shared" si="81"/>
        <x:v>0.17494449742589646</x:v>
      </x:c>
      <x:c r="H179" s="1">
        <x:f t="shared" si="82"/>
        <x:v>0.17494449742589646</x:v>
      </x:c>
      <x:c r="I179" s="1">
        <x:f t="shared" si="83"/>
        <x:v>5.6080124189428794E-2</x:v>
      </x:c>
      <x:c r="K179" s="1">
        <x:v>-2.7476101794104602</x:v>
      </x:c>
      <x:c r="L179" s="1">
        <x:v>3046.94382957175</x:v>
      </x:c>
      <x:c r="M179" s="1">
        <x:v>-906.25135623869801</x:v>
      </x:c>
      <x:c r="N179">
        <x:f t="shared" si="84"/>
        <x:v>1011.6513703435804</x:v>
      </x:c>
      <x:c r="O179" s="1">
        <x:f t="shared" si="85"/>
        <x:v>4.1214152691156904</x:v>
      </x:c>
      <x:c r="P179" s="1">
        <x:f t="shared" si="86"/>
        <x:v>11.324042546999971</x:v>
      </x:c>
      <x:c r="Q179" s="1">
        <x:f t="shared" si="87"/>
        <x:v>0.17751168902554387</x:v>
      </x:c>
      <x:c r="R179" s="1">
        <x:f t="shared" si="88"/>
        <x:v>0.17146312489796661</x:v>
      </x:c>
      <x:c r="S179" s="1">
        <x:f t="shared" si="89"/>
        <x:v>5.7542804421570809E-2</x:v>
      </x:c>
    </x:row>
    <x:row r="180">
      <x:c r="A180" s="1">
        <x:v>-3.4266197383403698</x:v>
      </x:c>
      <x:c r="B180" s="1">
        <x:v>3121.8813964843698</x:v>
      </x:c>
      <x:c r="C180" s="1">
        <x:v>-844.83636363636299</x:v>
      </x:c>
      <x:c r="D180">
        <x:f t="shared" si="78"/>
        <x:v>942.80516363636298</x:v>
      </x:c>
      <x:c r="E180" s="1">
        <x:f t="shared" si="79"/>
        <x:v>5.1399296075105543</x:v>
      </x:c>
      <x:c r="F180" s="1">
        <x:f t="shared" si="80"/>
        <x:v>17.612584246775739</x:v>
      </x:c>
      <x:c r="G180" s="1">
        <x:f t="shared" si="81"/>
        <x:v>0.21606568568389492</x:v>
      </x:c>
      <x:c r="H180" s="1">
        <x:f t="shared" si="82"/>
        <x:v>0.21606568568389492</x:v>
      </x:c>
      <x:c r="I180" s="1">
        <x:f t="shared" si="83"/>
        <x:v>4.9316125373204033E-2</x:v>
      </x:c>
      <x:c r="K180" s="1">
        <x:v>-3.4290366094939499</x:v>
      </x:c>
      <x:c r="L180" s="1">
        <x:v>3062.6665625000001</x:v>
      </x:c>
      <x:c r="M180" s="1">
        <x:v>-835.85772357723499</x:v>
      </x:c>
      <x:c r="N180">
        <x:f t="shared" si="84"/>
        <x:v>932.74010813008044</x:v>
      </x:c>
      <x:c r="O180" s="1">
        <x:f t="shared" si="85"/>
        <x:v>5.1435549142409247</x:v>
      </x:c>
      <x:c r="P180" s="1">
        <x:f t="shared" si="86"/>
        <x:v>17.637438103874647</x:v>
      </x:c>
      <x:c r="Q180" s="1">
        <x:f t="shared" si="87"/>
        <x:v>0.22039852945738267</x:v>
      </x:c>
      <x:c r="R180" s="1">
        <x:f t="shared" si="88"/>
        <x:v>0.21288863167901789</x:v>
      </x:c>
      <x:c r="S180" s="1">
        <x:f t="shared" si="89"/>
        <x:v>5.1316402930179639E-2</x:v>
      </x:c>
    </x:row>
    <x:row r="181">
      <x:c r="A181" s="1">
        <x:v>-4.1077217135842297</x:v>
      </x:c>
      <x:c r="B181" s="1">
        <x:v>3108.2398242187501</x:v>
      </x:c>
      <x:c r="C181" s="1">
        <x:v>-773.51479289940801</x:v>
      </x:c>
      <x:c r="D181">
        <x:f t="shared" si="78"/>
        <x:v>862.85368284023639</x:v>
      </x:c>
      <x:c r="E181" s="1">
        <x:f t="shared" si="79"/>
        <x:v>6.1615825703763445</x:v>
      </x:c>
      <x:c r="F181" s="1">
        <x:f t="shared" si="80"/>
        <x:v>25.310066514377038</x:v>
      </x:c>
      <x:c r="G181" s="1">
        <x:f t="shared" si="81"/>
        <x:v>0.26014937143261474</x:v>
      </x:c>
      <x:c r="H181" s="1">
        <x:f t="shared" si="82"/>
        <x:v>0.26014937143261474</x:v>
      </x:c>
      <x:c r="I181" s="1">
        <x:f t="shared" si="83"/>
        <x:v>4.420479621924684E-2</x:v>
      </x:c>
      <x:c r="K181" s="1">
        <x:v>-4.1805691700207799</x:v>
      </x:c>
      <x:c r="L181" s="1">
        <x:v>3095.6827734375001</x:v>
      </x:c>
      <x:c r="M181" s="1">
        <x:v>-764.85798816568001</x:v>
      </x:c>
      <x:c r="N181">
        <x:f t="shared" si="84"/>
        <x:v>853.14940473372735</x:v>
      </x:c>
      <x:c r="O181" s="1">
        <x:f t="shared" si="85"/>
        <x:v>6.2708537550311698</x:v>
      </x:c>
      <x:c r="P181" s="1">
        <x:f t="shared" si="86"/>
        <x:v>26.21573787799235</x:v>
      </x:c>
      <x:c r="Q181" s="1">
        <x:f t="shared" si="87"/>
        <x:v>0.26583689196879506</x:v>
      </x:c>
      <x:c r="R181" s="1">
        <x:f t="shared" si="88"/>
        <x:v>0.25677871953307613</x:v>
      </x:c>
      <x:c r="S181" s="1">
        <x:f t="shared" si="89"/>
        <x:v>4.4662624424435894E-2</x:v>
      </x:c>
    </x:row>
    <x:row r="182">
      <x:c r="A182" s="1">
        <x:v>-4.7877010397008899</x:v>
      </x:c>
      <x:c r="B182" s="1">
        <x:v>3120.8782958984302</x:v>
      </x:c>
      <x:c r="C182" s="1">
        <x:v>-706.93033707865095</x:v>
      </x:c>
      <x:c r="D182">
        <x:f t="shared" si="78"/>
        <x:v>788.21250786516771</x:v>
      </x:c>
      <x:c r="E182" s="1">
        <x:f t="shared" si="79"/>
        <x:v>7.1815515595513348</x:v>
      </x:c>
      <x:c r="F182" s="1">
        <x:f t="shared" si="80"/>
        <x:v>34.383121868329468</x:v>
      </x:c>
      <x:c r="G182" s="1">
        <x:f t="shared" si="81"/>
        <x:v>0.30198576978327063</x:v>
      </x:c>
      <x:c r="H182" s="1">
        <x:f t="shared" si="82"/>
        <x:v>0.30198576978327063</x:v>
      </x:c>
      <x:c r="I182" s="1">
        <x:f t="shared" si="83"/>
        <x:v>3.8712481284123114E-2</x:v>
      </x:c>
      <x:c r="K182" s="1">
        <x:v>-4.7909570219047497</x:v>
      </x:c>
      <x:c r="L182" s="1">
        <x:v>3084.7386132812499</x:v>
      </x:c>
      <x:c r="M182" s="1">
        <x:v>-721.53118712273601</x:v>
      </x:c>
      <x:c r="N182">
        <x:f t="shared" si="84"/>
        <x:v>804.58006076458707</x:v>
      </x:c>
      <x:c r="O182" s="1">
        <x:f t="shared" si="85"/>
        <x:v>7.186435532857125</x:v>
      </x:c>
      <x:c r="P182" s="1">
        <x:f t="shared" si="86"/>
        <x:v>34.429903778607638</x:v>
      </x:c>
      <x:c r="Q182" s="1">
        <x:f t="shared" si="87"/>
        <x:v>0.30573150409081845</x:v>
      </x:c>
      <x:c r="R182" s="1">
        <x:f t="shared" si="88"/>
        <x:v>0.29531395571152347</x:v>
      </x:c>
      <x:c r="S182" s="1">
        <x:f t="shared" si="89"/>
        <x:v>4.1559972052406892E-2</x:v>
      </x:c>
    </x:row>
    <x:row r="183">
      <x:c r="A183" s="1">
        <x:v>-5.4638966945891596</x:v>
      </x:c>
      <x:c r="B183" s="1">
        <x:v>3156.0880073878998</x:v>
      </x:c>
      <x:c r="C183" s="1">
        <x:v>-637.656050955414</x:v>
      </x:c>
      <x:c r="D183">
        <x:f t="shared" si="78"/>
        <x:v>710.55603312101914</x:v>
      </x:c>
      <x:c r="E183" s="1">
        <x:f t="shared" si="79"/>
        <x:v>8.1958450418837394</x:v>
      </x:c>
      <x:c r="F183" s="1">
        <x:f t="shared" si="80"/>
        <x:v>44.781250633713512</x:v>
      </x:c>
      <x:c r="G183" s="1">
        <x:f t="shared" si="81"/>
        <x:v>0.34079221268626486</x:v>
      </x:c>
      <x:c r="H183" s="1">
        <x:f t="shared" si="82"/>
        <x:v>0.34079221268626486</x:v>
      </x:c>
      <x:c r="I183" s="1">
        <x:f t="shared" si="83"/>
        <x:v>3.2629621834885117E-2</x:v>
      </x:c>
      <x:c r="K183" s="1">
        <x:v>-5.6023584977361001</x:v>
      </x:c>
      <x:c r="L183" s="1">
        <x:v>3130.4944223257198</x:v>
      </x:c>
      <x:c r="M183" s="1">
        <x:v>-627.788571428571</x:v>
      </x:c>
      <x:c r="N183">
        <x:f t="shared" si="84"/>
        <x:v>699.49458857142815</x:v>
      </x:c>
      <x:c r="O183" s="1">
        <x:f t="shared" si="85"/>
        <x:v>8.403537746604151</x:v>
      </x:c>
      <x:c r="P183" s="1">
        <x:f t="shared" si="86"/>
        <x:v>47.079631105733839</x:v>
      </x:c>
      <x:c r="Q183" s="1">
        <x:f t="shared" si="87"/>
        <x:v>0.35228507933676084</x:v>
      </x:c>
      <x:c r="R183" s="1">
        <x:f t="shared" si="88"/>
        <x:v>0.34028125634767065</x:v>
      </x:c>
      <x:c r="S183" s="1">
        <x:f t="shared" si="89"/>
        <x:v>3.316884561030585E-2</x:v>
      </x:c>
    </x:row>
    <x:row r="184">
      <x:c r="A184" s="1">
        <x:v>-6.1369407681766397</x:v>
      </x:c>
      <x:c r="B184" s="1">
        <x:v>3191.6608235676999</x:v>
      </x:c>
      <x:c r="C184" s="1">
        <x:v>-558.74308943089397</x:v>
      </x:c>
      <x:c r="D184">
        <x:f t="shared" si="78"/>
        <x:v>622.09460325203213</x:v>
      </x:c>
      <x:c r="E184" s="1">
        <x:f t="shared" si="79"/>
        <x:v>9.2054111522649595</x:v>
      </x:c>
      <x:c r="F184" s="1">
        <x:f t="shared" si="80"/>
        <x:v>56.493062988162727</x:v>
      </x:c>
      <x:c r="G184" s="1">
        <x:f t="shared" si="81"/>
        <x:v>0.37850488291659778</x:v>
      </x:c>
      <x:c r="H184" s="1">
        <x:f t="shared" si="82"/>
        <x:v>0.37850488291659778</x:v>
      </x:c>
      <x:c r="I184" s="1">
        <x:f t="shared" si="83"/>
        <x:v>2.6087475415428881E-2</x:v>
      </x:c>
      <x:c r="K184" s="1">
        <x:v>-6.1418306327160401</x:v>
      </x:c>
      <x:c r="L184" s="1">
        <x:v>3164.7912304687502</x:v>
      </x:c>
      <x:c r="M184" s="1">
        <x:v>-580.00412371133996</x:v>
      </x:c>
      <x:c r="N184">
        <x:f t="shared" si="84"/>
        <x:v>645.92822268041209</x:v>
      </x:c>
      <x:c r="O184" s="1">
        <x:f t="shared" si="85"/>
        <x:v>9.2127459490740602</x:v>
      </x:c>
      <x:c r="P184" s="1">
        <x:f t="shared" si="86"/>
        <x:v>56.583125281453675</x:v>
      </x:c>
      <x:c r="Q184" s="1">
        <x:f t="shared" si="87"/>
        <x:v>0.38202260119212844</x:v>
      </x:c>
      <x:c r="R184" s="1">
        <x:f t="shared" si="88"/>
        <x:v>0.36900549671760585</x:v>
      </x:c>
      <x:c r="S184" s="1">
        <x:f t="shared" si="89"/>
        <x:v>2.8870247020615792E-2</x:v>
      </x:c>
    </x:row>
    <x:row r="185">
      <x:c r="A185" s="1">
        <x:v>-6.75730132491221</x:v>
      </x:c>
      <x:c r="B185" s="1">
        <x:v>3238.1152719350898</x:v>
      </x:c>
      <x:c r="C185" s="1">
        <x:v>-491.98224852071002</x:v>
      </x:c>
      <x:c r="D185">
        <x:f t="shared" si="78"/>
        <x:v>547.25570059171594</x:v>
      </x:c>
      <x:c r="E185" s="1">
        <x:f t="shared" si="79"/>
        <x:v>10.135951987368315</x:v>
      </x:c>
      <x:c r="F185" s="1">
        <x:f t="shared" si="80"/>
        <x:v>68.491681793490457</x:v>
      </x:c>
      <x:c r="G185" s="1">
        <x:f t="shared" si="81"/>
        <x:v>0.41078754598161982</x:v>
      </x:c>
      <x:c r="H185" s="1">
        <x:f t="shared" si="82"/>
        <x:v>0.41078754598161982</x:v>
      </x:c>
      <x:c r="I185" s="1">
        <x:f t="shared" si="83"/>
        <x:v>2.0561786310321916E-2</x:v>
      </x:c>
      <x:c r="K185" s="1">
        <x:v>-6.75993535265009</x:v>
      </x:c>
      <x:c r="L185" s="1">
        <x:v>3217.9460754394499</x:v>
      </x:c>
      <x:c r="M185" s="1">
        <x:v>-482.725531914893</x:v>
      </x:c>
      <x:c r="N185">
        <x:f t="shared" si="84"/>
        <x:v>536.87892127659507</x:v>
      </x:c>
      <x:c r="O185" s="1">
        <x:f t="shared" si="85"/>
        <x:v>10.139903028975136</x:v>
      </x:c>
      <x:c r="P185" s="1">
        <x:f t="shared" si="86"/>
        <x:v>68.545088958012741</x:v>
      </x:c>
      <x:c r="Q185" s="1">
        <x:f t="shared" si="87"/>
        <x:v>0.41352337931247612</x:v>
      </x:c>
      <x:c r="R185" s="1">
        <x:f t="shared" si="88"/>
        <x:v>0.39943291185225127</x:v>
      </x:c>
      <x:c r="S185" s="1">
        <x:f t="shared" si="89"/>
        <x:v>2.0867971556619833E-2</x:v>
      </x:c>
    </x:row>
    <x:row r="186">
      <x:c r="A186" s="1">
        <x:v>-6.1442903712451198</x:v>
      </x:c>
      <x:c r="B186" s="1">
        <x:v>3196.00413085937</x:v>
      </x:c>
      <x:c r="C186" s="1">
        <x:v>-562.875</x:v>
      </x:c>
      <x:c r="D186">
        <x:f t="shared" si="78"/>
        <x:v>626.72647500000005</x:v>
      </x:c>
      <x:c r="E186" s="1">
        <x:f t="shared" si="79"/>
        <x:v>9.2164355568676797</x:v>
      </x:c>
      <x:c r="F186" s="1">
        <x:f t="shared" si="80"/>
        <x:v>56.628456249263238</x:v>
      </x:c>
      <x:c r="G186" s="1">
        <x:f t="shared" si="81"/>
        <x:v>0.37844318375969566</x:v>
      </x:c>
      <x:c r="H186" s="1">
        <x:f t="shared" si="82"/>
        <x:v>0.37844318375969566</x:v>
      </x:c>
      <x:c r="I186" s="1">
        <x:f t="shared" si="83"/>
        <x:v>2.6320468338614296E-2</x:v>
      </x:c>
      <x:c r="K186" s="1">
        <x:v>-6.14452682471856</x:v>
      </x:c>
      <x:c r="L186" s="1">
        <x:v>3213.05053710937</x:v>
      </x:c>
      <x:c r="M186" s="1">
        <x:v>-545.20489296636003</x:v>
      </x:c>
      <x:c r="N186">
        <x:f t="shared" si="84"/>
        <x:v>606.9182850152896</x:v>
      </x:c>
      <x:c r="O186" s="1">
        <x:f t="shared" si="85"/>
        <x:v>9.2167902370778396</x:v>
      </x:c>
      <x:c r="P186" s="1">
        <x:f t="shared" si="86"/>
        <x:v>56.632814849528927</x:v>
      </x:c>
      <x:c r="Q186" s="1">
        <x:f t="shared" si="87"/>
        <x:v>0.37644989102445769</x:v>
      </x:c>
      <x:c r="R186" s="1">
        <x:f t="shared" si="88"/>
        <x:v>0.36362267204422904</x:v>
      </x:c>
      <x:c r="S186" s="1">
        <x:f t="shared" si="89"/>
        <x:v>2.5477550866915794E-2</x:v>
      </x:c>
    </x:row>
    <x:row r="187">
      <x:c r="A187" s="1">
        <x:v>-5.47511727630856</x:v>
      </x:c>
      <x:c r="B187" s="1">
        <x:v>3159.5882474459099</x:v>
      </x:c>
      <x:c r="C187" s="1">
        <x:v>-632.50493096646903</x:v>
      </x:c>
      <x:c r="D187">
        <x:f t="shared" si="78"/>
        <x:v>704.78162761341184</x:v>
      </x:c>
      <x:c r="E187" s="1">
        <x:f t="shared" si="79"/>
        <x:v>8.2126759144628405</x:v>
      </x:c>
      <x:c r="F187" s="1">
        <x:f t="shared" si="80"/>
        <x:v>44.965363783998697</x:v>
      </x:c>
      <x:c r="G187" s="1">
        <x:f t="shared" si="81"/>
        <x:v>0.34111374868879141</x:v>
      </x:c>
      <x:c r="H187" s="1">
        <x:f t="shared" si="82"/>
        <x:v>0.34111374868879141</x:v>
      </x:c>
      <x:c r="I187" s="1">
        <x:f t="shared" si="83"/>
        <x:v>3.216978528071953E-2</x:v>
      </x:c>
      <x:c r="K187" s="1">
        <x:v>-5.4723851209018299</x:v>
      </x:c>
      <x:c r="L187" s="1">
        <x:v>3078.6341552734302</x:v>
      </x:c>
      <x:c r="M187" s="1">
        <x:v>-615.51199999999994</x:v>
      </x:c>
      <x:c r="N187">
        <x:f t="shared" si="84"/>
        <x:v>685.73255199999994</x:v>
      </x:c>
      <x:c r="O187" s="1">
        <x:f t="shared" si="85"/>
        <x:v>8.2085776813527449</x:v>
      </x:c>
      <x:c r="P187" s="1">
        <x:f t="shared" si="86"/>
        <x:v>44.920498367201603</x:v>
      </x:c>
      <x:c r="Q187" s="1">
        <x:f t="shared" si="87"/>
        <x:v>0.34990879435500211</x:v>
      </x:c>
      <x:c r="R187" s="1">
        <x:f t="shared" si="88"/>
        <x:v>0.33798594131316706</x:v>
      </x:c>
      <x:c r="S187" s="1">
        <x:f t="shared" si="89"/>
        <x:v>3.3322797036325569E-2</x:v>
      </x:c>
    </x:row>
    <x:row r="188">
      <x:c r="A188" s="1">
        <x:v>-4.80144130364629</x:v>
      </x:c>
      <x:c r="B188" s="1">
        <x:v>3123.3879864032401</x:v>
      </x:c>
      <x:c r="C188" s="1">
        <x:v>-707.133587786259</x:v>
      </x:c>
      <x:c r="D188">
        <x:f t="shared" si="78"/>
        <x:v>788.44035190839634</x:v>
      </x:c>
      <x:c r="E188" s="1">
        <x:f t="shared" si="79"/>
        <x:v>7.2021619554694354</x:v>
      </x:c>
      <x:c r="F188" s="1">
        <x:f t="shared" si="80"/>
        <x:v>34.580757888540873</x:v>
      </x:c>
      <x:c r="G188" s="1">
        <x:f t="shared" si="81"/>
        <x:v>0.30260909469732783</x:v>
      </x:c>
      <x:c r="H188" s="1">
        <x:f t="shared" si="82"/>
        <x:v>0.30260909469732783</x:v>
      </x:c>
      <x:c r="I188" s="1">
        <x:f t="shared" si="83"/>
        <x:v>3.8665943696155398E-2</x:v>
      </x:c>
      <x:c r="K188" s="1">
        <x:v>-4.7961451332978502</x:v>
      </x:c>
      <x:c r="L188" s="1">
        <x:v>3113.9249267578102</x:v>
      </x:c>
      <x:c r="M188" s="1">
        <x:v>-693.34936708860698</x:v>
      </x:c>
      <x:c r="N188">
        <x:f t="shared" si="84"/>
        <x:v>772.98824050632845</x:v>
      </x:c>
      <x:c r="O188" s="1">
        <x:f t="shared" si="85"/>
        <x:v>7.1942176999467753</x:v>
      </x:c>
      <x:c r="P188" s="1">
        <x:f t="shared" si="86"/>
        <x:v>34.504512209484979</x:v>
      </x:c>
      <x:c r="Q188" s="1">
        <x:f t="shared" si="87"/>
        <x:v>0.30319390478010322</x:v>
      </x:c>
      <x:c r="R188" s="1">
        <x:f t="shared" si="88"/>
        <x:v>0.29286282300053024</x:v>
      </x:c>
      <x:c r="S188" s="1">
        <x:f t="shared" si="89"/>
        <x:v>3.8601446368610334E-2</x:v>
      </x:c>
    </x:row>
    <x:row r="189">
      <x:c r="A189" s="1">
        <x:v>-4.0600761524716704</x:v>
      </x:c>
      <x:c r="B189" s="1">
        <x:v>3088.0054163049699</x:v>
      </x:c>
      <x:c r="C189" s="1">
        <x:v>-789.93785310734404</x:v>
      </x:c>
      <x:c r="D189">
        <x:f t="shared" si="78"/>
        <x:v>881.26393333333272</x:v>
      </x:c>
      <x:c r="E189" s="1">
        <x:f t="shared" si="79"/>
        <x:v>6.0901142287075061</x:v>
      </x:c>
      <x:c r="F189" s="1">
        <x:f t="shared" si="80"/>
        <x:v>24.726327545803748</x:v>
      </x:c>
      <x:c r="G189" s="1">
        <x:f t="shared" si="81"/>
        <x:v>0.25881677047884272</x:v>
      </x:c>
      <x:c r="H189" s="1">
        <x:f t="shared" si="82"/>
        <x:v>0.25881677047884272</x:v>
      </x:c>
      <x:c r="I189" s="1">
        <x:f t="shared" si="83"/>
        <x:v>4.6079665540944288E-2</x:v>
      </x:c>
      <x:c r="K189" s="1">
        <x:v>-4.1195235843332396</x:v>
      </x:c>
      <x:c r="L189" s="1">
        <x:v>3079.4870096842401</x:v>
      </x:c>
      <x:c r="M189" s="1">
        <x:v>-773.31556503198203</x:v>
      </x:c>
      <x:c r="N189">
        <x:f t="shared" si="84"/>
        <x:v>862.63034840085186</x:v>
      </x:c>
      <x:c r="O189" s="1">
        <x:f t="shared" si="85"/>
        <x:v>6.179285376499859</x:v>
      </x:c>
      <x:c r="P189" s="1">
        <x:f t="shared" si="86"/>
        <x:v>25.455711842816676</x:v>
      </x:c>
      <x:c r="Q189" s="1">
        <x:f t="shared" si="87"/>
        <x:v>0.26333276837521941</x:v>
      </x:c>
      <x:c r="R189" s="1">
        <x:f t="shared" si="88"/>
        <x:v>0.25435992188182166</x:v>
      </x:c>
      <x:c r="S189" s="1">
        <x:f t="shared" si="89"/>
        <x:v>4.5803545049480504E-2</x:v>
      </x:c>
    </x:row>
    <x:row r="190">
      <x:c r="A190" s="1">
        <x:v>-3.3767100272355202</x:v>
      </x:c>
      <x:c r="B190" s="1">
        <x:v>3093.0182110821702</x:v>
      </x:c>
      <x:c r="C190" s="1">
        <x:v>-849.92236598890895</x:v>
      </x:c>
      <x:c r="D190">
        <x:f t="shared" si="78"/>
        <x:v>948.50657227356692</x:v>
      </x:c>
      <x:c r="E190" s="1">
        <x:f t="shared" si="79"/>
        <x:v>5.0650650408532805</x:v>
      </x:c>
      <x:c r="F190" s="1">
        <x:f t="shared" si="80"/>
        <x:v>17.103255912049363</x:v>
      </x:c>
      <x:c r="G190" s="1">
        <x:f t="shared" si="81"/>
        <x:v>0.21490552363807275</x:v>
      </x:c>
      <x:c r="H190" s="1">
        <x:f t="shared" si="82"/>
        <x:v>0.21490552363807275</x:v>
      </x:c>
      <x:c r="I190" s="1">
        <x:f t="shared" si="83"/>
        <x:v>5.0640160359800915E-2</x:v>
      </x:c>
      <x:c r="K190" s="1">
        <x:v>-3.4442033827304801</x:v>
      </x:c>
      <x:c r="L190" s="1">
        <x:v>3059.0538085937501</x:v>
      </x:c>
      <x:c r="M190" s="1">
        <x:v>-842.142857142857</x:v>
      </x:c>
      <x:c r="N190">
        <x:f t="shared" si="84"/>
        <x:v>939.78574285714274</x:v>
      </x:c>
      <x:c r="O190" s="1">
        <x:f t="shared" si="85"/>
        <x:v>5.1663050740957202</x:v>
      </x:c>
      <x:c r="P190" s="1">
        <x:f t="shared" si="86"/>
        <x:v>17.793805412418124</x:v>
      </x:c>
      <x:c r="Q190" s="1">
        <x:f t="shared" si="87"/>
        <x:v>0.2216348041905653</x:v>
      </x:c>
      <x:c r="R190" s="1">
        <x:f t="shared" si="88"/>
        <x:v>0.21408278137218761</x:v>
      </x:c>
      <x:c r="S190" s="1">
        <x:f t="shared" si="89"/>
        <x:v>5.1942185813427903E-2</x:v>
      </x:c>
    </x:row>
    <x:row r="191">
      <x:c r="A191" s="1">
        <x:v>-2.7620816073483798</x:v>
      </x:c>
      <x:c r="B191" s="1">
        <x:v>3038.4944689520398</x:v>
      </x:c>
      <x:c r="C191" s="1">
        <x:v>-914.46967071057099</x:v>
      </x:c>
      <x:c r="D191">
        <x:f t="shared" si="78"/>
        <x:v>1020.8641008665502</x:v>
      </x:c>
      <x:c r="E191" s="1">
        <x:f t="shared" si="79"/>
        <x:v>4.1431224110225697</x:v>
      </x:c>
      <x:c r="F191" s="1">
        <x:f t="shared" si="80"/>
        <x:v>11.443642208478314</x:v>
      </x:c>
      <x:c r="G191" s="1">
        <x:f t="shared" si="81"/>
        <x:v>0.17894284731996146</x:v>
      </x:c>
      <x:c r="H191" s="1">
        <x:f t="shared" si="82"/>
        <x:v>0.17894284731996146</x:v>
      </x:c>
      <x:c r="I191" s="1">
        <x:f t="shared" si="83"/>
        <x:v>5.7725374935334584E-2</x:v>
      </x:c>
      <x:c r="K191" s="1">
        <x:v>-2.7613647663650802</x:v>
      </x:c>
      <x:c r="L191" s="1">
        <x:v>3046.00140671502</x:v>
      </x:c>
      <x:c r="M191" s="1">
        <x:v>-905.61985472154902</x:v>
      </x:c>
      <x:c r="N191">
        <x:f t="shared" si="84"/>
        <x:v>1010.9434571428565</x:v>
      </x:c>
      <x:c r="O191" s="1">
        <x:f t="shared" si="85"/>
        <x:v>4.1420471495476203</x:v>
      </x:c>
      <x:c r="P191" s="1">
        <x:f t="shared" si="86"/>
        <x:v>11.437703059383711</x:v>
      </x:c>
      <x:c r="Q191" s="1">
        <x:f t="shared" si="87"/>
        <x:v>0.17845551226999321</x:v>
      </x:c>
      <x:c r="R191" s="1">
        <x:f t="shared" si="88"/>
        <x:v>0.17237478814523216</x:v>
      </x:c>
      <x:c r="S191" s="1">
        <x:f t="shared" si="89"/>
        <x:v>5.7527291671435617E-2</x:v>
      </x:c>
    </x:row>
    <x:row r="192">
      <x:c r="A192" s="1">
        <x:v>-2.0764751242053099</x:v>
      </x:c>
      <x:c r="B192" s="1">
        <x:v>3059.6239648437499</x:v>
      </x:c>
      <x:c r="C192" s="1">
        <x:v>-987.65120967741905</x:v>
      </x:c>
      <x:c r="D192">
        <x:f t="shared" si="78"/>
        <x:v>1102.9006060483869</x:v>
      </x:c>
      <x:c r="E192" s="1">
        <x:f t="shared" si="79"/>
        <x:v>3.1147126863079651</x:v>
      </x:c>
      <x:c r="F192" s="1">
        <x:f t="shared" si="80"/>
        <x:v>6.4676234121651852</x:v>
      </x:c>
      <x:c r="G192" s="1">
        <x:f t="shared" si="81"/>
        <x:v>0.13359646492721244</x:v>
      </x:c>
      <x:c r="H192" s="1">
        <x:f t="shared" si="82"/>
        <x:v>0.13359646492721244</x:v>
      </x:c>
      <x:c r="I192" s="1">
        <x:f t="shared" si="83"/>
        <x:v>6.2802857313444982E-2</x:v>
      </x:c>
      <x:c r="K192" s="1">
        <x:v>-2.07628255996151</x:v>
      </x:c>
      <x:c r="L192" s="1">
        <x:v>3017.4692731584801</x:v>
      </x:c>
      <x:c r="M192" s="1">
        <x:v>-970.96859903381596</x:v>
      </x:c>
      <x:c r="N192">
        <x:f t="shared" si="84"/>
        <x:v>1084.1993995169078</x:v>
      </x:c>
      <x:c r="O192" s="1">
        <x:f t="shared" si="85"/>
        <x:v>3.114423839942265</x:v>
      </x:c>
      <x:c r="P192" s="1">
        <x:f t="shared" si="86"/>
        <x:v>6.4664239032004822</x:v>
      </x:c>
      <x:c r="Q192" s="1">
        <x:f t="shared" si="87"/>
        <x:v>0.13545027384311523</x:v>
      </x:c>
      <x:c r="R192" s="1">
        <x:f t="shared" si="88"/>
        <x:v>0.13083491768299166</x:v>
      </x:c>
      <x:c r="S192" s="1">
        <x:f t="shared" si="89"/>
        <x:v>6.4011406360626855E-2</x:v>
      </x:c>
    </x:row>
    <x:row r="193">
      <x:c r="A193" s="1">
        <x:v>-1.3197330358150099</x:v>
      </x:c>
      <x:c r="B193" s="1">
        <x:v>3046.2402121803898</x:v>
      </x:c>
      <x:c r="C193" s="1">
        <x:v>-1071.26686656671</x:v>
      </x:c>
      <x:c r="D193">
        <x:f t="shared" si="78"/>
        <x:v>1196.6337574212819</x:v>
      </x:c>
      <x:c r="E193" s="1">
        <x:f t="shared" si="79"/>
        <x:v>1.9795995537225148</x:v>
      </x:c>
      <x:c r="F193" s="1">
        <x:f t="shared" si="80"/>
        <x:v>2.6125429287322532</x:v>
      </x:c>
      <x:c r="G193" s="1">
        <x:f t="shared" si="81"/>
        <x:v>8.5282167388293945E-2</x:v>
      </x:c>
      <x:c r="H193" s="1">
        <x:f t="shared" si="82"/>
        <x:v>8.5282167388293945E-2</x:v>
      </x:c>
      <x:c r="I193" s="1">
        <x:f t="shared" si="83"/>
        <x:v>7.012425294358389E-2</x:v>
      </x:c>
      <x:c r="K193" s="1">
        <x:v>-1.39258189567391</x:v>
      </x:c>
      <x:c r="L193" s="1">
        <x:v>3011.4764355468701</x:v>
      </x:c>
      <x:c r="M193" s="1">
        <x:v>-1043.14937759336</x:v>
      </x:c>
      <x:c r="N193">
        <x:f t="shared" si="84"/>
        <x:v>1165.1140522821565</x:v>
      </x:c>
      <x:c r="O193" s="1">
        <x:f t="shared" si="85"/>
        <x:v>2.088872843510865</x:v>
      </x:c>
      <x:c r="P193" s="1">
        <x:f t="shared" si="86"/>
        <x:v>2.9089265042381114</x:v>
      </x:c>
      <x:c r="Q193" s="1">
        <x:f t="shared" si="87"/>
        <x:v>9.1028537095033668E-2</x:v>
      </x:c>
      <x:c r="R193" s="1">
        <x:f t="shared" si="88"/>
        <x:v>8.7926814909405515E-2</x:v>
      </x:c>
      <x:c r="S193" s="1">
        <x:f t="shared" si="89"/>
        <x:v>7.0244823985730689E-2</x:v>
      </x:c>
    </x:row>
    <x:row r="194">
      <x:c r="A194" s="1">
        <x:v>-0.70558137629148898</x:v>
      </x:c>
      <x:c r="B194" s="1">
        <x:v>3019.3621582031201</x:v>
      </x:c>
      <x:c r="C194" s="1">
        <x:v>-1135.14574314574</x:v>
      </x:c>
      <x:c r="D194">
        <x:f t="shared" si="78"/>
        <x:v>1268.2419780663745</x:v>
      </x:c>
      <x:c r="E194" s="1">
        <x:f t="shared" si="79"/>
        <x:v>1.0583720644372334</x:v>
      </x:c>
      <x:c r="F194" s="1">
        <x:f t="shared" si="80"/>
        <x:v>0.74676761785408763</x:v>
      </x:c>
      <x:c r="G194" s="1">
        <x:f t="shared" si="81"/>
        <x:v>4.6001097064017477E-2</x:v>
      </x:c>
      <x:c r="H194" s="1">
        <x:f t="shared" si="82"/>
        <x:v>4.6001097064017477E-2</x:v>
      </x:c>
      <x:c r="I194" s="1">
        <x:f t="shared" si="83"/>
        <x:v>7.6641478492847942E-2</x:v>
      </x:c>
      <x:c r="K194" s="1">
        <x:v>-0.70756771305093002</x:v>
      </x:c>
      <x:c r="L194" s="1">
        <x:v>3015.14892578125</x:v>
      </x:c>
      <x:c r="M194" s="1">
        <x:v>-1122.60697674418</x:v>
      </x:c>
      <x:c r="N194">
        <x:f t="shared" si="84"/>
        <x:v>1254.1860209302258</x:v>
      </x:c>
      <x:c r="O194" s="1">
        <x:f t="shared" si="85"/>
        <x:v>1.0613515695763951</x:v>
      </x:c>
      <x:c r="P194" s="1">
        <x:f t="shared" si="86"/>
        <x:v>0.750978102828185</x:v>
      </x:c>
      <x:c r="Q194" s="1">
        <x:f t="shared" si="87"/>
        <x:v>4.6195059120654039E-2</x:v>
      </x:c>
      <x:c r="R194" s="1">
        <x:f t="shared" si="88"/>
        <x:v>4.4621000651590116E-2</x:v>
      </x:c>
      <x:c r="S194" s="1">
        <x:f t="shared" si="89"/>
        <x:v>7.663889204226644E-2</x:v>
      </x:c>
    </x:row>
    <x:row r="195">
      <x:c r="A195" s="1" t="n">
        <x:f>-51.28/500</x:f>
        <x:v>-0.10256</x:v>
      </x:c>
      <x:c r="B195" s="1">
        <x:v>3039.09</x:v>
      </x:c>
      <x:c r="C195" s="1">
        <x:v>-1185.4000000000001</x:v>
      </x:c>
      <x:c r="D195">
        <x:f t="shared" si="78"/>
        <x:v>1324.5770000000002</x:v>
      </x:c>
      <x:c r="E195" s="1">
        <x:f t="shared" si="79"/>
        <x:v>0.15384</x:v>
      </x:c>
      <x:c r="F195" s="1">
        <x:f t="shared" si="80"/>
        <x:v>1.5777830399999998E-2</x:v>
      </x:c>
      <x:c r="G195" s="1">
        <x:f t="shared" si="81"/>
        <x:v>6.6430992099453298E-3</x:v>
      </x:c>
      <x:c r="H195" s="1">
        <x:f t="shared" si="82"/>
        <x:v>6.6430992099453298E-3</x:v>
      </x:c>
      <x:c r="I195" s="1">
        <x:f t="shared" si="83"/>
        <x:v>7.9736723931162656E-2</x:v>
      </x:c>
      <x:c r="K195" s="1" t="n">
        <x:f>-84.061/500</x:f>
        <x:v>-0.16812200000000002</x:v>
      </x:c>
      <x:c r="L195" s="1">
        <x:v>3025.6579999999999</x:v>
      </x:c>
      <x:c r="M195" s="1">
        <x:v>-1168.3040000000001</x:v>
      </x:c>
      <x:c r="N195">
        <x:f t="shared" si="84"/>
        <x:v>1305.4123840000002</x:v>
      </x:c>
      <x:c r="O195" s="1">
        <x:f t="shared" si="85"/>
        <x:v>0.25218300000000005</x:v>
      </x:c>
      <x:c r="P195" s="1">
        <x:f t="shared" si="86"/>
        <x:v>4.2397510326000011E-2</x:v>
      </x:c>
      <x:c r="Q195" s="1">
        <x:f t="shared" si="87"/>
        <x:v>1.0938077565198639E-2</x:v>
      </x:c>
      <x:c r="R195" s="1">
        <x:f t="shared" si="88"/>
        <x:v>1.0565371610178417E-2</x:v>
      </x:c>
      <x:c r="S195" s="1">
        <x:f t="shared" si="89"/>
        <x:v>7.9856909291198055E-2</x:v>
      </x:c>
    </x:row>
    <x:row r="196">
      <x:c r="A196" s="1">
        <x:v>-1.45496047501053E-2</x:v>
      </x:c>
      <x:c r="B196" s="1">
        <x:v>0</x:v>
      </x:c>
      <x:c r="C196" s="1">
        <x:v>-195.90909090909</x:v>
      </x:c>
      <x:c r="D196">
        <x:f t="shared" si="78"/>
        <x:v>215.35769090908988</x:v>
      </x:c>
      <x:c r="E196" s="1">
        <x:f t="shared" si="79"/>
        <x:v>2.1824407125157951E-2</x:v>
      </x:c>
      <x:c r="F196" s="1">
        <x:f t="shared" si="80"/>
        <x:v>3.1753649757643003E-4</x:v>
      </x:c>
      <x:c r="G196" s="1" t="e">
        <x:f t="shared" si="81"/>
        <x:v>#DIV/0!</x:v>
      </x:c>
      <x:c r="H196" s="1" t="e">
        <x:f t="shared" si="82"/>
        <x:v>#DIV/0!</x:v>
      </x:c>
      <x:c r="I196" s="1" t="e">
        <x:f t="shared" si="83"/>
        <x:v>#DIV/0!</x:v>
      </x:c>
      <x:c r="K196" s="1">
        <x:v>-9.8086244985461202E-2</x:v>
      </x:c>
      <x:c r="L196" s="1">
        <x:v>0</x:v>
      </x:c>
      <x:c r="M196" s="1">
        <x:v>-228.71666666666599</x:v>
      </x:c>
      <x:c r="N196">
        <x:f t="shared" si="84"/>
        <x:v>252.13498333333254</x:v>
      </x:c>
      <x:c r="O196" s="1">
        <x:f t="shared" si="85"/>
        <x:v>0.1471293674781918</x:v>
      </x:c>
      <x:c r="P196" s="1">
        <x:f t="shared" si="86"/>
        <x:v>1.4431367183021869E-2</x:v>
      </x:c>
      <x:c r="Q196" s="1" t="e">
        <x:f t="shared" si="87"/>
        <x:v>#DIV/0!</x:v>
      </x:c>
      <x:c r="R196" s="1" t="e">
        <x:f t="shared" si="88"/>
        <x:v>#DIV/0!</x:v>
      </x:c>
      <x:c r="S196" s="1" t="e">
        <x:f t="shared" si="89"/>
        <x:v>#DIV/0!</x:v>
      </x:c>
    </x:row>
  </x:sheetData>
  <x:mergeCells>
    <x:mergeCell ref="A142:C142"/>
    <x:mergeCell ref="K142:M142"/>
    <x:mergeCell ref="A172:C172"/>
    <x:mergeCell ref="K172:M172"/>
    <x:mergeCell ref="A1:C1"/>
    <x:mergeCell ref="K1:M1"/>
    <x:mergeCell ref="A113:C113"/>
    <x:mergeCell ref="K113:M113"/>
    <x:mergeCell ref="AD1:AU1"/>
    <x:mergeCell ref="AA1:AC1"/>
    <x:mergeCell ref="W1:Y1"/>
    <x:mergeCell ref="A84:C84"/>
    <x:mergeCell ref="K84:M84"/>
    <x:mergeCell ref="W84:Y84"/>
    <x:mergeCell ref="AA84:AC84"/>
    <x:mergeCell ref="A56:C56"/>
    <x:mergeCell ref="K56:M56"/>
    <x:mergeCell ref="W56:Y56"/>
    <x:mergeCell ref="AA56:AC56"/>
    <x:mergeCell ref="A28:C28"/>
    <x:mergeCell ref="K28:M28"/>
    <x:mergeCell ref="AA28:AC28"/>
    <x:mergeCell ref="W28:Y28"/>
  </x:mergeCells>
  <x:pageMargins left="0.7" right="0.7" top="0.75" bottom="0.75" header="0.3" footer="0.3"/>
  <x:drawing xmlns:r="http://schemas.openxmlformats.org/officeDocument/2006/relationships" r:id="R62df182ca82046dc"/>
</x:worksheet>
</file>

<file path=xl/worksheets/sheet2.xml><?xml version="1.0" encoding="utf-8"?>
<x:worksheet xmlns:x="http://schemas.openxmlformats.org/spreadsheetml/2006/main">
  <x:sheetFormatPr defaultRowHeight="14.25"/>
  <x:sheetData>
    <x:row r="1">
      <x:c r="A1" s="3" t="s">
        <x:v>43</x:v>
      </x:c>
      <x:c r="B1" s="3"/>
      <x:c r="C1" s="3"/>
      <x:c r="K1" s="3" t="s">
        <x:v>44</x:v>
      </x:c>
      <x:c r="L1" s="3"/>
      <x:c r="M1" s="3"/>
      <x:c r="AC1" s="3" t="s">
        <x:v>2</x:v>
      </x:c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</x:row>
    <x:row r="2">
      <x:c r="A2" s="1" t="s">
        <x:v>3</x:v>
      </x:c>
      <x:c r="B2" s="1" t="s">
        <x:v>4</x:v>
      </x:c>
      <x:c r="C2" s="1" t="s">
        <x:v>5</x:v>
      </x:c>
      <x:c r="D2" s="1" t="s">
        <x:v>6</x:v>
      </x:c>
      <x:c r="E2" s="1" t="s">
        <x:v>7</x:v>
      </x:c>
      <x:c r="F2" s="1" t="s">
        <x:v>8</x:v>
      </x:c>
      <x:c r="G2" s="1" t="s">
        <x:v>9</x:v>
      </x:c>
      <x:c r="H2" s="1" t="s">
        <x:v>10</x:v>
      </x:c>
      <x:c r="I2" s="1" t="s">
        <x:v>11</x:v>
      </x:c>
      <x:c r="J2" s="1"/>
      <x:c r="K2" s="1" t="s">
        <x:v>3</x:v>
      </x:c>
      <x:c r="L2" s="1" t="s">
        <x:v>4</x:v>
      </x:c>
      <x:c r="M2" s="1" t="s">
        <x:v>5</x:v>
      </x:c>
      <x:c r="N2" s="1" t="s">
        <x:v>6</x:v>
      </x:c>
      <x:c r="O2" s="1" t="s">
        <x:v>7</x:v>
      </x:c>
      <x:c r="P2" s="1" t="s">
        <x:v>8</x:v>
      </x:c>
      <x:c r="Q2" s="1" t="s">
        <x:v>9</x:v>
      </x:c>
      <x:c r="R2" s="1" t="s">
        <x:v>10</x:v>
      </x:c>
      <x:c r="S2" s="1" t="s">
        <x:v>11</x:v>
      </x:c>
      <x:c r="AC2" s="1" t="s">
        <x:v>12</x:v>
      </x:c>
      <x:c r="AD2" s="1" t="s">
        <x:v>13</x:v>
      </x:c>
      <x:c r="AE2" s="1" t="s">
        <x:v>14</x:v>
      </x:c>
      <x:c r="AF2" s="1" t="s">
        <x:v>15</x:v>
      </x:c>
      <x:c r="AG2" s="1" t="s">
        <x:v>16</x:v>
      </x:c>
      <x:c r="AH2" s="1" t="s">
        <x:v>17</x:v>
      </x:c>
      <x:c r="AI2" s="1" t="s">
        <x:v>11</x:v>
      </x:c>
      <x:c r="AJ2" s="1" t="s">
        <x:v>18</x:v>
      </x:c>
      <x:c r="AK2" s="1" t="s">
        <x:v>19</x:v>
      </x:c>
      <x:c r="AL2" s="1" t="s">
        <x:v>20</x:v>
      </x:c>
      <x:c r="AM2" s="1" t="s">
        <x:v>21</x:v>
      </x:c>
      <x:c r="AN2" s="1" t="s">
        <x:v>22</x:v>
      </x:c>
      <x:c r="AO2" s="1" t="s">
        <x:v>23</x:v>
      </x:c>
      <x:c r="AP2" s="1" t="s">
        <x:v>24</x:v>
      </x:c>
      <x:c r="AQ2" s="1" t="s">
        <x:v>25</x:v>
      </x:c>
      <x:c r="AR2" s="1" t="s">
        <x:v>26</x:v>
      </x:c>
      <x:c r="AS2" s="1" t="s">
        <x:v>10</x:v>
      </x:c>
      <x:c r="AT2" s="1" t="s">
        <x:v>8</x:v>
      </x:c>
    </x:row>
    <x:row r="3">
      <x:c r="A3" s="2">
        <x:v>2.5591838032072901E-5</x:v>
      </x:c>
      <x:c r="B3" s="1">
        <x:v>0</x:v>
      </x:c>
      <x:c r="C3" s="1">
        <x:v>42.420454545454497</x:v>
      </x:c>
      <x:c r="D3" s="1" t="n">
        <x:f>-A3*1.5</x:f>
        <x:v>-0.00003838775704810935</x:v>
      </x:c>
      <x:c r="E3" s="1" t="n">
        <x:f>A3*A3*1.5</x:f>
        <x:v>9.824132607897794e-10</x:v>
      </x:c>
      <x:c r="F3" s="1" t="e">
        <x:f>D3/(B3/60)/0.4572</x:f>
        <x:v>#DIV/0!</x:v>
      </x:c>
      <x:c r="G3" s="1" t="e">
        <x:f>D3*SIN(RADIANS(0))/(B3/60)/0.4572</x:f>
        <x:v>#DIV/0!</x:v>
      </x:c>
      <x:c r="H3" s="1" t="e">
        <x:f>(C3-$C$3)*9.8/1.205/(B3/60)^2/0.4572^4/1000</x:f>
        <x:v>#DIV/0!</x:v>
      </x:c>
      <x:c r="I3" t="e">
        <x:f>H3*4/(3.14^3)</x:f>
        <x:v>#DIV/0!</x:v>
      </x:c>
      <x:c r="J3" s="1"/>
      <x:c r="K3" s="1">
        <x:v>1.6301331988475E-4</x:v>
      </x:c>
      <x:c r="L3" s="1">
        <x:v>0</x:v>
      </x:c>
      <x:c r="M3" s="1">
        <x:v>42.822463768115902</x:v>
      </x:c>
      <x:c r="N3" s="1" t="n">
        <x:f>-K3*1.5</x:f>
        <x:v>-0.000244519979827125</x:v>
      </x:c>
      <x:c r="O3" s="1" t="n">
        <x:f>K3*K3*1.5</x:f>
        <x:v>3.9860013689771747e-8</x:v>
      </x:c>
      <x:c r="P3" s="1" t="e">
        <x:f>N3/(L3/60)/0.4572</x:f>
        <x:v>#DIV/0!</x:v>
      </x:c>
      <x:c r="Q3" s="1" t="e">
        <x:f>N3*SIN(RADIANS(0))/(L3/60)/0.4572</x:f>
        <x:v>#DIV/0!</x:v>
      </x:c>
      <x:c r="R3" s="1" t="e">
        <x:f>(M3-$C$3)*9.8/1.205/(L3/60)^2/0.4572^4/1000</x:f>
        <x:v>#DIV/0!</x:v>
      </x:c>
      <x:c r="S3" t="e">
        <x:f>R3*4/(3.14^3)</x:f>
        <x:v>#DIV/0!</x:v>
      </x:c>
      <x:c r="AC3" s="1">
        <x:v>4000</x:v>
      </x:c>
      <x:c r="AD3" s="1">
        <x:v>0</x:v>
      </x:c>
      <x:c r="AE3" s="1">
        <x:v>0</x:v>
      </x:c>
      <x:c r="AF3" s="1">
        <x:v>418.87902047863901</x:v>
      </x:c>
      <x:c r="AG3" s="1">
        <x:v>19.865562886380101</x:v>
      </x:c>
      <x:c r="AH3" s="1">
        <x:v>1.0772904030023799E-2</x:v>
      </x:c>
      <x:c r="AI3" s="1">
        <x:v>1.0772904030023799E-2</x:v>
      </x:c>
      <x:c r="AJ3" s="1">
        <x:v>7.3392452030601199E-2</x:v>
      </x:c>
      <x:c r="AK3" s="1">
        <x:v>7.3392452030601199E-2</x:v>
      </x:c>
      <x:c r="AL3" s="1">
        <x:v>0</x:v>
      </x:c>
      <x:c r="AM3" s="1">
        <x:v>0</x:v>
      </x:c>
      <x:c r="AN3" s="1">
        <x:v>0</x:v>
      </x:c>
      <x:c r="AO3" s="1">
        <x:v>11</x:v>
      </x:c>
      <x:c r="AP3" s="1" t="b">
        <x:v>1</x:v>
      </x:c>
      <x:c r="AQ3" s="1">
        <x:v>-17.867276538471401</x:v>
      </x:c>
      <x:c r="AR3" s="1">
        <x:v>5.9935220837512704</x:v>
      </x:c>
      <x:c r="AS3" t="n">
        <x:f>3.1415926^3/4*AI3</x:f>
        <x:v>0.08350690647788582</x:v>
      </x:c>
      <x:c r="AT3" t="n">
        <x:f>AD3*1.5/AC3*60/0.4572</x:f>
        <x:v>0</x:v>
      </x:c>
    </x:row>
    <x:row r="4">
      <x:c r="A4" s="1">
        <x:v>-3.7913927464266198E-4</x:v>
      </x:c>
      <x:c r="B4" s="1">
        <x:v>4022.1030159883699</x:v>
      </x:c>
      <x:c r="C4" s="1">
        <x:v>2059.6712962962902</x:v>
      </x:c>
      <x:c r="D4" s="1" t="n">
        <x:f t="shared" ref="D4:D25" si="0">-A4*1.5</x:f>
        <x:v>0.000568708911963993</x:v>
      </x:c>
      <x:c r="E4" s="1" t="n">
        <x:f t="shared" ref="E4:E25" si="1">A4*A4*1.5</x:f>
        <x:v>2.156198843648458e-7</x:v>
      </x:c>
      <x:c r="F4" s="1" t="n">
        <x:f t="shared" ref="F4:F25" si="2">D4/(B4/60)/0.4572</x:f>
        <x:v>0.00001855589356716138</x:v>
      </x:c>
      <x:c r="G4" s="1" t="n">
        <x:f t="shared" ref="G4:G24" si="3">D4*SIN(RADIANS(0))/(B4/60)/0.4572</x:f>
        <x:v>0</x:v>
      </x:c>
      <x:c r="H4" s="1" t="n">
        <x:f t="shared" ref="H4:H25" si="4">(C4-$C$3)*9.8/1.205/(B4/60)^2/0.4572^4/1000</x:f>
        <x:v>0.08355456229950237</x:v>
      </x:c>
      <x:c r="I4" t="n">
        <x:f t="shared" ref="I4:I25" si="5">H4*4/(3.14^3)</x:f>
        <x:v>0.010795461566960943</x:v>
      </x:c>
      <x:c r="J4" s="1"/>
      <x:c r="K4" s="1">
        <x:v>-1.1598638419497999E-3</x:v>
      </x:c>
      <x:c r="L4" s="1">
        <x:v>4062.4512703188002</x:v>
      </x:c>
      <x:c r="M4" s="1">
        <x:v>2115.4556962025299</x:v>
      </x:c>
      <x:c r="N4" s="1" t="n">
        <x:f t="shared" ref="N4:N24" si="6">-K4*1.5</x:f>
        <x:v>0.0017397957629247</x:v>
      </x:c>
      <x:c r="O4" s="1" t="n">
        <x:f t="shared" ref="O4:O24" si="7">K4*K4*1.5</x:f>
        <x:v>0.000002017926197793826</x:v>
      </x:c>
      <x:c r="P4" s="1" t="n">
        <x:f t="shared" ref="P4:P24" si="8">N4/(L4/60)/0.4572</x:f>
        <x:v>0.00005620243511479921</x:v>
      </x:c>
      <x:c r="Q4" s="1" t="n">
        <x:f t="shared" ref="Q4:Q24" si="9">N4*SIN(RADIANS(0))/(L4/60)/0.4572</x:f>
        <x:v>0</x:v>
      </x:c>
      <x:c r="R4" s="1" t="n">
        <x:f t="shared" ref="R4:R24" si="10">(M4-$C$3)*9.8/1.205/(L4/60)^2/0.4572^4/1000</x:f>
        <x:v>0.08416799826538895</x:v>
      </x:c>
      <x:c r="S4" t="n">
        <x:f t="shared" ref="S4:S24" si="11">R4*4/(3.14^3)</x:f>
        <x:v>0.010874719051067943</x:v>
      </x:c>
      <x:c r="AC4" s="1">
        <x:v>4000</x:v>
      </x:c>
      <x:c r="AD4" s="1">
        <x:v>0.67800000000000005</x:v>
      </x:c>
      <x:c r="AE4" s="1">
        <x:v>0</x:v>
      </x:c>
      <x:c r="AF4" s="1">
        <x:v>418.87902047863901</x:v>
      </x:c>
      <x:c r="AG4" s="1">
        <x:v>18.973610490362699</x:v>
      </x:c>
      <x:c r="AH4" s="1">
        <x:v>1.02892068090287E-2</x:v>
      </x:c>
      <x:c r="AI4" s="1">
        <x:v>1.02892068090287E-2</x:v>
      </x:c>
      <x:c r="AJ4" s="1">
        <x:v>7.7232557677702304E-2</x:v>
      </x:c>
      <x:c r="AK4" s="1">
        <x:v>6.6611784900507107E-2</x:v>
      </x:c>
      <x:c r="AL4" s="1">
        <x:v>0</x:v>
      </x:c>
      <x:c r="AM4" s="1">
        <x:v>1.0620772777195199E-2</x:v>
      </x:c>
      <x:c r="AN4" s="1">
        <x:v>0</x:v>
      </x:c>
      <x:c r="AO4" s="1">
        <x:v>10</x:v>
      </x:c>
      <x:c r="AP4" s="1" t="b">
        <x:v>1</x:v>
      </x:c>
      <x:c r="AQ4" s="1">
        <x:v>-19.111808044142801</x:v>
      </x:c>
      <x:c r="AR4" s="1">
        <x:v>5.4108088718461298</x:v>
      </x:c>
      <x:c r="AS4" t="n">
        <x:f t="shared" ref="AS4:AS67" si="12">3.1415926^3/4*AI4</x:f>
        <x:v>0.07975749420384352</x:v>
      </x:c>
      <x:c r="AT4" t="n">
        <x:f t="shared" ref="AT4:AT67" si="13">AD4*1.5/AC4*60/0.4572</x:f>
        <x:v>0.033366141732283465</x:v>
      </x:c>
    </x:row>
    <x:row r="5">
      <x:c r="A5" s="1">
        <x:v>-0.67840427456312602</x:v>
      </x:c>
      <x:c r="B5" s="1">
        <x:v>4051.9555745442699</x:v>
      </x:c>
      <x:c r="C5" s="1">
        <x:v>2053.09900990099</x:v>
      </x:c>
      <x:c r="D5" s="1">
        <x:f t="shared" si="0"/>
        <x:v>1.017606411844689</x:v>
      </x:c>
      <x:c r="E5" s="1">
        <x:f t="shared" si="1"/>
        <x:v>0.69034853961828191</x:v>
      </x:c>
      <x:c r="F5" s="1">
        <x:f t="shared" si="2"/>
        <x:v>3.2957949829217549E-2</x:v>
      </x:c>
      <x:c r="G5" s="1">
        <x:f t="shared" si="3"/>
        <x:v>0</x:v>
      </x:c>
      <x:c r="H5" s="1">
        <x:f t="shared" si="4"/>
        <x:v>8.2059702555431976E-2</x:v>
      </x:c>
      <x:c r="I5">
        <x:f t="shared" si="5"/>
        <x:v>1.0602321893064223E-2</x:v>
      </x:c>
      <x:c r="J5" s="1"/>
      <x:c r="K5" s="1">
        <x:v>-0.67692411185787105</x:v>
      </x:c>
      <x:c r="L5" s="1">
        <x:v>4081.9949840198801</x:v>
      </x:c>
      <x:c r="M5" s="1">
        <x:v>2098.54024767801</x:v>
      </x:c>
      <x:c r="N5" s="1">
        <x:f t="shared" si="6"/>
        <x:v>1.0153861677868066</x:v>
      </x:c>
      <x:c r="O5" s="1">
        <x:f t="shared" si="7"/>
        <x:v>0.68733937982185123</x:v>
      </x:c>
      <x:c r="P5" s="1">
        <x:f t="shared" si="8"/>
        <x:v>3.2644032745369193E-2</x:v>
      </x:c>
      <x:c r="Q5" s="1">
        <x:f t="shared" si="9"/>
        <x:v>0</x:v>
      </x:c>
      <x:c r="R5" s="1">
        <x:f t="shared" si="10"/>
        <x:v>8.2683741974897362E-2</x:v>
      </x:c>
      <x:c r="S5">
        <x:f t="shared" si="11"/>
        <x:v>1.0682949370292325E-2</x:v>
      </x:c>
      <x:c r="AC5" s="1">
        <x:v>4000</x:v>
      </x:c>
      <x:c r="AD5" s="1">
        <x:v>1.3560000000000001</x:v>
      </x:c>
      <x:c r="AE5" s="1">
        <x:v>0</x:v>
      </x:c>
      <x:c r="AF5" s="1">
        <x:v>418.87902047863901</x:v>
      </x:c>
      <x:c r="AG5" s="1">
        <x:v>18.024964984591598</x:v>
      </x:c>
      <x:c r="AH5" s="1">
        <x:v>9.7747654589076596E-3</x:v>
      </x:c>
      <x:c r="AI5" s="1">
        <x:v>9.7747654589076596E-3</x:v>
      </x:c>
      <x:c r="AJ5" s="1">
        <x:v>8.1332781138736807E-2</x:v>
      </x:c>
      <x:c r="AK5" s="1">
        <x:v>6.00912355843463E-2</x:v>
      </x:c>
      <x:c r="AL5" s="1">
        <x:v>0</x:v>
      </x:c>
      <x:c r="AM5" s="1">
        <x:v>2.1241545554390499E-2</x:v>
      </x:c>
      <x:c r="AN5" s="1">
        <x:v>0</x:v>
      </x:c>
      <x:c r="AO5" s="1">
        <x:v>9</x:v>
      </x:c>
      <x:c r="AP5" s="1" t="b">
        <x:v>1</x:v>
      </x:c>
      <x:c r="AQ5" s="1">
        <x:v>-20.4060645989451</x:v>
      </x:c>
      <x:c r="AR5" s="1">
        <x:v>4.7857178383429497</x:v>
      </x:c>
      <x:c r="AS5">
        <x:f t="shared" si="12"/>
        <x:v>7.5769766698503424E-2</x:v>
      </x:c>
      <x:c r="AT5">
        <x:f t="shared" si="13"/>
        <x:v>6.673228346456693E-2</x:v>
      </x:c>
    </x:row>
    <x:row r="6">
      <x:c r="A6" s="1">
        <x:v>-1.3568388786580801</x:v>
      </x:c>
      <x:c r="B6" s="1">
        <x:v>4017.8094692887898</x:v>
      </x:c>
      <x:c r="C6" s="1">
        <x:v>2070.9428076256499</x:v>
      </x:c>
      <x:c r="D6" s="1">
        <x:f t="shared" si="0"/>
        <x:v>2.03525831798712</x:v>
      </x:c>
      <x:c r="E6" s="1">
        <x:f t="shared" si="1"/>
        <x:v>2.761517613957174</x:v>
      </x:c>
      <x:c r="F6" s="1">
        <x:f t="shared" si="2"/>
        <x:v>6.647758423936849E-2</x:v>
      </x:c>
      <x:c r="G6" s="1">
        <x:f t="shared" si="3"/>
        <x:v>0</x:v>
      </x:c>
      <x:c r="H6" s="1">
        <x:f t="shared" si="4"/>
        <x:v>8.4201099857430503E-2</x:v>
      </x:c>
      <x:c r="I6">
        <x:f t="shared" si="5"/>
        <x:v>1.087899586079389E-2</x:v>
      </x:c>
      <x:c r="J6" s="1"/>
      <x:c r="K6" s="1">
        <x:v>-1.36564467952709</x:v>
      </x:c>
      <x:c r="L6" s="1">
        <x:v>4097.9654907226504</x:v>
      </x:c>
      <x:c r="M6" s="1">
        <x:v>2119.0482233502498</x:v>
      </x:c>
      <x:c r="N6" s="1">
        <x:f t="shared" si="6"/>
        <x:v>2.0484670192906349</x:v>
      </x:c>
      <x:c r="O6" s="1">
        <x:f t="shared" si="7"/>
        <x:v>2.7974780860809725</x:v>
      </x:c>
      <x:c r="P6" s="1">
        <x:f t="shared" si="8"/>
        <x:v>6.5600282244662647E-2</x:v>
      </x:c>
      <x:c r="Q6" s="1">
        <x:f t="shared" si="9"/>
        <x:v>0</x:v>
      </x:c>
      <x:c r="R6" s="1">
        <x:f t="shared" si="10"/>
        <x:v>8.2858812730998127E-2</x:v>
      </x:c>
      <x:c r="S6">
        <x:f t="shared" si="11"/>
        <x:v>1.0705568956428269E-2</x:v>
      </x:c>
      <x:c r="AC6" s="1">
        <x:v>4000</x:v>
      </x:c>
      <x:c r="AD6" s="1">
        <x:v>2.0339999999999998</x:v>
      </x:c>
      <x:c r="AE6" s="1">
        <x:v>0</x:v>
      </x:c>
      <x:c r="AF6" s="1">
        <x:v>418.87902047863901</x:v>
      </x:c>
      <x:c r="AG6" s="1">
        <x:v>16.9946421901777</x:v>
      </x:c>
      <x:c r="AH6" s="1">
        <x:v>9.2160312993144703E-3</x:v>
      </x:c>
      <x:c r="AI6" s="1">
        <x:v>9.2160312993144703E-3</x:v>
      </x:c>
      <x:c r="AJ6" s="1">
        <x:v>8.5657870384866094E-2</x:v>
      </x:c>
      <x:c r="AK6" s="1">
        <x:v>5.37955520532803E-2</x:v>
      </x:c>
      <x:c r="AL6" s="1">
        <x:v>0</x:v>
      </x:c>
      <x:c r="AM6" s="1">
        <x:v>3.1862318331585801E-2</x:v>
      </x:c>
      <x:c r="AN6" s="1">
        <x:v>0</x:v>
      </x:c>
      <x:c r="AO6" s="1">
        <x:v>8</x:v>
      </x:c>
      <x:c r="AP6" s="1" t="b">
        <x:v>1</x:v>
      </x:c>
      <x:c r="AQ6" s="1">
        <x:v>-21.7334557640059</x:v>
      </x:c>
      <x:c r="AR6" s="1">
        <x:v>4.4065655544222198</x:v>
      </x:c>
      <x:c r="AS6">
        <x:f t="shared" si="12"/>
        <x:v>7.1438700434373198E-2</x:v>
      </x:c>
      <x:c r="AT6">
        <x:f t="shared" si="13"/>
        <x:v>0.1000984251968504</x:v>
      </x:c>
    </x:row>
    <x:row r="7">
      <x:c r="A7" s="1">
        <x:v>-2.0388078383709201</x:v>
      </x:c>
      <x:c r="B7" s="1">
        <x:v>4050.0715657552</x:v>
      </x:c>
      <x:c r="C7" s="1">
        <x:v>2075.7356321839002</x:v>
      </x:c>
      <x:c r="D7" s="1">
        <x:f t="shared" si="0"/>
        <x:v>3.0582117575563803</x:v>
      </x:c>
      <x:c r="E7" s="1">
        <x:f t="shared" si="1"/>
        <x:v>6.2351061027040551</x:v>
      </x:c>
      <x:c r="F7" s="1">
        <x:f t="shared" si="2"/>
        <x:v>9.9094576267995102E-2</x:v>
      </x:c>
      <x:c r="G7" s="1">
        <x:f t="shared" si="3"/>
        <x:v>0</x:v>
      </x:c>
      <x:c r="H7" s="1">
        <x:f t="shared" si="4"/>
        <x:v>8.3060769524727546E-2</x:v>
      </x:c>
      <x:c r="I7">
        <x:f t="shared" si="5"/>
        <x:v>1.0731662286880741E-2</x:v>
      </x:c>
      <x:c r="J7" s="1"/>
      <x:c r="K7" s="1">
        <x:v>-2.0420669460692298</x:v>
      </x:c>
      <x:c r="L7" s="1">
        <x:v>4103.2432657877598</x:v>
      </x:c>
      <x:c r="M7" s="1">
        <x:v>2133.2687500000002</x:v>
      </x:c>
      <x:c r="N7" s="1">
        <x:f t="shared" si="6"/>
        <x:v>3.0631004191038445</x:v>
      </x:c>
      <x:c r="O7" s="1">
        <x:f t="shared" si="7"/>
        <x:v>6.2550561183427664</x:v>
      </x:c>
      <x:c r="P7" s="1">
        <x:f t="shared" si="8"/>
        <x:v>9.7966817041718376E-2</x:v>
      </x:c>
      <x:c r="Q7" s="1">
        <x:f t="shared" si="9"/>
        <x:v>0</x:v>
      </x:c>
      <x:c r="R7" s="1">
        <x:f t="shared" si="10"/>
        <x:v>8.3211746036484735E-2</x:v>
      </x:c>
      <x:c r="S7">
        <x:f t="shared" si="11"/>
        <x:v>1.0751168835480041E-2</x:v>
      </x:c>
      <x:c r="AC7" s="1">
        <x:v>4000</x:v>
      </x:c>
      <x:c r="AD7" s="1">
        <x:v>2.7120000000000002</x:v>
      </x:c>
      <x:c r="AE7" s="1">
        <x:v>0</x:v>
      </x:c>
      <x:c r="AF7" s="1">
        <x:v>418.87902047863901</x:v>
      </x:c>
      <x:c r="AG7" s="1">
        <x:v>15.892246675544399</x:v>
      </x:c>
      <x:c r="AH7" s="1">
        <x:v>8.6182127954947101E-3</x:v>
      </x:c>
      <x:c r="AI7" s="1">
        <x:v>8.6182127954947101E-3</x:v>
      </x:c>
      <x:c r="AJ7" s="1">
        <x:v>9.0236572528534495E-2</x:v>
      </x:c>
      <x:c r="AK7" s="1">
        <x:v>4.7753481419753399E-2</x:v>
      </x:c>
      <x:c r="AL7" s="1">
        <x:v>0</x:v>
      </x:c>
      <x:c r="AM7" s="1">
        <x:v>4.2483091108780999E-2</x:v>
      </x:c>
      <x:c r="AN7" s="1">
        <x:v>0</x:v>
      </x:c>
      <x:c r="AO7" s="1">
        <x:v>6</x:v>
      </x:c>
      <x:c r="AP7" s="1" t="b">
        <x:v>1</x:v>
      </x:c>
      <x:c r="AQ7" s="1">
        <x:v>-23.0972736814219</x:v>
      </x:c>
      <x:c r="AR7" s="1">
        <x:v>4.0312322005547001</x:v>
      </x:c>
      <x:c r="AS7">
        <x:f t="shared" si="12"/>
        <x:v>6.6804669188007773E-2</x:v>
      </x:c>
      <x:c r="AT7">
        <x:f t="shared" si="13"/>
        <x:v>0.13346456692913386</x:v>
      </x:c>
    </x:row>
    <x:row r="8">
      <x:c r="A8" s="1">
        <x:v>-2.7174646166654699</x:v>
      </x:c>
      <x:c r="B8" s="1">
        <x:v>4063.5738807091302</x:v>
      </x:c>
      <x:c r="C8" s="1">
        <x:v>2087.1117533718598</x:v>
      </x:c>
      <x:c r="D8" s="1">
        <x:f t="shared" si="0"/>
        <x:v>4.0761969249982046</x:v>
      </x:c>
      <x:c r="E8" s="1">
        <x:f t="shared" si="1"/>
        <x:v>11.076920914243214</x:v>
      </x:c>
      <x:c r="F8" s="1">
        <x:f t="shared" si="2"/>
        <x:v>0.13164125849859196</x:v>
      </x:c>
      <x:c r="G8" s="1">
        <x:f t="shared" si="3"/>
        <x:v>0</x:v>
      </x:c>
      <x:c r="H8" s="1">
        <x:f t="shared" si="4"/>
        <x:v>8.2971333717331702E-2</x:v>
      </x:c>
      <x:c r="I8">
        <x:f t="shared" si="5"/>
        <x:v>1.0720106953516764E-2</x:v>
      </x:c>
      <x:c r="J8" s="1"/>
      <x:c r="K8" s="1">
        <x:v>-2.7208981438116502</x:v>
      </x:c>
      <x:c r="L8" s="1">
        <x:v>4086.54721901633</x:v>
      </x:c>
      <x:c r="M8" s="1">
        <x:v>2143.9497716894898</x:v>
      </x:c>
      <x:c r="N8" s="1">
        <x:f t="shared" si="6"/>
        <x:v>4.0813472157174751</x:v>
      </x:c>
      <x:c r="O8" s="1">
        <x:f t="shared" si="7"/>
        <x:v>11.104930063496525</x:v>
      </x:c>
      <x:c r="P8" s="1">
        <x:f t="shared" si="8"/>
        <x:v>0.1310666051616042</x:v>
      </x:c>
      <x:c r="Q8" s="1">
        <x:f t="shared" si="9"/>
        <x:v>0</x:v>
      </x:c>
      <x:c r="R8" s="1">
        <x:f t="shared" si="10"/>
        <x:v>8.4321641559463811E-2</x:v>
      </x:c>
      <x:c r="S8">
        <x:f t="shared" si="11"/>
        <x:v>1.089457015471278E-2</x:v>
      </x:c>
      <x:c r="AC8" s="1">
        <x:v>4000</x:v>
      </x:c>
      <x:c r="AD8" s="1">
        <x:v>3.39</x:v>
      </x:c>
      <x:c r="AE8" s="1">
        <x:v>0</x:v>
      </x:c>
      <x:c r="AF8" s="1">
        <x:v>418.87902047863901</x:v>
      </x:c>
      <x:c r="AG8" s="1">
        <x:v>14.7315637561095</x:v>
      </x:c>
      <x:c r="AH8" s="1">
        <x:v>7.9887855916508099E-3</x:v>
      </x:c>
      <x:c r="AI8" s="1">
        <x:v>7.9887855916508099E-3</x:v>
      </x:c>
      <x:c r="AJ8" s="1">
        <x:v>9.5104101992750795E-2</x:v>
      </x:c>
      <x:c r="AK8" s="1">
        <x:v>4.2000238106774501E-2</x:v>
      </x:c>
      <x:c r="AL8" s="1">
        <x:v>0</x:v>
      </x:c>
      <x:c r="AM8" s="1">
        <x:v>5.31038638859763E-2</x:v>
      </x:c>
      <x:c r="AN8" s="1">
        <x:v>0</x:v>
      </x:c>
      <x:c r="AO8" s="1">
        <x:v>6</x:v>
      </x:c>
      <x:c r="AP8" s="1" t="b">
        <x:v>1</x:v>
      </x:c>
      <x:c r="AQ8" s="1">
        <x:v>-24.5008456523036</x:v>
      </x:c>
      <x:c r="AR8" s="1">
        <x:v>3.62740290629386</x:v>
      </x:c>
      <x:c r="AS8">
        <x:f t="shared" si="12"/>
        <x:v>6.1925620929567694E-2</x:v>
      </x:c>
      <x:c r="AT8">
        <x:f t="shared" si="13"/>
        <x:v>0.1668307086614173</x:v>
      </x:c>
    </x:row>
    <x:row r="9">
      <x:c r="A9" s="1">
        <x:v>-3.3927216345772999</x:v>
      </x:c>
      <x:c r="B9" s="1">
        <x:v>4056.2565465856401</x:v>
      </x:c>
      <x:c r="C9" s="1">
        <x:v>2107.57642725598</x:v>
      </x:c>
      <x:c r="D9" s="1">
        <x:f t="shared" si="0"/>
        <x:v>5.0890824518659503</x:v>
      </x:c>
      <x:c r="E9" s="1">
        <x:f t="shared" si="1"/>
        <x:v>17.265840134593297</x:v>
      </x:c>
      <x:c r="F9" s="1">
        <x:f t="shared" si="2"/>
        <x:v>0.16464900131770302</x:v>
      </x:c>
      <x:c r="G9" s="1">
        <x:f t="shared" si="3"/>
        <x:v>0</x:v>
      </x:c>
      <x:c r="H9" s="1">
        <x:f t="shared" si="4"/>
        <x:v>8.4104390955792085E-2</x:v>
      </x:c>
      <x:c r="I9">
        <x:f t="shared" si="5"/>
        <x:v>1.0866500825189751E-2</x:v>
      </x:c>
      <x:c r="J9" s="1"/>
      <x:c r="K9" s="1">
        <x:v>-3.41581557309331</x:v>
      </x:c>
      <x:c r="L9" s="1">
        <x:v>4107.7484537760402</x:v>
      </x:c>
      <x:c r="M9" s="1">
        <x:v>2162.8302277432699</x:v>
      </x:c>
      <x:c r="N9" s="1">
        <x:f t="shared" si="6"/>
        <x:v>5.1237233596399649</x:v>
      </x:c>
      <x:c r="O9" s="1">
        <x:f t="shared" si="7"/>
        <x:v>17.501694044080168</x:v>
      </x:c>
      <x:c r="P9" s="1">
        <x:f t="shared" si="8"/>
        <x:v>0.16369177614919242</x:v>
      </x:c>
      <x:c r="Q9" s="1">
        <x:f t="shared" si="9"/>
        <x:v>0</x:v>
      </x:c>
      <x:c r="R9" s="1">
        <x:f t="shared" si="10"/>
        <x:v>8.4203231369780668E-2</x:v>
      </x:c>
      <x:c r="S9">
        <x:f t="shared" si="11"/>
        <x:v>1.0879271257600747E-2</x:v>
      </x:c>
      <x:c r="AC9" s="1">
        <x:v>4000</x:v>
      </x:c>
      <x:c r="AD9" s="1">
        <x:v>4.0679999999999996</x:v>
      </x:c>
      <x:c r="AE9" s="1">
        <x:v>0</x:v>
      </x:c>
      <x:c r="AF9" s="1">
        <x:v>418.87902047863901</x:v>
      </x:c>
      <x:c r="AG9" s="1">
        <x:v>13.488222297959</x:v>
      </x:c>
      <x:c r="AH9" s="1">
        <x:v>7.3145334558410201E-3</x:v>
      </x:c>
      <x:c r="AI9" s="1">
        <x:v>7.3145334558410201E-3</x:v>
      </x:c>
      <x:c r="AJ9" s="1">
        <x:v>0.100217819437481</x:v>
      </x:c>
      <x:c r="AK9" s="1">
        <x:v>3.64931827743094E-2</x:v>
      </x:c>
      <x:c r="AL9" s="1">
        <x:v>0</x:v>
      </x:c>
      <x:c r="AM9" s="1">
        <x:v>6.3724636663171602E-2</x:v>
      </x:c>
      <x:c r="AN9" s="1">
        <x:v>0</x:v>
      </x:c>
      <x:c r="AO9" s="1">
        <x:v>5</x:v>
      </x:c>
      <x:c r="AP9" s="1" t="b">
        <x:v>1</x:v>
      </x:c>
      <x:c r="AQ9" s="1">
        <x:v>-25.926104269529201</x:v>
      </x:c>
      <x:c r="AR9" s="1">
        <x:v>3.1996001318489999</x:v>
      </x:c>
      <x:c r="AS9">
        <x:f t="shared" si="12"/>
        <x:v>5.6699109128231381E-2</x:v>
      </x:c>
      <x:c r="AT9">
        <x:f t="shared" si="13"/>
        <x:v>0.2001968503937008</x:v>
      </x:c>
    </x:row>
    <x:row r="10">
      <x:c r="A10" s="1">
        <x:v>-4.0876691471151698</x:v>
      </x:c>
      <x:c r="B10" s="1">
        <x:v>4064.57871907552</x:v>
      </x:c>
      <x:c r="C10" s="1">
        <x:v>2142.2648556876002</x:v>
      </x:c>
      <x:c r="D10" s="1">
        <x:f t="shared" si="0"/>
        <x:v>6.1315037206727547</x:v>
      </x:c>
      <x:c r="E10" s="1">
        <x:f t="shared" si="1"/>
        <x:v>25.063558584415887</x:v>
      </x:c>
      <x:c r="F10" s="1">
        <x:f t="shared" si="2"/>
        <x:v>0.19796867930047155</x:v>
      </x:c>
      <x:c r="G10" s="1">
        <x:f t="shared" si="3"/>
        <x:v>0</x:v>
      </x:c>
      <x:c r="H10" s="1">
        <x:f t="shared" si="4"/>
        <x:v>8.5167260773135037E-2</x:v>
      </x:c>
      <x:c r="I10">
        <x:f t="shared" si="5"/>
        <x:v>1.1003826303871325E-2</x:v>
      </x:c>
      <x:c r="J10" s="1"/>
      <x:c r="K10" s="1">
        <x:v>-4.0881672123161001</x:v>
      </x:c>
      <x:c r="L10" s="1">
        <x:v>4119.72505859375</x:v>
      </x:c>
      <x:c r="M10" s="1">
        <x:v>2195.7157676348502</x:v>
      </x:c>
      <x:c r="N10" s="1">
        <x:f t="shared" si="6"/>
        <x:v>6.1322508184741498</x:v>
      </x:c>
      <x:c r="O10" s="1">
        <x:f t="shared" si="7"/>
        <x:v>25.069666733784587</x:v>
      </x:c>
      <x:c r="P10" s="1">
        <x:f t="shared" si="8"/>
        <x:v>0.19534248373695481</x:v>
      </x:c>
      <x:c r="Q10" s="1">
        <x:f t="shared" si="9"/>
        <x:v>0</x:v>
      </x:c>
      <x:c r="R10" s="1">
        <x:f t="shared" si="10"/>
        <x:v>8.5012692543614946E-2</x:v>
      </x:c>
      <x:c r="S10">
        <x:f t="shared" si="11"/>
        <x:v>1.0983855696218854E-2</x:v>
      </x:c>
      <x:c r="AC10" s="1">
        <x:v>4000</x:v>
      </x:c>
      <x:c r="AD10" s="1">
        <x:v>4.7460000000000004</x:v>
      </x:c>
      <x:c r="AE10" s="1">
        <x:v>0</x:v>
      </x:c>
      <x:c r="AF10" s="1">
        <x:v>418.87902047863901</x:v>
      </x:c>
      <x:c r="AG10" s="1">
        <x:v>12.170071570526201</x:v>
      </x:c>
      <x:c r="AH10" s="1">
        <x:v>6.5997129715205799E-3</x:v>
      </x:c>
      <x:c r="AI10" s="1">
        <x:v>6.5997129715205799E-3</x:v>
      </x:c>
      <x:c r="AJ10" s="1">
        <x:v>0.105595423869104</x:v>
      </x:c>
      <x:c r="AK10" s="1">
        <x:v>3.1250014428737302E-2</x:v>
      </x:c>
      <x:c r="AL10" s="1">
        <x:v>0</x:v>
      </x:c>
      <x:c r="AM10" s="1">
        <x:v>7.43454094403668E-2</x:v>
      </x:c>
      <x:c r="AN10" s="1">
        <x:v>0</x:v>
      </x:c>
      <x:c r="AO10" s="1">
        <x:v>6</x:v>
      </x:c>
      <x:c r="AP10" s="1" t="b">
        <x:v>1</x:v>
      </x:c>
      <x:c r="AQ10" s="1">
        <x:v>-27.371625329171199</x:v>
      </x:c>
      <x:c r="AR10" s="1">
        <x:v>2.8060746202174398</x:v>
      </x:c>
      <x:c r="AS10">
        <x:f t="shared" si="12"/>
        <x:v>5.1158128983391817E-2</x:v>
      </x:c>
      <x:c r="AT10">
        <x:f t="shared" si="13"/>
        <x:v>0.23356299212598428</x:v>
      </x:c>
    </x:row>
    <x:row r="11">
      <x:c r="A11" s="1">
        <x:v>-4.7673430045445704</x:v>
      </x:c>
      <x:c r="B11" s="1">
        <x:v>4077.9098423549099</x:v>
      </x:c>
      <x:c r="C11" s="1">
        <x:v>2179.6473779385101</x:v>
      </x:c>
      <x:c r="D11" s="1">
        <x:f t="shared" si="0"/>
        <x:v>7.1510145068168551</x:v>
      </x:c>
      <x:c r="E11" s="1">
        <x:f t="shared" si="1"/>
        <x:v>34.091338984470077</x:v>
      </x:c>
      <x:c r="F11" s="1">
        <x:f t="shared" si="2"/>
        <x:v>0.23013096994056045</x:v>
      </x:c>
      <x:c r="G11" s="1">
        <x:f t="shared" si="3"/>
        <x:v>0</x:v>
      </x:c>
      <x:c r="H11" s="1">
        <x:f t="shared" si="4"/>
        <x:v>8.6117624090356698E-2</x:v>
      </x:c>
      <x:c r="I11">
        <x:f t="shared" si="5"/>
        <x:v>1.1126615657119808E-2</x:v>
      </x:c>
      <x:c r="J11" s="1"/>
      <x:c r="K11" s="1">
        <x:v>-4.76239802223105</x:v>
      </x:c>
      <x:c r="L11" s="1">
        <x:v>4119.0748237941498</x:v>
      </x:c>
      <x:c r="M11" s="1">
        <x:v>2232.49019607843</x:v>
      </x:c>
      <x:c r="N11" s="1">
        <x:f t="shared" si="6"/>
        <x:v>7.143597033346575</x:v>
      </x:c>
      <x:c r="O11" s="1">
        <x:f t="shared" si="7"/>
        <x:v>34.020652383225325</x:v>
      </x:c>
      <x:c r="P11" s="1">
        <x:f t="shared" si="8"/>
        <x:v>0.22759477934719932</x:v>
      </x:c>
      <x:c r="Q11" s="1">
        <x:f t="shared" si="9"/>
        <x:v>0</x:v>
      </x:c>
      <x:c r="R11" s="1">
        <x:f t="shared" si="10"/>
        <x:v>8.6491857761788027E-2</x:v>
      </x:c>
      <x:c r="S11">
        <x:f t="shared" si="11"/>
        <x:v>1.1174967597526342E-2</x:v>
      </x:c>
      <x:c r="AC11" s="1">
        <x:v>4000</x:v>
      </x:c>
      <x:c r="AD11" s="1">
        <x:v>5.4240000000000004</x:v>
      </x:c>
      <x:c r="AE11" s="1">
        <x:v>0</x:v>
      </x:c>
      <x:c r="AF11" s="1">
        <x:v>418.87902047863901</x:v>
      </x:c>
      <x:c r="AG11" s="1">
        <x:v>10.7898906021721</x:v>
      </x:c>
      <x:c r="AH11" s="1">
        <x:v>5.8512540830821403E-3</x:v>
      </x:c>
      <x:c r="AI11" s="1">
        <x:v>5.8512540830821403E-3</x:v>
      </x:c>
      <x:c r="AJ11" s="1">
        <x:v>0.11126133813652</x:v>
      </x:c>
      <x:c r="AK11" s="1">
        <x:v>2.6295155918958701E-2</x:v>
      </x:c>
      <x:c r="AL11" s="1">
        <x:v>0</x:v>
      </x:c>
      <x:c r="AM11" s="1">
        <x:v>8.4966182217562095E-2</x:v>
      </x:c>
      <x:c r="AN11" s="1">
        <x:v>0</x:v>
      </x:c>
      <x:c r="AO11" s="1">
        <x:v>7</x:v>
      </x:c>
      <x:c r="AP11" s="1" t="b">
        <x:v>1</x:v>
      </x:c>
      <x:c r="AQ11" s="1">
        <x:v>-28.837038749318499</x:v>
      </x:c>
      <x:c r="AR11" s="1">
        <x:v>2.5163054782045902</x:v>
      </x:c>
      <x:c r="AS11">
        <x:f t="shared" si="12"/>
        <x:v>4.5356398435604406E-2</x:v>
      </x:c>
      <x:c r="AT11">
        <x:f t="shared" si="13"/>
        <x:v>0.26692913385826772</x:v>
      </x:c>
    </x:row>
    <x:row r="12">
      <x:c r="A12" s="1">
        <x:v>-5.4437775279654801</x:v>
      </x:c>
      <x:c r="B12" s="1">
        <x:v>4096.1450781249996</x:v>
      </x:c>
      <x:c r="C12" s="1">
        <x:v>2226.5644171779099</x:v>
      </x:c>
      <x:c r="D12" s="1">
        <x:f t="shared" si="0"/>
        <x:v>8.1656662919482201</x:v>
      </x:c>
      <x:c r="E12" s="1">
        <x:f t="shared" si="1"/>
        <x:v>44.452070660972929</x:v>
      </x:c>
      <x:c r="F12" s="1">
        <x:f t="shared" si="2"/>
        <x:v>0.26161420778827266</x:v>
      </x:c>
      <x:c r="G12" s="1">
        <x:f t="shared" si="3"/>
        <x:v>0</x:v>
      </x:c>
      <x:c r="H12" s="1">
        <x:f t="shared" si="4"/>
        <x:v>8.722625821987981E-2</x:v>
      </x:c>
      <x:c r="I12">
        <x:f t="shared" si="5"/>
        <x:v>1.1269854001115768E-2</x:v>
      </x:c>
      <x:c r="J12" s="1"/>
      <x:c r="K12" s="1">
        <x:v>-5.4459718673948201</x:v>
      </x:c>
      <x:c r="L12" s="1">
        <x:v>4139.6388769531204</x:v>
      </x:c>
      <x:c r="M12" s="1">
        <x:v>2278.0198807156999</x:v>
      </x:c>
      <x:c r="N12" s="1">
        <x:f t="shared" si="6"/>
        <x:v>8.1689578010922297</x:v>
      </x:c>
      <x:c r="O12" s="1">
        <x:f t="shared" si="7"/>
        <x:v>44.48791437068374</x:v>
      </x:c>
      <x:c r="P12" s="1">
        <x:f t="shared" si="8"/>
        <x:v>0.25896986139262768</x:v>
      </x:c>
      <x:c r="Q12" s="1">
        <x:f t="shared" si="9"/>
        <x:v>0</x:v>
      </x:c>
      <x:c r="R12" s="1">
        <x:f t="shared" si="10"/>
        <x:v>8.7414950963726673E-2</x:v>
      </x:c>
      <x:c r="S12">
        <x:f t="shared" si="11"/>
        <x:v>1.1294233582650304E-2</x:v>
      </x:c>
      <x:c r="AC12" s="1">
        <x:v>4000</x:v>
      </x:c>
      <x:c r="AD12" s="1">
        <x:v>6.1020000000000003</x:v>
      </x:c>
      <x:c r="AE12" s="1">
        <x:v>0</x:v>
      </x:c>
      <x:c r="AF12" s="1">
        <x:v>418.87902047863901</x:v>
      </x:c>
      <x:c r="AG12" s="1">
        <x:v>9.3596456300009994</x:v>
      </x:c>
      <x:c r="AH12" s="1">
        <x:v>5.0756459660230803E-3</x:v>
      </x:c>
      <x:c r="AI12" s="1">
        <x:v>5.0756459660230803E-3</x:v>
      </x:c>
      <x:c r="AJ12" s="1">
        <x:v>0.117234452775868</x:v>
      </x:c>
      <x:c r="AK12" s="1">
        <x:v>2.1647497781110699E-2</x:v>
      </x:c>
      <x:c r="AL12" s="1">
        <x:v>0</x:v>
      </x:c>
      <x:c r="AM12" s="1">
        <x:v>9.5586954994757403E-2</x:v>
      </x:c>
      <x:c r="AN12" s="1">
        <x:v>0</x:v>
      </x:c>
      <x:c r="AO12" s="1">
        <x:v>8</x:v>
      </x:c>
      <x:c r="AP12" s="1" t="b">
        <x:v>1</x:v>
      </x:c>
      <x:c r="AQ12" s="1">
        <x:v>-30.319876755725801</x:v>
      </x:c>
      <x:c r="AR12" s="1">
        <x:v>2.2062565008246202</x:v>
      </x:c>
      <x:c r="AS12">
        <x:f t="shared" si="12"/>
        <x:v>3.9344218775019701E-2</x:v>
      </x:c>
      <x:c r="AT12">
        <x:f t="shared" si="13"/>
        <x:v>0.30029527559055119</x:v>
      </x:c>
    </x:row>
    <x:row r="13">
      <x:c r="A13" s="1">
        <x:v>-6.11616376451971</x:v>
      </x:c>
      <x:c r="B13" s="1">
        <x:v>4070.9873860676998</x:v>
      </x:c>
      <x:c r="C13" s="1">
        <x:v>2277.163507109</x:v>
      </x:c>
      <x:c r="D13" s="1">
        <x:f t="shared" si="0"/>
        <x:v>9.1742456467795641</x:v>
      </x:c>
      <x:c r="E13" s="1">
        <x:f t="shared" si="1"/>
        <x:v>56.111188791635861</x:v>
      </x:c>
      <x:c r="F13" s="1">
        <x:f t="shared" si="2"/>
        <x:v>0.2957437915687447</x:v>
      </x:c>
      <x:c r="G13" s="1">
        <x:f t="shared" si="3"/>
        <x:v>0</x:v>
      </x:c>
      <x:c r="H13" s="1">
        <x:f t="shared" si="4"/>
        <x:v>9.0353446873260246E-2</x:v>
      </x:c>
      <x:c r="I13">
        <x:f t="shared" si="5"/>
        <x:v>1.1673894714047681E-2</x:v>
      </x:c>
      <x:c r="J13" s="1"/>
      <x:c r="K13" s="1">
        <x:v>-6.1241911082797502</x:v>
      </x:c>
      <x:c r="L13" s="1">
        <x:v>4131.7628757642597</x:v>
      </x:c>
      <x:c r="M13" s="1">
        <x:v>2330.46</x:v>
      </x:c>
      <x:c r="N13" s="1">
        <x:f t="shared" si="6"/>
        <x:v>9.1862866624196258</x:v>
      </x:c>
      <x:c r="O13" s="1">
        <x:f t="shared" si="7"/>
        <x:v>56.258575096099136</x:v>
      </x:c>
      <x:c r="P13" s="1">
        <x:f t="shared" si="8"/>
        <x:v>0.29177604499888865</x:v>
      </x:c>
      <x:c r="Q13" s="1">
        <x:f t="shared" si="9"/>
        <x:v>0</x:v>
      </x:c>
      <x:c r="R13" s="1">
        <x:f t="shared" si="10"/>
        <x:v>8.9806834910310246E-2</x:v>
      </x:c>
      <x:c r="S13">
        <x:f t="shared" si="11"/>
        <x:v>1.1603271060764501E-2</x:v>
      </x:c>
      <x:c r="AC13" s="1">
        <x:v>4000</x:v>
      </x:c>
      <x:c r="AD13" s="1">
        <x:v>6.78</x:v>
      </x:c>
      <x:c r="AE13" s="1">
        <x:v>0</x:v>
      </x:c>
      <x:c r="AF13" s="1">
        <x:v>418.87902047863901</x:v>
      </x:c>
      <x:c r="AG13" s="1">
        <x:v>7.8599676102785798</x:v>
      </x:c>
      <x:c r="AH13" s="1">
        <x:v>4.2623849738826396E-3</x:v>
      </x:c>
      <x:c r="AI13" s="1">
        <x:v>4.2623849738826396E-3</x:v>
      </x:c>
      <x:c r="AJ13" s="1">
        <x:v>0.123468790810534</x:v>
      </x:c>
      <x:c r="AK13" s="1">
        <x:v>1.7261063038581301E-2</x:v>
      </x:c>
      <x:c r="AL13" s="1">
        <x:v>0</x:v>
      </x:c>
      <x:c r="AM13" s="1">
        <x:v>0.106207727771952</x:v>
      </x:c>
      <x:c r="AN13" s="1">
        <x:v>0</x:v>
      </x:c>
      <x:c r="AO13" s="1">
        <x:v>9</x:v>
      </x:c>
      <x:c r="AP13" s="1" t="b">
        <x:v>1</x:v>
      </x:c>
      <x:c r="AQ13" s="1">
        <x:v>-31.802626526930599</x:v>
      </x:c>
      <x:c r="AR13" s="1">
        <x:v>1.87910893427004</x:v>
      </x:c>
      <x:c r="AS13">
        <x:f t="shared" si="12"/>
        <x:v>3.3040170263725729E-2</x:v>
      </x:c>
      <x:c r="AT13">
        <x:f t="shared" si="13"/>
        <x:v>0.33366141732283461</x:v>
      </x:c>
    </x:row>
    <x:row r="14">
      <x:c r="A14" s="1">
        <x:v>-6.7537626985643699</x:v>
      </x:c>
      <x:c r="B14" s="1">
        <x:v>4076.14598592122</x:v>
      </x:c>
      <x:c r="C14" s="1">
        <x:v>2332.4683026584798</x:v>
      </x:c>
      <x:c r="D14" s="1">
        <x:f t="shared" si="0"/>
        <x:v>10.130644047846555</x:v>
      </x:c>
      <x:c r="E14" s="1">
        <x:f t="shared" si="1"/>
        <x:v>68.419965882779223</x:v>
      </x:c>
      <x:c r="F14" s="1">
        <x:f t="shared" si="2"/>
        <x:v>0.3261612441669266</x:v>
      </x:c>
      <x:c r="G14" s="1">
        <x:f t="shared" si="3"/>
        <x:v>0</x:v>
      </x:c>
      <x:c r="H14" s="1">
        <x:f t="shared" si="4"/>
        <x:v>9.2355282213232609E-2</x:v>
      </x:c>
      <x:c r="I14">
        <x:f t="shared" si="5"/>
        <x:v>1.1932536921981126E-2</x:v>
      </x:c>
      <x:c r="J14" s="1"/>
      <x:c r="K14" s="1">
        <x:v>-6.7493999999999996</x:v>
      </x:c>
      <x:c r="L14" s="1">
        <x:v>4163.3599999999997</x:v>
      </x:c>
      <x:c r="M14" s="1">
        <x:v>2381.556</x:v>
      </x:c>
      <x:c r="N14" s="1">
        <x:f t="shared" si="6"/>
        <x:v>10.124099999999999</x:v>
      </x:c>
      <x:c r="O14" s="1">
        <x:f t="shared" si="7"/>
        <x:v>68.331600539999997</x:v>
      </x:c>
      <x:c r="P14" s="1">
        <x:f t="shared" si="8"/>
        <x:v>0.31912254699187542</x:v>
      </x:c>
      <x:c r="Q14" s="1">
        <x:f t="shared" si="9"/>
        <x:v>0</x:v>
      </x:c>
      <x:c r="R14" s="1">
        <x:f t="shared" si="10"/>
        <x:v>9.0424080342075649E-2</x:v>
      </x:c>
      <x:c r="S14">
        <x:f t="shared" si="11"/>
        <x:v>1.1683020737534041E-2</x:v>
      </x:c>
      <x:c r="AC14" s="1">
        <x:v>4000</x:v>
      </x:c>
      <x:c r="AD14" s="1">
        <x:v>0</x:v>
      </x:c>
      <x:c r="AE14" s="1">
        <x:v>15</x:v>
      </x:c>
      <x:c r="AF14" s="1">
        <x:v>418.87902047863901</x:v>
      </x:c>
      <x:c r="AG14" s="1">
        <x:v>19.865562886380101</x:v>
      </x:c>
      <x:c r="AH14" s="1">
        <x:v>1.0772904030023799E-2</x:v>
      </x:c>
      <x:c r="AI14" s="1">
        <x:v>1.0772904030023799E-2</x:v>
      </x:c>
      <x:c r="AJ14" s="1">
        <x:v>7.3392452030601199E-2</x:v>
      </x:c>
      <x:c r="AK14" s="1">
        <x:v>7.3392452030601199E-2</x:v>
      </x:c>
      <x:c r="AL14" s="1">
        <x:v>0</x:v>
      </x:c>
      <x:c r="AM14" s="1">
        <x:v>0</x:v>
      </x:c>
      <x:c r="AN14" s="1">
        <x:v>0</x:v>
      </x:c>
      <x:c r="AO14" s="1">
        <x:v>11</x:v>
      </x:c>
      <x:c r="AP14" s="1" t="b">
        <x:v>1</x:v>
      </x:c>
      <x:c r="AQ14" s="1">
        <x:v>-17.867276538471401</x:v>
      </x:c>
      <x:c r="AR14" s="1">
        <x:v>5.9935220837512704</x:v>
      </x:c>
      <x:c r="AS14">
        <x:f t="shared" si="12"/>
        <x:v>8.350690647788582E-2</x:v>
      </x:c>
      <x:c r="AT14">
        <x:f t="shared" si="13"/>
        <x:v>0</x:v>
      </x:c>
    </x:row>
    <x:row r="15">
      <x:c r="A15" s="1">
        <x:v>-6.1292858197138802</x:v>
      </x:c>
      <x:c r="B15" s="1">
        <x:v>4094.4996145148002</x:v>
      </x:c>
      <x:c r="C15" s="1">
        <x:v>2276.1125319693001</x:v>
      </x:c>
      <x:c r="D15" s="1">
        <x:f t="shared" si="0"/>
        <x:v>9.1939287295708212</x:v>
      </x:c>
      <x:c r="E15" s="1">
        <x:f t="shared" si="1"/>
        <x:v>56.352216989618483</x:v>
      </x:c>
      <x:c r="F15" s="1">
        <x:f t="shared" si="2"/>
        <x:v>0.29467638058583817</x:v>
      </x:c>
      <x:c r="G15" s="1">
        <x:f t="shared" si="3"/>
        <x:v>0</x:v>
      </x:c>
      <x:c r="H15" s="1">
        <x:f t="shared" si="4"/>
        <x:v>8.9276730551099373E-2</x:v>
      </x:c>
      <x:c r="I15">
        <x:f t="shared" si="5"/>
        <x:v>1.1534780231791856E-2</x:v>
      </x:c>
      <x:c r="J15" s="1"/>
      <x:c r="K15" s="1">
        <x:v>-6.1268912769499204</x:v>
      </x:c>
      <x:c r="L15" s="1">
        <x:v>4138.0282745361301</x:v>
      </x:c>
      <x:c r="M15" s="1">
        <x:v>2329.26031746031</x:v>
      </x:c>
      <x:c r="N15" s="1">
        <x:f t="shared" si="6"/>
        <x:v>9.1903369154248811</x:v>
      </x:c>
      <x:c r="O15" s="1">
        <x:f t="shared" si="7"/>
        <x:v>56.308195079347541</x:v>
      </x:c>
      <x:c r="P15" s="1">
        <x:f t="shared" si="8"/>
        <x:v>0.29146271606003288</x:v>
      </x:c>
      <x:c r="Q15" s="1">
        <x:f t="shared" si="9"/>
        <x:v>0</x:v>
      </x:c>
      <x:c r="R15" s="1">
        <x:f t="shared" si="10"/>
        <x:v>8.9488141567043988E-2</x:v>
      </x:c>
      <x:c r="S15">
        <x:f t="shared" si="11"/>
        <x:v>1.1562095071755728E-2</x:v>
      </x:c>
      <x:c r="AC15" s="1">
        <x:v>4000</x:v>
      </x:c>
      <x:c r="AD15" s="1">
        <x:v>0.67800000000000005</x:v>
      </x:c>
      <x:c r="AE15" s="1">
        <x:v>15</x:v>
      </x:c>
      <x:c r="AF15" s="1">
        <x:v>418.87902047863901</x:v>
      </x:c>
      <x:c r="AG15" s="1">
        <x:v>18.9536762969582</x:v>
      </x:c>
      <x:c r="AH15" s="1">
        <x:v>1.02783966873276E-2</x:v>
      </x:c>
      <x:c r="AI15" s="1">
        <x:v>1.02783966873276E-2</x:v>
      </x:c>
      <x:c r="AJ15" s="1">
        <x:v>7.6978161357349001E-2</x:v>
      </x:c>
      <x:c r="AK15" s="1">
        <x:v>6.6719282636708302E-2</x:v>
      </x:c>
      <x:c r="AL15" s="1">
        <x:v>1.2</x:v>
      </x:c>
      <x:c r="AM15" s="1">
        <x:v>1.0258878720640701E-2</x:v>
      </x:c>
      <x:c r="AN15" s="1">
        <x:v>2.7488582684445199E-3</x:v>
      </x:c>
      <x:c r="AO15" s="1">
        <x:v>11</x:v>
      </x:c>
      <x:c r="AP15" s="1" t="b">
        <x:v>1</x:v>
      </x:c>
      <x:c r="AQ15" s="1">
        <x:v>-22.4955761637124</x:v>
      </x:c>
      <x:c r="AR15" s="1">
        <x:v>9.7622944938126697</x:v>
      </x:c>
      <x:c r="AS15">
        <x:f t="shared" si="12"/>
        <x:v>7.9673698802028695E-2</x:v>
      </x:c>
      <x:c r="AT15">
        <x:f t="shared" si="13"/>
        <x:v>3.3366141732283465E-2</x:v>
      </x:c>
    </x:row>
    <x:row r="16">
      <x:c r="A16" s="1">
        <x:v>-5.4476639359398202</x:v>
      </x:c>
      <x:c r="B16" s="1">
        <x:v>4064.2699640447399</x:v>
      </x:c>
      <x:c r="C16" s="1">
        <x:v>2220.8498896247202</x:v>
      </x:c>
      <x:c r="D16" s="1">
        <x:f t="shared" si="0"/>
        <x:v>8.1714959039097295</x:v>
      </x:c>
      <x:c r="E16" s="1">
        <x:f t="shared" si="1"/>
        <x:v>44.515563538409005</x:v>
      </x:c>
      <x:c r="F16" s="1">
        <x:f t="shared" si="2"/>
        <x:v>0.26385422228992705</x:v>
      </x:c>
      <x:c r="G16" s="1">
        <x:f t="shared" si="3"/>
        <x:v>0</x:v>
      </x:c>
      <x:c r="H16" s="1">
        <x:f t="shared" si="4"/>
        <x:v>8.8368003654484079E-2</x:v>
      </x:c>
      <x:c r="I16">
        <x:f t="shared" si="5"/>
        <x:v>1.1417370409787049E-2</x:v>
      </x:c>
      <x:c r="J16" s="1"/>
      <x:c r="K16" s="1">
        <x:v>-5.4396425480312702</x:v>
      </x:c>
      <x:c r="L16" s="1">
        <x:v>4115.4616274626296</x:v>
      </x:c>
      <x:c r="M16" s="1">
        <x:v>2277.2566371681401</x:v>
      </x:c>
      <x:c r="N16" s="1">
        <x:f t="shared" si="6"/>
        <x:v>8.1594638220469058</x:v>
      </x:c>
      <x:c r="O16" s="1">
        <x:f t="shared" si="7"/>
        <x:v>44.384566575528197</x:v>
      </x:c>
      <x:c r="P16" s="1">
        <x:f t="shared" si="8"/>
        <x:v>0.26018849745215689</x:v>
      </x:c>
      <x:c r="Q16" s="1">
        <x:f t="shared" si="9"/>
        <x:v>0</x:v>
      </x:c>
      <x:c r="R16" s="1">
        <x:f t="shared" si="10"/>
        <x:v>8.8414851815468903E-2</x:v>
      </x:c>
      <x:c r="S16">
        <x:f t="shared" si="11"/>
        <x:v>1.1423423311118537E-2</x:v>
      </x:c>
      <x:c r="AC16" s="1">
        <x:v>4000</x:v>
      </x:c>
      <x:c r="AD16" s="1">
        <x:v>1.3560000000000001</x:v>
      </x:c>
      <x:c r="AE16" s="1">
        <x:v>15</x:v>
      </x:c>
      <x:c r="AF16" s="1">
        <x:v>418.87902047863901</x:v>
      </x:c>
      <x:c r="AG16" s="1">
        <x:v>18.049624154251902</x:v>
      </x:c>
      <x:c r="AH16" s="1">
        <x:v>9.7881378898692206E-3</x:v>
      </x:c>
      <x:c r="AI16" s="1">
        <x:v>9.7881378898692206E-3</x:v>
      </x:c>
      <x:c r="AJ16" s="1">
        <x:v>8.0885040417224094E-2</x:v>
      </x:c>
      <x:c r="AK16" s="1">
        <x:v>6.0367282975942502E-2</x:v>
      </x:c>
      <x:c r="AL16" s="1">
        <x:v>1.2</x:v>
      </x:c>
      <x:c r="AM16" s="1">
        <x:v>2.0517757441281499E-2</x:v>
      </x:c>
      <x:c r="AN16" s="1">
        <x:v>5.4977165368890503E-3</x:v>
      </x:c>
      <x:c r="AO16" s="1">
        <x:v>9</x:v>
      </x:c>
      <x:c r="AP16" s="1" t="b">
        <x:v>1</x:v>
      </x:c>
      <x:c r="AQ16" s="1">
        <x:v>-23.3533662650125</x:v>
      </x:c>
      <x:c r="AR16" s="1">
        <x:v>8.7192648675099491</x:v>
      </x:c>
      <x:c r="AS16">
        <x:f t="shared" si="12"/>
        <x:v>7.5873424016769414E-2</x:v>
      </x:c>
      <x:c r="AT16">
        <x:f t="shared" si="13"/>
        <x:v>6.673228346456693E-2</x:v>
      </x:c>
    </x:row>
    <x:row r="17">
      <x:c r="A17" s="1">
        <x:v>-4.7794942875218496</x:v>
      </x:c>
      <x:c r="B17" s="1">
        <x:v>4062.9762268066402</x:v>
      </x:c>
      <x:c r="C17" s="1">
        <x:v>2168.49898580121</x:v>
      </x:c>
      <x:c r="D17" s="1">
        <x:f t="shared" si="0"/>
        <x:v>7.1692414312827744</x:v>
      </x:c>
      <x:c r="E17" s="1">
        <x:f t="shared" si="1"/>
        <x:v>34.26534846668099</x:v>
      </x:c>
      <x:c r="F17" s="1">
        <x:f t="shared" si="2"/>
        <x:v>0.23156555186856526</x:v>
      </x:c>
      <x:c r="G17" s="1">
        <x:f t="shared" si="3"/>
        <x:v>0</x:v>
      </x:c>
      <x:c r="H17" s="1">
        <x:f t="shared" si="4"/>
        <x:v>8.6299321719274943E-2</x:v>
      </x:c>
      <x:c r="I17">
        <x:f t="shared" si="5"/>
        <x:v>1.1150091452047244E-2</x:v>
      </x:c>
      <x:c r="J17" s="1"/>
      <x:c r="K17" s="1">
        <x:v>-4.7732458278026098</x:v>
      </x:c>
      <x:c r="L17" s="1">
        <x:v>4130.7836227416901</x:v>
      </x:c>
      <x:c r="M17" s="1">
        <x:v>2223.3670295489801</x:v>
      </x:c>
      <x:c r="N17" s="1">
        <x:f t="shared" si="6"/>
        <x:v>7.1598687417039146</x:v>
      </x:c>
      <x:c r="O17" s="1">
        <x:f t="shared" si="7"/>
        <x:v>34.17581359895253</x:v>
      </x:c>
      <x:c r="P17" s="1">
        <x:f t="shared" si="8"/>
        <x:v>0.2274666034939738</x:v>
      </x:c>
      <x:c r="Q17" s="1">
        <x:f t="shared" si="9"/>
        <x:v>0</x:v>
      </x:c>
      <x:c r="R17" s="1">
        <x:f t="shared" si="10"/>
        <x:v>8.5643967255486786E-2</x:v>
      </x:c>
      <x:c r="S17">
        <x:f t="shared" si="11"/>
        <x:v>1.1065417991593926E-2</x:v>
      </x:c>
      <x:c r="AC17" s="1">
        <x:v>4000</x:v>
      </x:c>
      <x:c r="AD17" s="1">
        <x:v>2.0339999999999998</x:v>
      </x:c>
      <x:c r="AE17" s="1">
        <x:v>15</x:v>
      </x:c>
      <x:c r="AF17" s="1">
        <x:v>418.87902047863901</x:v>
      </x:c>
      <x:c r="AG17" s="1">
        <x:v>17.085312895698401</x:v>
      </x:c>
      <x:c r="AH17" s="1">
        <x:v>9.2652011524163597E-3</x:v>
      </x:c>
      <x:c r="AI17" s="1">
        <x:v>9.2652011524163597E-3</x:v>
      </x:c>
      <x:c r="AJ17" s="1">
        <x:v>8.5014275922643295E-2</x:v>
      </x:c>
      <x:c r="AK17" s="1">
        <x:v>5.4237639760720997E-2</x:v>
      </x:c>
      <x:c r="AL17" s="1">
        <x:v>1.2</x:v>
      </x:c>
      <x:c r="AM17" s="1">
        <x:v>3.0776636161922302E-2</x:v>
      </x:c>
      <x:c r="AN17" s="1">
        <x:v>8.2465748053335806E-3</x:v>
      </x:c>
      <x:c r="AO17" s="1">
        <x:v>7</x:v>
      </x:c>
      <x:c r="AP17" s="1" t="b">
        <x:v>1</x:v>
      </x:c>
      <x:c r="AQ17" s="1">
        <x:v>-24.352155871035901</x:v>
      </x:c>
      <x:c r="AR17" s="1">
        <x:v>7.8759302660669297</x:v>
      </x:c>
      <x:c r="AS17">
        <x:f t="shared" si="12"/>
        <x:v>7.1819843932270103E-2</x:v>
      </x:c>
      <x:c r="AT17">
        <x:f t="shared" si="13"/>
        <x:v>0.1000984251968504</x:v>
      </x:c>
    </x:row>
    <x:row r="18">
      <x:c r="A18" s="1">
        <x:v>-4.0988062494037099</x:v>
      </x:c>
      <x:c r="B18" s="1">
        <x:v>4037.8597412109302</x:v>
      </x:c>
      <x:c r="C18" s="1">
        <x:v>2128.72184300341</x:v>
      </x:c>
      <x:c r="D18" s="1">
        <x:f t="shared" si="0"/>
        <x:v>6.1482093741055648</x:v>
      </x:c>
      <x:c r="E18" s="1">
        <x:f t="shared" si="1"/>
        <x:v>25.200319005226358</x:v>
      </x:c>
      <x:c r="F18" s="1">
        <x:f t="shared" si="2"/>
        <x:v>0.19982160738857119</x:v>
      </x:c>
      <x:c r="G18" s="1">
        <x:f t="shared" si="3"/>
        <x:v>0</x:v>
      </x:c>
      <x:c r="H18" s="1">
        <x:f t="shared" si="4"/>
        <x:v>8.574153045532304E-2</x:v>
      </x:c>
      <x:c r="I18">
        <x:f t="shared" si="5"/>
        <x:v>1.107802340469401E-2</x:v>
      </x:c>
      <x:c r="J18" s="1"/>
      <x:c r="K18" s="1">
        <x:v>-4.09896440206919</x:v>
      </x:c>
      <x:c r="L18" s="1">
        <x:v>4124.1953630118496</x:v>
      </x:c>
      <x:c r="M18" s="1">
        <x:v>2189.5008726003398</x:v>
      </x:c>
      <x:c r="N18" s="1">
        <x:f t="shared" si="6"/>
        <x:v>6.1484466031037854</x:v>
      </x:c>
      <x:c r="O18" s="1">
        <x:f t="shared" si="7"/>
        <x:v>25.202263754145648</x:v>
      </x:c>
      <x:c r="P18" s="1">
        <x:f t="shared" si="8"/>
        <x:v>0.19564610434059945</x:v>
      </x:c>
      <x:c r="Q18" s="1">
        <x:f t="shared" si="9"/>
        <x:v>0</x:v>
      </x:c>
      <x:c r="R18" s="1">
        <x:f t="shared" si="10"/>
        <x:v>8.4583664094216263E-2</x:v>
      </x:c>
      <x:c r="S18">
        <x:f t="shared" si="11"/>
        <x:v>1.0928424131392814E-2</x:v>
      </x:c>
      <x:c r="AC18" s="1">
        <x:v>4000</x:v>
      </x:c>
      <x:c r="AD18" s="1">
        <x:v>2.7120000000000002</x:v>
      </x:c>
      <x:c r="AE18" s="1">
        <x:v>15</x:v>
      </x:c>
      <x:c r="AF18" s="1">
        <x:v>418.87902047863901</x:v>
      </x:c>
      <x:c r="AG18" s="1">
        <x:v>16.066226736369899</x:v>
      </x:c>
      <x:c r="AH18" s="1">
        <x:v>8.7125605121504395E-3</x:v>
      </x:c>
      <x:c r="AI18" s="1">
        <x:v>8.7125605121504395E-3</x:v>
      </x:c>
      <x:c r="AJ18" s="1">
        <x:v>8.9399412575973003E-2</x:v>
      </x:c>
      <x:c r="AK18" s="1">
        <x:v>4.8363897693409798E-2</x:v>
      </x:c>
      <x:c r="AL18" s="1">
        <x:v>1.2</x:v>
      </x:c>
      <x:c r="AM18" s="1">
        <x:v>4.1035514882563101E-2</x:v>
      </x:c>
      <x:c r="AN18" s="1">
        <x:v>1.0995433073778101E-2</x:v>
      </x:c>
      <x:c r="AO18" s="1">
        <x:v>6</x:v>
      </x:c>
      <x:c r="AP18" s="1" t="b">
        <x:v>1</x:v>
      </x:c>
      <x:c r="AQ18" s="1">
        <x:v>-25.524696292084901</x:v>
      </x:c>
      <x:c r="AR18" s="1">
        <x:v>7.0288965541391502</x:v>
      </x:c>
      <x:c r="AS18">
        <x:f t="shared" si="12"/>
        <x:v>6.7536012002277199E-2</x:v>
      </x:c>
      <x:c r="AT18">
        <x:f t="shared" si="13"/>
        <x:v>0.13346456692913386</x:v>
      </x:c>
    </x:row>
    <x:row r="19">
      <x:c r="A19" s="1">
        <x:v>-3.4057217454910198</x:v>
      </x:c>
      <x:c r="B19" s="1">
        <x:v>4047.6258463541599</x:v>
      </x:c>
      <x:c r="C19" s="1">
        <x:v>2094.7083333333298</x:v>
      </x:c>
      <x:c r="D19" s="1">
        <x:f t="shared" si="0"/>
        <x:v>5.1085826182365297</x:v>
      </x:c>
      <x:c r="E19" s="1">
        <x:f t="shared" si="1"/>
        <x:v>17.398410911565598</x:v>
      </x:c>
      <x:c r="F19" s="1">
        <x:f t="shared" si="2"/>
        <x:v>0.16563232173228393</x:v>
      </x:c>
      <x:c r="G19" s="1">
        <x:f t="shared" si="3"/>
        <x:v>0</x:v>
      </x:c>
      <x:c r="H19" s="1">
        <x:f t="shared" si="4"/>
        <x:v>8.3937146668186358E-2</x:v>
      </x:c>
      <x:c r="I19">
        <x:f t="shared" si="5"/>
        <x:v>1.0844892438652226E-2</x:v>
      </x:c>
      <x:c r="J19" s="1"/>
      <x:c r="K19" s="1">
        <x:v>-3.4089978034036199</x:v>
      </x:c>
      <x:c r="L19" s="1">
        <x:v>4082.64284349524</x:v>
      </x:c>
      <x:c r="M19" s="1">
        <x:v>2156.5426695842398</x:v>
      </x:c>
      <x:c r="N19" s="1">
        <x:f t="shared" si="6"/>
        <x:v>5.1134967051054296</x:v>
      </x:c>
      <x:c r="O19" s="1">
        <x:f t="shared" si="7"/>
        <x:v>17.431899035416059</x:v>
      </x:c>
      <x:c r="P19" s="1">
        <x:f t="shared" si="8"/>
        <x:v>0.16436964619481892</x:v>
      </x:c>
      <x:c r="Q19" s="1">
        <x:f t="shared" si="9"/>
        <x:v>0</x:v>
      </x:c>
      <x:c r="R19" s="1">
        <x:f t="shared" si="10"/>
        <x:v>8.4989241806576132E-2</x:v>
      </x:c>
      <x:c r="S19">
        <x:f t="shared" si="11"/>
        <x:v>1.0980825801459643E-2</x:v>
      </x:c>
      <x:c r="AC19" s="1">
        <x:v>4000</x:v>
      </x:c>
      <x:c r="AD19" s="1">
        <x:v>3.39</x:v>
      </x:c>
      <x:c r="AE19" s="1">
        <x:v>15</x:v>
      </x:c>
      <x:c r="AF19" s="1">
        <x:v>418.87902047863901</x:v>
      </x:c>
      <x:c r="AG19" s="1">
        <x:v>14.9820458874685</x:v>
      </x:c>
      <x:c r="AH19" s="1">
        <x:v>8.1246196466835899E-3</x:v>
      </x:c>
      <x:c r="AI19" s="1">
        <x:v>8.1246196466835899E-3</x:v>
      </x:c>
      <x:c r="AJ19" s="1">
        <x:v>9.4038608686766001E-2</x:v>
      </x:c>
      <x:c r="AK19" s="1">
        <x:v>4.2744215083562097E-2</x:v>
      </x:c>
      <x:c r="AL19" s="1">
        <x:v>1.2</x:v>
      </x:c>
      <x:c r="AM19" s="1">
        <x:v>5.1294393603203897E-2</x:v>
      </x:c>
      <x:c r="AN19" s="1">
        <x:v>1.37442913422226E-2</x:v>
      </x:c>
      <x:c r="AO19" s="1">
        <x:v>6</x:v>
      </x:c>
      <x:c r="AP19" s="1" t="b">
        <x:v>1</x:v>
      </x:c>
      <x:c r="AQ19" s="1">
        <x:v>-26.8813370976372</x:v>
      </x:c>
      <x:c r="AR19" s="1">
        <x:v>6.17476756108905</x:v>
      </x:c>
      <x:c r="AS19">
        <x:f t="shared" si="12"/>
        <x:v>6.2978547948923061E-2</x:v>
      </x:c>
      <x:c r="AT19">
        <x:f t="shared" si="13"/>
        <x:v>0.1668307086614173</x:v>
      </x:c>
    </x:row>
    <x:row r="20">
      <x:c r="A20" s="1">
        <x:v>-2.7446371391936601</x:v>
      </x:c>
      <x:c r="B20" s="1">
        <x:v>4036.38465207122</x:v>
      </x:c>
      <x:c r="C20" s="1">
        <x:v>2072.5069930069899</x:v>
      </x:c>
      <x:c r="D20" s="1">
        <x:f t="shared" si="0"/>
        <x:v>4.1169557087904902</x:v>
      </x:c>
      <x:c r="E20" s="1">
        <x:f t="shared" si="1"/>
        <x:v>11.299549538761738</x:v>
      </x:c>
      <x:c r="F20" s="1">
        <x:f t="shared" si="2"/>
        <x:v>0.13385317505328326</x:v>
      </x:c>
      <x:c r="G20" s="1">
        <x:f t="shared" si="3"/>
        <x:v>0</x:v>
      </x:c>
      <x:c r="H20" s="1">
        <x:f t="shared" si="4"/>
        <x:v>8.3492237872918137E-2</x:v>
      </x:c>
      <x:c r="I20">
        <x:f t="shared" si="5"/>
        <x:v>1.0787409092824806E-2</x:v>
      </x:c>
      <x:c r="J20" s="1"/>
      <x:c r="K20" s="1">
        <x:v>-2.7305390087040902</x:v>
      </x:c>
      <x:c r="L20" s="1">
        <x:v>4094.66640403054</x:v>
      </x:c>
      <x:c r="M20" s="1">
        <x:v>2133.5931818181798</x:v>
      </x:c>
      <x:c r="N20" s="1">
        <x:f t="shared" si="6"/>
        <x:v>4.0958085130561352</x:v>
      </x:c>
      <x:c r="O20" s="1">
        <x:f t="shared" si="7"/>
        <x:v>11.183764917082073</x:v>
      </x:c>
      <x:c r="P20" s="1">
        <x:f t="shared" si="8"/>
        <x:v>0.13127020026580632</x:v>
      </x:c>
      <x:c r="Q20" s="1">
        <x:f t="shared" si="9"/>
        <x:v>0</x:v>
      </x:c>
      <x:c r="R20" s="1">
        <x:f t="shared" si="10"/>
        <x:v>8.3573674739657877E-2</x:v>
      </x:c>
      <x:c r="S20">
        <x:f t="shared" si="11"/>
        <x:v>1.0797930942749305E-2</x:v>
      </x:c>
      <x:c r="AC20" s="1">
        <x:v>4000</x:v>
      </x:c>
      <x:c r="AD20" s="1">
        <x:v>4.0679999999999996</x:v>
      </x:c>
      <x:c r="AE20" s="1">
        <x:v>15</x:v>
      </x:c>
      <x:c r="AF20" s="1">
        <x:v>418.87902047863901</x:v>
      </x:c>
      <x:c r="AG20" s="1">
        <x:v>13.8266392753423</x:v>
      </x:c>
      <x:c r="AH20" s="1">
        <x:v>7.49805373363693E-3</x:v>
      </x:c>
      <x:c r="AI20" s="1">
        <x:v>7.49805373363693E-3</x:v>
      </x:c>
      <x:c r="AJ20" s="1">
        <x:v>9.8932282948513306E-2</x:v>
      </x:c>
      <x:c r="AK20" s="1">
        <x:v>3.7379010624668599E-2</x:v>
      </x:c>
      <x:c r="AL20" s="1">
        <x:v>1.2</x:v>
      </x:c>
      <x:c r="AM20" s="1">
        <x:v>6.1553272323844603E-2</x:v>
      </x:c>
      <x:c r="AN20" s="1">
        <x:v>1.6493149610667099E-2</x:v>
      </x:c>
      <x:c r="AO20" s="1">
        <x:v>5</x:v>
      </x:c>
      <x:c r="AP20" s="1" t="b">
        <x:v>1</x:v>
      </x:c>
      <x:c r="AQ20" s="1">
        <x:v>-28.418379477991699</x:v>
      </x:c>
      <x:c r="AR20" s="1">
        <x:v>5.3139914185697696</x:v>
      </x:c>
      <x:c r="AS20">
        <x:f t="shared" si="12"/>
        <x:v>5.8121679182878458E-2</x:v>
      </x:c>
      <x:c r="AT20">
        <x:f t="shared" si="13"/>
        <x:v>0.2001968503937008</x:v>
      </x:c>
    </x:row>
    <x:row r="21">
      <x:c r="A21" s="1">
        <x:v>-2.0497240035622202</x:v>
      </x:c>
      <x:c r="B21" s="1">
        <x:v>4000.1200629340201</x:v>
      </x:c>
      <x:c r="C21" s="1">
        <x:v>2058.4842300556502</x:v>
      </x:c>
      <x:c r="D21" s="1">
        <x:f t="shared" si="0"/>
        <x:v>3.0745860053433303</x:v>
      </x:c>
      <x:c r="E21" s="1">
        <x:f t="shared" si="1"/>
        <x:v>6.3020527361687044</x:v>
      </x:c>
      <x:c r="F21" s="1">
        <x:f t="shared" si="2"/>
        <x:v>0.1008692166062698</x:v>
      </x:c>
      <x:c r="G21" s="1">
        <x:f t="shared" si="3"/>
        <x:v>0</x:v>
      </x:c>
      <x:c r="H21" s="1">
        <x:f t="shared" si="4"/>
        <x:v>8.4425735999322307E-2</x:v>
      </x:c>
      <x:c r="I21">
        <x:f t="shared" si="5"/>
        <x:v>1.0908019420604433E-2</x:v>
      </x:c>
      <x:c r="J21" s="1"/>
      <x:c r="K21" s="1">
        <x:v>-2.0495390964276798</x:v>
      </x:c>
      <x:c r="L21" s="1">
        <x:v>4061.5547720102099</x:v>
      </x:c>
      <x:c r="M21" s="1">
        <x:v>2120.4581749049398</x:v>
      </x:c>
      <x:c r="N21" s="1">
        <x:f t="shared" si="6"/>
        <x:v>3.07430864464152</x:v>
      </x:c>
      <x:c r="O21" s="1">
        <x:f t="shared" si="7"/>
        <x:v>6.300915761678386</x:v>
      </x:c>
      <x:c r="P21" s="1">
        <x:f t="shared" si="8"/>
        <x:v>9.9334516135864304E-2</x:v>
      </x:c>
      <x:c r="Q21" s="1">
        <x:f t="shared" si="9"/>
        <x:v>0</x:v>
      </x:c>
      <x:c r="R21" s="1">
        <x:f t="shared" si="10"/>
        <x:v>8.4408355797331233E-2</x:v>
      </x:c>
      <x:c r="S21">
        <x:f t="shared" si="11"/>
        <x:v>1.0905773854384505E-2</x:v>
      </x:c>
      <x:c r="AC21" s="1">
        <x:v>4000</x:v>
      </x:c>
      <x:c r="AD21" s="1">
        <x:v>4.7460000000000004</x:v>
      </x:c>
      <x:c r="AE21" s="1">
        <x:v>15</x:v>
      </x:c>
      <x:c r="AF21" s="1">
        <x:v>418.87902047863901</x:v>
      </x:c>
      <x:c r="AG21" s="1">
        <x:v>12.6042142820428</x:v>
      </x:c>
      <x:c r="AH21" s="1">
        <x:v>6.83514439590321E-3</x:v>
      </x:c>
      <x:c r="AI21" s="1">
        <x:v>6.83514439590321E-3</x:v>
      </x:c>
      <x:c r="AJ21" s="1">
        <x:v>0.10409616656530001</x:v>
      </x:c>
      <x:c r="AK21" s="1">
        <x:v>3.2284015520815099E-2</x:v>
      </x:c>
      <x:c r="AL21" s="1">
        <x:v>1.2</x:v>
      </x:c>
      <x:c r="AM21" s="1">
        <x:v>7.1812151044485406E-2</x:v>
      </x:c>
      <x:c r="AN21" s="1">
        <x:v>1.9242007879111601E-2</x:v>
      </x:c>
      <x:c r="AO21" s="1">
        <x:v>6</x:v>
      </x:c>
      <x:c r="AP21" s="1" t="b">
        <x:v>1</x:v>
      </x:c>
      <x:c r="AQ21" s="1">
        <x:v>-30.119028319949301</x:v>
      </x:c>
      <x:c r="AR21" s="1">
        <x:v>4.5208482825224197</x:v>
      </x:c>
      <x:c r="AS21">
        <x:f t="shared" si="12"/>
        <x:v>5.2983091860911505E-2</x:v>
      </x:c>
      <x:c r="AT21">
        <x:f t="shared" si="13"/>
        <x:v>0.23356299212598428</x:v>
      </x:c>
    </x:row>
    <x:row r="22">
      <x:c r="A22" s="1">
        <x:v>-1.3639325998924801</x:v>
      </x:c>
      <x:c r="B22" s="1">
        <x:v>4024.1696871243898</x:v>
      </x:c>
      <x:c r="C22" s="1">
        <x:v>2044.02123552123</x:v>
      </x:c>
      <x:c r="D22" s="1">
        <x:f t="shared" si="0"/>
        <x:v>2.0458988998387202</x:v>
      </x:c>
      <x:c r="E22" s="1">
        <x:f t="shared" si="1"/>
        <x:v>2.7904682055741903</x:v>
      </x:c>
      <x:c r="F22" s="1">
        <x:f t="shared" si="2"/>
        <x:v>6.6719519837651925E-2</x:v>
      </x:c>
      <x:c r="G22" s="1">
        <x:f t="shared" si="3"/>
        <x:v>0</x:v>
      </x:c>
      <x:c r="H22" s="1">
        <x:f t="shared" si="4"/>
        <x:v>8.2821202876225297E-2</x:v>
      </x:c>
      <x:c r="I22">
        <x:f t="shared" si="5"/>
        <x:v>1.0700709667712426E-2</x:v>
      </x:c>
      <x:c r="J22" s="1"/>
      <x:c r="K22" s="1">
        <x:v>-1.3692104988025799</x:v>
      </x:c>
      <x:c r="L22" s="1">
        <x:v>4069.2254450871301</x:v>
      </x:c>
      <x:c r="M22" s="1">
        <x:v>2104.8660377358401</x:v>
      </x:c>
      <x:c r="N22" s="1">
        <x:f t="shared" si="6"/>
        <x:v>2.0538157482038697</x:v>
      </x:c>
      <x:c r="O22" s="1">
        <x:f t="shared" si="7"/>
        <x:v>2.8121060850468149</x:v>
      </x:c>
      <x:c r="P22" s="1">
        <x:f t="shared" si="8"/>
        <x:v>6.6236100551752095E-2</x:v>
      </x:c>
      <x:c r="Q22" s="1">
        <x:f t="shared" si="9"/>
        <x:v>0</x:v>
      </x:c>
      <x:c r="R22" s="1">
        <x:f t="shared" si="10"/>
        <x:v>8.3459473054176281E-2</x:v>
      </x:c>
      <x:c r="S22">
        <x:f t="shared" si="11"/>
        <x:v>1.0783175795064137E-2</x:v>
      </x:c>
      <x:c r="AC22" s="1">
        <x:v>4000</x:v>
      </x:c>
      <x:c r="AD22" s="1">
        <x:v>5.4240000000000004</x:v>
      </x:c>
      <x:c r="AE22" s="1">
        <x:v>15</x:v>
      </x:c>
      <x:c r="AF22" s="1">
        <x:v>418.87902047863901</x:v>
      </x:c>
      <x:c r="AG22" s="1">
        <x:v>11.309413843438501</x:v>
      </x:c>
      <x:c r="AH22" s="1">
        <x:v>6.1329865490354404E-3</x:v>
      </x:c>
      <x:c r="AI22" s="1">
        <x:v>6.1329865490354404E-3</x:v>
      </x:c>
      <x:c r="AJ22" s="1">
        <x:v>0.10952205186584101</x:v>
      </x:c>
      <x:c r="AK22" s="1">
        <x:v>2.74510221007148E-2</x:v>
      </x:c>
      <x:c r="AL22" s="1">
        <x:v>1.2</x:v>
      </x:c>
      <x:c r="AM22" s="1">
        <x:v>8.2071029765126202E-2</x:v>
      </x:c>
      <x:c r="AN22" s="1">
        <x:v>2.1990866147556201E-2</x:v>
      </x:c>
      <x:c r="AO22" s="1">
        <x:v>7</x:v>
      </x:c>
      <x:c r="AP22" s="1" t="b">
        <x:v>1</x:v>
      </x:c>
      <x:c r="AQ22" s="1">
        <x:v>-31.939334403283901</x:v>
      </x:c>
      <x:c r="AR22" s="1">
        <x:v>3.8500367173510699</x:v>
      </x:c>
      <x:c r="AS22">
        <x:f t="shared" si="12"/>
        <x:v>4.7540267021138852E-2</x:v>
      </x:c>
      <x:c r="AT22">
        <x:f t="shared" si="13"/>
        <x:v>0.26692913385826772</x:v>
      </x:c>
    </x:row>
    <x:row r="23">
      <x:c r="A23" s="1">
        <x:v>-0.681911406451708</x:v>
      </x:c>
      <x:c r="B23" s="1">
        <x:v>3991.4274791370699</x:v>
      </x:c>
      <x:c r="C23" s="1">
        <x:v>2020.57858769931</x:v>
      </x:c>
      <x:c r="D23" s="1">
        <x:f t="shared" si="0"/>
        <x:v>1.0228671096775619</x:v>
      </x:c>
      <x:c r="E23" s="1">
        <x:f t="shared" si="1"/>
        <x:v>0.69750474937341977</x:v>
      </x:c>
      <x:c r="F23" s="1">
        <x:f t="shared" si="2"/>
        <x:v>3.3630707192028778E-2</x:v>
      </x:c>
      <x:c r="G23" s="1">
        <x:f t="shared" si="3"/>
        <x:v>0</x:v>
      </x:c>
      <x:c r="H23" s="1">
        <x:f t="shared" si="4"/>
        <x:v>8.3199585529759951E-2</x:v>
      </x:c>
      <x:c r="I23">
        <x:f t="shared" si="5"/>
        <x:v>1.0749597667139628E-2</x:v>
      </x:c>
      <x:c r="J23" s="1"/>
      <x:c r="K23" s="1">
        <x:v>-0.67991698100772202</x:v>
      </x:c>
      <x:c r="L23" s="1">
        <x:v>4010.15649414062</x:v>
      </x:c>
      <x:c r="M23" s="1">
        <x:v>2075.5280898876399</x:v>
      </x:c>
      <x:c r="N23" s="1">
        <x:f t="shared" si="6"/>
        <x:v>1.019875471511583</x:v>
      </x:c>
      <x:c r="O23" s="1">
        <x:f t="shared" si="7"/>
        <x:v>0.69343065159398254</x:v>
      </x:c>
      <x:c r="P23" s="1">
        <x:f t="shared" si="8"/>
        <x:v>3.3375736231436852E-2</x:v>
      </x:c>
      <x:c r="Q23" s="1">
        <x:f t="shared" si="9"/>
        <x:v>0</x:v>
      </x:c>
      <x:c r="R23" s="1">
        <x:f t="shared" si="10"/>
        <x:v>8.4713840692956538E-2</x:v>
      </x:c>
      <x:c r="S23">
        <x:f t="shared" si="11"/>
        <x:v>1.0945243278426112E-2</x:v>
      </x:c>
      <x:c r="AC23" s="1">
        <x:v>4000</x:v>
      </x:c>
      <x:c r="AD23" s="1">
        <x:v>6.1020000000000003</x:v>
      </x:c>
      <x:c r="AE23" s="1">
        <x:v>15</x:v>
      </x:c>
      <x:c r="AF23" s="1">
        <x:v>418.87902047863901</x:v>
      </x:c>
      <x:c r="AG23" s="1">
        <x:v>9.9474524004839093</x:v>
      </x:c>
      <x:c r="AH23" s="1">
        <x:v>5.3944079343009599E-3</x:v>
      </x:c>
      <x:c r="AI23" s="1">
        <x:v>5.3944079343009599E-3</x:v>
      </x:c>
      <x:c r="AJ23" s="1">
        <x:v>0.11521788171759099</x:v>
      </x:c>
      <x:c r="AK23" s="1">
        <x:v>2.2887973231824701E-2</x:v>
      </x:c>
      <x:c r="AL23" s="1">
        <x:v>1.2</x:v>
      </x:c>
      <x:c r="AM23" s="1">
        <x:v>9.2329908485766998E-2</x:v>
      </x:c>
      <x:c r="AN23" s="1">
        <x:v>2.47397244160007E-2</x:v>
      </x:c>
      <x:c r="AO23" s="1">
        <x:v>8</x:v>
      </x:c>
      <x:c r="AP23" s="1" t="b">
        <x:v>1</x:v>
      </x:c>
      <x:c r="AQ23" s="1">
        <x:v>-33.855017698396601</x:v>
      </x:c>
      <x:c r="AR23" s="1">
        <x:v>3.1909472572372399</x:v>
      </x:c>
      <x:c r="AS23">
        <x:f t="shared" si="12"/>
        <x:v>4.1815124094467623E-2</x:v>
      </x:c>
      <x:c r="AT23">
        <x:f t="shared" si="13"/>
        <x:v>0.30029527559055119</x:v>
      </x:c>
    </x:row>
    <x:row r="24">
      <x:c r="A24" s="1">
        <x:v>-7.65009604992321E-3</x:v>
      </x:c>
      <x:c r="B24" s="1">
        <x:v>3974.5154571533199</x:v>
      </x:c>
      <x:c r="C24" s="1">
        <x:v>2015.25925925925</x:v>
      </x:c>
      <x:c r="D24" s="1">
        <x:f t="shared" si="0"/>
        <x:v>1.1475144074884815E-2</x:v>
      </x:c>
      <x:c r="E24" s="1">
        <x:f t="shared" si="1"/>
        <x:v>8.7785954359576054E-5</x:v>
      </x:c>
      <x:c r="F24" s="1">
        <x:f t="shared" si="2"/>
        <x:v>3.7889509690190406E-4</x:v>
      </x:c>
      <x:c r="G24" s="1">
        <x:f t="shared" si="3"/>
        <x:v>0</x:v>
      </x:c>
      <x:c r="H24" s="1">
        <x:f t="shared" si="4"/>
        <x:v>8.3683505346400636E-2</x:v>
      </x:c>
      <x:c r="I24">
        <x:f t="shared" si="5"/>
        <x:v>1.0812121335964667E-2</x:v>
      </x:c>
      <x:c r="J24" s="1"/>
      <x:c r="K24" s="1">
        <x:v>-1.10467127228658E-2</x:v>
      </x:c>
      <x:c r="L24" s="1">
        <x:v>4045.14792887369</x:v>
      </x:c>
      <x:c r="M24" s="1">
        <x:v>2077.1383399209399</x:v>
      </x:c>
      <x:c r="N24" s="1">
        <x:f t="shared" si="6"/>
        <x:v>1.65700690842987E-2</x:v>
      </x:c>
      <x:c r="O24" s="1">
        <x:f t="shared" si="7"/>
        <x:v>1.830447929722877E-4</x:v>
      </x:c>
      <x:c r="P24" s="1">
        <x:f t="shared" si="8"/>
        <x:v>5.3756989529950283E-4</x:v>
      </x:c>
      <x:c r="Q24" s="1">
        <x:f t="shared" si="9"/>
        <x:v>0</x:v>
      </x:c>
      <x:c r="R24" s="1">
        <x:f t="shared" si="10"/>
        <x:v>8.3320530982632424E-2</x:v>
      </x:c>
      <x:c r="S24">
        <x:f t="shared" si="11"/>
        <x:v>1.076522412669193E-2</x:v>
      </x:c>
      <x:c r="AC24" s="1">
        <x:v>4000</x:v>
      </x:c>
      <x:c r="AD24" s="1">
        <x:v>6.78</x:v>
      </x:c>
      <x:c r="AE24" s="1">
        <x:v>15</x:v>
      </x:c>
      <x:c r="AF24" s="1">
        <x:v>418.87902047863901</x:v>
      </x:c>
      <x:c r="AG24" s="1">
        <x:v>8.5242937318429508</x:v>
      </x:c>
      <x:c r="AH24" s="1">
        <x:v>4.6226426516128597E-3</x:v>
      </x:c>
      <x:c r="AI24" s="1">
        <x:v>4.6226426516128597E-3</x:v>
      </x:c>
      <x:c r="AJ24" s="1">
        <x:v>0.121188506951781</x:v>
      </x:c>
      <x:c r="AK24" s="1">
        <x:v>1.8599719745373999E-2</x:v>
      </x:c>
      <x:c r="AL24" s="1">
        <x:v>1.2</x:v>
      </x:c>
      <x:c r="AM24" s="1">
        <x:v>0.102588787206407</x:v>
      </x:c>
      <x:c r="AN24" s="1">
        <x:v>2.7488582684445199E-2</x:v>
      </x:c>
      <x:c r="AO24" s="1">
        <x:v>9</x:v>
      </x:c>
      <x:c r="AP24" s="1" t="b">
        <x:v>1</x:v>
      </x:c>
      <x:c r="AQ24" s="1">
        <x:v>-35.834028043349399</x:v>
      </x:c>
      <x:c r="AR24" s="1">
        <x:v>2.5478384917219601</x:v>
      </x:c>
      <x:c r="AS24">
        <x:f t="shared" si="12"/>
        <x:v>3.5832732428794173E-2</x:v>
      </x:c>
      <x:c r="AT24">
        <x:f t="shared" si="13"/>
        <x:v>0.33366141732283461</x:v>
      </x:c>
    </x:row>
    <x:row r="25">
      <x:c r="A25" s="2">
        <x:v>-9.9237712602766697E-5</x:v>
      </x:c>
      <x:c r="B25" s="1">
        <x:v>0</x:v>
      </x:c>
      <x:c r="C25" s="1">
        <x:v>42.531746031746003</x:v>
      </x:c>
      <x:c r="D25" s="1">
        <x:f t="shared" si="0"/>
        <x:v>1.4885656890415005E-4</x:v>
      </x:c>
      <x:c r="E25" s="1">
        <x:f t="shared" si="1"/>
        <x:v>1.4772185403943982E-8</x:v>
      </x:c>
      <x:c r="F25" s="1" t="e">
        <x:f t="shared" si="2"/>
        <x:v>#DIV/0!</x:v>
      </x:c>
      <x:c r="G25" s="1">
        <x:v>0</x:v>
      </x:c>
      <x:c r="H25" s="1" t="e">
        <x:f t="shared" si="4"/>
        <x:v>#DIV/0!</x:v>
      </x:c>
      <x:c r="I25" t="e">
        <x:f t="shared" si="5"/>
        <x:v>#DIV/0!</x:v>
      </x:c>
      <x:c r="N25" s="1"/>
      <x:c r="O25" s="1"/>
      <x:c r="P25" s="1"/>
      <x:c r="Q25" s="1"/>
      <x:c r="R25" s="1"/>
      <x:c r="AC25" s="1">
        <x:v>4000</x:v>
      </x:c>
      <x:c r="AD25" s="1">
        <x:v>0</x:v>
      </x:c>
      <x:c r="AE25" s="1">
        <x:v>30</x:v>
      </x:c>
      <x:c r="AF25" s="1">
        <x:v>418.87902047863901</x:v>
      </x:c>
      <x:c r="AG25" s="1">
        <x:v>19.865562886380101</x:v>
      </x:c>
      <x:c r="AH25" s="1">
        <x:v>1.0772904030023799E-2</x:v>
      </x:c>
      <x:c r="AI25" s="1">
        <x:v>1.0772904030023799E-2</x:v>
      </x:c>
      <x:c r="AJ25" s="1">
        <x:v>7.3392452030601199E-2</x:v>
      </x:c>
      <x:c r="AK25" s="1">
        <x:v>7.3392452030601199E-2</x:v>
      </x:c>
      <x:c r="AL25" s="1">
        <x:v>0</x:v>
      </x:c>
      <x:c r="AM25" s="1">
        <x:v>0</x:v>
      </x:c>
      <x:c r="AN25" s="1">
        <x:v>0</x:v>
      </x:c>
      <x:c r="AO25" s="1">
        <x:v>11</x:v>
      </x:c>
      <x:c r="AP25" s="1" t="b">
        <x:v>1</x:v>
      </x:c>
      <x:c r="AQ25" s="1">
        <x:v>-17.867276538471401</x:v>
      </x:c>
      <x:c r="AR25" s="1">
        <x:v>5.9935220837512704</x:v>
      </x:c>
      <x:c r="AS25">
        <x:f t="shared" si="12"/>
        <x:v>8.350690647788582E-2</x:v>
      </x:c>
      <x:c r="AT25">
        <x:f t="shared" si="13"/>
        <x:v>0</x:v>
      </x:c>
    </x:row>
    <x:row r="26">
      <x:c r="AC26" s="1">
        <x:v>4000</x:v>
      </x:c>
      <x:c r="AD26" s="1">
        <x:v>0.67800000000000005</x:v>
      </x:c>
      <x:c r="AE26" s="1">
        <x:v>30</x:v>
      </x:c>
      <x:c r="AF26" s="1">
        <x:v>418.87902047863901</x:v>
      </x:c>
      <x:c r="AG26" s="1">
        <x:v>19.064730510728801</x:v>
      </x:c>
      <x:c r="AH26" s="1">
        <x:v>1.03386203212575E-2</x:v>
      </x:c>
      <x:c r="AI26" s="1">
        <x:v>1.03386203212575E-2</x:v>
      </x:c>
      <x:c r="AJ26" s="1">
        <x:v>7.6557751922237696E-2</x:v>
      </x:c>
      <x:c r="AK26" s="1">
        <x:v>6.7359892889364406E-2</x:v>
      </x:c>
      <x:c r="AL26" s="1">
        <x:v>1.2</x:v>
      </x:c>
      <x:c r="AM26" s="1">
        <x:v>9.1978590328733005E-3</x:v>
      </x:c>
      <x:c r="AN26" s="1">
        <x:v>5.31038638859763E-3</x:v>
      </x:c>
      <x:c r="AO26" s="1">
        <x:v>11</x:v>
      </x:c>
      <x:c r="AP26" s="1" t="b">
        <x:v>1</x:v>
      </x:c>
      <x:c r="AQ26" s="1">
        <x:v>-22.484971693717299</x:v>
      </x:c>
      <x:c r="AR26" s="1">
        <x:v>9.8807274920826096</x:v>
      </x:c>
      <x:c r="AS26">
        <x:f t="shared" si="12"/>
        <x:v>8.0140526442219931E-2</x:v>
      </x:c>
      <x:c r="AT26">
        <x:f t="shared" si="13"/>
        <x:v>3.3366141732283465E-2</x:v>
      </x:c>
    </x:row>
    <x:row r="27">
      <x:c r="A27" t="s">
        <x:v>28</x:v>
      </x:c>
      <x:c r="B27" t="n">
        <x:f>COS(RADIANS(15))</x:f>
        <x:v>0.9659258262890683</x:v>
      </x:c>
      <x:c r="AC27" s="1">
        <x:v>4000</x:v>
      </x:c>
      <x:c r="AD27" s="1">
        <x:v>1.3560000000000001</x:v>
      </x:c>
      <x:c r="AE27" s="1">
        <x:v>30</x:v>
      </x:c>
      <x:c r="AF27" s="1">
        <x:v>418.87902047863901</x:v>
      </x:c>
      <x:c r="AG27" s="1">
        <x:v>18.3009465826938</x:v>
      </x:c>
      <x:c r="AH27" s="1">
        <x:v>9.9244276299426497E-3</x:v>
      </x:c>
      <x:c r="AI27" s="1">
        <x:v>9.9244276299426497E-3</x:v>
      </x:c>
      <x:c r="AJ27" s="1">
        <x:v>7.9933934433492504E-2</x:v>
      </x:c>
      <x:c r="AK27" s="1">
        <x:v>6.1538216367745903E-2</x:v>
      </x:c>
      <x:c r="AL27" s="1">
        <x:v>1.2</x:v>
      </x:c>
      <x:c r="AM27" s="1">
        <x:v>1.8395718065746601E-2</x:v>
      </x:c>
      <x:c r="AN27" s="1">
        <x:v>1.0620772777195199E-2</x:v>
      </x:c>
      <x:c r="AO27" s="1">
        <x:v>9</x:v>
      </x:c>
      <x:c r="AP27" s="1" t="b">
        <x:v>1</x:v>
      </x:c>
      <x:c r="AQ27" s="1">
        <x:v>-23.471820735287899</x:v>
      </x:c>
      <x:c r="AR27" s="1">
        <x:v>8.8978960489189394</x:v>
      </x:c>
      <x:c r="AS27">
        <x:f t="shared" si="12"/>
        <x:v>7.6929883310056374E-2</x:v>
      </x:c>
      <x:c r="AT27">
        <x:f t="shared" si="13"/>
        <x:v>6.673228346456693E-2</x:v>
      </x:c>
    </x:row>
    <x:row r="28">
      <x:c r="A28" s="3" t="s">
        <x:v>45</x:v>
      </x:c>
      <x:c r="B28" s="3"/>
      <x:c r="C28" s="3"/>
      <x:c r="L28" s="3" t="s">
        <x:v>46</x:v>
      </x:c>
      <x:c r="M28" s="3"/>
      <x:c r="N28" s="3"/>
      <x:c r="AC28" s="1">
        <x:v>4000</x:v>
      </x:c>
      <x:c r="AD28" s="1">
        <x:v>2.0339999999999998</x:v>
      </x:c>
      <x:c r="AE28" s="1">
        <x:v>30</x:v>
      </x:c>
      <x:c r="AF28" s="1">
        <x:v>418.87902047863901</x:v>
      </x:c>
      <x:c r="AG28" s="1">
        <x:v>17.501308625221998</x:v>
      </x:c>
      <x:c r="AH28" s="1">
        <x:v>9.4907916426878406E-3</x:v>
      </x:c>
      <x:c r="AI28" s="1">
        <x:v>9.4907916426878406E-3</x:v>
      </x:c>
      <x:c r="AJ28" s="1">
        <x:v>8.3449950026314904E-2</x:v>
      </x:c>
      <x:c r="AK28" s="1">
        <x:v>5.5856372927694901E-2</x:v>
      </x:c>
      <x:c r="AL28" s="1">
        <x:v>1.2</x:v>
      </x:c>
      <x:c r="AM28" s="1">
        <x:v>2.7593577098619902E-2</x:v>
      </x:c>
      <x:c r="AN28" s="1">
        <x:v>1.5931159165792901E-2</x:v>
      </x:c>
      <x:c r="AO28" s="1">
        <x:v>8</x:v>
      </x:c>
      <x:c r="AP28" s="1" t="b">
        <x:v>1</x:v>
      </x:c>
      <x:c r="AQ28" s="1">
        <x:v>-24.7662662226777</x:v>
      </x:c>
      <x:c r="AR28" s="1">
        <x:v>8.1455830375706793</x:v>
      </x:c>
      <x:c r="AS28">
        <x:f t="shared" si="12"/>
        <x:v>7.3568524132232804E-2</x:v>
      </x:c>
      <x:c r="AT28">
        <x:f t="shared" si="13"/>
        <x:v>0.1000984251968504</x:v>
      </x:c>
    </x:row>
    <x:row r="29">
      <x:c r="A29" s="1" t="s">
        <x:v>3</x:v>
      </x:c>
      <x:c r="B29" s="1" t="s">
        <x:v>31</x:v>
      </x:c>
      <x:c r="C29" s="1" t="s">
        <x:v>4</x:v>
      </x:c>
      <x:c r="D29" s="1" t="s">
        <x:v>5</x:v>
      </x:c>
      <x:c r="E29" s="1" t="s">
        <x:v>6</x:v>
      </x:c>
      <x:c r="F29" s="1" t="s">
        <x:v>7</x:v>
      </x:c>
      <x:c r="G29" s="1" t="s">
        <x:v>8</x:v>
      </x:c>
      <x:c r="H29" s="1" t="s">
        <x:v>9</x:v>
      </x:c>
      <x:c r="I29" s="1" t="s">
        <x:v>10</x:v>
      </x:c>
      <x:c r="J29" s="1" t="s">
        <x:v>11</x:v>
      </x:c>
      <x:c r="L29" s="1" t="s">
        <x:v>3</x:v>
      </x:c>
      <x:c r="M29" s="1" t="s">
        <x:v>31</x:v>
      </x:c>
      <x:c r="N29" s="1" t="s">
        <x:v>4</x:v>
      </x:c>
      <x:c r="O29" s="1" t="s">
        <x:v>5</x:v>
      </x:c>
      <x:c r="P29" s="1" t="s">
        <x:v>6</x:v>
      </x:c>
      <x:c r="Q29" s="1" t="s">
        <x:v>7</x:v>
      </x:c>
      <x:c r="R29" s="1" t="s">
        <x:v>8</x:v>
      </x:c>
      <x:c r="S29" s="1" t="s">
        <x:v>9</x:v>
      </x:c>
      <x:c r="T29" s="1" t="s">
        <x:v>10</x:v>
      </x:c>
      <x:c r="U29" s="1" t="s">
        <x:v>11</x:v>
      </x:c>
      <x:c r="AC29" s="1">
        <x:v>4000</x:v>
      </x:c>
      <x:c r="AD29" s="1">
        <x:v>2.7120000000000002</x:v>
      </x:c>
      <x:c r="AE29" s="1">
        <x:v>30</x:v>
      </x:c>
      <x:c r="AF29" s="1">
        <x:v>418.87902047863901</x:v>
      </x:c>
      <x:c r="AG29" s="1">
        <x:v>16.6628052818748</x:v>
      </x:c>
      <x:c r="AH29" s="1">
        <x:v>9.0360793298075899E-3</x:v>
      </x:c>
      <x:c r="AI29" s="1">
        <x:v>9.0360793298075899E-3</x:v>
      </x:c>
      <x:c r="AJ29" s="1">
        <x:v>8.7155824802666995E-2</x:v>
      </x:c>
      <x:c r="AK29" s="1">
        <x:v>5.03643886711738E-2</x:v>
      </x:c>
      <x:c r="AL29" s="1">
        <x:v>1.2</x:v>
      </x:c>
      <x:c r="AM29" s="1">
        <x:v>3.6791436131493202E-2</x:v>
      </x:c>
      <x:c r="AN29" s="1">
        <x:v>2.1241545554390499E-2</x:v>
      </x:c>
      <x:c r="AO29" s="1">
        <x:v>6</x:v>
      </x:c>
      <x:c r="AP29" s="1" t="b">
        <x:v>1</x:v>
      </x:c>
      <x:c r="AQ29" s="1">
        <x:v>-26.385924875891401</x:v>
      </x:c>
      <x:c r="AR29" s="1">
        <x:v>7.3882552054509896</x:v>
      </x:c>
      <x:c r="AS29">
        <x:f t="shared" si="12"/>
        <x:v>7.0043790366833211E-2</x:v>
      </x:c>
      <x:c r="AT29">
        <x:f t="shared" si="13"/>
        <x:v>0.13346456692913386</x:v>
      </x:c>
    </x:row>
    <x:row r="30">
      <x:c r="A30" s="1">
        <x:v>5.9206291834890998E-2</x:v>
      </x:c>
      <x:c r="B30" s="1" t="n">
        <x:f>A30/$B$27</x:f>
        <x:v>0.06129486366707064</x:v>
      </x:c>
      <x:c r="C30" s="1">
        <x:v>0</x:v>
      </x:c>
      <x:c r="D30" s="1">
        <x:v>57.835227272727202</x:v>
      </x:c>
      <x:c r="E30" s="1" t="n">
        <x:f>B30*1.5</x:f>
        <x:v>0.09194229550060595</x:v>
      </x:c>
      <x:c r="F30" s="1" t="n">
        <x:f>B30*B30*1.5</x:f>
        <x:v>0.005635590467947165</x:v>
      </x:c>
      <x:c r="G30" s="1" t="e">
        <x:f>E30/(C30/60)/0.4572</x:f>
        <x:v>#DIV/0!</x:v>
      </x:c>
      <x:c r="H30" s="1" t="e">
        <x:f>E30*SIN(RADIANS(15))/(C30/60)/0.4572</x:f>
        <x:v>#DIV/0!</x:v>
      </x:c>
      <x:c r="I30" s="1" t="e">
        <x:f>(D30-$D$30)*9.8/1.205/(C30/60)^2/0.4572^4/1000</x:f>
        <x:v>#DIV/0!</x:v>
      </x:c>
      <x:c r="J30" t="e">
        <x:f>I30*4/(3.14^3)</x:f>
        <x:v>#DIV/0!</x:v>
      </x:c>
      <x:c r="L30" s="1">
        <x:v>3.9774221043254003E-2</x:v>
      </x:c>
      <x:c r="M30" s="1" t="n">
        <x:f>L30/$B$27</x:f>
        <x:v>0.041177303640446354</x:v>
      </x:c>
      <x:c r="N30" s="1">
        <x:v>0</x:v>
      </x:c>
      <x:c r="O30" s="1">
        <x:v>56.883720930232499</x:v>
      </x:c>
      <x:c r="P30" s="1" t="n">
        <x:f>M30*1.5</x:f>
        <x:v>0.06176595546066953</x:v>
      </x:c>
      <x:c r="Q30" s="1" t="n">
        <x:f>M30*M30*1.5</x:f>
        <x:v>0.002543355502646275</x:v>
      </x:c>
      <x:c r="R30" s="1" t="e">
        <x:f>P30/(N30/60)/0.4572</x:f>
        <x:v>#DIV/0!</x:v>
      </x:c>
      <x:c r="S30" s="1" t="e">
        <x:f>P30*SIN(RADIANS(15))/(N30/60)/0.4572</x:f>
        <x:v>#DIV/0!</x:v>
      </x:c>
      <x:c r="T30" s="1" t="e">
        <x:f>(O30-$D$30)*9.8/1.205/(N30/60)^2/0.4572^4/1000</x:f>
        <x:v>#DIV/0!</x:v>
      </x:c>
      <x:c r="U30" t="e">
        <x:f>T30*4/(3.14^3)</x:f>
        <x:v>#DIV/0!</x:v>
      </x:c>
      <x:c r="AC30" s="1">
        <x:v>4000</x:v>
      </x:c>
      <x:c r="AD30" s="1">
        <x:v>3.39</x:v>
      </x:c>
      <x:c r="AE30" s="1">
        <x:v>30</x:v>
      </x:c>
      <x:c r="AF30" s="1">
        <x:v>418.87902047863901</x:v>
      </x:c>
      <x:c r="AG30" s="1">
        <x:v>15.7742367015393</x:v>
      </x:c>
      <x:c r="AH30" s="1">
        <x:v>8.55421711956981E-3</x:v>
      </x:c>
      <x:c r="AI30" s="1">
        <x:v>8.55421711956981E-3</x:v>
      </x:c>
      <x:c r="AJ30" s="1">
        <x:v>9.1074899784146096E-2</x:v>
      </x:c>
      <x:c r="AK30" s="1">
        <x:v>4.5085604619779597E-2</x:v>
      </x:c>
      <x:c r="AL30" s="1">
        <x:v>1.2</x:v>
      </x:c>
      <x:c r="AM30" s="1">
        <x:v>4.5989295164366499E-2</x:v>
      </x:c>
      <x:c r="AN30" s="1">
        <x:v>2.6551931942988102E-2</x:v>
      </x:c>
      <x:c r="AO30" s="1">
        <x:v>6</x:v>
      </x:c>
      <x:c r="AP30" s="1" t="b">
        <x:v>1</x:v>
      </x:c>
      <x:c r="AQ30" s="1">
        <x:v>-28.294130216486899</x:v>
      </x:c>
      <x:c r="AR30" s="1">
        <x:v>6.6254248158562801</x:v>
      </x:c>
      <x:c r="AS30">
        <x:f t="shared" si="12"/>
        <x:v>6.6308602304876174E-2</x:v>
      </x:c>
      <x:c r="AT30">
        <x:f t="shared" si="13"/>
        <x:v>0.1668307086614173</x:v>
      </x:c>
    </x:row>
    <x:row r="31">
      <x:c r="A31" s="1">
        <x:v>6.9629795722847304E-2</x:v>
      </x:c>
      <x:c r="B31" s="1" t="n">
        <x:f t="shared" ref="B31:B51" si="14">A31/$B$27</x:f>
        <x:v>0.07208606895868369</x:v>
      </x:c>
      <x:c r="C31" s="1">
        <x:v>4061.5625887783999</x:v>
      </x:c>
      <x:c r="D31" s="1">
        <x:v>2097.93836671802</x:v>
      </x:c>
      <x:c r="E31" s="1" t="n">
        <x:f t="shared" ref="E31:E51" si="15">B31*1.5</x:f>
        <x:v>0.10812910343802554</x:v>
      </x:c>
      <x:c r="F31" s="1" t="n">
        <x:f t="shared" ref="F31:F51" si="16">B31*B31*1.5</x:f>
        <x:v>0.00779460200687415</x:v>
      </x:c>
      <x:c r="G31" s="1" t="n">
        <x:f t="shared" ref="G31:G51" si="17">E31/(C31/60)/0.4572</x:f>
        <x:v>0.003493771361314165</x:v>
      </x:c>
      <x:c r="H31" s="1" t="n">
        <x:f t="shared" ref="H31:H51" si="18">E31*SIN(RADIANS(15))/(C31/60)/0.4572</x:f>
        <x:v>0.0009042545675418661</x:v>
      </x:c>
      <x:c r="I31" s="1" t="n">
        <x:f t="shared" ref="I31:I51" si="19">(D31-$D$30)*9.8/1.205/(C31/60)^2/0.4572^4/1000</x:f>
        <x:v>0.08286716219914546</x:v>
      </x:c>
      <x:c r="J31" t="n">
        <x:f t="shared" ref="J31:J51" si="20">I31*4/(3.14^3)</x:f>
        <x:v>0.010706647728909488</x:v>
      </x:c>
      <x:c r="L31" s="1">
        <x:v>7.2737944166350793E-2</x:v>
      </x:c>
      <x:c r="M31" s="1" t="n">
        <x:f t="shared" ref="M31:M51" si="21">L31/$B$27</x:f>
        <x:v>0.07530386100742154</x:v>
      </x:c>
      <x:c r="N31" s="1">
        <x:v>4021.6346435546802</x:v>
      </x:c>
      <x:c r="O31" s="1">
        <x:v>2079.78406169665</x:v>
      </x:c>
      <x:c r="P31" s="1" t="n">
        <x:f t="shared" ref="P31:P52" si="22">M31*1.5</x:f>
        <x:v>0.1129557915111323</x:v>
      </x:c>
      <x:c r="Q31" s="1" t="n">
        <x:f t="shared" ref="Q31:Q51" si="23">M31*M31*1.5</x:f>
        <x:v>0.008506007223937594</x:v>
      </x:c>
      <x:c r="R31" s="1" t="n">
        <x:f t="shared" ref="R31:R51" si="24">P31/(N31/60)/0.4572</x:f>
        <x:v>0.0036859625501430146</x:v>
      </x:c>
      <x:c r="S31" s="1" t="n">
        <x:f t="shared" ref="S31:S51" si="25">P31*SIN(RADIANS(15))/(N31/60)/0.4572</x:f>
        <x:v>0.0009539973075116673</x:v>
      </x:c>
      <x:c r="T31" s="1" t="n">
        <x:f t="shared" ref="T31:T52" si="26">(O31-$D$30)*9.8/1.205/(N31/60)^2/0.4572^4/1000</x:f>
        <x:v>0.0837686617560143</x:v>
      </x:c>
      <x:c r="U31" t="n">
        <x:f t="shared" ref="U31:U52" si="27">T31*4/(3.14^3)</x:f>
        <x:v>0.010823123760271188</x:v>
      </x:c>
      <x:c r="AC31" s="1">
        <x:v>4000</x:v>
      </x:c>
      <x:c r="AD31" s="1">
        <x:v>4.0679999999999996</x:v>
      </x:c>
      <x:c r="AE31" s="1">
        <x:v>30</x:v>
      </x:c>
      <x:c r="AF31" s="1">
        <x:v>418.87902047863901</x:v>
      </x:c>
      <x:c r="AG31" s="1">
        <x:v>14.8301986497033</x:v>
      </x:c>
      <x:c r="AH31" s="1">
        <x:v>8.0422743474829403E-3</x:v>
      </x:c>
      <x:c r="AI31" s="1">
        <x:v>8.0422743474829403E-3</x:v>
      </x:c>
      <x:c r="AJ31" s="1">
        <x:v>9.5230503020865595E-2</x:v>
      </x:c>
      <x:c r="AK31" s="1">
        <x:v>4.0043348823625702E-2</x:v>
      </x:c>
      <x:c r="AL31" s="1">
        <x:v>1.2</x:v>
      </x:c>
      <x:c r="AM31" s="1">
        <x:v>5.5187154197239803E-2</x:v>
      </x:c>
      <x:c r="AN31" s="1">
        <x:v>3.1862318331585801E-2</x:v>
      </x:c>
      <x:c r="AO31" s="1">
        <x:v>4</x:v>
      </x:c>
      <x:c r="AP31" s="1" t="b">
        <x:v>1</x:v>
      </x:c>
      <x:c r="AQ31" s="1">
        <x:v>-30.442163926112102</x:v>
      </x:c>
      <x:c r="AR31" s="1">
        <x:v>5.8566137482978702</x:v>
      </x:c>
      <x:c r="AS31">
        <x:f t="shared" si="12"/>
        <x:v>6.2340242699003644E-2</x:v>
      </x:c>
      <x:c r="AT31">
        <x:f t="shared" si="13"/>
        <x:v>0.2001968503937008</x:v>
      </x:c>
    </x:row>
    <x:row r="32">
      <x:c r="A32" s="1">
        <x:v>0.59029121647824301</x:v>
      </x:c>
      <x:c r="B32" s="1">
        <x:f t="shared" si="14"/>
        <x:v>0.61111443592521686</x:v>
      </x:c>
      <x:c r="C32" s="1">
        <x:v>4028.1756155831399</x:v>
      </x:c>
      <x:c r="D32" s="1">
        <x:v>2064.6752293577902</x:v>
      </x:c>
      <x:c r="E32" s="1">
        <x:f t="shared" si="15"/>
        <x:v>0.91667165388782523</x:v>
      </x:c>
      <x:c r="F32" s="1">
        <x:f t="shared" si="16"/>
        <x:v>0.56019128069429391</x:v>
      </x:c>
      <x:c r="G32" s="1">
        <x:f t="shared" si="17"/>
        <x:v>2.9864168990730203E-2</x:v>
      </x:c>
      <x:c r="H32" s="1">
        <x:f t="shared" si="18"/>
        <x:v>7.7294157009611024E-3</x:v>
      </x:c>
      <x:c r="I32" s="1">
        <x:f t="shared" si="19"/>
        <x:v>8.2872912024908721E-2</x:v>
      </x:c>
      <x:c r="J32">
        <x:f t="shared" si="20"/>
        <x:v>1.0707390620995039E-2</x:v>
      </x:c>
      <x:c r="L32" s="1">
        <x:v>0.66204506044204403</x:v>
      </x:c>
      <x:c r="M32" s="1">
        <x:f t="shared" si="21"/>
        <x:v>0.68539948143380192</x:v>
      </x:c>
      <x:c r="N32" s="1">
        <x:v>4004.11200420673</x:v>
      </x:c>
      <x:c r="O32" s="1">
        <x:v>2043.5076923076899</x:v>
      </x:c>
      <x:c r="P32" s="1">
        <x:f t="shared" si="22"/>
        <x:v>1.0280992221507028</x:v>
      </x:c>
      <x:c r="Q32" s="1">
        <x:f t="shared" si="23"/>
        <x:v>0.7046586737245869</x:v>
      </x:c>
      <x:c r="R32" s="1">
        <x:f t="shared" si="24"/>
        <x:v>3.3695650276718267E-2</x:v>
      </x:c>
      <x:c r="S32" s="1">
        <x:f t="shared" si="25"/>
        <x:v>8.7210760287287099E-3</x:v>
      </x:c>
      <x:c r="T32" s="1">
        <x:f t="shared" si="26"/>
        <x:v>8.2987335701654077E-2</x:v>
      </x:c>
      <x:c r="U32">
        <x:f t="shared" si="27"/>
        <x:v>1.072217445051505E-2</x:v>
      </x:c>
      <x:c r="AC32" s="1">
        <x:v>4000</x:v>
      </x:c>
      <x:c r="AD32" s="1">
        <x:v>4.7460000000000004</x:v>
      </x:c>
      <x:c r="AE32" s="1">
        <x:v>30</x:v>
      </x:c>
      <x:c r="AF32" s="1">
        <x:v>418.87902047863901</x:v>
      </x:c>
      <x:c r="AG32" s="1">
        <x:v>13.8262648107241</x:v>
      </x:c>
      <x:c r="AH32" s="1">
        <x:v>7.4978506650696204E-3</x:v>
      </x:c>
      <x:c r="AI32" s="1">
        <x:v>7.4978506650696204E-3</x:v>
      </x:c>
      <x:c r="AJ32" s="1">
        <x:v>9.9637530255314702E-2</x:v>
      </x:c>
      <x:c r="AK32" s="1">
        <x:v>3.5252517025201498E-2</x:v>
      </x:c>
      <x:c r="AL32" s="1">
        <x:v>1.2</x:v>
      </x:c>
      <x:c r="AM32" s="1">
        <x:v>6.43850132301131E-2</x:v>
      </x:c>
      <x:c r="AN32" s="1">
        <x:v>3.71727047201834E-2</x:v>
      </x:c>
      <x:c r="AO32" s="1">
        <x:v>5</x:v>
      </x:c>
      <x:c r="AP32" s="1" t="b">
        <x:v>1</x:v>
      </x:c>
      <x:c r="AQ32" s="1">
        <x:v>-32.796576144647801</x:v>
      </x:c>
      <x:c r="AR32" s="1">
        <x:v>5.0816107244507398</x:v>
      </x:c>
      <x:c r="AS32">
        <x:f t="shared" si="12"/>
        <x:v>5.8120105082913244E-2</x:v>
      </x:c>
      <x:c r="AT32">
        <x:f t="shared" si="13"/>
        <x:v>0.23356299212598428</x:v>
      </x:c>
    </x:row>
    <x:row r="33">
      <x:c r="A33" s="1">
        <x:v>1.32274663240652</x:v>
      </x:c>
      <x:c r="B33" s="1">
        <x:f t="shared" si="14"/>
        <x:v>1.3694080812481222</x:v>
      </x:c>
      <x:c r="C33" s="1">
        <x:v>4016.7699269261798</x:v>
      </x:c>
      <x:c r="D33" s="1">
        <x:v>2051.9738675958101</x:v>
      </x:c>
      <x:c r="E33" s="1">
        <x:f t="shared" si="15"/>
        <x:v>2.0541121218721834</x:v>
      </x:c>
      <x:c r="F33" s="1">
        <x:f t="shared" si="16"/>
        <x:v>2.8129177394814953</x:v>
      </x:c>
      <x:c r="G33" s="1">
        <x:f t="shared" si="17"/>
        <x:v>6.7110769308367929E-2</x:v>
      </x:c>
      <x:c r="H33" s="1">
        <x:f t="shared" si="18"/>
        <x:v>1.7369545228487344E-2</x:v>
      </x:c>
      <x:c r="I33" s="1">
        <x:f t="shared" si="19"/>
        <x:v>8.2816729868977271E-2</x:v>
      </x:c>
      <x:c r="J33">
        <x:f t="shared" si="20"/>
        <x:v>1.070013174382047E-2</x:v>
      </x:c>
      <x:c r="L33" s="1">
        <x:v>1.3240093480061399</x:v>
      </x:c>
      <x:c r="M33" s="1">
        <x:f t="shared" si="21"/>
        <x:v>1.3707153406310408</x:v>
      </x:c>
      <x:c r="N33" s="1">
        <x:v>4008.0409794560101</x:v>
      </x:c>
      <x:c r="O33" s="1">
        <x:v>2033.9489981785</x:v>
      </x:c>
      <x:c r="P33" s="1">
        <x:f t="shared" si="22"/>
        <x:v>2.0560730109465615</x:v>
      </x:c>
      <x:c r="Q33" s="1">
        <x:f t="shared" si="23"/>
        <x:v>2.8182908175619055</x:v>
      </x:c>
      <x:c r="R33" s="1">
        <x:f t="shared" si="24"/>
        <x:v>6.7321131654584879E-2</x:v>
      </x:c>
      <x:c r="S33" s="1">
        <x:f t="shared" si="25"/>
        <x:v>1.742399101006074E-2</x:v>
      </x:c>
      <x:c r="T33" s="1">
        <x:f t="shared" si="26"/>
        <x:v>8.2426010638136982E-2</x:v>
      </x:c>
      <x:c r="U33">
        <x:f t="shared" si="27"/>
        <x:v>1.0649649827286823E-2</x:v>
      </x:c>
      <x:c r="AC33" s="1">
        <x:v>4000</x:v>
      </x:c>
      <x:c r="AD33" s="1">
        <x:v>5.4240000000000004</x:v>
      </x:c>
      <x:c r="AE33" s="1">
        <x:v>30</x:v>
      </x:c>
      <x:c r="AF33" s="1">
        <x:v>418.87902047863901</x:v>
      </x:c>
      <x:c r="AG33" s="1">
        <x:v>12.7565601851504</x:v>
      </x:c>
      <x:c r="AH33" s="1">
        <x:v>6.9177601165315104E-3</x:v>
      </x:c>
      <x:c r="AI33" s="1">
        <x:v>6.9177601165315104E-3</x:v>
      </x:c>
      <x:c r="AJ33" s="1">
        <x:v>0.104296832330551</x:v>
      </x:c>
      <x:c r="AK33" s="1">
        <x:v>3.0713960067565198E-2</x:v>
      </x:c>
      <x:c r="AL33" s="1">
        <x:v>1.2</x:v>
      </x:c>
      <x:c r="AM33" s="1">
        <x:v>7.3582872262986404E-2</x:v>
      </x:c>
      <x:c r="AN33" s="1">
        <x:v>4.2483091108780999E-2</x:v>
      </x:c>
      <x:c r="AO33" s="1">
        <x:v>6</x:v>
      </x:c>
      <x:c r="AP33" s="1" t="b">
        <x:v>1</x:v>
      </x:c>
      <x:c r="AQ33" s="1">
        <x:v>-35.313383446633203</x:v>
      </x:c>
      <x:c r="AR33" s="1">
        <x:v>4.37808422917246</x:v>
      </x:c>
      <x:c r="AS33">
        <x:f t="shared" si="12"/>
        <x:v>5.3623493301125154E-2</x:v>
      </x:c>
      <x:c r="AT33">
        <x:f t="shared" si="13"/>
        <x:v>0.26692913385826772</x:v>
      </x:c>
    </x:row>
    <x:row r="34">
      <x:c r="A34" s="1">
        <x:v>1.9783519190369201</x:v>
      </x:c>
      <x:c r="B34" s="1">
        <x:f t="shared" si="14"/>
        <x:v>2.0481406182475004</x:v>
      </x:c>
      <x:c r="C34" s="1">
        <x:v>4032.9572941706701</x:v>
      </x:c>
      <x:c r="D34" s="1">
        <x:v>2033.3679245282999</x:v>
      </x:c>
      <x:c r="E34" s="1">
        <x:f t="shared" si="15"/>
        <x:v>3.0722109273712506</x:v>
      </x:c>
      <x:c r="F34" s="1">
        <x:f t="shared" si="16"/>
        <x:v>6.2923199881728795</x:v>
      </x:c>
      <x:c r="G34" s="1">
        <x:f t="shared" si="17"/>
        <x:v>9.9970631387383241E-2</x:v>
      </x:c>
      <x:c r="H34" s="1">
        <x:f t="shared" si="18"/>
        <x:v>2.5874303353978622E-2</x:v>
      </x:c>
      <x:c r="I34" s="1">
        <x:f t="shared" si="19"/>
        <x:v>8.1386733538268335E-2</x:v>
      </x:c>
      <x:c r="J34">
        <x:f t="shared" si="20"/>
        <x:v>1.0515372587597167E-2</x:v>
      </x:c>
      <x:c r="L34" s="1">
        <x:v>1.98445100986351</x:v>
      </x:c>
      <x:c r="M34" s="1">
        <x:f t="shared" si="21"/>
        <x:v>2.0544548617024265</x:v>
      </x:c>
      <x:c r="N34" s="1">
        <x:v>3991.9947509765602</x:v>
      </x:c>
      <x:c r="O34" s="1">
        <x:v>2013.7766497461901</x:v>
      </x:c>
      <x:c r="P34" s="1">
        <x:f t="shared" si="22"/>
        <x:v>3.0816822925536398</x:v>
      </x:c>
      <x:c r="Q34" s="1">
        <x:f t="shared" si="23"/>
        <x:v>6.3311771681591047</x:v>
      </x:c>
      <x:c r="R34" s="1">
        <x:f t="shared" si="24"/>
        <x:v>0.1013078106547325</x:v>
      </x:c>
      <x:c r="S34" s="1">
        <x:f t="shared" si="25"/>
        <x:v>2.622039081508484E-2</x:v>
      </x:c>
      <x:c r="T34" s="1">
        <x:f t="shared" si="26"/>
        <x:v>8.224179179581087E-2</x:v>
      </x:c>
      <x:c r="U34">
        <x:f t="shared" si="27"/>
        <x:v>1.062584828518655E-2</x:v>
      </x:c>
      <x:c r="AC34" s="1">
        <x:v>4000</x:v>
      </x:c>
      <x:c r="AD34" s="1">
        <x:v>6.1020000000000003</x:v>
      </x:c>
      <x:c r="AE34" s="1">
        <x:v>30</x:v>
      </x:c>
      <x:c r="AF34" s="1">
        <x:v>418.87902047863901</x:v>
      </x:c>
      <x:c r="AG34" s="1">
        <x:v>11.618940192452101</x:v>
      </x:c>
      <x:c r="AH34" s="1">
        <x:v>6.3008397164366599E-3</x:v>
      </x:c>
      <x:c r="AI34" s="1">
        <x:v>6.3008397164366599E-3</x:v>
      </x:c>
      <x:c r="AJ34" s="1">
        <x:v>0.10920872762572401</x:v>
      </x:c>
      <x:c r="AK34" s="1">
        <x:v>2.6427996329864398E-2</x:v>
      </x:c>
      <x:c r="AL34" s="1">
        <x:v>1.2</x:v>
      </x:c>
      <x:c r="AM34" s="1">
        <x:v>8.2780731295859694E-2</x:v>
      </x:c>
      <x:c r="AN34" s="1">
        <x:v>4.7793477497378702E-2</x:v>
      </x:c>
      <x:c r="AO34" s="1">
        <x:v>7</x:v>
      </x:c>
      <x:c r="AP34" s="1" t="b">
        <x:v>1</x:v>
      </x:c>
      <x:c r="AQ34" s="1">
        <x:v>-37.952541910796903</x:v>
      </x:c>
      <x:c r="AR34" s="1">
        <x:v>3.7623695052260202</x:v>
      </x:c>
      <x:c r="AS34">
        <x:f t="shared" si="12"/>
        <x:v>4.884139239208115E-2</x:v>
      </x:c>
      <x:c r="AT34">
        <x:f t="shared" si="13"/>
        <x:v>0.30029527559055119</x:v>
      </x:c>
    </x:row>
    <x:row r="35">
      <x:c r="A35" s="1">
        <x:v>2.64482666616854</x:v>
      </x:c>
      <x:c r="B35" s="1">
        <x:f t="shared" si="14"/>
        <x:v>2.7381260487976999</x:v>
      </x:c>
      <x:c r="C35" s="1">
        <x:v>4028.1343948929398</x:v>
      </x:c>
      <x:c r="D35" s="1">
        <x:v>2039.38405797101</x:v>
      </x:c>
      <x:c r="E35" s="1">
        <x:f t="shared" si="15"/>
        <x:v>4.1071890731965501</x:v>
      </x:c>
      <x:c r="F35" s="1">
        <x:f t="shared" si="16"/>
        <x:v>11.246001388656756</x:v>
      </x:c>
      <x:c r="G35" s="1">
        <x:f t="shared" si="17"/>
        <x:v>0.13380913789559257</x:v>
      </x:c>
      <x:c r="H35" s="1">
        <x:f t="shared" si="18"/>
        <x:v>3.4632353296128786E-2</x:v>
      </x:c>
      <x:c r="I35" s="1">
        <x:f t="shared" si="19"/>
        <x:v>8.1830182122149597E-2</x:v>
      </x:c>
      <x:c r="J35">
        <x:f t="shared" si="20"/>
        <x:v>1.0572667270406391E-2</x:v>
      </x:c>
      <x:c r="L35" s="1">
        <x:v>2.6532136724419702</x:v>
      </x:c>
      <x:c r="M35" s="1">
        <x:f t="shared" si="21"/>
        <x:v>2.7468089166175318</x:v>
      </x:c>
      <x:c r="N35" s="1">
        <x:v>4008.16130960398</x:v>
      </x:c>
      <x:c r="O35" s="1">
        <x:v>2014.6219931271401</x:v>
      </x:c>
      <x:c r="P35" s="1">
        <x:f t="shared" si="22"/>
        <x:v>4.1202133749262977</x:v>
      </x:c>
      <x:c r="Q35" s="1">
        <x:f t="shared" si="23"/>
        <x:v>11.317438836614368</x:v>
      </x:c>
      <x:c r="R35" s="1">
        <x:f t="shared" si="24"/>
        <x:v>0.13490235918434593</x:v>
      </x:c>
      <x:c r="S35" s="1">
        <x:f t="shared" si="25"/>
        <x:v>3.4915299786169682E-2</x:v>
      </x:c>
      <x:c r="T35" s="1">
        <x:f t="shared" si="26"/>
        <x:v>8.1614958119036587E-2</x:v>
      </x:c>
      <x:c r="U35">
        <x:f t="shared" si="27"/>
        <x:v>1.0544859782820427E-2</x:v>
      </x:c>
      <x:c r="AC35" s="1">
        <x:v>4000</x:v>
      </x:c>
      <x:c r="AD35" s="1">
        <x:v>6.78</x:v>
      </x:c>
      <x:c r="AE35" s="1">
        <x:v>30</x:v>
      </x:c>
      <x:c r="AF35" s="1">
        <x:v>418.87902047863901</x:v>
      </x:c>
      <x:c r="AG35" s="1">
        <x:v>10.4164539453733</x:v>
      </x:c>
      <x:c r="AH35" s="1">
        <x:v>5.6487429693525201E-3</x:v>
      </x:c>
      <x:c r="AI35" s="1">
        <x:v>5.6487429693525201E-3</x:v>
      </x:c>
      <x:c r="AJ35" s="1">
        <x:v>0.114376179778679</x:v>
      </x:c>
      <x:c r="AK35" s="1">
        <x:v>2.23975894499461E-2</x:v>
      </x:c>
      <x:c r="AL35" s="1">
        <x:v>1.2</x:v>
      </x:c>
      <x:c r="AM35" s="1">
        <x:v>9.1978590328732998E-2</x:v>
      </x:c>
      <x:c r="AN35" s="1">
        <x:v>5.31038638859763E-2</x:v>
      </x:c>
      <x:c r="AO35" s="1">
        <x:v>8</x:v>
      </x:c>
      <x:c r="AP35" s="1" t="b">
        <x:v>1</x:v>
      </x:c>
      <x:c r="AQ35" s="1">
        <x:v>-40.681988283567399</x:v>
      </x:c>
      <x:c r="AR35" s="1">
        <x:v>3.1508859401422402</x:v>
      </x:c>
      <x:c r="AS35">
        <x:f t="shared" si="12"/>
        <x:v>4.3786619610152962E-2</x:v>
      </x:c>
      <x:c r="AT35">
        <x:f t="shared" si="13"/>
        <x:v>0.33366141732283461</x:v>
      </x:c>
    </x:row>
    <x:row r="36">
      <x:c r="A36" s="1">
        <x:v>3.2997509658126001</x:v>
      </x:c>
      <x:c r="B36" s="1">
        <x:f t="shared" si="14"/>
        <x:v>3.4161535761909509</x:v>
      </x:c>
      <x:c r="C36" s="1">
        <x:v>4036.7771257672898</x:v>
      </x:c>
      <x:c r="D36" s="1">
        <x:v>2033.7109929077999</x:v>
      </x:c>
      <x:c r="E36" s="1">
        <x:f t="shared" si="15"/>
        <x:v>5.1242303642864266</x:v>
      </x:c>
      <x:c r="F36" s="1">
        <x:f t="shared" si="16"/>
        <x:v>17.505157884183333</x:v>
      </x:c>
      <x:c r="G36" s="1">
        <x:f t="shared" si="17"/>
        <x:v>0.16658615411860811</x:v>
      </x:c>
      <x:c r="H36" s="1">
        <x:f t="shared" si="18"/>
        <x:v>4.31156693362795E-2</x:v>
      </x:c>
      <x:c r="I36" s="1">
        <x:f t="shared" si="19"/>
        <x:v>8.1246887535912138E-2</x:v>
      </x:c>
      <x:c r="J36">
        <x:f t="shared" si="20"/>
        <x:v>1.049730412906922E-2</x:v>
      </x:c>
      <x:c r="L36" s="1">
        <x:v>3.3027180966144298</x:v>
      </x:c>
      <x:c r="M36" s="1">
        <x:f t="shared" si="21"/>
        <x:v>3.4192253760342464</x:v>
      </x:c>
      <x:c r="N36" s="1">
        <x:v>3994.2312344637699</x:v>
      </x:c>
      <x:c r="O36" s="1">
        <x:v>2004.0875576036799</x:v>
      </x:c>
      <x:c r="P36" s="1">
        <x:f t="shared" si="22"/>
        <x:v>5.1288380640513695</x:v>
      </x:c>
      <x:c r="Q36" s="1">
        <x:f t="shared" si="23"/>
        <x:v>17.536653258174802</x:v>
      </x:c>
      <x:c r="R36" s="1">
        <x:f t="shared" si="24"/>
        <x:v>0.16851199189884292</x:v>
      </x:c>
      <x:c r="S36" s="1">
        <x:f t="shared" si="25"/>
        <x:v>4.3614112831582237E-2</x:v>
      </x:c>
      <x:c r="T36" s="1">
        <x:f t="shared" si="26"/>
        <x:v>8.1742775795422509E-2</x:v>
      </x:c>
      <x:c r="U36">
        <x:f t="shared" si="27"/>
        <x:v>1.0561374151097008E-2</x:v>
      </x:c>
      <x:c r="AC36" s="1">
        <x:v>4000</x:v>
      </x:c>
      <x:c r="AD36" s="1">
        <x:v>0</x:v>
      </x:c>
      <x:c r="AE36" s="1">
        <x:v>45</x:v>
      </x:c>
      <x:c r="AF36" s="1">
        <x:v>418.87902047863901</x:v>
      </x:c>
      <x:c r="AG36" s="1">
        <x:v>19.865562886380101</x:v>
      </x:c>
      <x:c r="AH36" s="1">
        <x:v>1.0772904030023799E-2</x:v>
      </x:c>
      <x:c r="AI36" s="1">
        <x:v>1.0772904030023799E-2</x:v>
      </x:c>
      <x:c r="AJ36" s="1">
        <x:v>7.3392452030601199E-2</x:v>
      </x:c>
      <x:c r="AK36" s="1">
        <x:v>7.3392452030601199E-2</x:v>
      </x:c>
      <x:c r="AL36" s="1">
        <x:v>0</x:v>
      </x:c>
      <x:c r="AM36" s="1">
        <x:v>0</x:v>
      </x:c>
      <x:c r="AN36" s="1">
        <x:v>0</x:v>
      </x:c>
      <x:c r="AO36" s="1">
        <x:v>11</x:v>
      </x:c>
      <x:c r="AP36" s="1" t="b">
        <x:v>1</x:v>
      </x:c>
      <x:c r="AQ36" s="1">
        <x:v>-17.867276538471401</x:v>
      </x:c>
      <x:c r="AR36" s="1">
        <x:v>5.9935220837512704</x:v>
      </x:c>
      <x:c r="AS36">
        <x:f t="shared" si="12"/>
        <x:v>8.350690647788582E-2</x:v>
      </x:c>
      <x:c r="AT36">
        <x:f t="shared" si="13"/>
        <x:v>0</x:v>
      </x:c>
    </x:row>
    <x:row r="37">
      <x:c r="A37" s="1">
        <x:v>3.9719567000865901</x:v>
      </x:c>
      <x:c r="B37" s="1">
        <x:f t="shared" si="14"/>
        <x:v>4.1120721612198823</x:v>
      </x:c>
      <x:c r="C37" s="1">
        <x:v>3994.40221747036</x:v>
      </x:c>
      <x:c r="D37" s="1">
        <x:v>2032.2491289198599</x:v>
      </x:c>
      <x:c r="E37" s="1">
        <x:f t="shared" si="15"/>
        <x:v>6.1681082418298239</x:v>
      </x:c>
      <x:c r="F37" s="1">
        <x:f t="shared" si="16"/>
        <x:v>25.363706188619329</x:v>
      </x:c>
      <x:c r="G37" s="1">
        <x:f t="shared" si="17"/>
        <x:v>0.20264935271711609</x:v>
      </x:c>
      <x:c r="H37" s="1">
        <x:f t="shared" si="18"/>
        <x:v>5.2449511960887901E-2</x:v>
      </x:c>
      <x:c r="I37" s="1">
        <x:f t="shared" si="19"/>
        <x:v>8.2918465150772641E-2</x:v>
      </x:c>
      <x:c r="J37">
        <x:f t="shared" si="20"/>
        <x:v>1.0713276200501233E-2</x:v>
      </x:c>
      <x:c r="L37" s="1">
        <x:v>3.9676845169450301</x:v>
      </x:c>
      <x:c r="M37" s="1">
        <x:f t="shared" si="21"/>
        <x:v>4.1076492717750757</x:v>
      </x:c>
      <x:c r="N37" s="1">
        <x:v>4004.9577343750002</x:v>
      </x:c>
      <x:c r="O37" s="1">
        <x:v>2019.25502008032</x:v>
      </x:c>
      <x:c r="P37" s="1">
        <x:f t="shared" si="22"/>
        <x:v>6.1614739076626135</x:v>
      </x:c>
      <x:c r="Q37" s="1">
        <x:f t="shared" si="23"/>
        <x:v>25.30917380987146</x:v>
      </x:c>
      <x:c r="R37" s="1">
        <x:f t="shared" si="24"/>
        <x:v>0.20189785509930294</x:v>
      </x:c>
      <x:c r="S37" s="1">
        <x:f t="shared" si="25"/>
        <x:v>5.2255010065048686E-2</x:v>
      </x:c>
      <x:c r="T37" s="1">
        <x:f t="shared" si="26"/>
        <x:v>8.1939124960183324E-2</x:v>
      </x:c>
      <x:c r="U37">
        <x:f t="shared" si="27"/>
        <x:v>1.058674296165079E-2</x:v>
      </x:c>
      <x:c r="AC37" s="1">
        <x:v>4000</x:v>
      </x:c>
      <x:c r="AD37" s="1">
        <x:v>0.67800000000000005</x:v>
      </x:c>
      <x:c r="AE37" s="1">
        <x:v>45</x:v>
      </x:c>
      <x:c r="AF37" s="1">
        <x:v>418.87902047863901</x:v>
      </x:c>
      <x:c r="AG37" s="1">
        <x:v>19.232697396589401</x:v>
      </x:c>
      <x:c r="AH37" s="1">
        <x:v>1.0429707150860499E-2</x:v>
      </x:c>
      <x:c r="AI37" s="1">
        <x:v>1.0429707150860499E-2</x:v>
      </x:c>
      <x:c r="AJ37" s="1">
        <x:v>7.58910561738005E-2</x:v>
      </x:c>
      <x:c r="AK37" s="1">
        <x:v>6.83810357216042E-2</x:v>
      </x:c>
      <x:c r="AL37" s="1">
        <x:v>1.2</x:v>
      </x:c>
      <x:c r="AM37" s="1">
        <x:v>7.5100204521962501E-3</x:v>
      </x:c>
      <x:c r="AN37" s="1">
        <x:v>7.5100204521962501E-3</x:v>
      </x:c>
      <x:c r="AO37" s="1">
        <x:v>11</x:v>
      </x:c>
      <x:c r="AP37" s="1" t="b">
        <x:v>1</x:v>
      </x:c>
      <x:c r="AQ37" s="1">
        <x:v>-22.452022528602399</x:v>
      </x:c>
      <x:c r="AR37" s="1">
        <x:v>10.0690578777672</x:v>
      </x:c>
      <x:c r="AS37">
        <x:f t="shared" si="12"/>
        <x:v>8.084659226623786E-2</x:v>
      </x:c>
      <x:c r="AT37">
        <x:f t="shared" si="13"/>
        <x:v>3.3366141732283465E-2</x:v>
      </x:c>
    </x:row>
    <x:row r="38">
      <x:c r="A38" s="1">
        <x:v>4.6186855527646298</x:v>
      </x:c>
      <x:c r="B38" s="1">
        <x:f t="shared" si="14"/>
        <x:v>4.7816151375813991</x:v>
      </x:c>
      <x:c r="C38" s="1">
        <x:v>4027.30541992187</x:v>
      </x:c>
      <x:c r="D38" s="1">
        <x:v>2036.35774058577</x:v>
      </x:c>
      <x:c r="E38" s="1">
        <x:f t="shared" si="15"/>
        <x:v>7.1724227063720987</x:v>
      </x:c>
      <x:c r="F38" s="1">
        <x:f t="shared" si="16"/>
        <x:v>34.295764985921373</x:v>
      </x:c>
      <x:c r="G38" s="1">
        <x:f t="shared" si="17"/>
        <x:v>0.23372024820923656</x:v>
      </x:c>
      <x:c r="H38" s="1">
        <x:f t="shared" si="18"/>
        <x:v>6.0491251462638743E-2</x:v>
      </x:c>
      <x:c r="I38" s="1">
        <x:f t="shared" si="19"/>
        <x:v>8.1738846738334869E-2</x:v>
      </x:c>
      <x:c r="J38">
        <x:f t="shared" si="20"/>
        <x:v>1.0560866506946686E-2</x:v>
      </x:c>
      <x:c r="L38" s="1">
        <x:v>4.6205720777096904</x:v>
      </x:c>
      <x:c r="M38" s="1">
        <x:f t="shared" si="21"/>
        <x:v>4.7835682119207696</x:v>
      </x:c>
      <x:c r="N38" s="1">
        <x:v>3981.3643215013499</x:v>
      </x:c>
      <x:c r="O38" s="1">
        <x:v>2023.3217391304299</x:v>
      </x:c>
      <x:c r="P38" s="1">
        <x:f t="shared" si="22"/>
        <x:v>7.1753523178811545</x:v>
      </x:c>
      <x:c r="Q38" s="1">
        <x:f t="shared" si="23"/>
        <x:v>34.323787257148304</x:v>
      </x:c>
      <x:c r="R38" s="1">
        <x:f t="shared" si="24"/>
        <x:v>0.23651371986376904</x:v>
      </x:c>
      <x:c r="S38" s="1">
        <x:f t="shared" si="25"/>
        <x:v>6.121425512878579E-2</x:v>
      </x:c>
      <x:c r="T38" s="1">
        <x:f t="shared" si="26"/>
        <x:v>8.3085047017054409E-2</x:v>
      </x:c>
      <x:c r="U38">
        <x:f t="shared" si="27"/>
        <x:v>1.073479900052203E-2</x:v>
      </x:c>
      <x:c r="AC38" s="1">
        <x:v>4000</x:v>
      </x:c>
      <x:c r="AD38" s="1">
        <x:v>1.3560000000000001</x:v>
      </x:c>
      <x:c r="AE38" s="1">
        <x:v>45</x:v>
      </x:c>
      <x:c r="AF38" s="1">
        <x:v>418.87902047863901</x:v>
      </x:c>
      <x:c r="AG38" s="1">
        <x:v>18.680673801134201</x:v>
      </x:c>
      <x:c r="AH38" s="1">
        <x:v>1.0130350054856701E-2</x:v>
      </x:c>
      <x:c r="AI38" s="1">
        <x:v>1.0130350054856701E-2</x:v>
      </x:c>
      <x:c r="AJ38" s="1">
        <x:v>7.8440913741370799E-2</x:v>
      </x:c>
      <x:c r="AK38" s="1">
        <x:v>6.3420872836978295E-2</x:v>
      </x:c>
      <x:c r="AL38" s="1">
        <x:v>1.2</x:v>
      </x:c>
      <x:c r="AM38" s="1">
        <x:v>1.50200409043925E-2</x:v>
      </x:c>
      <x:c r="AN38" s="1">
        <x:v>1.50200409043925E-2</x:v>
      </x:c>
      <x:c r="AO38" s="1">
        <x:v>10</x:v>
      </x:c>
      <x:c r="AP38" s="1" t="b">
        <x:v>1</x:v>
      </x:c>
      <x:c r="AQ38" s="1">
        <x:v>-23.555291733595599</x:v>
      </x:c>
      <x:c r="AR38" s="1">
        <x:v>9.2940415872422104</x:v>
      </x:c>
      <x:c r="AS38">
        <x:f t="shared" si="12"/>
        <x:v>7.8526105148761377E-2</x:v>
      </x:c>
      <x:c r="AT38">
        <x:f t="shared" si="13"/>
        <x:v>6.673228346456693E-2</x:v>
      </x:c>
    </x:row>
    <x:row r="39">
      <x:c r="A39" s="1">
        <x:v>5.2784054150452402</x:v>
      </x:c>
      <x:c r="B39" s="1">
        <x:f t="shared" si="14"/>
        <x:v>5.4646073967439355</x:v>
      </x:c>
      <x:c r="C39" s="1">
        <x:v>4044.00804602581</x:v>
      </x:c>
      <x:c r="D39" s="1">
        <x:v>2050.8803611738099</x:v>
      </x:c>
      <x:c r="E39" s="1">
        <x:f t="shared" si="15"/>
        <x:v>8.1969110951159028</x:v>
      </x:c>
      <x:c r="F39" s="1">
        <x:f t="shared" si="16"/>
        <x:v>44.792901000822795</x:v>
      </x:c>
      <x:c r="G39" s="1">
        <x:f t="shared" si="17"/>
        <x:v>0.26600098348627599</x:v>
      </x:c>
      <x:c r="H39" s="1">
        <x:f t="shared" si="18"/>
        <x:v>6.8846120542249326E-2</x:v>
      </x:c>
      <x:c r="I39" s="1">
        <x:f t="shared" si="19"/>
        <x:v>8.1660071222514952E-2</x:v>
      </x:c>
      <x:c r="J39">
        <x:f t="shared" si="20"/>
        <x:v>1.0550688510317333E-2</x:v>
      </x:c>
      <x:c r="L39" s="1">
        <x:v>5.2781612215076299</x:v>
      </x:c>
      <x:c r="M39" s="1">
        <x:f t="shared" si="21"/>
        <x:v>5.4643545889910374</x:v>
      </x:c>
      <x:c r="N39" s="1">
        <x:v>3997.8978881835901</x:v>
      </x:c>
      <x:c r="O39" s="1">
        <x:v>2040.3023255813901</x:v>
      </x:c>
      <x:c r="P39" s="1">
        <x:f t="shared" si="22"/>
        <x:v>8.196531883486557</x:v>
      </x:c>
      <x:c r="Q39" s="1">
        <x:f t="shared" si="23"/>
        <x:v>44.788756611341114</x:v>
      </x:c>
      <x:c r="R39" s="1">
        <x:f t="shared" si="24"/>
        <x:v>0.26905648474486354</x:v>
      </x:c>
      <x:c r="S39" s="1">
        <x:f t="shared" si="25"/>
        <x:v>6.9636942460306508E-2</x:v>
      </x:c>
      <x:c r="T39" s="1">
        <x:f t="shared" si="26"/>
        <x:v>8.311113937524657E-2</x:v>
      </x:c>
      <x:c r="U39">
        <x:f t="shared" si="27"/>
        <x:v>1.0738170199440471E-2</x:v>
      </x:c>
      <x:c r="AC39" s="1">
        <x:v>4000</x:v>
      </x:c>
      <x:c r="AD39" s="1">
        <x:v>2.0339999999999998</x:v>
      </x:c>
      <x:c r="AE39" s="1">
        <x:v>45</x:v>
      </x:c>
      <x:c r="AF39" s="1">
        <x:v>418.87902047863901</x:v>
      </x:c>
      <x:c r="AG39" s="1">
        <x:v>18.131092077158701</x:v>
      </x:c>
      <x:c r="AH39" s="1">
        <x:v>9.8323171623127207E-3</x:v>
      </x:c>
      <x:c r="AI39" s="1">
        <x:v>9.8323171623127207E-3</x:v>
      </x:c>
      <x:c r="AJ39" s="1">
        <x:v>8.1002075325100897E-2</x:v>
      </x:c>
      <x:c r="AK39" s="1">
        <x:v>5.84720139685121E-2</x:v>
      </x:c>
      <x:c r="AL39" s="1">
        <x:v>1.2</x:v>
      </x:c>
      <x:c r="AM39" s="1">
        <x:v>2.25300613565887E-2</x:v>
      </x:c>
      <x:c r="AN39" s="1">
        <x:v>2.25300613565887E-2</x:v>
      </x:c>
      <x:c r="AO39" s="1">
        <x:v>8</x:v>
      </x:c>
      <x:c r="AP39" s="1" t="b">
        <x:v>1</x:v>
      </x:c>
      <x:c r="AQ39" s="1">
        <x:v>-25.089774365594199</x:v>
      </x:c>
      <x:c r="AR39" s="1">
        <x:v>8.5776012315864598</x:v>
      </x:c>
      <x:c r="AS39">
        <x:f t="shared" si="12"/>
        <x:v>7.6215882685473635E-2</x:v>
      </x:c>
      <x:c r="AT39">
        <x:f t="shared" si="13"/>
        <x:v>0.1000984251968504</x:v>
      </x:c>
    </x:row>
    <x:row r="40">
      <x:c r="A40" s="1">
        <x:v>5.93646103715243</x:v>
      </x:c>
      <x:c r="B40" s="1">
        <x:f t="shared" si="14"/>
        <x:v>6.1458767076964476</x:v>
      </x:c>
      <x:c r="C40" s="1">
        <x:v>4000.64711692116</x:v>
      </x:c>
      <x:c r="D40" s="1">
        <x:v>2069.35990888382</x:v>
      </x:c>
      <x:c r="E40" s="1">
        <x:f t="shared" si="15"/>
        <x:v>9.2188150615446709</x:v>
      </x:c>
      <x:c r="F40" s="1">
        <x:f t="shared" si="16"/>
        <x:v>56.657700759308597</x:v>
      </x:c>
      <x:c r="G40" s="1">
        <x:f t="shared" si="17"/>
        <x:v>0.30240563943505305</x:v>
      </x:c>
      <x:c r="H40" s="1">
        <x:f t="shared" si="18"/>
        <x:v>7.8268338832197609E-2</x:v>
      </x:c>
      <x:c r="I40" s="1">
        <x:f t="shared" si="19"/>
        <x:v>8.4213461224517602E-2</x:v>
      </x:c>
      <x:c r="J40">
        <x:f t="shared" si="20"/>
        <x:v>1.0880592980803034E-2</x:v>
      </x:c>
      <x:c r="L40" s="1">
        <x:v>5.9357933713145403</x:v>
      </x:c>
      <x:c r="M40" s="1">
        <x:f t="shared" si="21"/>
        <x:v>6.1451854891580071</x:v>
      </x:c>
      <x:c r="N40" s="1">
        <x:v>3992.9154199218701</x:v>
      </x:c>
      <x:c r="O40" s="1">
        <x:v>2067.16733067729</x:v>
      </x:c>
      <x:c r="P40" s="1">
        <x:f t="shared" si="22"/>
        <x:v>9.2177782337370111</x:v>
      </x:c>
      <x:c r="Q40" s="1">
        <x:f t="shared" si="23"/>
        <x:v>56.644957044237202</x:v>
      </x:c>
      <x:c r="R40" s="1">
        <x:f t="shared" si="24"/>
        <x:v>0.30295712673242392</x:v>
      </x:c>
      <x:c r="S40" s="1">
        <x:f t="shared" si="25"/>
        <x:v>7.8411074247889304E-2</x:v>
      </x:c>
      <x:c r="T40" s="1">
        <x:f t="shared" si="26"/>
        <x:v>8.444776190527542E-2</x:v>
      </x:c>
      <x:c r="U40">
        <x:f t="shared" si="27"/>
        <x:v>1.0910865223570189E-2</x:v>
      </x:c>
      <x:c r="AC40" s="1">
        <x:v>4000</x:v>
      </x:c>
      <x:c r="AD40" s="1">
        <x:v>2.7120000000000002</x:v>
      </x:c>
      <x:c r="AE40" s="1">
        <x:v>45</x:v>
      </x:c>
      <x:c r="AF40" s="1">
        <x:v>418.87902047863901</x:v>
      </x:c>
      <x:c r="AG40" s="1">
        <x:v>17.569417008511099</x:v>
      </x:c>
      <x:c r="AH40" s="1">
        <x:v>9.5277261650575495E-3</x:v>
      </x:c>
      <x:c r="AI40" s="1">
        <x:v>9.5277261650575495E-3</x:v>
      </x:c>
      <x:c r="AJ40" s="1">
        <x:v>8.3642632649236895E-2</x:v>
      </x:c>
      <x:c r="AK40" s="1">
        <x:v>5.3602550840451901E-2</x:v>
      </x:c>
      <x:c r="AL40" s="1">
        <x:v>1.2</x:v>
      </x:c>
      <x:c r="AM40" s="1">
        <x:v>3.0040081808785001E-2</x:v>
      </x:c>
      <x:c r="AN40" s="1">
        <x:v>3.0040081808785001E-2</x:v>
      </x:c>
      <x:c r="AO40" s="1">
        <x:v>6</x:v>
      </x:c>
      <x:c r="AP40" s="1" t="b">
        <x:v>1</x:v>
      </x:c>
      <x:c r="AQ40" s="1">
        <x:v>-27.023902529510799</x:v>
      </x:c>
      <x:c r="AR40" s="1">
        <x:v>7.9718516960400603</x:v>
      </x:c>
      <x:c r="AS40">
        <x:f t="shared" si="12"/>
        <x:v>7.3854824622494E-2</x:v>
      </x:c>
      <x:c r="AT40">
        <x:f t="shared" si="13"/>
        <x:v>0.13346456692913386</x:v>
      </x:c>
    </x:row>
    <x:row r="41">
      <x:c r="A41" s="1">
        <x:v>6.5369285869598297</x:v>
      </x:c>
      <x:c r="B41" s="1">
        <x:f t="shared" si="14"/>
        <x:v>6.7675264591212541</x:v>
      </x:c>
      <x:c r="C41" s="1">
        <x:v>4013.11771484375</x:v>
      </x:c>
      <x:c r="D41" s="1">
        <x:v>2106.1516966067802</x:v>
      </x:c>
      <x:c r="E41" s="1">
        <x:f t="shared" si="15"/>
        <x:v>10.151289688681882</x:v>
      </x:c>
      <x:c r="F41" s="1">
        <x:f t="shared" si="16"/>
        <x:v>68.69912156235938</x:v>
      </x:c>
      <x:c r="G41" s="1">
        <x:f t="shared" si="17"/>
        <x:v>0.33195892633076757</x:v>
      </x:c>
      <x:c r="H41" s="1">
        <x:f t="shared" si="18"/>
        <x:v>8.5917292326187292E-2</x:v>
      </x:c>
      <x:c r="I41" s="1">
        <x:f t="shared" si="19"/>
        <x:v>8.5221642817748203E-2</x:v>
      </x:c>
      <x:c r="J41">
        <x:f t="shared" si="20"/>
        <x:v>1.1010852602093675E-2</x:v>
      </x:c>
      <x:c r="L41" s="1">
        <x:v>6.5359556993698602</x:v>
      </x:c>
      <x:c r="M41" s="1">
        <x:f t="shared" si="21"/>
        <x:v>6.7665192517731416</x:v>
      </x:c>
      <x:c r="N41" s="1">
        <x:v>3981.7977973090201</x:v>
      </x:c>
      <x:c r="O41" s="1">
        <x:v>2089.4893048128301</x:v>
      </x:c>
      <x:c r="P41" s="1">
        <x:f t="shared" si="22"/>
        <x:v>10.149778877659713</x:v>
      </x:c>
      <x:c r="Q41" s="1">
        <x:f t="shared" si="23"/>
        <x:v>68.678674176924829</x:v>
      </x:c>
      <x:c r="R41" s="1">
        <x:f t="shared" si="24"/>
        <x:v>0.33452024600437719</x:v>
      </x:c>
      <x:c r="S41" s="1">
        <x:f t="shared" si="25"/>
        <x:v>8.6580210638313226E-2</x:v>
      </x:c>
      <x:c r="T41" s="1">
        <x:f t="shared" si="26"/>
        <x:v>8.5863384418163602E-2</x:v>
      </x:c>
      <x:c r="U41">
        <x:f t="shared" si="27"/>
        <x:v>1.10937672460406E-2</x:v>
      </x:c>
      <x:c r="AC41" s="1">
        <x:v>4000</x:v>
      </x:c>
      <x:c r="AD41" s="1">
        <x:v>3.39</x:v>
      </x:c>
      <x:c r="AE41" s="1">
        <x:v>45</x:v>
      </x:c>
      <x:c r="AF41" s="1">
        <x:v>418.87902047863901</x:v>
      </x:c>
      <x:c r="AG41" s="1">
        <x:v>16.985216251303701</x:v>
      </x:c>
      <x:c r="AH41" s="1">
        <x:v>9.2109197031587098E-3</x:v>
      </x:c>
      <x:c r="AI41" s="1">
        <x:v>9.2109197031587098E-3</x:v>
      </x:c>
      <x:c r="AJ41" s="1">
        <x:v>8.6424675636202195E-2</x:v>
      </x:c>
      <x:c r="AK41" s="1">
        <x:v>4.8874573375220998E-2</x:v>
      </x:c>
      <x:c r="AL41" s="1">
        <x:v>1.2</x:v>
      </x:c>
      <x:c r="AM41" s="1">
        <x:v>3.7550102260981197E-2</x:v>
      </x:c>
      <x:c r="AN41" s="1">
        <x:v>3.7550102260981197E-2</x:v>
      </x:c>
      <x:c r="AO41" s="1">
        <x:v>5</x:v>
      </x:c>
      <x:c r="AP41" s="1" t="b">
        <x:v>1</x:v>
      </x:c>
      <x:c r="AQ41" s="1">
        <x:v>-29.302145875190501</x:v>
      </x:c>
      <x:c r="AR41" s="1">
        <x:v>7.3622555973845003</x:v>
      </x:c>
      <x:c r="AS41">
        <x:f t="shared" si="12"/>
        <x:v>7.1399077545230019E-2</x:v>
      </x:c>
      <x:c r="AT41">
        <x:f t="shared" si="13"/>
        <x:v>0.1668307086614173</x:v>
      </x:c>
    </x:row>
    <x:row r="42">
      <x:c r="A42" s="1">
        <x:v>5.2893191872769698</x:v>
      </x:c>
      <x:c r="B42" s="1">
        <x:f t="shared" si="14"/>
        <x:v>5.4759061651738659</x:v>
      </x:c>
      <x:c r="C42" s="1">
        <x:v>3994.9732869466102</x:v>
      </x:c>
      <x:c r="D42" s="1">
        <x:v>2050.94303797468</x:v>
      </x:c>
      <x:c r="E42" s="1">
        <x:f t="shared" si="15"/>
        <x:v>8.2138592477607979</x:v>
      </x:c>
      <x:c r="F42" s="1">
        <x:f t="shared" si="16"/>
        <x:v>44.978322494683731</x:v>
      </x:c>
      <x:c r="G42" s="1">
        <x:f t="shared" si="17"/>
        <x:v>0.26982265138171124</x:v>
      </x:c>
      <x:c r="H42" s="1">
        <x:f t="shared" si="18"/>
        <x:v>6.9835240977644861E-2</x:v>
      </x:c>
      <x:c r="I42" s="1">
        <x:f t="shared" si="19"/>
        <x:v>8.3679615192273307E-2</x:v>
      </x:c>
      <x:c r="J42">
        <x:f t="shared" si="20"/>
        <x:v>1.081161871817558E-2</x:v>
      </x:c>
      <x:c r="L42" s="1">
        <x:v>5.9374419550100903</x:v>
      </x:c>
      <x:c r="M42" s="1">
        <x:f t="shared" si="21"/>
        <x:v>6.1468922285894223</x:v>
      </x:c>
      <x:c r="N42" s="1">
        <x:v>3952.92456054687</x:v>
      </x:c>
      <x:c r="O42" s="1">
        <x:v>2077.0731070495999</x:v>
      </x:c>
      <x:c r="P42" s="1">
        <x:f t="shared" si="22"/>
        <x:v>9.2203383428841335</x:v>
      </x:c>
      <x:c r="Q42" s="1">
        <x:f t="shared" si="23"/>
        <x:v>56.67642610483955</x:v>
      </x:c>
      <x:c r="R42" s="1">
        <x:f t="shared" si="24"/>
        <x:v>0.30610707001874521</x:v>
      </x:c>
      <x:c r="S42" s="1">
        <x:f t="shared" si="25"/>
        <x:v>7.9226339561382086E-2</x:v>
      </x:c>
      <x:c r="T42" s="1">
        <x:f t="shared" si="26"/>
        <x:v>8.6589867509041352E-2</x:v>
      </x:c>
      <x:c r="U42">
        <x:f t="shared" si="27"/>
        <x:v>1.1187630705686352E-2</x:v>
      </x:c>
      <x:c r="AC42" s="1">
        <x:v>4000</x:v>
      </x:c>
      <x:c r="AD42" s="1">
        <x:v>4.0679999999999996</x:v>
      </x:c>
      <x:c r="AE42" s="1">
        <x:v>45</x:v>
      </x:c>
      <x:c r="AF42" s="1">
        <x:v>418.87902047863901</x:v>
      </x:c>
      <x:c r="AG42" s="1">
        <x:v>16.365141104812601</x:v>
      </x:c>
      <x:c r="AH42" s="1">
        <x:v>8.87465890437052E-3</x:v>
      </x:c>
      <x:c r="AI42" s="1">
        <x:v>8.87465890437052E-3</x:v>
      </x:c>
      <x:c r="AJ42" s="1">
        <x:v>8.9387789555064406E-2</x:v>
      </x:c>
      <x:c r="AK42" s="1">
        <x:v>4.4327666841886798E-2</x:v>
      </x:c>
      <x:c r="AL42" s="1">
        <x:v>1.2</x:v>
      </x:c>
      <x:c r="AM42" s="1">
        <x:v>4.5060122713177497E-2</x:v>
      </x:c>
      <x:c r="AN42" s="1">
        <x:v>4.5060122713177497E-2</x:v>
      </x:c>
      <x:c r="AO42" s="1">
        <x:v>5</x:v>
      </x:c>
      <x:c r="AP42" s="1" t="b">
        <x:v>1</x:v>
      </x:c>
      <x:c r="AQ42" s="1">
        <x:v>-31.891777523501801</x:v>
      </x:c>
      <x:c r="AR42" s="1">
        <x:v>6.7475794186326601</x:v>
      </x:c>
      <x:c r="AS42">
        <x:f t="shared" si="12"/>
        <x:v>6.8792528837627501E-2</x:v>
      </x:c>
      <x:c r="AT42">
        <x:f t="shared" si="13"/>
        <x:v>0.2001968503937008</x:v>
      </x:c>
    </x:row>
    <x:row r="43">
      <x:c r="A43" s="1">
        <x:v>4.6191202904278503</x:v>
      </x:c>
      <x:c r="B43" s="1">
        <x:f t="shared" si="14"/>
        <x:v>4.7820652111288586</x:v>
      </x:c>
      <x:c r="C43" s="1">
        <x:v>3992.0453739872601</x:v>
      </x:c>
      <x:c r="D43" s="1">
        <x:v>2052.9268738574001</x:v>
      </x:c>
      <x:c r="E43" s="1">
        <x:f t="shared" si="15"/>
        <x:v>7.1730978166932875</x:v>
      </x:c>
      <x:c r="F43" s="1">
        <x:f t="shared" si="16"/>
        <x:v>34.302221525233342</x:v>
      </x:c>
      <x:c r="G43" s="1">
        <x:f t="shared" si="17"/>
        <x:v>0.23580679359196052</x:v>
      </x:c>
      <x:c r="H43" s="1">
        <x:f t="shared" si="18"/>
        <x:v>6.1031289146158428E-2</x:v>
      </x:c>
      <x:c r="I43" s="1">
        <x:f t="shared" si="19"/>
        <x:v>8.3885820182561313E-2</x:v>
      </x:c>
      <x:c r="J43">
        <x:f t="shared" si="20"/>
        <x:v>1.0838260926408211E-2</x:v>
      </x:c>
      <x:c r="L43" s="1">
        <x:v>5.2827770633784601</x:v>
      </x:c>
      <x:c r="M43" s="1">
        <x:f t="shared" si="21"/>
        <x:v>5.4691332601324474</x:v>
      </x:c>
      <x:c r="N43" s="1">
        <x:v>3993.9560435901899</x:v>
      </x:c>
      <x:c r="O43" s="1">
        <x:v>2035.7068181818099</x:v>
      </x:c>
      <x:c r="P43" s="1">
        <x:f t="shared" si="22"/>
        <x:v>8.2036998901986706</x:v>
      </x:c>
      <x:c r="Q43" s="1">
        <x:f t="shared" si="23"/>
        <x:v>44.867127925630456</x:v>
      </x:c>
      <x:c r="R43" s="1">
        <x:f t="shared" si="24"/>
        <x:v>0.26955755739649562</x:v>
      </x:c>
      <x:c r="S43" s="1">
        <x:f t="shared" si="25"/>
        <x:v>6.9766629605528929E-2</x:v>
      </x:c>
      <x:c r="T43" s="1">
        <x:f t="shared" si="26"/>
        <x:v>8.3082235482926356E-2</x:v>
      </x:c>
      <x:c r="U43">
        <x:f t="shared" si="27"/>
        <x:v>1.0734435743175116E-2</x:v>
      </x:c>
      <x:c r="AC43" s="1">
        <x:v>4000</x:v>
      </x:c>
      <x:c r="AD43" s="1">
        <x:v>4.7460000000000004</x:v>
      </x:c>
      <x:c r="AE43" s="1">
        <x:v>45</x:v>
      </x:c>
      <x:c r="AF43" s="1">
        <x:v>418.87902047863901</x:v>
      </x:c>
      <x:c r="AG43" s="1">
        <x:v>15.7009231107935</x:v>
      </x:c>
      <x:c r="AH43" s="1">
        <x:v>8.5144598631699698E-3</x:v>
      </x:c>
      <x:c r="AI43" s="1">
        <x:v>8.5144598631699698E-3</x:v>
      </x:c>
      <x:c r="AJ43" s="1">
        <x:v>9.2563117929496105E-2</x:v>
      </x:c>
      <x:c r="AK43" s="1">
        <x:v>3.9992974764122301E-2</x:v>
      </x:c>
      <x:c r="AL43" s="1">
        <x:v>1.2</x:v>
      </x:c>
      <x:c r="AM43" s="1">
        <x:v>5.2570143165373798E-2</x:v>
      </x:c>
      <x:c r="AN43" s="1">
        <x:v>5.2570143165373798E-2</x:v>
      </x:c>
      <x:c r="AO43" s="1">
        <x:v>5</x:v>
      </x:c>
      <x:c r="AP43" s="1" t="b">
        <x:v>1</x:v>
      </x:c>
      <x:c r="AQ43" s="1">
        <x:v>-34.778036305220397</x:v>
      </x:c>
      <x:c r="AR43" s="1">
        <x:v>6.1341466865334997</x:v>
      </x:c>
      <x:c r="AS43">
        <x:f t="shared" si="12"/>
        <x:v>6.6000421197651427E-2</x:v>
      </x:c>
      <x:c r="AT43">
        <x:f t="shared" si="13"/>
        <x:v>0.23356299212598428</x:v>
      </x:c>
    </x:row>
    <x:row r="44">
      <x:c r="A44" s="1">
        <x:v>3.9743223056257002</x:v>
      </x:c>
      <x:c r="B44" s="1">
        <x:f t="shared" si="14"/>
        <x:v>4.1145212162867697</x:v>
      </x:c>
      <x:c r="C44" s="1">
        <x:v>3999.0779589843701</x:v>
      </x:c>
      <x:c r="D44" s="1">
        <x:v>2027.16700201207</x:v>
      </x:c>
      <x:c r="E44" s="1">
        <x:f t="shared" si="15"/>
        <x:v>6.1717818244301546</x:v>
      </x:c>
      <x:c r="F44" s="1">
        <x:f t="shared" si="16"/>
        <x:v>25.393927258910935</x:v>
      </x:c>
      <x:c r="G44" s="1">
        <x:f t="shared" si="17"/>
        <x:v>0.20253296625454928</x:v>
      </x:c>
      <x:c r="H44" s="1">
        <x:f t="shared" si="18"/>
        <x:v>5.2419388927783507E-2</x:v>
      </x:c>
      <x:c r="I44" s="1">
        <x:f t="shared" si="19"/>
        <x:v>8.2511748430610501E-2</x:v>
      </x:c>
      <x:c r="J44">
        <x:f t="shared" si="20"/>
        <x:v>1.0660727367734778E-2</x:v>
      </x:c>
      <x:c r="L44" s="1">
        <x:v>4.6286723915959698</x:v>
      </x:c>
      <x:c r="M44" s="1">
        <x:f t="shared" si="21"/>
        <x:v>4.7919542739410801</x:v>
      </x:c>
      <x:c r="N44" s="1">
        <x:v>3968.2314120205901</x:v>
      </x:c>
      <x:c r="O44" s="1">
        <x:v>2031.9061032863799</x:v>
      </x:c>
      <x:c r="P44" s="1">
        <x:f t="shared" si="22"/>
        <x:v>7.1879314109116201</x:v>
      </x:c>
      <x:c r="Q44" s="1">
        <x:f t="shared" si="23"/>
        <x:v>34.444238645313277</x:v>
      </x:c>
      <x:c r="R44" s="1">
        <x:f t="shared" si="24"/>
        <x:v>0.23771246872448729</x:v>
      </x:c>
      <x:c r="S44" s="1">
        <x:f t="shared" si="25"/>
        <x:v>6.1524514164234621E-2</x:v>
      </x:c>
      <x:c r="T44" s="1">
        <x:f t="shared" si="26"/>
        <x:v>8.4001183078329031E-2</x:v>
      </x:c>
      <x:c r="U44">
        <x:f t="shared" si="27"/>
        <x:v>1.0853166105410282E-2</x:v>
      </x:c>
      <x:c r="AC44" s="1">
        <x:v>4000</x:v>
      </x:c>
      <x:c r="AD44" s="1">
        <x:v>5.4240000000000004</x:v>
      </x:c>
      <x:c r="AE44" s="1">
        <x:v>45</x:v>
      </x:c>
      <x:c r="AF44" s="1">
        <x:v>418.87902047863901</x:v>
      </x:c>
      <x:c r="AG44" s="1">
        <x:v>14.9840230304297</x:v>
      </x:c>
      <x:c r="AH44" s="1">
        <x:v>8.1256918323294805E-3</x:v>
      </x:c>
      <x:c r="AI44" s="1">
        <x:v>8.1256918323294805E-3</x:v>
      </x:c>
      <x:c r="AJ44" s="1">
        <x:v>9.5964750663146497E-2</x:v>
      </x:c>
      <x:c r="AK44" s="1">
        <x:v>3.5884587045576503E-2</x:v>
      </x:c>
      <x:c r="AL44" s="1">
        <x:v>1.2</x:v>
      </x:c>
      <x:c r="AM44" s="1">
        <x:v>6.0080163617570001E-2</x:v>
      </x:c>
      <x:c r="AN44" s="1">
        <x:v>6.0080163617570001E-2</x:v>
      </x:c>
      <x:c r="AO44" s="1">
        <x:v>6</x:v>
      </x:c>
      <x:c r="AP44" s="1" t="b">
        <x:v>1</x:v>
      </x:c>
      <x:c r="AQ44" s="1">
        <x:v>-37.915135668504398</x:v>
      </x:c>
      <x:c r="AR44" s="1">
        <x:v>5.5166926723342202</x:v>
      </x:c>
      <x:c r="AS44">
        <x:f t="shared" si="12"/>
        <x:v>6.298685906969502E-2</x:v>
      </x:c>
      <x:c r="AT44">
        <x:f t="shared" si="13"/>
        <x:v>0.26692913385826772</x:v>
      </x:c>
    </x:row>
    <x:row r="45">
      <x:c r="A45" s="1">
        <x:v>3.3116781983194401</x:v>
      </x:c>
      <x:c r="B45" s="1">
        <x:f t="shared" si="14"/>
        <x:v>3.4285015559034955</x:v>
      </x:c>
      <x:c r="C45" s="1">
        <x:v>4008.39086914062</x:v>
      </x:c>
      <x:c r="D45" s="1">
        <x:v>2016.6617647058799</x:v>
      </x:c>
      <x:c r="E45" s="1">
        <x:f t="shared" si="15"/>
        <x:v>5.1427523338552437</x:v>
      </x:c>
      <x:c r="F45" s="1">
        <x:f t="shared" si="16"/>
        <x:v>17.631934378249035</x:v>
      </x:c>
      <x:c r="G45" s="1">
        <x:f t="shared" si="17"/>
        <x:v>0.16837227284375617</x:v>
      </x:c>
      <x:c r="H45" s="1">
        <x:f t="shared" si="18"/>
        <x:v>4.357795087916206E-2</x:v>
      </x:c>
      <x:c r="I45" s="1">
        <x:f t="shared" si="19"/>
        <x:v>8.1690676649825628E-2</x:v>
      </x:c>
      <x:c r="J45">
        <x:f t="shared" si="20"/>
        <x:v>1.0554642809223099E-2</x:v>
      </x:c>
      <x:c r="L45" s="1">
        <x:v>3.9746028726751099</x:v>
      </x:c>
      <x:c r="M45" s="1">
        <x:f t="shared" si="21"/>
        <x:v>4.114811680670031</x:v>
      </x:c>
      <x:c r="N45" s="1">
        <x:v>3963.0637539950199</x:v>
      </x:c>
      <x:c r="O45" s="1">
        <x:v>2009.34772727272</x:v>
      </x:c>
      <x:c r="P45" s="1">
        <x:f t="shared" si="22"/>
        <x:v>6.1722175210050469</x:v>
      </x:c>
      <x:c r="Q45" s="1">
        <x:f t="shared" si="23"/>
        <x:v>25.397512751067786</x:v>
      </x:c>
      <x:c r="R45" s="1">
        <x:f t="shared" si="24"/>
        <x:v>0.20438790532399601</x:v>
      </x:c>
      <x:c r="S45" s="1">
        <x:f t="shared" si="25"/>
        <x:v>5.2899482486461057E-2</x:v>
      </x:c>
      <x:c r="T45" s="1">
        <x:f t="shared" si="26"/>
        <x:v>8.325797854266416E-2</x:v>
      </x:c>
      <x:c r="U45">
        <x:f t="shared" si="27"/>
        <x:v>1.0757142192647723E-2</x:v>
      </x:c>
      <x:c r="AC45" s="1">
        <x:v>4000</x:v>
      </x:c>
      <x:c r="AD45" s="1">
        <x:v>6.1020000000000003</x:v>
      </x:c>
      <x:c r="AE45" s="1">
        <x:v>45</x:v>
      </x:c>
      <x:c r="AF45" s="1">
        <x:v>418.87902047863901</x:v>
      </x:c>
      <x:c r="AG45" s="1">
        <x:v>14.212096120355101</x:v>
      </x:c>
      <x:c r="AH45" s="1">
        <x:v>7.7070832800328302E-3</x:v>
      </x:c>
      <x:c r="AI45" s="1">
        <x:v>7.7070832800328302E-3</x:v>
      </x:c>
      <x:c r="AJ45" s="1">
        <x:v>9.9603980572711401E-2</x:v>
      </x:c>
      <x:c r="AK45" s="1">
        <x:v>3.2013796502945099E-2</x:v>
      </x:c>
      <x:c r="AL45" s="1">
        <x:v>1.2</x:v>
      </x:c>
      <x:c r="AM45" s="1">
        <x:v>6.7590184069766301E-2</x:v>
      </x:c>
      <x:c r="AN45" s="1">
        <x:v>6.7590184069766301E-2</x:v>
      </x:c>
      <x:c r="AO45" s="1">
        <x:v>7</x:v>
      </x:c>
      <x:c r="AP45" s="1" t="b">
        <x:v>1</x:v>
      </x:c>
      <x:c r="AQ45" s="1">
        <x:v>-41.290089696530799</x:v>
      </x:c>
      <x:c r="AR45" s="1">
        <x:v>4.9060964075464799</x:v>
      </x:c>
      <x:c r="AS45">
        <x:f t="shared" si="12"/>
        <x:v>5.9741986087437304E-2</x:v>
      </x:c>
      <x:c r="AT45">
        <x:f t="shared" si="13"/>
        <x:v>0.30029527559055119</x:v>
      </x:c>
    </x:row>
    <x:row r="46">
      <x:c r="A46" s="1">
        <x:v>2.65456118375536</x:v>
      </x:c>
      <x:c r="B46" s="1">
        <x:f t="shared" si="14"/>
        <x:v>2.7482039629831174</x:v>
      </x:c>
      <x:c r="C46" s="1">
        <x:v>3995.2149609375001</x:v>
      </x:c>
      <x:c r="D46" s="1">
        <x:v>2009.6242544731599</x:v>
      </x:c>
      <x:c r="E46" s="1">
        <x:f t="shared" si="15"/>
        <x:v>4.1223059444746761</x:v>
      </x:c>
      <x:c r="F46" s="1">
        <x:f t="shared" si="16"/>
        <x:v>11.328937533234168</x:v>
      </x:c>
      <x:c r="G46" s="1">
        <x:f t="shared" si="17"/>
        <x:v>0.13540824145200575</x:v>
      </x:c>
      <x:c r="H46" s="1">
        <x:f t="shared" si="18"/>
        <x:v>3.5046231751619701E-2</x:v>
      </x:c>
      <x:c r="I46" s="1">
        <x:f t="shared" si="19"/>
        <x:v>8.1934953603258046E-2</x:v>
      </x:c>
      <x:c r="J46">
        <x:f t="shared" si="20"/>
        <x:v>1.0586204011746324E-2</x:v>
      </x:c>
      <x:c r="L46" s="1">
        <x:v>3.3159306586628201</x:v>
      </x:c>
      <x:c r="M46" s="1">
        <x:f t="shared" si="21"/>
        <x:v>3.4329040268051352</x:v>
      </x:c>
      <x:c r="N46" s="1">
        <x:v>3979.9112374441902</x:v>
      </x:c>
      <x:c r="O46" s="1">
        <x:v>1995.04705882352</x:v>
      </x:c>
      <x:c r="P46" s="1">
        <x:f t="shared" si="22"/>
        <x:v>5.149356040207703</x:v>
      </x:c>
      <x:c r="Q46" s="1">
        <x:f t="shared" si="23"/>
        <x:v>17.677245085882369</x:v>
      </x:c>
      <x:c r="R46" s="1">
        <x:f t="shared" si="24"/>
        <x:v>0.16979486950758546</x:v>
      </x:c>
      <x:c r="S46" s="1">
        <x:f t="shared" si="25"/>
        <x:v>4.3946145989260395E-2</x:v>
      </x:c>
      <x:c r="T46" s="1">
        <x:f t="shared" si="26"/>
        <x:v>8.1949627336254008E-2</x:v>
      </x:c>
      <x:c r="U46">
        <x:f t="shared" si="27"/>
        <x:v>1.058809989530124E-2</x:v>
      </x:c>
      <x:c r="AC46" s="1">
        <x:v>4000</x:v>
      </x:c>
      <x:c r="AD46" s="1">
        <x:v>6.78</x:v>
      </x:c>
      <x:c r="AE46" s="1">
        <x:v>45</x:v>
      </x:c>
      <x:c r="AF46" s="1">
        <x:v>418.87902047863901</x:v>
      </x:c>
      <x:c r="AG46" s="1">
        <x:v>13.383610896310101</x:v>
      </x:c>
      <x:c r="AH46" s="1">
        <x:v>7.2578036970692202E-3</x:v>
      </x:c>
      <x:c r="AI46" s="1">
        <x:v>7.2578036970692202E-3</x:v>
      </x:c>
      <x:c r="AJ46" s="1">
        <x:v>0.103481851124871</x:v>
      </x:c>
      <x:c r="AK46" s="1">
        <x:v>2.83816466029084E-2</x:v>
      </x:c>
      <x:c r="AL46" s="1">
        <x:v>1.2</x:v>
      </x:c>
      <x:c r="AM46" s="1">
        <x:v>7.5100204521962505E-2</x:v>
      </x:c>
      <x:c r="AN46" s="1">
        <x:v>7.5100204521962505E-2</x:v>
      </x:c>
      <x:c r="AO46" s="1">
        <x:v>8</x:v>
      </x:c>
      <x:c r="AP46" s="1" t="b">
        <x:v>1</x:v>
      </x:c>
      <x:c r="AQ46" s="1">
        <x:v>-44.844392899471302</x:v>
      </x:c>
      <x:c r="AR46" s="1">
        <x:v>4.3266339179292403</x:v>
      </x:c>
      <x:c r="AS46">
        <x:f t="shared" si="12"/>
        <x:v>5.6259364501613812E-2</x:v>
      </x:c>
      <x:c r="AT46">
        <x:f t="shared" si="13"/>
        <x:v>0.33366141732283461</x:v>
      </x:c>
    </x:row>
    <x:row r="47">
      <x:c r="A47" s="1">
        <x:v>1.9873075379265599</x:v>
      </x:c>
      <x:c r="B47" s="1">
        <x:f t="shared" si="14"/>
        <x:v>2.0574121571647752</x:v>
      </x:c>
      <x:c r="C47" s="1">
        <x:v>4002.3560203269599</x:v>
      </x:c>
      <x:c r="D47" s="1">
        <x:v>2010.19074074074</x:v>
      </x:c>
      <x:c r="E47" s="1">
        <x:f t="shared" si="15"/>
        <x:v>3.086118235747163</x:v>
      </x:c>
      <x:c r="F47" s="1">
        <x:f t="shared" si="16"/>
        <x:v>6.3494171766741205</x:v>
      </x:c>
      <x:c r="G47" s="1">
        <x:f t="shared" si="17"/>
        <x:v>0.10119099627463599</x:v>
      </x:c>
      <x:c r="H47" s="1">
        <x:f t="shared" si="18"/>
        <x:v>2.6190157028774017E-2</x:v>
      </x:c>
      <x:c r="I47" s="1">
        <x:f t="shared" si="19"/>
        <x:v>8.1666531439985798E-2</x:v>
      </x:c>
      <x:c r="J47">
        <x:f t="shared" si="20"/>
        <x:v>1.0551523186814958E-2</x:v>
      </x:c>
      <x:c r="L47" s="1">
        <x:v>2.6550423239802399</x:v>
      </x:c>
      <x:c r="M47" s="1">
        <x:f t="shared" si="21"/>
        <x:v>2.748702075997373</x:v>
      </x:c>
      <x:c r="N47" s="1">
        <x:v>3981.3011030717298</x:v>
      </x:c>
      <x:c r="O47" s="1">
        <x:v>1993.8130630630601</x:v>
      </x:c>
      <x:c r="P47" s="1">
        <x:f t="shared" si="22"/>
        <x:v>4.1230531139960593</x:v>
      </x:c>
      <x:c r="Q47" s="1">
        <x:f t="shared" si="23"/>
        <x:v>11.333044653888404</x:v>
      </x:c>
      <x:c r="R47" s="1">
        <x:f t="shared" si="24"/>
        <x:v>0.13590609497201497</x:v>
      </x:c>
      <x:c r="S47" s="1">
        <x:f t="shared" si="25"/>
        <x:v>3.5175085724269417E-2</x:v>
      </x:c>
      <x:c r="T47" s="1">
        <x:f t="shared" si="26"/>
        <x:v>8.1840255238676232E-2</x:v>
      </x:c>
      <x:c r="U47">
        <x:f t="shared" si="27"/>
        <x:v>1.0573968742633999E-2</x:v>
      </x:c>
      <x:c r="AC47" s="1">
        <x:v>4000</x:v>
      </x:c>
      <x:c r="AD47" s="1">
        <x:v>0</x:v>
      </x:c>
      <x:c r="AE47" s="1">
        <x:v>60</x:v>
      </x:c>
      <x:c r="AF47" s="1">
        <x:v>418.87902047863901</x:v>
      </x:c>
      <x:c r="AG47" s="1">
        <x:v>19.865562886380101</x:v>
      </x:c>
      <x:c r="AH47" s="1">
        <x:v>1.0772904030023799E-2</x:v>
      </x:c>
      <x:c r="AI47" s="1">
        <x:v>1.0772904030023799E-2</x:v>
      </x:c>
      <x:c r="AJ47" s="1">
        <x:v>7.3392452030601199E-2</x:v>
      </x:c>
      <x:c r="AK47" s="1">
        <x:v>7.3392452030601199E-2</x:v>
      </x:c>
      <x:c r="AL47" s="1">
        <x:v>0</x:v>
      </x:c>
      <x:c r="AM47" s="1">
        <x:v>0</x:v>
      </x:c>
      <x:c r="AN47" s="1">
        <x:v>0</x:v>
      </x:c>
      <x:c r="AO47" s="1">
        <x:v>11</x:v>
      </x:c>
      <x:c r="AP47" s="1" t="b">
        <x:v>1</x:v>
      </x:c>
      <x:c r="AQ47" s="1">
        <x:v>-17.867276538471401</x:v>
      </x:c>
      <x:c r="AR47" s="1">
        <x:v>5.9935220837512704</x:v>
      </x:c>
      <x:c r="AS47">
        <x:f t="shared" si="12"/>
        <x:v>8.350690647788582E-2</x:v>
      </x:c>
      <x:c r="AT47">
        <x:f t="shared" si="13"/>
        <x:v>0</x:v>
      </x:c>
    </x:row>
    <x:row r="48">
      <x:c r="A48" s="1">
        <x:v>1.3324843707837499</x:v>
      </x:c>
      <x:c r="B48" s="1">
        <x:f t="shared" si="14"/>
        <x:v>1.3794893298411335</x:v>
      </x:c>
      <x:c r="C48" s="1">
        <x:v>3964.9271737557801</x:v>
      </x:c>
      <x:c r="D48" s="1">
        <x:v>2021.4981203007501</x:v>
      </x:c>
      <x:c r="E48" s="1">
        <x:f t="shared" si="15"/>
        <x:v>2.0692339947617002</x:v>
      </x:c>
      <x:c r="F48" s="1">
        <x:f t="shared" si="16"/>
        <x:v>2.8544862167183096</x:v>
      </x:c>
      <x:c r="G48" s="1">
        <x:f t="shared" si="17"/>
        <x:v>6.8488778175472442E-2</x:v>
      </x:c>
      <x:c r="H48" s="1">
        <x:f t="shared" si="18"/>
        <x:v>1.7726200167614142E-2</x:v>
      </x:c>
      <x:c r="I48" s="1">
        <x:f t="shared" si="19"/>
        <x:v>8.3697627289161816E-2</x:v>
      </x:c>
      <x:c r="J48">
        <x:f t="shared" si="20"/>
        <x:v>1.0813945926820433E-2</x:v>
      </x:c>
      <x:c r="L48" s="1">
        <x:v>1.99396584575302</x:v>
      </x:c>
      <x:c r="M48" s="1">
        <x:f t="shared" si="21"/>
        <x:v>2.0643053446593473</x:v>
      </x:c>
      <x:c r="N48" s="1">
        <x:v>3981.9808175223202</x:v>
      </x:c>
      <x:c r="O48" s="1">
        <x:v>1991.4043583535099</x:v>
      </x:c>
      <x:c r="P48" s="1">
        <x:f t="shared" si="22"/>
        <x:v>3.096458016989021</x:v>
      </x:c>
      <x:c r="Q48" s="1">
        <x:f t="shared" si="23"/>
        <x:v>6.3920348339837201</x:v>
      </x:c>
      <x:c r="R48" s="1">
        <x:f t="shared" si="24"/>
        <x:v>0.10204954228475621</x:v>
      </x:c>
      <x:c r="S48" s="1">
        <x:f t="shared" si="25"/>
        <x:v>2.6412365087289918E-2</x:v>
      </x:c>
      <x:c r="T48" s="1">
        <x:f t="shared" si="26"/>
        <x:v>8.1710528516561479E-2</x:v>
      </x:c>
      <x:c r="U48">
        <x:f t="shared" si="27"/>
        <x:v>1.0557207720802807E-2</x:v>
      </x:c>
      <x:c r="AC48" s="1">
        <x:v>4000</x:v>
      </x:c>
      <x:c r="AD48" s="1">
        <x:v>0.67800000000000005</x:v>
      </x:c>
      <x:c r="AE48" s="1">
        <x:v>60</x:v>
      </x:c>
      <x:c r="AF48" s="1">
        <x:v>418.87902047863901</x:v>
      </x:c>
      <x:c r="AG48" s="1">
        <x:v>19.441811498405201</x:v>
      </x:c>
      <x:c r="AH48" s="1">
        <x:v>1.0543107720634E-2</x:v>
      </x:c>
      <x:c r="AI48" s="1">
        <x:v>1.0543107720634E-2</x:v>
      </x:c>
      <x:c r="AJ48" s="1">
        <x:v>7.5039214783837599E-2</x:v>
      </x:c>
      <x:c r="AK48" s="1">
        <x:v>6.9728828395239903E-2</x:v>
      </x:c>
      <x:c r="AL48" s="1">
        <x:v>1.2</x:v>
      </x:c>
      <x:c r="AM48" s="1">
        <x:v>5.31038638859763E-3</x:v>
      </x:c>
      <x:c r="AN48" s="1">
        <x:v>9.1978590328733005E-3</x:v>
      </x:c>
      <x:c r="AO48" s="1">
        <x:v>11</x:v>
      </x:c>
      <x:c r="AP48" s="1" t="b">
        <x:v>1</x:v>
      </x:c>
      <x:c r="AQ48" s="1">
        <x:v>-22.3753251459285</x:v>
      </x:c>
      <x:c r="AR48" s="1">
        <x:v>10.3141160351596</x:v>
      </x:c>
      <x:c r="AS48">
        <x:f t="shared" si="12"/>
        <x:v>8.1725624581779024E-2</x:v>
      </x:c>
      <x:c r="AT48">
        <x:f t="shared" si="13"/>
        <x:v>3.3366141732283465E-2</x:v>
      </x:c>
    </x:row>
    <x:row r="49">
      <x:c r="A49" s="1">
        <x:v>0.66767482270323997</x:v>
      </x:c>
      <x:c r="B49" s="1">
        <x:f t="shared" si="14"/>
        <x:v>0.6912278402041897</x:v>
      </x:c>
      <x:c r="C49" s="1">
        <x:v>3982.34716796875</x:v>
      </x:c>
      <x:c r="D49" s="1">
        <x:v>2023.2321428571399</x:v>
      </x:c>
      <x:c r="E49" s="1">
        <x:f t="shared" si="15"/>
        <x:v>1.0368417603062845</x:v>
      </x:c>
      <x:c r="F49" s="1">
        <x:f t="shared" si="16"/>
        <x:v>0.71669389061002331</x:v>
      </x:c>
      <x:c r="G49" s="1">
        <x:f t="shared" si="17"/>
        <x:v>3.4167908206391574E-2</x:v>
      </x:c>
      <x:c r="H49" s="1">
        <x:f t="shared" si="18"/>
        <x:v>8.8433053751288491E-3</x:v>
      </x:c>
      <x:c r="I49" s="1">
        <x:f t="shared" si="19"/>
        <x:v>8.3040255621178283E-2</x:v>
      </x:c>
      <x:c r="J49">
        <x:f t="shared" si="20"/>
        <x:v>1.0729011838464045E-2</x:v>
      </x:c>
      <x:c r="L49" s="1">
        <x:v>1.3341895519076099</x:v>
      </x:c>
      <x:c r="M49" s="1">
        <x:f t="shared" si="21"/>
        <x:v>1.3812546632419507</x:v>
      </x:c>
      <x:c r="N49" s="1">
        <x:v>3955.14696204144</x:v>
      </x:c>
      <x:c r="O49" s="1">
        <x:v>2002.7714932126601</x:v>
      </x:c>
      <x:c r="P49" s="1">
        <x:f t="shared" si="22"/>
        <x:v>2.0718819948629261</x:v>
      </x:c>
      <x:c r="Q49" s="1">
        <x:f t="shared" si="23"/>
        <x:v>2.8617966670914519</x:v>
      </x:c>
      <x:c r="R49" s="1">
        <x:f t="shared" si="24"/>
        <x:v>6.8745997777004395E-2</x:v>
      </x:c>
      <x:c r="S49" s="1">
        <x:f t="shared" si="25"/>
        <x:v>1.7792773499264291E-2</x:v>
      </x:c>
      <x:c r="T49" s="1">
        <x:f t="shared" si="26"/>
        <x:v>8.3309929410455105E-2</x:v>
      </x:c>
      <x:c r="U49">
        <x:f t="shared" si="27"/>
        <x:v>1.0763854376652674E-2</x:v>
      </x:c>
      <x:c r="AC49" s="1">
        <x:v>4000</x:v>
      </x:c>
      <x:c r="AD49" s="1">
        <x:v>1.3560000000000001</x:v>
      </x:c>
      <x:c r="AE49" s="1">
        <x:v>60</x:v>
      </x:c>
      <x:c r="AF49" s="1">
        <x:v>418.87902047863901</x:v>
      </x:c>
      <x:c r="AG49" s="1">
        <x:v>19.147814668069799</x:v>
      </x:c>
      <x:c r="AH49" s="1">
        <x:v>1.03836760621177E-2</x:v>
      </x:c>
      <x:c r="AI49" s="1">
        <x:v>1.03836760621177E-2</x:v>
      </x:c>
      <x:c r="AJ49" s="1">
        <x:v>7.6558894306103603E-2</x:v>
      </x:c>
      <x:c r="AK49" s="1">
        <x:v>6.5938121528908294E-2</x:v>
      </x:c>
      <x:c r="AL49" s="1">
        <x:v>1.2</x:v>
      </x:c>
      <x:c r="AM49" s="1">
        <x:v>1.0620772777195199E-2</x:v>
      </x:c>
      <x:c r="AN49" s="1">
        <x:v>1.8395718065746601E-2</x:v>
      </x:c>
      <x:c r="AO49" s="1">
        <x:v>10</x:v>
      </x:c>
      <x:c r="AP49" s="1" t="b">
        <x:v>1</x:v>
      </x:c>
      <x:c r="AQ49" s="1">
        <x:v>-23.509973798037802</x:v>
      </x:c>
      <x:c r="AR49" s="1">
        <x:v>9.8093013034569108</x:v>
      </x:c>
      <x:c r="AS49">
        <x:f t="shared" si="12"/>
        <x:v>8.0489779116133919E-2</x:v>
      </x:c>
      <x:c r="AT49">
        <x:f t="shared" si="13"/>
        <x:v>6.673228346456693E-2</x:v>
      </x:c>
    </x:row>
    <x:row r="50">
      <x:c r="A50" s="1">
        <x:v>7.8400070167013503E-2</x:v>
      </x:c>
      <x:c r="B50" s="1">
        <x:f t="shared" si="14"/>
        <x:v>8.1165725186388232E-2</x:v>
      </x:c>
      <x:c r="C50" s="1">
        <x:v>3984.9920828682998</x:v>
      </x:c>
      <x:c r="D50" s="1">
        <x:v>2029.49643705463</x:v>
      </x:c>
      <x:c r="E50" s="1">
        <x:f t="shared" si="15"/>
        <x:v>0.12174858777958235</x:v>
      </x:c>
      <x:c r="F50" s="1">
        <x:f t="shared" si="16"/>
        <x:v>9.8818124175484457E-3</x:v>
      </x:c>
      <x:c r="G50" s="1">
        <x:f t="shared" si="17"/>
        <x:v>4.0094194983820953E-3</x:v>
      </x:c>
      <x:c r="H50" s="1">
        <x:f t="shared" si="18"/>
        <x:v>1.0377141259866815E-3</x:v>
      </x:c>
      <x:c r="I50" s="1">
        <x:f t="shared" si="19"/>
        <x:v>8.319438374929744E-2</x:v>
      </x:c>
      <x:c r="J50">
        <x:f t="shared" si="20"/>
        <x:v>1.0748925583898242E-2</x:v>
      </x:c>
      <x:c r="L50" s="1">
        <x:v>0.67091400387846301</x:v>
      </x:c>
      <x:c r="M50" s="1">
        <x:f t="shared" si="21"/>
        <x:v>0.69458128731893076</x:v>
      </x:c>
      <x:c r="N50" s="1">
        <x:v>3967.25486246744</x:v>
      </x:c>
      <x:c r="O50" s="1">
        <x:v>2004.97113402061</x:v>
      </x:c>
      <x:c r="P50" s="1">
        <x:f t="shared" si="22"/>
        <x:v>1.0418719309783961</x:v>
      </x:c>
      <x:c r="Q50" s="1">
        <x:f t="shared" si="23"/>
        <x:v>0.72366474704043449</x:v>
      </x:c>
      <x:c r="R50" s="1">
        <x:f t="shared" si="24"/>
        <x:v>3.446428439963968E-2</x:v>
      </x:c>
      <x:c r="S50" s="1">
        <x:f t="shared" si="25"/>
        <x:v>8.9200131784564433E-3</x:v>
      </x:c>
      <x:c r="T50" s="1">
        <x:f t="shared" si="26"/>
        <x:v>8.2895834146584385E-2</x:v>
      </x:c>
      <x:c r="U50">
        <x:f t="shared" si="27"/>
        <x:v>1.0710352217307349E-2</x:v>
      </x:c>
      <x:c r="AC50" s="1">
        <x:v>4000</x:v>
      </x:c>
      <x:c r="AD50" s="1">
        <x:v>2.0339999999999998</x:v>
      </x:c>
      <x:c r="AE50" s="1">
        <x:v>60</x:v>
      </x:c>
      <x:c r="AF50" s="1">
        <x:v>418.87902047863901</x:v>
      </x:c>
      <x:c r="AG50" s="1">
        <x:v>18.903127072932701</x:v>
      </x:c>
      <x:c r="AH50" s="1">
        <x:v>1.02509843284464E-2</x:v>
      </x:c>
      <x:c r="AI50" s="1">
        <x:v>1.02509843284464E-2</x:v>
      </x:c>
      <x:c r="AJ50" s="1">
        <x:v>7.7929936115647899E-2</x:v>
      </x:c>
      <x:c r="AK50" s="1">
        <x:v>6.1998776949854999E-2</x:v>
      </x:c>
      <x:c r="AL50" s="1">
        <x:v>1.2</x:v>
      </x:c>
      <x:c r="AM50" s="1">
        <x:v>1.5931159165792901E-2</x:v>
      </x:c>
      <x:c r="AN50" s="1">
        <x:v>2.7593577098619902E-2</x:v>
      </x:c>
      <x:c r="AO50" s="1">
        <x:v>9</x:v>
      </x:c>
      <x:c r="AP50" s="1" t="b">
        <x:v>1</x:v>
      </x:c>
      <x:c r="AQ50" s="1">
        <x:v>-25.1176400069272</x:v>
      </x:c>
      <x:c r="AR50" s="1">
        <x:v>9.3423211789021394</x:v>
      </x:c>
      <x:c r="AS50">
        <x:f t="shared" si="12"/>
        <x:v>7.9461210016920164E-2</x:v>
      </x:c>
      <x:c r="AT50">
        <x:f t="shared" si="13"/>
        <x:v>0.1000984251968504</x:v>
      </x:c>
    </x:row>
    <x:row r="51">
      <x:c r="A51" s="1">
        <x:v>1.31047951175017E-2</x:v>
      </x:c>
      <x:c r="B51" s="1">
        <x:f t="shared" si="14"/>
        <x:v>1.3567082234303866E-2</x:v>
      </x:c>
      <x:c r="C51" s="1">
        <x:v>0</x:v>
      </x:c>
      <x:c r="D51" s="1">
        <x:v>55.963963963963899</x:v>
      </x:c>
      <x:c r="E51" s="1">
        <x:f t="shared" si="15"/>
        <x:v>2.03506233514558E-2</x:v>
      </x:c>
      <x:c r="F51" s="1">
        <x:f t="shared" si="16"/>
        <x:v>2.7609858052854539E-4</x:v>
      </x:c>
      <x:c r="G51" s="1" t="e">
        <x:f t="shared" si="17"/>
        <x:v>#DIV/0!</x:v>
      </x:c>
      <x:c r="H51" s="1" t="e">
        <x:f t="shared" si="18"/>
        <x:v>#DIV/0!</x:v>
      </x:c>
      <x:c r="I51" s="1" t="e">
        <x:f t="shared" si="19"/>
        <x:v>#DIV/0!</x:v>
      </x:c>
      <x:c r="J51" t="e">
        <x:f t="shared" si="20"/>
        <x:v>#DIV/0!</x:v>
      </x:c>
      <x:c r="L51" s="1">
        <x:v>8.0392437073114803E-2</x:v>
      </x:c>
      <x:c r="M51" s="1">
        <x:f t="shared" si="21"/>
        <x:v>8.3228375186912243E-2</x:v>
      </x:c>
      <x:c r="N51" s="1">
        <x:v>3974.83813476562</x:v>
      </x:c>
      <x:c r="O51" s="1">
        <x:v>2023.4583333333301</x:v>
      </x:c>
      <x:c r="P51" s="1">
        <x:f t="shared" si="22"/>
        <x:v>0.12484256278036837</x:v>
      </x:c>
      <x:c r="Q51" s="1">
        <x:f t="shared" si="23"/>
        <x:v>1.0390443654380143E-2</x:v>
      </x:c>
      <x:c r="R51" s="1">
        <x:f t="shared" si="24"/>
        <x:v>4.1218127297620363E-3</x:v>
      </x:c>
      <x:c r="S51" s="1">
        <x:f t="shared" si="25"/>
        <x:v>1.0668036348084246E-3</x:v>
      </x:c>
      <x:c r="T51" s="1">
        <x:f t="shared" si="26"/>
        <x:v>8.3363894577283798E-2</x:v>
      </x:c>
      <x:c r="U51">
        <x:f t="shared" si="27"/>
        <x:v>1.0770826813206954E-2</x:v>
      </x:c>
      <x:c r="AC51" s="1">
        <x:v>4000</x:v>
      </x:c>
      <x:c r="AD51" s="1">
        <x:v>2.7120000000000002</x:v>
      </x:c>
      <x:c r="AE51" s="1">
        <x:v>60</x:v>
      </x:c>
      <x:c r="AF51" s="1">
        <x:v>418.87902047863901</x:v>
      </x:c>
      <x:c r="AG51" s="1">
        <x:v>18.689742604173102</x:v>
      </x:c>
      <x:c r="AH51" s="1">
        <x:v>1.0135267979677801E-2</x:v>
      </x:c>
      <x:c r="AI51" s="1">
        <x:v>1.0135267979677801E-2</x:v>
      </x:c>
      <x:c r="AJ51" s="1">
        <x:v>7.9244473235141999E-2</x:v>
      </x:c>
      <x:c r="AK51" s="1">
        <x:v>5.80029276807515E-2</x:v>
      </x:c>
      <x:c r="AL51" s="1">
        <x:v>1.2</x:v>
      </x:c>
      <x:c r="AM51" s="1">
        <x:v>2.1241545554390499E-2</x:v>
      </x:c>
      <x:c r="AN51" s="1">
        <x:v>3.6791436131493202E-2</x:v>
      </x:c>
      <x:c r="AO51" s="1">
        <x:v>7</x:v>
      </x:c>
      <x:c r="AP51" s="1" t="b">
        <x:v>1</x:v>
      </x:c>
      <x:c r="AQ51" s="1">
        <x:v>-27.138094927305001</x:v>
      </x:c>
      <x:c r="AR51" s="1">
        <x:v>8.9134680717528294</x:v>
      </x:c>
      <x:c r="AS51">
        <x:f t="shared" si="12"/>
        <x:v>7.8564226781234509E-2</x:v>
      </x:c>
      <x:c r="AT51">
        <x:f t="shared" si="13"/>
        <x:v>0.13346456692913386</x:v>
      </x:c>
    </x:row>
    <x:row r="52">
      <x:c r="E52" s="1"/>
      <x:c r="F52" s="1"/>
      <x:c r="G52" s="1"/>
      <x:c r="H52" s="1"/>
      <x:c r="I52" s="1"/>
      <x:c r="L52" s="1">
        <x:v>1.76898360833787E-2</x:v>
      </x:c>
      <x:c r="M52" s="1">
        <x:v>0</x:v>
      </x:c>
      <x:c r="N52" s="1" t="n">
        <x:f>M52/$B$27</x:f>
        <x:v>0</x:v>
      </x:c>
      <x:c r="O52" s="1">
        <x:v>53.004341534008603</x:v>
      </x:c>
      <x:c r="P52" s="1">
        <x:f t="shared" si="22"/>
        <x:v>0</x:v>
      </x:c>
      <x:c r="Q52" s="1" t="n">
        <x:f>M52*M52*1.5</x:f>
        <x:v>0</x:v>
      </x:c>
      <x:c r="R52" s="1" t="e">
        <x:f>P52/(N52/60)/0.4572</x:f>
        <x:v>#DIV/0!</x:v>
      </x:c>
      <x:c r="S52" s="1" t="e">
        <x:f>P52*SIN(RADIANS(15))/(N52/60)/0.4572</x:f>
        <x:v>#DIV/0!</x:v>
      </x:c>
      <x:c r="T52" s="1" t="e">
        <x:f t="shared" si="26"/>
        <x:v>#DIV/0!</x:v>
      </x:c>
      <x:c r="U52" t="e">
        <x:f t="shared" si="27"/>
        <x:v>#DIV/0!</x:v>
      </x:c>
      <x:c r="AC52" s="1">
        <x:v>4000</x:v>
      </x:c>
      <x:c r="AD52" s="1">
        <x:v>3.39</x:v>
      </x:c>
      <x:c r="AE52" s="1">
        <x:v>60</x:v>
      </x:c>
      <x:c r="AF52" s="1">
        <x:v>418.87902047863901</x:v>
      </x:c>
      <x:c r="AG52" s="1">
        <x:v>18.481365936991899</x:v>
      </x:c>
      <x:c r="AH52" s="1">
        <x:v>1.00222673136268E-2</x:v>
      </x:c>
      <x:c r="AI52" s="1">
        <x:v>1.00222673136268E-2</x:v>
      </x:c>
      <x:c r="AJ52" s="1">
        <x:v>8.0568677409736306E-2</x:v>
      </x:c>
      <x:c r="AK52" s="1">
        <x:v>5.4016745466748103E-2</x:v>
      </x:c>
      <x:c r="AL52" s="1">
        <x:v>1.2</x:v>
      </x:c>
      <x:c r="AM52" s="1">
        <x:v>2.6551931942988102E-2</x:v>
      </x:c>
      <x:c r="AN52" s="1">
        <x:v>4.5989295164366499E-2</x:v>
      </x:c>
      <x:c r="AO52" s="1">
        <x:v>5</x:v>
      </x:c>
      <x:c r="AP52" s="1" t="b">
        <x:v>1</x:v>
      </x:c>
      <x:c r="AQ52" s="1">
        <x:v>-29.5430417927234</x:v>
      </x:c>
      <x:c r="AR52" s="1">
        <x:v>8.5248118419938805</x:v>
      </x:c>
      <x:c r="AS52">
        <x:f t="shared" si="12"/>
        <x:v>7.7688294346901013E-2</x:v>
      </x:c>
      <x:c r="AT52">
        <x:f t="shared" si="13"/>
        <x:v>0.1668307086614173</x:v>
      </x:c>
    </x:row>
    <x:row r="53">
      <x:c r="AC53" s="1">
        <x:v>4000</x:v>
      </x:c>
      <x:c r="AD53" s="1">
        <x:v>4.0679999999999996</x:v>
      </x:c>
      <x:c r="AE53" s="1">
        <x:v>60</x:v>
      </x:c>
      <x:c r="AF53" s="1">
        <x:v>418.87902047863901</x:v>
      </x:c>
      <x:c r="AG53" s="1">
        <x:v>18.262373951584799</x:v>
      </x:c>
      <x:c r="AH53" s="1">
        <x:v>9.9035100624163801E-3</x:v>
      </x:c>
      <x:c r="AI53" s="1">
        <x:v>9.9035100624163801E-3</x:v>
      </x:c>
      <x:c r="AJ53" s="1">
        <x:v>8.1972028069212E-2</x:v>
      </x:c>
      <x:c r="AK53" s="1">
        <x:v>5.0109709737626199E-2</x:v>
      </x:c>
      <x:c r="AL53" s="1">
        <x:v>1.2</x:v>
      </x:c>
      <x:c r="AM53" s="1">
        <x:v>3.1862318331585801E-2</x:v>
      </x:c>
      <x:c r="AN53" s="1">
        <x:v>5.5187154197239803E-2</x:v>
      </x:c>
      <x:c r="AO53" s="1">
        <x:v>5</x:v>
      </x:c>
      <x:c r="AP53" s="1" t="b">
        <x:v>1</x:v>
      </x:c>
      <x:c r="AQ53" s="1">
        <x:v>-32.323524280799198</x:v>
      </x:c>
      <x:c r="AR53" s="1">
        <x:v>8.1893159821891803</x:v>
      </x:c>
      <x:c r="AS53">
        <x:f t="shared" si="12"/>
        <x:v>7.6767739346804406E-2</x:v>
      </x:c>
      <x:c r="AT53">
        <x:f t="shared" si="13"/>
        <x:v>0.2001968503937008</x:v>
      </x:c>
    </x:row>
    <x:row r="54">
      <x:c r="AC54" s="1">
        <x:v>4000</x:v>
      </x:c>
      <x:c r="AD54" s="1">
        <x:v>4.7460000000000004</x:v>
      </x:c>
      <x:c r="AE54" s="1">
        <x:v>60</x:v>
      </x:c>
      <x:c r="AF54" s="1">
        <x:v>418.87902047863901</x:v>
      </x:c>
      <x:c r="AG54" s="1">
        <x:v>18.024749314712899</x:v>
      </x:c>
      <x:c r="AH54" s="1">
        <x:v>9.77464850320303E-3</x:v>
      </x:c>
      <x:c r="AI54" s="1">
        <x:v>9.77464850320303E-3</x:v>
      </x:c>
      <x:c r="AJ54" s="1">
        <x:v>8.3517985876484901E-2</x:v>
      </x:c>
      <x:c r="AK54" s="1">
        <x:v>4.6345281156301397E-2</x:v>
      </x:c>
      <x:c r="AL54" s="1">
        <x:v>1.2</x:v>
      </x:c>
      <x:c r="AM54" s="1">
        <x:v>3.71727047201834E-2</x:v>
      </x:c>
      <x:c r="AN54" s="1">
        <x:v>6.43850132301131E-2</x:v>
      </x:c>
      <x:c r="AO54" s="1">
        <x:v>5</x:v>
      </x:c>
      <x:c r="AP54" s="1" t="b">
        <x:v>1</x:v>
      </x:c>
      <x:c r="AQ54" s="1">
        <x:v>-35.500738938900497</x:v>
      </x:c>
      <x:c r="AR54" s="1">
        <x:v>7.9013289198353096</x:v>
      </x:c>
      <x:c r="AS54">
        <x:f t="shared" si="12"/>
        <x:v>7.5768860108315544E-2</x:v>
      </x:c>
      <x:c r="AT54">
        <x:f t="shared" si="13"/>
        <x:v>0.23356299212598428</x:v>
      </x:c>
    </x:row>
    <x:row r="55">
      <x:c r="AC55" s="1">
        <x:v>4000</x:v>
      </x:c>
      <x:c r="AD55" s="1">
        <x:v>5.4240000000000004</x:v>
      </x:c>
      <x:c r="AE55" s="1">
        <x:v>60</x:v>
      </x:c>
      <x:c r="AF55" s="1">
        <x:v>418.87902047863901</x:v>
      </x:c>
      <x:c r="AG55" s="1">
        <x:v>17.756299492761801</x:v>
      </x:c>
      <x:c r="AH55" s="1">
        <x:v>9.6290707420645105E-3</x:v>
      </x:c>
      <x:c r="AI55" s="1">
        <x:v>9.6290707420645105E-3</x:v>
      </x:c>
      <x:c r="AJ55" s="1">
        <x:v>8.5238781606674904E-2</x:v>
      </x:c>
      <x:c r="AK55" s="1">
        <x:v>4.2755690497893802E-2</x:v>
      </x:c>
      <x:c r="AL55" s="1">
        <x:v>1.2</x:v>
      </x:c>
      <x:c r="AM55" s="1">
        <x:v>4.2483091108780999E-2</x:v>
      </x:c>
      <x:c r="AN55" s="1">
        <x:v>7.3582872262986404E-2</x:v>
      </x:c>
      <x:c r="AO55" s="1">
        <x:v>6</x:v>
      </x:c>
      <x:c r="AP55" s="1" t="b">
        <x:v>1</x:v>
      </x:c>
      <x:c r="AQ55" s="1">
        <x:v>-39.1012859415127</x:v>
      </x:c>
      <x:c r="AR55" s="1">
        <x:v>7.6551914183047103</x:v>
      </x:c>
      <x:c r="AS55">
        <x:f t="shared" si="12"/>
        <x:v>7.4640404080973818E-2</x:v>
      </x:c>
      <x:c r="AT55">
        <x:f t="shared" si="13"/>
        <x:v>0.26692913385826772</x:v>
      </x:c>
    </x:row>
    <x:row r="56">
      <x:c r="A56" s="3" t="s">
        <x:v>47</x:v>
      </x:c>
      <x:c r="B56" s="3"/>
      <x:c r="C56" s="3"/>
      <x:c r="L56" s="3" t="s">
        <x:v>48</x:v>
      </x:c>
      <x:c r="M56" s="3"/>
      <x:c r="N56" s="3"/>
      <x:c r="AC56" s="1">
        <x:v>4000</x:v>
      </x:c>
      <x:c r="AD56" s="1">
        <x:v>6.1020000000000003</x:v>
      </x:c>
      <x:c r="AE56" s="1">
        <x:v>60</x:v>
      </x:c>
      <x:c r="AF56" s="1">
        <x:v>418.87902047863901</x:v>
      </x:c>
      <x:c r="AG56" s="1">
        <x:v>17.4490477169389</x:v>
      </x:c>
      <x:c r="AH56" s="1">
        <x:v>9.4624510538670794E-3</x:v>
      </x:c>
      <x:c r="AI56" s="1">
        <x:v>9.4624510538670794E-3</x:v>
      </x:c>
      <x:c r="AJ56" s="1">
        <x:v>8.71541984097986E-2</x:v>
      </x:c>
      <x:c r="AK56" s="1">
        <x:v>3.9360720912419898E-2</x:v>
      </x:c>
      <x:c r="AL56" s="1">
        <x:v>1.2</x:v>
      </x:c>
      <x:c r="AM56" s="1">
        <x:v>4.7793477497378702E-2</x:v>
      </x:c>
      <x:c r="AN56" s="1">
        <x:v>8.2780731295859694E-2</x:v>
      </x:c>
      <x:c r="AO56" s="1">
        <x:v>7</x:v>
      </x:c>
      <x:c r="AP56" s="1" t="b">
        <x:v>1</x:v>
      </x:c>
      <x:c r="AQ56" s="1">
        <x:v>-43.109268465733798</x:v>
      </x:c>
      <x:c r="AR56" s="1">
        <x:v>7.4397357074360597</x:v>
      </x:c>
      <x:c r="AS56">
        <x:f t="shared" si="12"/>
        <x:v>7.3348840108910227E-2</x:v>
      </x:c>
      <x:c r="AT56">
        <x:f t="shared" si="13"/>
        <x:v>0.30029527559055119</x:v>
      </x:c>
    </x:row>
    <x:row r="57">
      <x:c r="A57" s="1" t="s">
        <x:v>3</x:v>
      </x:c>
      <x:c r="B57" s="1" t="s">
        <x:v>4</x:v>
      </x:c>
      <x:c r="C57" s="1" t="s">
        <x:v>5</x:v>
      </x:c>
      <x:c r="D57" s="1" t="s">
        <x:v>6</x:v>
      </x:c>
      <x:c r="E57" s="1" t="s">
        <x:v>7</x:v>
      </x:c>
      <x:c r="F57" s="1" t="s">
        <x:v>8</x:v>
      </x:c>
      <x:c r="G57" s="1" t="s">
        <x:v>9</x:v>
      </x:c>
      <x:c r="H57" s="1" t="s">
        <x:v>10</x:v>
      </x:c>
      <x:c r="I57" s="1" t="s">
        <x:v>11</x:v>
      </x:c>
      <x:c r="L57" s="1" t="s">
        <x:v>3</x:v>
      </x:c>
      <x:c r="M57" s="1" t="s">
        <x:v>4</x:v>
      </x:c>
      <x:c r="N57" s="1" t="s">
        <x:v>5</x:v>
      </x:c>
      <x:c r="O57" s="1" t="s">
        <x:v>6</x:v>
      </x:c>
      <x:c r="P57" s="1" t="s">
        <x:v>7</x:v>
      </x:c>
      <x:c r="Q57" s="1" t="s">
        <x:v>8</x:v>
      </x:c>
      <x:c r="R57" s="1" t="s">
        <x:v>9</x:v>
      </x:c>
      <x:c r="S57" s="1" t="s">
        <x:v>10</x:v>
      </x:c>
      <x:c r="T57" s="1" t="s">
        <x:v>11</x:v>
      </x:c>
      <x:c r="AC57" s="1">
        <x:v>4000</x:v>
      </x:c>
      <x:c r="AD57" s="1">
        <x:v>6.78</x:v>
      </x:c>
      <x:c r="AE57" s="1">
        <x:v>60</x:v>
      </x:c>
      <x:c r="AF57" s="1">
        <x:v>418.87902047863901</x:v>
      </x:c>
      <x:c r="AG57" s="1">
        <x:v>17.099427567687499</x:v>
      </x:c>
      <x:c r="AH57" s="1">
        <x:v>9.2728554035253399E-3</x:v>
      </x:c>
      <x:c r="AI57" s="1">
        <x:v>9.2728554035253399E-3</x:v>
      </x:c>
      <x:c r="AJ57" s="1">
        <x:v>8.9275430841464304E-2</x:v>
      </x:c>
      <x:c r="AK57" s="1">
        <x:v>3.6171566955488003E-2</x:v>
      </x:c>
      <x:c r="AL57" s="1">
        <x:v>1.2</x:v>
      </x:c>
      <x:c r="AM57" s="1">
        <x:v>5.31038638859763E-2</x:v>
      </x:c>
      <x:c r="AN57" s="1">
        <x:v>9.1978590328732998E-2</x:v>
      </x:c>
      <x:c r="AO57" s="1">
        <x:v>7</x:v>
      </x:c>
      <x:c r="AP57" s="1" t="b">
        <x:v>1</x:v>
      </x:c>
      <x:c r="AQ57" s="1">
        <x:v>-47.497244508454301</x:v>
      </x:c>
      <x:c r="AR57" s="1">
        <x:v>7.24557297285451</x:v>
      </x:c>
      <x:c r="AS57">
        <x:f t="shared" si="12"/>
        <x:v>7.187917638615017E-2</x:v>
      </x:c>
      <x:c r="AT57">
        <x:f t="shared" si="13"/>
        <x:v>0.33366141732283461</x:v>
      </x:c>
    </x:row>
    <x:row r="58">
      <x:c r="A58" s="1">
        <x:v>-2.38112417494722E-2</x:v>
      </x:c>
      <x:c r="B58" s="1">
        <x:v>0</x:v>
      </x:c>
      <x:c r="C58" s="1">
        <x:v>89.746898263027205</x:v>
      </x:c>
      <x:c r="D58" s="1" t="n">
        <x:f>-A58*1.5</x:f>
        <x:v>0.0357168626242083</x:v>
      </x:c>
      <x:c r="E58" s="1" t="n">
        <x:f>A58*A58*1.5</x:f>
        <x:v>0.0008504628504777119</x:v>
      </x:c>
      <x:c r="F58" s="1" t="e">
        <x:f>D58/(B58/60)/0.4572</x:f>
        <x:v>#DIV/0!</x:v>
      </x:c>
      <x:c r="G58" s="1" t="e">
        <x:f>D58*SIN(RADIANS(30))/(B58/60)/0.4572</x:f>
        <x:v>#DIV/0!</x:v>
      </x:c>
      <x:c r="H58" s="1" t="e">
        <x:f>(C58-$C$58)*9.8/1.205/(B58/60)^2/0.4572^4/1000</x:f>
        <x:v>#DIV/0!</x:v>
      </x:c>
      <x:c r="I58" t="e">
        <x:f>H58*4/(3.14^3)</x:f>
        <x:v>#DIV/0!</x:v>
      </x:c>
      <x:c r="L58" s="1">
        <x:v>-2.2953452472135701E-2</x:v>
      </x:c>
      <x:c r="M58" s="1">
        <x:v>0</x:v>
      </x:c>
      <x:c r="N58" s="1">
        <x:v>93.184251968503901</x:v>
      </x:c>
      <x:c r="O58" s="1" t="n">
        <x:f>-L58*1.5</x:f>
        <x:v>0.03443017870820355</x:v>
      </x:c>
      <x:c r="P58" s="1" t="n">
        <x:f>L58*L58*1.5</x:f>
        <x:v>0.0007902914705858889</x:v>
      </x:c>
      <x:c r="Q58" s="1" t="e">
        <x:f>O58/(M58/60)/0.4572</x:f>
        <x:v>#DIV/0!</x:v>
      </x:c>
      <x:c r="R58" s="1" t="e">
        <x:f>O58*SIN(RADIANS(30))/(M58/60)/0.4572</x:f>
        <x:v>#DIV/0!</x:v>
      </x:c>
      <x:c r="S58" s="1" t="e">
        <x:f>(N58-$N$58)*9.8/1.205/(M58/60)^2/0.4572^4/1000</x:f>
        <x:v>#DIV/0!</x:v>
      </x:c>
      <x:c r="T58" t="e">
        <x:f>S58*4/(3.14^3)</x:f>
        <x:v>#DIV/0!</x:v>
      </x:c>
      <x:c r="AC58" s="1">
        <x:v>4000</x:v>
      </x:c>
      <x:c r="AD58" s="1">
        <x:v>0</x:v>
      </x:c>
      <x:c r="AE58" s="1">
        <x:v>75</x:v>
      </x:c>
      <x:c r="AF58" s="1">
        <x:v>418.87902047863901</x:v>
      </x:c>
      <x:c r="AG58" s="1">
        <x:v>19.865562886380101</x:v>
      </x:c>
      <x:c r="AH58" s="1">
        <x:v>1.0772904030023799E-2</x:v>
      </x:c>
      <x:c r="AI58" s="1">
        <x:v>1.0772904030023799E-2</x:v>
      </x:c>
      <x:c r="AJ58" s="1">
        <x:v>7.3392452030601199E-2</x:v>
      </x:c>
      <x:c r="AK58" s="1">
        <x:v>7.3392452030601199E-2</x:v>
      </x:c>
      <x:c r="AL58" s="1">
        <x:v>0</x:v>
      </x:c>
      <x:c r="AM58" s="1">
        <x:v>0</x:v>
      </x:c>
      <x:c r="AN58" s="1">
        <x:v>0</x:v>
      </x:c>
      <x:c r="AO58" s="1">
        <x:v>11</x:v>
      </x:c>
      <x:c r="AP58" s="1" t="b">
        <x:v>1</x:v>
      </x:c>
      <x:c r="AQ58" s="1">
        <x:v>-17.867276538471401</x:v>
      </x:c>
      <x:c r="AR58" s="1">
        <x:v>5.9935220837512704</x:v>
      </x:c>
      <x:c r="AS58">
        <x:f t="shared" si="12"/>
        <x:v>8.350690647788582E-2</x:v>
      </x:c>
      <x:c r="AT58">
        <x:f t="shared" si="13"/>
        <x:v>0</x:v>
      </x:c>
    </x:row>
    <x:row r="59">
      <x:c r="A59" s="1">
        <x:v>-7.4431513674939206E-2</x:v>
      </x:c>
      <x:c r="B59" s="1">
        <x:v>4042.4691122731801</x:v>
      </x:c>
      <x:c r="C59" s="1">
        <x:v>2176.2884615384601</x:v>
      </x:c>
      <x:c r="D59" s="1" t="n">
        <x:f t="shared" ref="D59:D80" si="28">-A59*1.5</x:f>
        <x:v>0.1116472705124088</x:v>
      </x:c>
      <x:c r="E59" s="1" t="n">
        <x:f t="shared" ref="E59:E80" si="29">A59*A59*1.5</x:f>
        <x:v>0.008310075341913994</x:v>
      </x:c>
      <x:c r="F59" s="1" t="n">
        <x:f t="shared" ref="F59:F80" si="30">D59/(B59/60)/0.4572</x:f>
        <x:v>0.003624486016769641</x:v>
      </x:c>
      <x:c r="G59" s="1" t="n">
        <x:f t="shared" ref="G59:G80" si="31">D59*SIN(RADIANS(30))/(B59/60)/0.4572</x:f>
        <x:v>0.0018122430083848202</x:v>
      </x:c>
      <x:c r="H59" s="1" t="n">
        <x:f t="shared" ref="H59:H80" si="32">(C59-$C$58)*9.8/1.205/(B59/60)^2/0.4572^4/1000</x:f>
        <x:v>0.08555595873644098</x:v>
      </x:c>
      <x:c r="I59" t="n">
        <x:f t="shared" ref="I59:I80" si="33">H59*4/(3.14^3)</x:f>
        <x:v>0.011054047067508194</x:v>
      </x:c>
      <x:c r="L59" s="1">
        <x:v>-6.53246062448119E-2</x:v>
      </x:c>
      <x:c r="M59" s="1">
        <x:v>4070.9828091325398</x:v>
      </x:c>
      <x:c r="N59" s="1">
        <x:v>2172.6099173553698</x:v>
      </x:c>
      <x:c r="O59" s="1" t="n">
        <x:f t="shared" ref="O59:O80" si="34">-L59*1.5</x:f>
        <x:v>0.09798690936721785</x:v>
      </x:c>
      <x:c r="P59" s="1" t="n">
        <x:f t="shared" ref="P59:P80" si="35">L59*L59*1.5</x:f>
        <x:v>0.006400956271559578</x:v>
      </x:c>
      <x:c r="Q59" s="1" t="n">
        <x:f t="shared" ref="Q59:Q80" si="36">O59/(M59/60)/0.4572</x:f>
        <x:v>0.0031587395625431837</x:v>
      </x:c>
      <x:c r="R59" s="1" t="n">
        <x:f t="shared" ref="R59:R80" si="37">O59*SIN(RADIANS(30))/(M59/60)/0.4572</x:f>
        <x:v>0.0015793697812715914</x:v>
      </x:c>
      <x:c r="S59" s="1" t="n">
        <x:f t="shared" ref="S59:S80" si="38">(N59-$N$58)*9.8/1.205/(M59/60)^2/0.4572^4/1000</x:f>
        <x:v>0.08407396037631049</x:v>
      </x:c>
      <x:c r="T59" t="n">
        <x:f t="shared" ref="T59:T80" si="39">S59*4/(3.14^3)</x:f>
        <x:v>0.01086256911706738</x:v>
      </x:c>
      <x:c r="AC59" s="1">
        <x:v>4000</x:v>
      </x:c>
      <x:c r="AD59" s="1">
        <x:v>0.67800000000000005</x:v>
      </x:c>
      <x:c r="AE59" s="1">
        <x:v>75</x:v>
      </x:c>
      <x:c r="AF59" s="1">
        <x:v>418.87902047863901</x:v>
      </x:c>
      <x:c r="AG59" s="1">
        <x:v>19.672989512298201</x:v>
      </x:c>
      <x:c r="AH59" s="1">
        <x:v>1.06684733380979E-2</x:v>
      </x:c>
      <x:c r="AI59" s="1">
        <x:v>1.06684733380979E-2</x:v>
      </x:c>
      <x:c r="AJ59" s="1">
        <x:v>7.4077240846194506E-2</x:v>
      </x:c>
      <x:c r="AK59" s="1">
        <x:v>7.1328382577749996E-2</x:v>
      </x:c>
      <x:c r="AL59" s="1">
        <x:v>1.2</x:v>
      </x:c>
      <x:c r="AM59" s="1">
        <x:v>2.7488582684445199E-3</x:v>
      </x:c>
      <x:c r="AN59" s="1">
        <x:v>1.0258878720640701E-2</x:v>
      </x:c>
      <x:c r="AO59" s="1">
        <x:v>11</x:v>
      </x:c>
      <x:c r="AP59" s="1" t="b">
        <x:v>1</x:v>
      </x:c>
      <x:c r="AQ59" s="1">
        <x:v>-22.254564067322899</x:v>
      </x:c>
      <x:c r="AR59" s="1">
        <x:v>10.5983881247603</x:v>
      </x:c>
      <x:c r="AS59">
        <x:f t="shared" si="12"/>
        <x:v>8.2697404787369255E-2</x:v>
      </x:c>
      <x:c r="AT59">
        <x:f t="shared" si="13"/>
        <x:v>3.3366141732283465E-2</x:v>
      </x:c>
    </x:row>
    <x:row r="60">
      <x:c r="A60" s="1">
        <x:v>-0.684696878203087</x:v>
      </x:c>
      <x:c r="B60" s="1">
        <x:v>4065.7984829606598</x:v>
      </x:c>
      <x:c r="C60" s="1">
        <x:v>2124.7261698440202</x:v>
      </x:c>
      <x:c r="D60" s="1">
        <x:f t="shared" si="28"/>
        <x:v>1.0270453173046306</x:v>
      </x:c>
      <x:c r="E60" s="1">
        <x:f t="shared" si="29"/>
        <x:v>0.70321472253157946</x:v>
      </x:c>
      <x:c r="F60" s="1">
        <x:f t="shared" si="30"/>
        <x:v>3.3150400986384033E-2</x:v>
      </x:c>
      <x:c r="G60" s="1">
        <x:f t="shared" si="31"/>
        <x:v>1.6575200493192013E-2</x:v>
      </x:c>
      <x:c r="H60" s="1">
        <x:f t="shared" si="32"/>
        <x:v>8.2486890721050671E-2</x:v>
      </x:c>
      <x:c r="I60">
        <x:f t="shared" si="33"/>
        <x:v>1.0657515688554007E-2</x:v>
      </x:c>
      <x:c r="L60" s="1">
        <x:v>-0.67136252491638504</x:v>
      </x:c>
      <x:c r="M60" s="1">
        <x:v>4043.3085088315202</x:v>
      </x:c>
      <x:c r="N60" s="1">
        <x:v>2131.8706896551698</x:v>
      </x:c>
      <x:c r="O60" s="1">
        <x:f t="shared" si="34"/>
        <x:v>1.0070437873745774</x:v>
      </x:c>
      <x:c r="P60" s="1">
        <x:f t="shared" si="35"/>
        <x:v>0.67609145979315555</x:v>
      </x:c>
      <x:c r="Q60" s="1">
        <x:f t="shared" si="36"/>
        <x:v>3.2685603153229964E-2</x:v>
      </x:c>
      <x:c r="R60" s="1">
        <x:f t="shared" si="37"/>
        <x:v>1.6342801576614979E-2</x:v>
      </x:c>
      <x:c r="S60" s="1">
        <x:f t="shared" si="38"/>
        <x:v>8.3559015987208121E-2</x:v>
      </x:c>
      <x:c r="T60">
        <x:f t="shared" si="39"/>
        <x:v>1.079603699471899E-2</x:v>
      </x:c>
      <x:c r="AC60" s="1">
        <x:v>4000</x:v>
      </x:c>
      <x:c r="AD60" s="1">
        <x:v>1.3560000000000001</x:v>
      </x:c>
      <x:c r="AE60" s="1">
        <x:v>75</x:v>
      </x:c>
      <x:c r="AF60" s="1">
        <x:v>418.87902047863901</x:v>
      </x:c>
      <x:c r="AG60" s="1">
        <x:v>19.653482642696101</x:v>
      </x:c>
      <x:c r="AH60" s="1">
        <x:v>1.0657894949992299E-2</x:v>
      </x:c>
      <x:c r="AI60" s="1">
        <x:v>1.0657894949992299E-2</x:v>
      </x:c>
      <x:c r="AJ60" s="1">
        <x:v>7.4478342217446494E-2</x:v>
      </x:c>
      <x:c r="AK60" s="1">
        <x:v>6.8980625680557406E-2</x:v>
      </x:c>
      <x:c r="AL60" s="1">
        <x:v>1.2</x:v>
      </x:c>
      <x:c r="AM60" s="1">
        <x:v>5.4977165368890503E-3</x:v>
      </x:c>
      <x:c r="AN60" s="1">
        <x:v>2.0517757441281499E-2</x:v>
      </x:c>
      <x:c r="AO60" s="1">
        <x:v>11</x:v>
      </x:c>
      <x:c r="AP60" s="1" t="b">
        <x:v>1</x:v>
      </x:c>
      <x:c r="AQ60" s="1">
        <x:v>-23.2943582461135</x:v>
      </x:c>
      <x:c r="AR60" s="1">
        <x:v>10.3929891457586</x:v>
      </x:c>
      <x:c r="AS60">
        <x:f t="shared" si="12"/>
        <x:v>8.2615405684457063E-2</x:v>
      </x:c>
      <x:c r="AT60">
        <x:f t="shared" si="13"/>
        <x:v>6.673228346456693E-2</x:v>
      </x:c>
    </x:row>
    <x:row r="61">
      <x:c r="A61" s="1">
        <x:v>-1.37248683773822</x:v>
      </x:c>
      <x:c r="B61" s="1">
        <x:v>4043.07909138997</x:v>
      </x:c>
      <x:c r="C61" s="1">
        <x:v>2083.5052410901399</x:v>
      </x:c>
      <x:c r="D61" s="1">
        <x:f t="shared" si="28"/>
        <x:v>2.0587302566073298</x:v>
      </x:c>
      <x:c r="E61" s="1">
        <x:f t="shared" si="29"/>
        <x:v>2.8255801796469888</x:v>
      </x:c>
      <x:c r="F61" s="1">
        <x:f t="shared" si="30"/>
        <x:v>6.6823964669222927E-2</x:v>
      </x:c>
      <x:c r="G61" s="1">
        <x:f t="shared" si="31"/>
        <x:v>3.3411982334611456E-2</x:v>
      </x:c>
      <x:c r="H61" s="1">
        <x:f t="shared" si="32"/>
        <x:v>8.1726836040518364E-2</x:v>
      </x:c>
      <x:c r="I61">
        <x:f t="shared" si="33"/>
        <x:v>1.0559314694297538E-2</x:v>
      </x:c>
      <x:c r="L61" s="1">
        <x:v>-1.3584671016959899</x:v>
      </x:c>
      <x:c r="M61" s="1">
        <x:v>4058.9100156841801</x:v>
      </x:c>
      <x:c r="N61" s="1">
        <x:v>2086.9910447761099</x:v>
      </x:c>
      <x:c r="O61" s="1">
        <x:f t="shared" si="34"/>
        <x:v>2.0377006525439851</x:v>
      </x:c>
      <x:c r="P61" s="1">
        <x:f t="shared" si="35"/>
        <x:v>2.7681492995854544</x:v>
      </x:c>
      <x:c r="Q61" s="1">
        <x:f t="shared" si="36"/>
        <x:v>6.5883397947994943E-2</x:v>
      </x:c>
      <x:c r="R61" s="1">
        <x:f t="shared" si="37"/>
        <x:v>3.2941698973997464E-2</x:v>
      </x:c>
      <x:c r="S61" s="1">
        <x:f t="shared" si="38"/>
        <x:v>8.1092533210024451E-2</x:v>
      </x:c>
      <x:c r="T61">
        <x:f t="shared" si="39"/>
        <x:v>1.0477361158309086E-2</x:v>
      </x:c>
      <x:c r="AC61" s="1">
        <x:v>4000</x:v>
      </x:c>
      <x:c r="AD61" s="1">
        <x:v>2.0339999999999998</x:v>
      </x:c>
      <x:c r="AE61" s="1">
        <x:v>75</x:v>
      </x:c>
      <x:c r="AF61" s="1">
        <x:v>418.87902047863901</x:v>
      </x:c>
      <x:c r="AG61" s="1">
        <x:v>19.730598225627801</x:v>
      </x:c>
      <x:c r="AH61" s="1">
        <x:v>1.0699713990252799E-2</x:v>
      </x:c>
      <x:c r="AI61" s="1">
        <x:v>1.0699713990252799E-2</x:v>
      </x:c>
      <x:c r="AJ61" s="1">
        <x:v>7.4566163995544693E-2</x:v>
      </x:c>
      <x:c r="AK61" s="1">
        <x:v>6.6319589190211095E-2</x:v>
      </x:c>
      <x:c r="AL61" s="1">
        <x:v>1.2</x:v>
      </x:c>
      <x:c r="AM61" s="1">
        <x:v>8.2465748053335806E-3</x:v>
      </x:c>
      <x:c r="AN61" s="1">
        <x:v>3.0776636161922302E-2</x:v>
      </x:c>
      <x:c r="AO61" s="1">
        <x:v>9</x:v>
      </x:c>
      <x:c r="AP61" s="1" t="b">
        <x:v>1</x:v>
      </x:c>
      <x:c r="AQ61" s="1">
        <x:v>-24.771771650020899</x:v>
      </x:c>
      <x:c r="AR61" s="1">
        <x:v>10.2448032808842</x:v>
      </x:c>
      <x:c r="AS61">
        <x:f t="shared" si="12"/>
        <x:v>8.2939568851073592E-2</x:v>
      </x:c>
      <x:c r="AT61">
        <x:f t="shared" si="13"/>
        <x:v>0.1000984251968504</x:v>
      </x:c>
    </x:row>
    <x:row r="62">
      <x:c r="A62" s="1">
        <x:v>-2.0576950455153402</x:v>
      </x:c>
      <x:c r="B62" s="1">
        <x:v>4045.1822567894301</x:v>
      </x:c>
      <x:c r="C62" s="1">
        <x:v>2057.2529002320098</x:v>
      </x:c>
      <x:c r="D62" s="1">
        <x:f t="shared" si="28"/>
        <x:v>3.0865425682730105</x:v>
      </x:c>
      <x:c r="E62" s="1">
        <x:f t="shared" si="29"/>
        <x:v>6.3511633505075675</x:v>
      </x:c>
      <x:c r="F62" s="1">
        <x:f t="shared" si="30"/>
        <x:v>0.10013345607506444</x:v>
      </x:c>
      <x:c r="G62" s="1">
        <x:f t="shared" si="31"/>
        <x:v>5.0066728037532211E-2</x:v>
      </x:c>
      <x:c r="H62" s="1">
        <x:f t="shared" si="32"/>
        <x:v>8.0566875468759569E-2</x:v>
      </x:c>
      <x:c r="I62">
        <x:f t="shared" si="33"/>
        <x:v>1.040944484366358E-2</x:v>
      </x:c>
      <x:c r="L62" s="1">
        <x:v>-2.0444771856456598</x:v>
      </x:c>
      <x:c r="M62" s="1">
        <x:v>4037.61574628276</x:v>
      </x:c>
      <x:c r="N62" s="1">
        <x:v>2062.7613636363599</x:v>
      </x:c>
      <x:c r="O62" s="1">
        <x:f t="shared" si="34"/>
        <x:v>3.06671577846849</x:v>
      </x:c>
      <x:c r="P62" s="1">
        <x:f t="shared" si="35"/>
        <x:v>6.2698304439383961</x:v>
      </x:c>
      <x:c r="Q62" s="1">
        <x:f t="shared" si="36"/>
        <x:v>9.967668153591587E-2</x:v>
      </x:c>
      <x:c r="R62" s="1">
        <x:f t="shared" si="37"/>
        <x:v>4.9838340767957928E-2</x:v>
      </x:c>
      <x:c r="S62" s="1">
        <x:f t="shared" si="38"/>
        <x:v>8.0954251281898162E-2</x:v>
      </x:c>
      <x:c r="T62">
        <x:f t="shared" si="39"/>
        <x:v>1.0459494782142318E-2</x:v>
      </x:c>
      <x:c r="AC62" s="1">
        <x:v>4000</x:v>
      </x:c>
      <x:c r="AD62" s="1">
        <x:v>2.7120000000000002</x:v>
      </x:c>
      <x:c r="AE62" s="1">
        <x:v>75</x:v>
      </x:c>
      <x:c r="AF62" s="1">
        <x:v>418.87902047863901</x:v>
      </x:c>
      <x:c r="AG62" s="1">
        <x:v>19.882660138909198</x:v>
      </x:c>
      <x:c r="AH62" s="1">
        <x:v>1.0782175705924799E-2</x:v>
      </x:c>
      <x:c r="AI62" s="1">
        <x:v>1.0782175705924799E-2</x:v>
      </x:c>
      <x:c r="AJ62" s="1">
        <x:v>7.4427264425453707E-2</x:v>
      </x:c>
      <x:c r="AK62" s="1">
        <x:v>6.3431831351675599E-2</x:v>
      </x:c>
      <x:c r="AL62" s="1">
        <x:v>1.2</x:v>
      </x:c>
      <x:c r="AM62" s="1">
        <x:v>1.0995433073778101E-2</x:v>
      </x:c>
      <x:c r="AN62" s="1">
        <x:v>4.1035514882563101E-2</x:v>
      </x:c>
      <x:c r="AO62" s="1">
        <x:v>8</x:v>
      </x:c>
      <x:c r="AP62" s="1" t="b">
        <x:v>1</x:v>
      </x:c>
      <x:c r="AQ62" s="1">
        <x:v>-26.624274458591099</x:v>
      </x:c>
      <x:c r="AR62" s="1">
        <x:v>10.150104258379001</x:v>
      </x:c>
      <x:c r="AS62">
        <x:f t="shared" si="12"/>
        <x:v>8.3578776511277028E-2</x:v>
      </x:c>
      <x:c r="AT62">
        <x:f t="shared" si="13"/>
        <x:v>0.13346456692913386</x:v>
      </x:c>
    </x:row>
    <x:row r="63">
      <x:c r="A63" s="1">
        <x:v>-2.74590690895519</x:v>
      </x:c>
      <x:c r="B63" s="1">
        <x:v>4054.6236519191498</x:v>
      </x:c>
      <x:c r="C63" s="1">
        <x:v>2036.5818584070701</x:v>
      </x:c>
      <x:c r="D63" s="1">
        <x:f t="shared" si="28"/>
        <x:v>4.1188603634327849</x:v>
      </x:c>
      <x:c r="E63" s="1">
        <x:f t="shared" si="29"/>
        <x:v>11.310007128971769</x:v>
      </x:c>
      <x:c r="F63" s="1">
        <x:f t="shared" si="30"/>
        <x:v>0.1333127072934856</x:v>
      </x:c>
      <x:c r="G63" s="1">
        <x:f t="shared" si="31"/>
        <x:v>6.6656353646742786E-2</x:v>
      </x:c>
      <x:c r="H63" s="1">
        <x:f t="shared" si="32"/>
        <x:v>7.9349588750221633E-2</x:v>
      </x:c>
      <x:c r="I63">
        <x:f t="shared" si="33"/>
        <x:v>1.0252168309333311E-2</x:v>
      </x:c>
      <x:c r="L63" s="1">
        <x:v>-2.8033989362938398</x:v>
      </x:c>
      <x:c r="M63" s="1">
        <x:v>4013.67787272135</x:v>
      </x:c>
      <x:c r="N63" s="1">
        <x:v>2027.80897009966</x:v>
      </x:c>
      <x:c r="O63" s="1">
        <x:f t="shared" si="34"/>
        <x:v>4.2050984044407596</x:v>
      </x:c>
      <x:c r="P63" s="1">
        <x:f t="shared" si="35"/>
        <x:v>11.78856839402015</x:v>
      </x:c>
      <x:c r="Q63" s="1">
        <x:f t="shared" si="36"/>
        <x:v>0.13749239520700399</x:v>
      </x:c>
      <x:c r="R63" s="1">
        <x:f t="shared" si="37"/>
        <x:v>6.874619760350198E-2</x:v>
      </x:c>
      <x:c r="S63" s="1">
        <x:f t="shared" si="38"/>
        <x:v>8.0468952240164773E-2</x:v>
      </x:c>
      <x:c r="T63">
        <x:f t="shared" si="39"/>
        <x:v>1.0396792913933896E-2</x:v>
      </x:c>
      <x:c r="AC63" s="1">
        <x:v>4000</x:v>
      </x:c>
      <x:c r="AD63" s="1">
        <x:v>3.39</x:v>
      </x:c>
      <x:c r="AE63" s="1">
        <x:v>75</x:v>
      </x:c>
      <x:c r="AF63" s="1">
        <x:v>418.87902047863901</x:v>
      </x:c>
      <x:c r="AG63" s="1">
        <x:v>20.0854228242343</x:v>
      </x:c>
      <x:c r="AH63" s="1">
        <x:v>1.08921319635134E-2</x:v>
      </x:c>
      <x:c r="AI63" s="1">
        <x:v>1.08921319635134E-2</x:v>
      </x:c>
      <x:c r="AJ63" s="1">
        <x:v>7.4147852870518796E-2</x:v>
      </x:c>
      <x:c r="AK63" s="1">
        <x:v>6.04035615282962E-2</x:v>
      </x:c>
      <x:c r="AL63" s="1">
        <x:v>1.2</x:v>
      </x:c>
      <x:c r="AM63" s="1">
        <x:v>1.37442913422226E-2</x:v>
      </x:c>
      <x:c r="AN63" s="1">
        <x:v>5.1294393603203897E-2</x:v>
      </x:c>
      <x:c r="AO63" s="1">
        <x:v>6</x:v>
      </x:c>
      <x:c r="AP63" s="1" t="b">
        <x:v>1</x:v>
      </x:c>
      <x:c r="AQ63" s="1">
        <x:v>-28.8445767314035</x:v>
      </x:c>
      <x:c r="AR63" s="1">
        <x:v>10.1090960853713</x:v>
      </x:c>
      <x:c r="AS63">
        <x:f t="shared" si="12"/>
        <x:v>8.4431110004039925E-2</x:v>
      </x:c>
      <x:c r="AT63">
        <x:f t="shared" si="13"/>
        <x:v>0.1668307086614173</x:v>
      </x:c>
    </x:row>
    <x:row r="64">
      <x:c r="A64" s="1">
        <x:v>-3.4290672767994002</x:v>
      </x:c>
      <x:c r="B64" s="1">
        <x:v>4005.8814174107101</x:v>
      </x:c>
      <x:c r="C64" s="1">
        <x:v>1993.81670533642</x:v>
      </x:c>
      <x:c r="D64" s="1">
        <x:f t="shared" si="28"/>
        <x:v>5.1436009151990998</x:v>
      </x:c>
      <x:c r="E64" s="1">
        <x:f t="shared" si="29"/>
        <x:v>17.637753583224683</x:v>
      </x:c>
      <x:c r="F64" s="1">
        <x:f t="shared" si="30"/>
        <x:v>0.16850554800015982</x:v>
      </x:c>
      <x:c r="G64" s="1">
        <x:f t="shared" si="31"/>
        <x:v>8.4252774000079897E-2</x:v>
      </x:c>
      <x:c r="H64" s="1">
        <x:f t="shared" si="32"/>
        <x:v>7.9506627295848092E-2</x:v>
      </x:c>
      <x:c r="I64">
        <x:f t="shared" si="33"/>
        <x:v>1.0272458088098055E-2</x:v>
      </x:c>
      <x:c r="L64" s="1">
        <x:v>-3.4235117950681899</x:v>
      </x:c>
      <x:c r="M64" s="1">
        <x:v>4033.18653405231</x:v>
      </x:c>
      <x:c r="N64" s="1">
        <x:v>1991.06355932203</x:v>
      </x:c>
      <x:c r="O64" s="1">
        <x:f t="shared" si="34"/>
        <x:v>5.1352676926022847</x:v>
      </x:c>
      <x:c r="P64" s="1">
        <x:f t="shared" si="35"/>
        <x:v>17.580649516456528</x:v>
      </x:c>
      <x:c r="Q64" s="1">
        <x:f t="shared" si="36"/>
        <x:v>0.1670935968392584</x:v>
      </x:c>
      <x:c r="R64" s="1">
        <x:f t="shared" si="37"/>
        <x:v>8.354679841962917E-2</x:v>
      </x:c>
      <x:c r="S64" s="1">
        <x:f t="shared" si="38"/>
        <x:v>7.817873094162231E-2</x:v>
      </x:c>
      <x:c r="T64">
        <x:f t="shared" si="39"/>
        <x:v>1.0100890508035016E-2</x:v>
      </x:c>
      <x:c r="AC64" s="1">
        <x:v>4000</x:v>
      </x:c>
      <x:c r="AD64" s="1">
        <x:v>4.0679999999999996</x:v>
      </x:c>
      <x:c r="AE64" s="1">
        <x:v>75</x:v>
      </x:c>
      <x:c r="AF64" s="1">
        <x:v>418.87902047863901</x:v>
      </x:c>
      <x:c r="AG64" s="1">
        <x:v>20.3139087891341</x:v>
      </x:c>
      <x:c r="AH64" s="1">
        <x:v>1.1016037708653901E-2</x:v>
      </x:c>
      <x:c r="AI64" s="1">
        <x:v>1.1016037708653901E-2</x:v>
      </x:c>
      <x:c r="AJ64" s="1">
        <x:v>7.3805869697564697E-2</x:v>
      </x:c>
      <x:c r="AK64" s="1">
        <x:v>5.7312720086897501E-2</x:v>
      </x:c>
      <x:c r="AL64" s="1">
        <x:v>1.2</x:v>
      </x:c>
      <x:c r="AM64" s="1">
        <x:v>1.6493149610667099E-2</x:v>
      </x:c>
      <x:c r="AN64" s="1">
        <x:v>6.1553272323844603E-2</x:v>
      </x:c>
      <x:c r="AO64" s="1">
        <x:v>5</x:v>
      </x:c>
      <x:c r="AP64" s="1" t="b">
        <x:v>1</x:v>
      </x:c>
      <x:c r="AQ64" s="1">
        <x:v>-31.453148262258999</x:v>
      </x:c>
      <x:c r="AR64" s="1">
        <x:v>10.105590281387901</x:v>
      </x:c>
      <x:c r="AS64">
        <x:f t="shared" si="12"/>
        <x:v>8.5391573908914942E-2</x:v>
      </x:c>
      <x:c r="AT64">
        <x:f t="shared" si="13"/>
        <x:v>0.2001968503937008</x:v>
      </x:c>
    </x:row>
    <x:row r="65">
      <x:c r="A65" s="1">
        <x:v>-4.1182733172670396</x:v>
      </x:c>
      <x:c r="B65" s="1">
        <x:v>4030.8677571614498</x:v>
      </x:c>
      <x:c r="C65" s="1">
        <x:v>1939.4735632183899</x:v>
      </x:c>
      <x:c r="D65" s="1">
        <x:f t="shared" si="28"/>
        <x:v>6.1774099759005594</x:v>
      </x:c>
      <x:c r="E65" s="1">
        <x:f t="shared" si="29"/>
        <x:v>25.440262673570501</x:v>
      </x:c>
      <x:c r="F65" s="1">
        <x:f t="shared" si="30"/>
        <x:v>0.20111890856036188</x:v>
      </x:c>
      <x:c r="G65" s="1">
        <x:f t="shared" si="31"/>
        <x:v>0.10055945428018093</x:v>
      </x:c>
      <x:c r="H65" s="1">
        <x:f t="shared" si="32"/>
        <x:v>7.6282883204812246E-2</x:v>
      </x:c>
      <x:c r="I65">
        <x:f t="shared" si="33"/>
        <x:v>9.8559421674982023E-3</x:v>
      </x:c>
      <x:c r="L65" s="1">
        <x:v>-4.1136668591800296</x:v>
      </x:c>
      <x:c r="M65" s="1">
        <x:v>4017.9567382812502</x:v>
      </x:c>
      <x:c r="N65" s="1">
        <x:v>1960.9949999999999</x:v>
      </x:c>
      <x:c r="O65" s="1">
        <x:f t="shared" si="34"/>
        <x:v>6.1705002887700449</x:v>
      </x:c>
      <x:c r="P65" s="1">
        <x:f t="shared" si="35"/>
        <x:v>25.383382542474138</x:v>
      </x:c>
      <x:c r="Q65" s="1">
        <x:f t="shared" si="36"/>
        <x:v>0.20153948723944359</x:v>
      </x:c>
      <x:c r="R65" s="1">
        <x:f t="shared" si="37"/>
        <x:v>0.10076974361972178</x:v>
      </x:c>
      <x:c r="S65" s="1">
        <x:f t="shared" si="38"/>
        <x:v>7.7524504678821951E-2</x:v>
      </x:c>
      <x:c r="T65">
        <x:f t="shared" si="39"/>
        <x:v>1.0016362814013455E-2</x:v>
      </x:c>
      <x:c r="AC65" s="1">
        <x:v>4000</x:v>
      </x:c>
      <x:c r="AD65" s="1">
        <x:v>4.7460000000000004</x:v>
      </x:c>
      <x:c r="AE65" s="1">
        <x:v>75</x:v>
      </x:c>
      <x:c r="AF65" s="1">
        <x:v>418.87902047863901</x:v>
      </x:c>
      <x:c r="AG65" s="1">
        <x:v>20.552452754695199</x:v>
      </x:c>
      <x:c r="AH65" s="1">
        <x:v>1.11453978109893E-2</x:v>
      </x:c>
      <x:c r="AI65" s="1">
        <x:v>1.11453978109893E-2</x:v>
      </x:c>
      <x:c r="AJ65" s="1">
        <x:v>7.3480573210156802E-2</x:v>
      </x:c>
      <x:c r="AK65" s="1">
        <x:v>5.4238565331045097E-2</x:v>
      </x:c>
      <x:c r="AL65" s="1">
        <x:v>1.2</x:v>
      </x:c>
      <x:c r="AM65" s="1">
        <x:v>1.9242007879111601E-2</x:v>
      </x:c>
      <x:c r="AN65" s="1">
        <x:v>7.1812151044485406E-2</x:v>
      </x:c>
      <x:c r="AO65" s="1">
        <x:v>4</x:v>
      </x:c>
      <x:c r="AP65" s="1" t="b">
        <x:v>1</x:v>
      </x:c>
      <x:c r="AQ65" s="1">
        <x:v>-34.540283069247501</x:v>
      </x:c>
      <x:c r="AR65" s="1">
        <x:v>10.1300371933512</x:v>
      </x:c>
      <x:c r="AS65">
        <x:f t="shared" si="12"/>
        <x:v>8.6394317638700868E-2</x:v>
      </x:c>
      <x:c r="AT65">
        <x:f t="shared" si="13"/>
        <x:v>0.23356299212598428</x:v>
      </x:c>
    </x:row>
    <x:row r="66">
      <x:c r="A66" s="1">
        <x:v>-4.7993064007791499</x:v>
      </x:c>
      <x:c r="B66" s="1">
        <x:v>4031.4746012369701</x:v>
      </x:c>
      <x:c r="C66" s="1">
        <x:v>1925.9745331069601</x:v>
      </x:c>
      <x:c r="D66" s="1">
        <x:f t="shared" si="28"/>
        <x:v>7.1989596011687249</x:v>
      </x:c>
      <x:c r="E66" s="1">
        <x:f t="shared" si="29"/>
        <x:v>34.550012892839575</x:v>
      </x:c>
      <x:c r="F66" s="1">
        <x:f t="shared" si="30"/>
        <x:v>0.23434238037719751</x:v>
      </x:c>
      <x:c r="G66" s="1">
        <x:f t="shared" si="31"/>
        <x:v>0.11717119018859873</x:v>
      </x:c>
      <x:c r="H66" s="1">
        <x:f t="shared" si="32"/>
        <x:v>7.570338617763224E-2</x:v>
      </x:c>
      <x:c r="I66">
        <x:f t="shared" si="33"/>
        <x:v>9.7810696804320214E-3</x:v>
      </x:c>
      <x:c r="L66" s="1">
        <x:v>-4.7980259908524303</x:v>
      </x:c>
      <x:c r="M66" s="1">
        <x:v>4023.8373602505299</x:v>
      </x:c>
      <x:c r="N66" s="1">
        <x:v>1934.4809688581299</x:v>
      </x:c>
      <x:c r="O66" s="1">
        <x:f t="shared" si="34"/>
        <x:v>7.1970389862786455</x:v>
      </x:c>
      <x:c r="P66" s="1">
        <x:f t="shared" si="35"/>
        <x:v>34.531580113343168</x:v>
      </x:c>
      <x:c r="Q66" s="1">
        <x:f t="shared" si="36"/>
        <x:v>0.23472452306747954</x:v>
      </x:c>
      <x:c r="R66" s="1">
        <x:f t="shared" si="37"/>
        <x:v>0.11736226153373976</x:v>
      </x:c>
      <x:c r="S66" s="1">
        <x:f t="shared" si="38"/>
        <x:v>7.6200809362877486E-2</x:v>
      </x:c>
      <x:c r="T66">
        <x:f t="shared" si="39"/>
        <x:v>9.8453380187614337E-3</x:v>
      </x:c>
      <x:c r="AC66" s="1">
        <x:v>4000</x:v>
      </x:c>
      <x:c r="AD66" s="1">
        <x:v>5.4240000000000004</x:v>
      </x:c>
      <x:c r="AE66" s="1">
        <x:v>75</x:v>
      </x:c>
      <x:c r="AF66" s="1">
        <x:v>418.87902047863901</x:v>
      </x:c>
      <x:c r="AG66" s="1">
        <x:v>20.786915257493799</x:v>
      </x:c>
      <x:c r="AH66" s="1">
        <x:v>1.1272544575253399E-2</x:v>
      </x:c>
      <x:c r="AI66" s="1">
        <x:v>1.1272544575253399E-2</x:v>
      </x:c>
      <x:c r="AJ66" s="1">
        <x:v>7.3232679345614005E-2</x:v>
      </x:c>
      <x:c r="AK66" s="1">
        <x:v>5.1241813198057803E-2</x:v>
      </x:c>
      <x:c r="AL66" s="1">
        <x:v>1.2</x:v>
      </x:c>
      <x:c r="AM66" s="1">
        <x:v>2.1990866147556201E-2</x:v>
      </x:c>
      <x:c r="AN66" s="1">
        <x:v>8.2071029765126202E-2</x:v>
      </x:c>
      <x:c r="AO66" s="1">
        <x:v>5</x:v>
      </x:c>
      <x:c r="AP66" s="1" t="b">
        <x:v>1</x:v>
      </x:c>
      <x:c r="AQ66" s="1">
        <x:v>-38.164549373645201</x:v>
      </x:c>
      <x:c r="AR66" s="1">
        <x:v>10.1736669462832</x:v>
      </x:c>
      <x:c r="AS66">
        <x:f t="shared" si="12"/>
        <x:v>8.7379904526208349E-2</x:v>
      </x:c>
      <x:c r="AT66">
        <x:f t="shared" si="13"/>
        <x:v>0.26692913385826772</x:v>
      </x:c>
    </x:row>
    <x:row r="67">
      <x:c r="A67" s="1">
        <x:v>-5.48455227209082</x:v>
      </x:c>
      <x:c r="B67" s="1">
        <x:v>4032.20726477581</x:v>
      </x:c>
      <x:c r="C67" s="1">
        <x:v>1900.98678414096</x:v>
      </x:c>
      <x:c r="D67" s="1">
        <x:f t="shared" si="28"/>
        <x:v>8.22682840813623</x:v>
      </x:c>
      <x:c r="E67" s="1">
        <x:f t="shared" si="29"/>
        <x:v>45.12047043794486</x:v>
      </x:c>
      <x:c r="F67" s="1">
        <x:f t="shared" si="30"/>
        <x:v>0.26775316920462261</x:v>
      </x:c>
      <x:c r="G67" s="1">
        <x:f t="shared" si="31"/>
        <x:v>0.13387658460231128</x:v>
      </x:c>
      <x:c r="H67" s="1">
        <x:f t="shared" si="32"/>
        <x:v>7.464606531960126E-2</x:v>
      </x:c>
      <x:c r="I67">
        <x:f t="shared" si="33"/>
        <x:v>9.6444611413805566E-3</x:v>
      </x:c>
      <x:c r="L67" s="1">
        <x:v>-5.4816705051221302</x:v>
      </x:c>
      <x:c r="M67" s="1">
        <x:v>4037.23205987338</x:v>
      </x:c>
      <x:c r="N67" s="1">
        <x:v>1892.52105263157</x:v>
      </x:c>
      <x:c r="O67" s="1">
        <x:f t="shared" si="34"/>
        <x:v>8.2225057576831944</x:v>
      </x:c>
      <x:c r="P67" s="1">
        <x:f t="shared" si="35"/>
        <x:v>45.073067290088865</x:v>
      </x:c>
      <x:c r="Q67" s="1">
        <x:f t="shared" si="36"/>
        <x:v>0.26727940853247067</x:v>
      </x:c>
      <x:c r="R67" s="1">
        <x:f t="shared" si="37"/>
        <x:v>0.13363970426623531</x:v>
      </x:c>
      <x:c r="S67" s="1">
        <x:f t="shared" si="38"/>
        <x:v>7.397103209892042E-2</x:v>
      </x:c>
      <x:c r="T67">
        <x:f t="shared" si="39"/>
        <x:v>9.5572451355787381E-3</x:v>
      </x:c>
      <x:c r="AC67" s="1">
        <x:v>4000</x:v>
      </x:c>
      <x:c r="AD67" s="1">
        <x:v>6.1020000000000003</x:v>
      </x:c>
      <x:c r="AE67" s="1">
        <x:v>75</x:v>
      </x:c>
      <x:c r="AF67" s="1">
        <x:v>418.87902047863901</x:v>
      </x:c>
      <x:c r="AG67" s="1">
        <x:v>21.005873792549401</x:v>
      </x:c>
      <x:c r="AH67" s="1">
        <x:v>1.13912836866594E-2</x:v>
      </x:c>
      <x:c r="AI67" s="1">
        <x:v>1.13912836866594E-2</x:v>
      </x:c>
      <x:c r="AJ67" s="1">
        <x:v>7.3103744250822097E-2</x:v>
      </x:c>
      <x:c r="AK67" s="1">
        <x:v>4.8364019834821297E-2</x:v>
      </x:c>
      <x:c r="AL67" s="1">
        <x:v>1.2</x:v>
      </x:c>
      <x:c r="AM67" s="1">
        <x:v>2.47397244160007E-2</x:v>
      </x:c>
      <x:c r="AN67" s="1">
        <x:v>9.2329908485766998E-2</x:v>
      </x:c>
      <x:c r="AO67" s="1">
        <x:v>6</x:v>
      </x:c>
      <x:c r="AP67" s="1" t="b">
        <x:v>1</x:v>
      </x:c>
      <x:c r="AQ67" s="1">
        <x:v>-42.438786158328497</x:v>
      </x:c>
      <x:c r="AR67" s="1">
        <x:v>10.233172688907199</x:v>
      </x:c>
      <x:c r="AS67">
        <x:f t="shared" si="12"/>
        <x:v>8.8300318914363463E-2</x:v>
      </x:c>
      <x:c r="AT67">
        <x:f t="shared" si="13"/>
        <x:v>0.30029527559055119</x:v>
      </x:c>
    </x:row>
    <x:row r="68">
      <x:c r="A68" s="1">
        <x:v>-6.1727292490477597</x:v>
      </x:c>
      <x:c r="B68" s="1">
        <x:v>4017.5351196288998</x:v>
      </x:c>
      <x:c r="C68" s="1">
        <x:v>1868.05185185185</x:v>
      </x:c>
      <x:c r="D68" s="1">
        <x:f t="shared" si="28"/>
        <x:v>9.2590938735716399</x:v>
      </x:c>
      <x:c r="E68" s="1">
        <x:f t="shared" si="29"/>
        <x:v>57.153879573074583</x:v>
      </x:c>
      <x:c r="F68" s="1">
        <x:f t="shared" si="30"/>
        <x:v>0.30245017073943009</x:v>
      </x:c>
      <x:c r="G68" s="1">
        <x:f t="shared" si="31"/>
        <x:v>0.15122508536971502</x:v>
      </x:c>
      <x:c r="H68" s="1">
        <x:f t="shared" si="32"/>
        <x:v>7.3825010456825615E-2</x:v>
      </x:c>
      <x:c r="I68">
        <x:f t="shared" si="33"/>
        <x:v>9.5383787687186201E-3</x:v>
      </x:c>
      <x:c r="L68" s="1">
        <x:v>-6.1667740052206401</x:v>
      </x:c>
      <x:c r="M68" s="1">
        <x:v>4026.77794989224</x:v>
      </x:c>
      <x:c r="N68" s="1">
        <x:v>1871.11013986014</x:v>
      </x:c>
      <x:c r="O68" s="1">
        <x:f t="shared" si="34"/>
        <x:v>9.2501610078309611</x:v>
      </x:c>
      <x:c r="P68" s="1">
        <x:f t="shared" si="35"/>
        <x:v>57.04365244719753</x:v>
      </x:c>
      <x:c r="Q68" s="1">
        <x:f t="shared" si="36"/>
        <x:v>0.30146482023523308</x:v>
      </x:c>
      <x:c r="R68" s="1">
        <x:f t="shared" si="37"/>
        <x:v>0.15073241011761651</x:v>
      </x:c>
      <x:c r="S68" s="1">
        <x:f t="shared" si="38"/>
        <x:v>7.3470827728220778E-2</x:v>
      </x:c>
      <x:c r="T68">
        <x:f t="shared" si="39"/>
        <x:v>9.4926174610280925E-3</x:v>
      </x:c>
      <x:c r="AC68" s="1">
        <x:v>4000</x:v>
      </x:c>
      <x:c r="AD68" s="1">
        <x:v>6.78</x:v>
      </x:c>
      <x:c r="AE68" s="1">
        <x:v>75</x:v>
      </x:c>
      <x:c r="AF68" s="1">
        <x:v>418.87902047863901</x:v>
      </x:c>
      <x:c r="AG68" s="1">
        <x:v>21.202918556216801</x:v>
      </x:c>
      <x:c r="AH68" s="1">
        <x:v>1.1498139170229E-2</x:v>
      </x:c>
      <x:c r="AI68" s="1">
        <x:v>1.1498139170229E-2</x:v>
      </x:c>
      <x:c r="AJ68" s="1">
        <x:v>7.3122868551133299E-2</x:v>
      </x:c>
      <x:c r="AK68" s="1">
        <x:v>4.5634285866688003E-2</x:v>
      </x:c>
      <x:c r="AL68" s="1">
        <x:v>1.2</x:v>
      </x:c>
      <x:c r="AM68" s="1">
        <x:v>2.7488582684445199E-2</x:v>
      </x:c>
      <x:c r="AN68" s="1">
        <x:v>0.102588787206407</x:v>
      </x:c>
      <x:c r="AO68" s="1">
        <x:v>7</x:v>
      </x:c>
      <x:c r="AP68" s="1" t="b">
        <x:v>1</x:v>
      </x:c>
      <x:c r="AQ68" s="1">
        <x:v>-47.3960301395215</x:v>
      </x:c>
      <x:c r="AR68" s="1">
        <x:v>10.3148090423377</x:v>
      </x:c>
      <x:c r="AS68" t="n">
        <x:f t="shared" ref="AS68:AS79" si="40">3.1415926^3/4*AI68</x:f>
        <x:v>0.08912861654406733</x:v>
      </x:c>
      <x:c r="AT68" t="n">
        <x:f t="shared" ref="AT68:AT79" si="41">AD68*1.5/AC68*60/0.4572</x:f>
        <x:v>0.3336614173228346</x:v>
      </x:c>
    </x:row>
    <x:row r="69">
      <x:c r="A69" s="1">
        <x:v>-6.7943329623575899</x:v>
      </x:c>
      <x:c r="B69" s="1">
        <x:v>4015.4153781466998</x:v>
      </x:c>
      <x:c r="C69" s="1">
        <x:v>1850.9579831932699</x:v>
      </x:c>
      <x:c r="D69" s="1">
        <x:f t="shared" si="28"/>
        <x:v>10.191499443536385</x:v>
      </x:c>
      <x:c r="E69" s="1">
        <x:f t="shared" si="29"/>
        <x:v>69.244440605068291</x:v>
      </x:c>
      <x:c r="F69" s="1">
        <x:f t="shared" si="30"/>
        <x:v>0.33308312904644799</x:v>
      </x:c>
      <x:c r="G69" s="1">
        <x:f t="shared" si="31"/>
        <x:v>0.16654156452322397</x:v>
      </x:c>
      <x:c r="H69" s="1">
        <x:f t="shared" si="32"/>
        <x:v>7.3192586904469545E-2</x:v>
      </x:c>
      <x:c r="I69">
        <x:f t="shared" si="33"/>
        <x:v>9.4566680402364527E-3</x:v>
      </x:c>
      <x:c r="L69" s="1">
        <x:v>-6.7960325400034503</x:v>
      </x:c>
      <x:c r="M69" s="1">
        <x:v>4019.2481747581801</x:v>
      </x:c>
      <x:c r="N69" s="1">
        <x:v>1842.81666666666</x:v>
      </x:c>
      <x:c r="O69" s="1">
        <x:f t="shared" si="34"/>
        <x:v>10.194048810005174</x:v>
      </x:c>
      <x:c r="P69" s="1">
        <x:f t="shared" si="35"/>
        <x:v>69.279087427178609</x:v>
      </x:c>
      <x:c r="Q69" s="1">
        <x:f t="shared" si="36"/>
        <x:v>0.33284873760837891</x:v>
      </x:c>
      <x:c r="R69" s="1">
        <x:f t="shared" si="37"/>
        <x:v>0.16642436880418943</x:v>
      </x:c>
      <x:c r="S69" s="1">
        <x:f t="shared" si="38"/>
        <x:v>7.257278880317726E-2</x:v>
      </x:c>
      <x:c r="T69">
        <x:f t="shared" si="39"/>
        <x:v>9.3765885520836444E-3</x:v>
      </x:c>
      <x:c r="AC69" s="1">
        <x:v>4000</x:v>
      </x:c>
      <x:c r="AD69" s="1">
        <x:v>0</x:v>
      </x:c>
      <x:c r="AE69" s="1">
        <x:v>90</x:v>
      </x:c>
      <x:c r="AF69" s="1">
        <x:v>418.87902047863901</x:v>
      </x:c>
      <x:c r="AG69" s="1">
        <x:v>19.865562886380101</x:v>
      </x:c>
      <x:c r="AH69" s="1">
        <x:v>1.0772904030023799E-2</x:v>
      </x:c>
      <x:c r="AI69" s="1">
        <x:v>1.0772904030023799E-2</x:v>
      </x:c>
      <x:c r="AJ69" s="1">
        <x:v>7.3392452030601199E-2</x:v>
      </x:c>
      <x:c r="AK69" s="1">
        <x:v>7.3392452030601199E-2</x:v>
      </x:c>
      <x:c r="AL69" s="1">
        <x:v>0</x:v>
      </x:c>
      <x:c r="AM69" s="1">
        <x:v>0</x:v>
      </x:c>
      <x:c r="AN69" s="1">
        <x:v>0</x:v>
      </x:c>
      <x:c r="AO69" s="1">
        <x:v>11</x:v>
      </x:c>
      <x:c r="AP69" s="1" t="b">
        <x:v>1</x:v>
      </x:c>
      <x:c r="AQ69" s="1">
        <x:v>-17.867276538471401</x:v>
      </x:c>
      <x:c r="AR69" s="1">
        <x:v>5.9935220837512704</x:v>
      </x:c>
      <x:c r="AS69">
        <x:f t="shared" si="40"/>
        <x:v>8.350690647788582E-2</x:v>
      </x:c>
      <x:c r="AT69">
        <x:f t="shared" si="41"/>
        <x:v>0</x:v>
      </x:c>
    </x:row>
    <x:row r="70">
      <x:c r="A70" s="1">
        <x:v>-6.1662175453315298</x:v>
      </x:c>
      <x:c r="B70" s="1">
        <x:v>4022.76805579144</x:v>
      </x:c>
      <x:c r="C70" s="1">
        <x:v>1861.2292993630499</x:v>
      </x:c>
      <x:c r="D70" s="1">
        <x:f t="shared" si="28"/>
        <x:v>9.2493263179972942</x:v>
      </x:c>
      <x:c r="E70" s="1">
        <x:f t="shared" si="29"/>
        <x:v>57.033358224531597</x:v>
      </x:c>
      <x:c r="F70" s="1">
        <x:f t="shared" si="30"/>
        <x:v>0.30173809044141048</x:v>
      </x:c>
      <x:c r="G70" s="1">
        <x:f t="shared" si="31"/>
        <x:v>0.15086904522070521</x:v>
      </x:c>
      <x:c r="H70" s="1">
        <x:f t="shared" si="32"/>
        <x:v>7.335057104155239E-2</x:v>
      </x:c>
      <x:c r="I70">
        <x:f t="shared" si="33"/>
        <x:v>9.4770799918179119E-3</x:v>
      </x:c>
      <x:c r="L70" s="1">
        <x:v>-6.1690185419444301</x:v>
      </x:c>
      <x:c r="M70" s="1">
        <x:v>4014.5003184442899</x:v>
      </x:c>
      <x:c r="N70" s="1">
        <x:v>1874.875</x:v>
      </x:c>
      <x:c r="O70" s="1">
        <x:f t="shared" si="34"/>
        <x:v>9.2535278129166443</x:v>
      </x:c>
      <x:c r="P70" s="1">
        <x:f t="shared" si="35"/>
        <x:v>57.085184656281271</x:v>
      </x:c>
      <x:c r="Q70" s="1">
        <x:f t="shared" si="36"/>
        <x:v>0.30249685699360362</x:v>
      </x:c>
      <x:c r="R70" s="1">
        <x:f t="shared" si="37"/>
        <x:v>0.15124842849680176</x:v>
      </x:c>
      <x:c r="S70" s="1">
        <x:f t="shared" si="38"/>
        <x:v>7.4077441475833478E-2</x:v>
      </x:c>
      <x:c r="T70">
        <x:f t="shared" si="39"/>
        <x:v>9.570993497214712E-3</x:v>
      </x:c>
      <x:c r="AC70" s="1">
        <x:v>4000</x:v>
      </x:c>
      <x:c r="AD70" s="1">
        <x:v>0.67800000000000005</x:v>
      </x:c>
      <x:c r="AE70" s="1">
        <x:v>90</x:v>
      </x:c>
      <x:c r="AF70" s="1">
        <x:v>418.87902047863901</x:v>
      </x:c>
      <x:c r="AG70" s="1">
        <x:v>19.906193952642699</x:v>
      </x:c>
      <x:c r="AH70" s="1">
        <x:v>1.0794937867171501E-2</x:v>
      </x:c>
      <x:c r="AI70" s="1">
        <x:v>1.0794937867171501E-2</x:v>
      </x:c>
      <x:c r="AJ70" s="1">
        <x:v>7.3084633903502297E-2</x:v>
      </x:c>
      <x:c r="AK70" s="1">
        <x:v>7.3084633903502297E-2</x:v>
      </x:c>
      <x:c r="AL70" s="1">
        <x:v>1.2</x:v>
      </x:c>
      <x:c r="AM70" s="2">
        <x:v>6.5033476930317598E-19</x:v>
      </x:c>
      <x:c r="AN70" s="1">
        <x:v>1.0620772777195199E-2</x:v>
      </x:c>
      <x:c r="AO70" s="1">
        <x:v>11</x:v>
      </x:c>
      <x:c r="AP70" s="1" t="b">
        <x:v>1</x:v>
      </x:c>
      <x:c r="AQ70" s="1">
        <x:v>-22.081502054540699</x:v>
      </x:c>
      <x:c r="AR70" s="1">
        <x:v>10.8974439092037</x:v>
      </x:c>
      <x:c r="AS70">
        <x:f t="shared" si="40"/>
        <x:v>8.3677703281877958E-2</x:v>
      </x:c>
      <x:c r="AT70">
        <x:f t="shared" si="41"/>
        <x:v>3.3366141732283465E-2</x:v>
      </x:c>
    </x:row>
    <x:row r="71">
      <x:c r="A71" s="1">
        <x:v>-5.4908216528223601</x:v>
      </x:c>
      <x:c r="B71" s="1">
        <x:v>4036.1104292435998</x:v>
      </x:c>
      <x:c r="C71" s="1">
        <x:v>1893.1111111111099</x:v>
      </x:c>
      <x:c r="D71" s="1">
        <x:f t="shared" si="28"/>
        <x:v>8.2362324792335393</x:v>
      </x:c>
      <x:c r="E71" s="1">
        <x:f t="shared" si="29"/>
        <x:v>45.223683634654307</x:v>
      </x:c>
      <x:c r="F71" s="1">
        <x:f t="shared" si="30"/>
        <x:v>0.26780000771719559</x:v>
      </x:c>
      <x:c r="G71" s="1">
        <x:f t="shared" si="31"/>
        <x:v>0.13390000385859777</x:v>
      </x:c>
      <x:c r="H71" s="1">
        <x:f t="shared" si="32"/>
        <x:v>7.4177810360592733E-2</x:v>
      </x:c>
      <x:c r="I71">
        <x:f t="shared" si="33"/>
        <x:v>9.5839614119295705E-3</x:v>
      </x:c>
      <x:c r="L71" s="1">
        <x:v>-5.4880082629344997</x:v>
      </x:c>
      <x:c r="M71" s="1">
        <x:v>4024.5415736607101</x:v>
      </x:c>
      <x:c r="N71" s="1">
        <x:v>1864.49419953596</x:v>
      </x:c>
      <x:c r="O71" s="1">
        <x:f t="shared" si="34"/>
        <x:v>8.2320123944017496</x:v>
      </x:c>
      <x:c r="P71" s="1">
        <x:f t="shared" si="35"/>
        <x:v>45.177352041056018</x:v>
      </x:c>
      <x:c r="Q71" s="1">
        <x:f t="shared" si="36"/>
        <x:v>0.26843220958683706</x:v>
      </x:c>
      <x:c r="R71" s="1">
        <x:f t="shared" si="37"/>
        <x:v>0.13421610479341847</x:v>
      </x:c>
      <x:c r="S71" s="1">
        <x:f t="shared" si="38"/>
        <x:v>7.3278803275840146E-2</x:v>
      </x:c>
      <x:c r="T71">
        <x:f t="shared" si="39"/>
        <x:v>9.4678074142928673E-3</x:v>
      </x:c>
      <x:c r="AC71" s="1">
        <x:v>4000</x:v>
      </x:c>
      <x:c r="AD71" s="1">
        <x:v>1.3560000000000001</x:v>
      </x:c>
      <x:c r="AE71" s="1">
        <x:v>90</x:v>
      </x:c>
      <x:c r="AF71" s="1">
        <x:v>418.87902047863901</x:v>
      </x:c>
      <x:c r="AG71" s="1">
        <x:v>20.145438025773501</x:v>
      </x:c>
      <x:c r="AH71" s="1">
        <x:v>1.0924677631120301E-2</x:v>
      </x:c>
      <x:c r="AI71" s="1">
        <x:v>1.0924677631120301E-2</x:v>
      </x:c>
      <x:c r="AJ71" s="1">
        <x:v>7.2397480961331903E-2</x:v>
      </x:c>
      <x:c r="AK71" s="1">
        <x:v>7.2397480961331903E-2</x:v>
      </x:c>
      <x:c r="AL71" s="1">
        <x:v>1.2</x:v>
      </x:c>
      <x:c r="AM71" s="2">
        <x:v>1.30066953860635E-18</x:v>
      </x:c>
      <x:c r="AN71" s="1">
        <x:v>2.1241545554390499E-2</x:v>
      </x:c>
      <x:c r="AO71" s="1">
        <x:v>11</x:v>
      </x:c>
      <x:c r="AP71" s="1" t="b">
        <x:v>1</x:v>
      </x:c>
      <x:c r="AQ71" s="1">
        <x:v>-22.9081708133155</x:v>
      </x:c>
      <x:c r="AR71" s="1">
        <x:v>10.999968344249799</x:v>
      </x:c>
      <x:c r="AS71">
        <x:f t="shared" si="40"/>
        <x:v>8.4683389984770777E-2</x:v>
      </x:c>
      <x:c r="AT71">
        <x:f t="shared" si="41"/>
        <x:v>6.673228346456693E-2</x:v>
      </x:c>
    </x:row>
    <x:row r="72">
      <x:c r="A72" s="1">
        <x:v>-4.8087469613041796</x:v>
      </x:c>
      <x:c r="B72" s="1">
        <x:v>4015.0921630859302</x:v>
      </x:c>
      <x:c r="C72" s="1">
        <x:v>1909.64396887159</x:v>
      </x:c>
      <x:c r="D72" s="1">
        <x:f t="shared" si="28"/>
        <x:v>7.2131204419562689</x:v>
      </x:c>
      <x:c r="E72" s="1">
        <x:f t="shared" si="29"/>
        <x:v>34.68607100677827</x:v>
      </x:c>
      <x:c r="F72" s="1">
        <x:f t="shared" si="30"/>
        <x:v>0.23576139577644203</x:v>
      </x:c>
      <x:c r="G72" s="1">
        <x:f t="shared" si="31"/>
        <x:v>0.117880697888221</x:v>
      </x:c>
      <x:c r="H72" s="1">
        <x:f t="shared" si="32"/>
        <x:v>7.5643642144385514E-2</x:v>
      </x:c>
      <x:c r="I72">
        <x:f t="shared" si="33"/>
        <x:v>9.7733505996658709E-3</x:v>
      </x:c>
      <x:c r="L72" s="1">
        <x:v>-4.8084164779198302</x:v>
      </x:c>
      <x:c r="M72" s="1">
        <x:v>4011.8550061677602</x:v>
      </x:c>
      <x:c r="N72" s="1">
        <x:v>1907.64213197969</x:v>
      </x:c>
      <x:c r="O72" s="1">
        <x:f t="shared" si="34"/>
        <x:v>7.2126247168797448</x:v>
      </x:c>
      <x:c r="P72" s="1">
        <x:f t="shared" si="35"/>
        <x:v>34.681303537696415</x:v>
      </x:c>
      <x:c r="Q72" s="1">
        <x:f t="shared" si="36"/>
        <x:v>0.23593541523825737</x:v>
      </x:c>
      <x:c r="R72" s="1">
        <x:f t="shared" si="37"/>
        <x:v>0.11796770761912866</x:v>
      </x:c>
      <x:c r="S72" s="1">
        <x:f t="shared" si="38"/>
        <x:v>7.553932095447434E-2</x:v>
      </x:c>
      <x:c r="T72">
        <x:f t="shared" si="39"/>
        <x:v>9.7598720370917665E-3</x:v>
      </x:c>
      <x:c r="AC72" s="1">
        <x:v>4000</x:v>
      </x:c>
      <x:c r="AD72" s="1">
        <x:v>2.0339999999999998</x:v>
      </x:c>
      <x:c r="AE72" s="1">
        <x:v>90</x:v>
      </x:c>
      <x:c r="AF72" s="1">
        <x:v>418.87902047863901</x:v>
      </x:c>
      <x:c r="AG72" s="1">
        <x:v>20.517953779971201</x:v>
      </x:c>
      <x:c r="AH72" s="1">
        <x:v>1.11266893482107E-2</x:v>
      </x:c>
      <x:c r="AI72" s="1">
        <x:v>1.11266893482107E-2</x:v>
      </x:c>
      <x:c r="AJ72" s="1">
        <x:v>7.1266034193060906E-2</x:v>
      </x:c>
      <x:c r="AK72" s="1">
        <x:v>7.1266034193060906E-2</x:v>
      </x:c>
      <x:c r="AL72" s="1">
        <x:v>1.2</x:v>
      </x:c>
      <x:c r="AM72" s="2">
        <x:v>1.95100430790952E-18</x:v>
      </x:c>
      <x:c r="AN72" s="1">
        <x:v>3.1862318331585801E-2</x:v>
      </x:c>
      <x:c r="AO72" s="1">
        <x:v>10</x:v>
      </x:c>
      <x:c r="AP72" s="1" t="b">
        <x:v>1</x:v>
      </x:c>
      <x:c r="AQ72" s="1">
        <x:v>-24.091654205432398</x:v>
      </x:c>
      <x:c r="AR72" s="1">
        <x:v>11.178816484459</x:v>
      </x:c>
      <x:c r="AS72">
        <x:f t="shared" si="40"/>
        <x:v>8.6249297702828104E-2</x:v>
      </x:c>
      <x:c r="AT72">
        <x:f t="shared" si="41"/>
        <x:v>0.1000984251968504</x:v>
      </x:c>
    </x:row>
    <x:row r="73">
      <x:c r="A73" s="1">
        <x:v>-4.1291425952724303</x:v>
      </x:c>
      <x:c r="B73" s="1">
        <x:v>4011.1782342819902</x:v>
      </x:c>
      <x:c r="C73" s="1">
        <x:v>1927.4180929095301</x:v>
      </x:c>
      <x:c r="D73" s="1">
        <x:f t="shared" si="28"/>
        <x:v>6.1937138929086455</x:v>
      </x:c>
      <x:c r="E73" s="1">
        <x:f t="shared" si="29"/>
        <x:v>25.57472785813971</x:v>
      </x:c>
      <x:c r="F73" s="1">
        <x:f t="shared" si="30"/>
        <x:v>0.20263954829510741</x:v>
      </x:c>
      <x:c r="G73" s="1">
        <x:f t="shared" si="31"/>
        <x:v>0.10131977414755369</x:v>
      </x:c>
      <x:c r="H73" s="1">
        <x:f t="shared" si="32"/>
        <x:v>7.6531553742941932E-2</x:v>
      </x:c>
      <x:c r="I73">
        <x:f t="shared" si="33"/>
        <x:v>9.8880710323181967E-3</x:v>
      </x:c>
      <x:c r="L73" s="1">
        <x:v>-4.1302616258462201</x:v>
      </x:c>
      <x:c r="M73" s="1">
        <x:v>3994.0154113769499</x:v>
      </x:c>
      <x:c r="N73" s="1">
        <x:v>1931.1683991683899</x:v>
      </x:c>
      <x:c r="O73" s="1">
        <x:f t="shared" si="34"/>
        <x:v>6.1953924387693302</x:v>
      </x:c>
      <x:c r="P73" s="1">
        <x:f t="shared" si="35"/>
        <x:v>25.588591646906792</x:v>
      </x:c>
      <x:c r="Q73" s="1">
        <x:f t="shared" si="36"/>
        <x:v>0.20356547068374561</x:v>
      </x:c>
      <x:c r="R73" s="1">
        <x:f t="shared" si="37"/>
        <x:v>0.10178273534187279</x:v>
      </x:c>
      <x:c r="S73" s="1">
        <x:f t="shared" si="38"/>
        <x:v>7.7203845199514246E-2</x:v>
      </x:c>
      <x:c r="T73">
        <x:f t="shared" si="39"/>
        <x:v>9.9749327952367468E-3</x:v>
      </x:c>
      <x:c r="AC73" s="1">
        <x:v>4000</x:v>
      </x:c>
      <x:c r="AD73" s="1">
        <x:v>2.7120000000000002</x:v>
      </x:c>
      <x:c r="AE73" s="1">
        <x:v>90</x:v>
      </x:c>
      <x:c r="AF73" s="1">
        <x:v>418.87902047863901</x:v>
      </x:c>
      <x:c r="AG73" s="1">
        <x:v>21.0068754589572</x:v>
      </x:c>
      <x:c r="AH73" s="1">
        <x:v>1.13918268807356E-2</x:v>
      </x:c>
      <x:c r="AI73" s="1">
        <x:v>1.13918268807356E-2</x:v>
      </x:c>
      <x:c r="AJ73" s="1">
        <x:v>6.9746245441840396E-2</x:v>
      </x:c>
      <x:c r="AK73" s="1">
        <x:v>6.9746245441840396E-2</x:v>
      </x:c>
      <x:c r="AL73" s="1">
        <x:v>1.2</x:v>
      </x:c>
      <x:c r="AM73" s="2">
        <x:v>2.6013390772127001E-18</x:v>
      </x:c>
      <x:c r="AN73" s="1">
        <x:v>4.2483091108780999E-2</x:v>
      </x:c>
      <x:c r="AO73" s="1">
        <x:v>8</x:v>
      </x:c>
      <x:c r="AP73" s="1" t="b">
        <x:v>1</x:v>
      </x:c>
      <x:c r="AQ73" s="1">
        <x:v>-25.551969421454</x:v>
      </x:c>
      <x:c r="AR73" s="1">
        <x:v>11.4206887427741</x:v>
      </x:c>
      <x:c r="AS73">
        <x:f t="shared" si="40"/>
        <x:v>8.8304529520602429E-2</x:v>
      </x:c>
      <x:c r="AT73">
        <x:f t="shared" si="41"/>
        <x:v>0.13346456692913386</x:v>
      </x:c>
    </x:row>
    <x:row r="74">
      <x:c r="A74" s="1">
        <x:v>-3.4443909622007798</x:v>
      </x:c>
      <x:c r="B74" s="1">
        <x:v>4023.06202528211</x:v>
      </x:c>
      <x:c r="C74" s="1">
        <x:v>1958.0107238605899</x:v>
      </x:c>
      <x:c r="D74" s="1">
        <x:f t="shared" si="28"/>
        <x:v>5.1665864433011697</x:v>
      </x:c>
      <x:c r="E74" s="1">
        <x:f t="shared" si="29"/>
        <x:v>17.79574365073562</x:v>
      </x:c>
      <x:c r="F74" s="1">
        <x:f t="shared" si="30"/>
        <x:v>0.16853573539451255</x:v>
      </x:c>
      <x:c r="G74" s="1">
        <x:f t="shared" si="31"/>
        <x:v>8.4267867697256263E-2</x:v>
      </x:c>
      <x:c r="H74" s="1">
        <x:f t="shared" si="32"/>
        <x:v>7.7346629042987072E-2</x:v>
      </x:c>
      <x:c r="I74">
        <x:f t="shared" si="33"/>
        <x:v>9.9933808302951881E-3</x:v>
      </x:c>
      <x:c r="L74" s="1">
        <x:v>-3.4417452833108699</x:v>
      </x:c>
      <x:c r="M74" s="1">
        <x:v>3998.6701235563801</x:v>
      </x:c>
      <x:c r="N74" s="1">
        <x:v>1951.0895196506499</x:v>
      </x:c>
      <x:c r="O74" s="1">
        <x:f t="shared" si="34"/>
        <x:v>5.1626179249663053</x:v>
      </x:c>
      <x:c r="P74" s="1">
        <x:f t="shared" si="35"/>
        <x:v>17.76841589278893</x:v>
      </x:c>
      <x:c r="Q74" s="1">
        <x:f t="shared" si="36"/>
        <x:v>0.16943355993442211</x:v>
      </x:c>
      <x:c r="R74" s="1">
        <x:f t="shared" si="37"/>
        <x:v>8.4716779967211039E-2</x:v>
      </x:c>
      <x:c r="S74" s="1">
        <x:f t="shared" si="38"/>
        <x:v>7.7859041527195763E-2</x:v>
      </x:c>
      <x:c r="T74">
        <x:f t="shared" si="39"/>
        <x:v>1.0059585824103632E-2</x:v>
      </x:c>
      <x:c r="AC74" s="1">
        <x:v>4000</x:v>
      </x:c>
      <x:c r="AD74" s="1">
        <x:v>3.39</x:v>
      </x:c>
      <x:c r="AE74" s="1">
        <x:v>90</x:v>
      </x:c>
      <x:c r="AF74" s="1">
        <x:v>418.87902047863901</x:v>
      </x:c>
      <x:c r="AG74" s="1">
        <x:v>21.5893632175299</x:v>
      </x:c>
      <x:c r="AH74" s="1">
        <x:v>1.1707704399920801E-2</x:v>
      </x:c>
      <x:c r="AI74" s="1">
        <x:v>1.1707704399920801E-2</x:v>
      </x:c>
      <x:c r="AJ74" s="1">
        <x:v>6.7906334325026602E-2</x:v>
      </x:c>
      <x:c r="AK74" s="1">
        <x:v>6.7906334325026602E-2</x:v>
      </x:c>
      <x:c r="AL74" s="1">
        <x:v>1.2</x:v>
      </x:c>
      <x:c r="AM74" s="2">
        <x:v>3.2516738465158798E-18</x:v>
      </x:c>
      <x:c r="AN74" s="1">
        <x:v>5.31038638859763E-2</x:v>
      </x:c>
      <x:c r="AO74" s="1">
        <x:v>7</x:v>
      </x:c>
      <x:c r="AP74" s="1" t="b">
        <x:v>1</x:v>
      </x:c>
      <x:c r="AQ74" s="1">
        <x:v>-27.266525107684998</x:v>
      </x:c>
      <x:c r="AR74" s="1">
        <x:v>11.707957407052699</x:v>
      </x:c>
      <x:c r="AS74">
        <x:f t="shared" si="40"/>
        <x:v>9.0753075834535096E-2</x:v>
      </x:c>
      <x:c r="AT74">
        <x:f t="shared" si="41"/>
        <x:v>0.1668307086614173</x:v>
      </x:c>
    </x:row>
    <x:row r="75">
      <x:c r="A75" s="1">
        <x:v>-2.7541539427600301</x:v>
      </x:c>
      <x:c r="B75" s="1">
        <x:v>4018.4350128173801</x:v>
      </x:c>
      <x:c r="C75" s="1">
        <x:v>1983.93680884676</x:v>
      </x:c>
      <x:c r="D75" s="1">
        <x:f t="shared" si="28"/>
        <x:v>4.131230914140045</x:v>
      </x:c>
      <x:c r="E75" s="1">
        <x:f t="shared" si="29"/>
        <x:v>11.378045910630929</x:v>
      </x:c>
      <x:c r="F75" s="1">
        <x:f t="shared" si="30"/>
        <x:v>0.13491727157851299</x:v>
      </x:c>
      <x:c r="G75" s="1">
        <x:f t="shared" si="31"/>
        <x:v>6.7458635789256483E-2</x:v>
      </x:c>
      <x:c r="H75" s="1">
        <x:f t="shared" si="32"/>
        <x:v>7.8600672759467222E-2</x:v>
      </x:c>
      <x:c r="I75">
        <x:f t="shared" si="33"/>
        <x:v>1.0155406462073656E-2</x:v>
      </x:c>
      <x:c r="L75" s="1">
        <x:v>-2.7601188339439</x:v>
      </x:c>
      <x:c r="M75" s="1">
        <x:v>4006.6824951171802</x:v>
      </x:c>
      <x:c r="N75" s="1">
        <x:v>1977.8170731707301</x:v>
      </x:c>
      <x:c r="O75" s="1">
        <x:f t="shared" si="34"/>
        <x:v>4.1401782509158505</x:v>
      </x:c>
      <x:c r="P75" s="1">
        <x:f t="shared" si="35"/>
        <x:v>11.427383966237752</x:v>
      </x:c>
      <x:c r="Q75" s="1">
        <x:f t="shared" si="36"/>
        <x:v>0.13560607305044886</x:v>
      </x:c>
      <x:c r="R75" s="1">
        <x:f t="shared" si="37"/>
        <x:v>6.7803036525224417E-2</x:v>
      </x:c>
      <x:c r="S75" s="1">
        <x:f t="shared" si="38"/>
        <x:v>7.8663548875662737E-2</x:v>
      </x:c>
      <x:c r="T75">
        <x:f t="shared" si="39"/>
        <x:v>1.016353021590813E-2</x:v>
      </x:c>
      <x:c r="AC75" s="1">
        <x:v>4000</x:v>
      </x:c>
      <x:c r="AD75" s="1">
        <x:v>4.0679999999999996</x:v>
      </x:c>
      <x:c r="AE75" s="1">
        <x:v>90</x:v>
      </x:c>
      <x:c r="AF75" s="1">
        <x:v>418.87902047863901</x:v>
      </x:c>
      <x:c r="AG75" s="1">
        <x:v>22.245851511252301</x:v>
      </x:c>
      <x:c r="AH75" s="1">
        <x:v>1.2063711698861E-2</x:v>
      </x:c>
      <x:c r="AI75" s="1">
        <x:v>1.2063711698861E-2</x:v>
      </x:c>
      <x:c r="AJ75" s="1">
        <x:v>6.5833140787250902E-2</x:v>
      </x:c>
      <x:c r="AK75" s="1">
        <x:v>6.5833140787250902E-2</x:v>
      </x:c>
      <x:c r="AL75" s="1">
        <x:v>1.2</x:v>
      </x:c>
      <x:c r="AM75" s="2">
        <x:v>3.9020086158190499E-18</x:v>
      </x:c>
      <x:c r="AN75" s="1">
        <x:v>6.3724636663171602E-2</x:v>
      </x:c>
      <x:c r="AO75" s="1">
        <x:v>6</x:v>
      </x:c>
      <x:c r="AP75" s="1" t="b">
        <x:v>1</x:v>
      </x:c>
      <x:c r="AQ75" s="1">
        <x:v>-29.291283497345599</x:v>
      </x:c>
      <x:c r="AR75" s="1">
        <x:v>12.038157695431</x:v>
      </x:c>
      <x:c r="AS75">
        <x:f t="shared" si="40"/>
        <x:v>9.3512690896099732E-2</x:v>
      </x:c>
      <x:c r="AT75">
        <x:f t="shared" si="41"/>
        <x:v>0.2001968503937008</x:v>
      </x:c>
    </x:row>
    <x:row r="76">
      <x:c r="A76" s="1">
        <x:v>-2.0732943558877701</x:v>
      </x:c>
      <x:c r="B76" s="1">
        <x:v>4019.7813345102099</x:v>
      </x:c>
      <x:c r="C76" s="1">
        <x:v>2008.24660194174</x:v>
      </x:c>
      <x:c r="D76" s="1">
        <x:f t="shared" si="28"/>
        <x:v>3.1099415338316554</x:v>
      </x:c>
      <x:c r="E76" s="1">
        <x:f t="shared" si="29"/>
        <x:v>6.4478242292341257</x:v>
      </x:c>
      <x:c r="F76" s="1">
        <x:f t="shared" si="30"/>
        <x:v>0.10153010232429879</x:v>
      </x:c>
      <x:c r="G76" s="1">
        <x:f t="shared" si="31"/>
        <x:v>5.076505116214939E-2</x:v>
      </x:c>
      <x:c r="H76" s="1">
        <x:f t="shared" si="32"/>
        <x:v>7.9556106524678122E-2</x:v>
      </x:c>
      <x:c r="I76">
        <x:f t="shared" si="33"/>
        <x:v>1.0278850930074567E-2</x:v>
      </x:c>
      <x:c r="L76" s="1">
        <x:v>-2.0817252732394702</x:v>
      </x:c>
      <x:c r="M76" s="1">
        <x:v>3989.7030888310101</x:v>
      </x:c>
      <x:c r="N76" s="1">
        <x:v>2009.48405253283</x:v>
      </x:c>
      <x:c r="O76" s="1">
        <x:f t="shared" si="34"/>
        <x:v>3.1225879098592051</x:v>
      </x:c>
      <x:c r="P76" s="1">
        <x:f t="shared" si="35"/>
        <x:v>6.5003701698659206</x:v>
      </x:c>
      <x:c r="Q76" s="1">
        <x:f t="shared" si="36"/>
        <x:v>0.10271151273418135</x:v>
      </x:c>
      <x:c r="R76" s="1">
        <x:f t="shared" si="37"/>
        <x:v>5.1355756367090666E-2</x:v>
      </x:c>
      <x:c r="S76" s="1">
        <x:f t="shared" si="38"/>
        <x:v>8.0667564149640728E-2</x:v>
      </x:c>
      <x:c r="T76">
        <x:f t="shared" si="39"/>
        <x:v>1.0422454076849247E-2</x:v>
      </x:c>
      <x:c r="AC76" s="1">
        <x:v>4000</x:v>
      </x:c>
      <x:c r="AD76" s="1">
        <x:v>4.7460000000000004</x:v>
      </x:c>
      <x:c r="AE76" s="1">
        <x:v>90</x:v>
      </x:c>
      <x:c r="AF76" s="1">
        <x:v>418.87902047863901</x:v>
      </x:c>
      <x:c r="AG76" s="1">
        <x:v>22.953774349637602</x:v>
      </x:c>
      <x:c r="AH76" s="1">
        <x:v>1.24476114575643E-2</x:v>
      </x:c>
      <x:c r="AI76" s="1">
        <x:v>1.24476114575643E-2</x:v>
      </x:c>
      <x:c r="AJ76" s="1">
        <x:v>6.3609453174191796E-2</x:v>
      </x:c>
      <x:c r="AK76" s="1">
        <x:v>6.3609453174191796E-2</x:v>
      </x:c>
      <x:c r="AL76" s="1">
        <x:v>1.2</x:v>
      </x:c>
      <x:c r="AM76" s="2">
        <x:v>4.5523433851222297E-18</x:v>
      </x:c>
      <x:c r="AN76" s="1">
        <x:v>7.43454094403668E-2</x:v>
      </x:c>
      <x:c r="AO76" s="1">
        <x:v>4</x:v>
      </x:c>
      <x:c r="AP76" s="1" t="b">
        <x:v>1</x:v>
      </x:c>
      <x:c r="AQ76" s="1">
        <x:v>-31.703110304147</x:v>
      </x:c>
      <x:c r="AR76" s="1">
        <x:v>12.384927594136</x:v>
      </x:c>
      <x:c r="AS76">
        <x:f t="shared" si="40"/>
        <x:v>9.6488516277777117E-2</x:v>
      </x:c>
      <x:c r="AT76">
        <x:f t="shared" si="41"/>
        <x:v>0.23356299212598428</x:v>
      </x:c>
    </x:row>
    <x:row r="77">
      <x:c r="A77" s="1">
        <x:v>-1.3878056484110199</x:v>
      </x:c>
      <x:c r="B77" s="1">
        <x:v>3979.0814062499999</x:v>
      </x:c>
      <x:c r="C77" s="1">
        <x:v>2029.30919765166</x:v>
      </x:c>
      <x:c r="D77" s="1">
        <x:f t="shared" si="28"/>
        <x:v>2.0817084726165298</x:v>
      </x:c>
      <x:c r="E77" s="1">
        <x:f t="shared" si="29"/>
        <x:v>2.8890067766422973</x:v>
      </x:c>
      <x:c r="F77" s="1">
        <x:f t="shared" si="30"/>
        <x:v>6.8656571800914196E-2</x:v>
      </x:c>
      <x:c r="G77" s="1">
        <x:f t="shared" si="31"/>
        <x:v>3.4328285900457091E-2</x:v>
      </x:c>
      <x:c r="H77" s="1">
        <x:f t="shared" si="32"/>
        <x:v>8.2083284854127761E-2</x:v>
      </x:c>
      <x:c r="I77">
        <x:f t="shared" si="33"/>
        <x:v>1.0605368785923507E-2</x:v>
      </x:c>
      <x:c r="L77" s="1">
        <x:v>-1.3888096342715099</x:v>
      </x:c>
      <x:c r="M77" s="1">
        <x:v>3999.22588641826</x:v>
      </x:c>
      <x:c r="N77" s="1">
        <x:v>2038.55019305019</x:v>
      </x:c>
      <x:c r="O77" s="1">
        <x:f t="shared" si="34"/>
        <x:v>2.0832144514072648</x:v>
      </x:c>
      <x:c r="P77" s="1">
        <x:f t="shared" si="35"/>
        <x:v>2.8931883003680481</x:v>
      </x:c>
      <x:c r="Q77" s="1">
        <x:f t="shared" si="36"/>
        <x:v>6.8360160452612395E-2</x:v>
      </x:c>
      <x:c r="R77" s="1">
        <x:f t="shared" si="37"/>
        <x:v>3.4180080226306198E-2</x:v>
      </x:c>
      <x:c r="S77" s="1">
        <x:f t="shared" si="38"/>
        <x:v>8.1501589925063067E-2</x:v>
      </x:c>
      <x:c r="T77">
        <x:f t="shared" si="39"/>
        <x:v>1.0530212324354067E-2</x:v>
      </x:c>
      <x:c r="AC77" s="1">
        <x:v>4000</x:v>
      </x:c>
      <x:c r="AD77" s="1">
        <x:v>5.4240000000000004</x:v>
      </x:c>
      <x:c r="AE77" s="1">
        <x:v>90</x:v>
      </x:c>
      <x:c r="AF77" s="1">
        <x:v>418.87902047863901</x:v>
      </x:c>
      <x:c r="AG77" s="1">
        <x:v>23.693450408439901</x:v>
      </x:c>
      <x:c r="AH77" s="1">
        <x:v>1.28487306828467E-2</x:v>
      </x:c>
      <x:c r="AI77" s="1">
        <x:v>1.28487306828467E-2</x:v>
      </x:c>
      <x:c r="AJ77" s="1">
        <x:v>6.13136897863071E-2</x:v>
      </x:c>
      <x:c r="AK77" s="1">
        <x:v>6.1313689786307003E-2</x:v>
      </x:c>
      <x:c r="AL77" s="1">
        <x:v>1.2</x:v>
      </x:c>
      <x:c r="AM77" s="2">
        <x:v>5.2026781544254102E-18</x:v>
      </x:c>
      <x:c r="AN77" s="1">
        <x:v>8.4966182217562095E-2</x:v>
      </x:c>
      <x:c r="AO77" s="1">
        <x:v>4</x:v>
      </x:c>
      <x:c r="AP77" s="1" t="b">
        <x:v>1</x:v>
      </x:c>
      <x:c r="AQ77" s="1">
        <x:v>-34.626551208400201</x:v>
      </x:c>
      <x:c r="AR77" s="1">
        <x:v>12.752053189956399</x:v>
      </x:c>
      <x:c r="AS77">
        <x:f t="shared" si="40"/>
        <x:v>9.9597819538883525E-2</x:v>
      </x:c>
      <x:c r="AT77">
        <x:f t="shared" si="41"/>
        <x:v>0.26692913385826772</x:v>
      </x:c>
    </x:row>
    <x:row r="78">
      <x:c r="A78" s="1">
        <x:v>-0.70159475288480599</x:v>
      </x:c>
      <x:c r="B78" s="1">
        <x:v>3989.1675851004402</x:v>
      </x:c>
      <x:c r="C78" s="1">
        <x:v>2064.7582159624399</x:v>
      </x:c>
      <x:c r="D78" s="1">
        <x:f t="shared" si="28"/>
        <x:v>1.0523921293272089</x:v>
      </x:c>
      <x:c r="E78" s="1">
        <x:f t="shared" si="29"/>
        <x:v>0.73835279591323799</x:v>
      </x:c>
      <x:c r="F78" s="1">
        <x:f t="shared" si="30"/>
        <x:v>3.4621058247745522E-2</x:v>
      </x:c>
      <x:c r="G78" s="1">
        <x:f t="shared" si="31"/>
        <x:v>1.7310529123872757E-2</x:v>
      </x:c>
      <x:c r="H78" s="1">
        <x:f t="shared" si="32"/>
        <x:v>8.3161376357016176E-2</x:v>
      </x:c>
      <x:c r="I78">
        <x:f t="shared" si="33"/>
        <x:v>1.0744660945020466E-2</x:v>
      </x:c>
      <x:c r="L78" s="1">
        <x:v>-0.70300381839590698</x:v>
      </x:c>
      <x:c r="M78" s="1">
        <x:v>4018.7162679036401</x:v>
      </x:c>
      <x:c r="N78" s="1">
        <x:v>2073.7255936675401</x:v>
      </x:c>
      <x:c r="O78" s="1">
        <x:f t="shared" si="34"/>
        <x:v>1.0545057275938605</x:v>
      </x:c>
      <x:c r="P78" s="1">
        <x:f t="shared" si="35"/>
        <x:v>0.74132155301883806</x:v>
      </x:c>
      <x:c r="Q78" s="1">
        <x:f t="shared" si="36"/>
        <x:v>3.4435518508645645E-2</x:v>
      </x:c>
      <x:c r="R78" s="1">
        <x:f t="shared" si="37"/>
        <x:v>1.7217759254322819E-2</x:v>
      </x:c>
      <x:c r="S78" s="1">
        <x:f t="shared" si="38"/>
        <x:v>8.2172379854800776E-2</x:v>
      </x:c>
      <x:c r="T78">
        <x:f t="shared" si="39"/>
        <x:v>1.0616880086193697E-2</x:v>
      </x:c>
      <x:c r="AC78" s="1">
        <x:v>4000</x:v>
      </x:c>
      <x:c r="AD78" s="1">
        <x:v>6.1020000000000003</x:v>
      </x:c>
      <x:c r="AE78" s="1">
        <x:v>90</x:v>
      </x:c>
      <x:c r="AF78" s="1">
        <x:v>418.87902047863901</x:v>
      </x:c>
      <x:c r="AG78" s="1">
        <x:v>24.4502116776851</x:v>
      </x:c>
      <x:c r="AH78" s="1">
        <x:v>1.3259115053722299E-2</x:v>
      </x:c>
      <x:c r="AI78" s="1">
        <x:v>1.3259115053722299E-2</x:v>
      </x:c>
      <x:c r="AJ78" s="1">
        <x:v>5.90148868051808E-2</x:v>
      </x:c>
      <x:c r="AK78" s="1">
        <x:v>5.90148868051808E-2</x:v>
      </x:c>
      <x:c r="AL78" s="1">
        <x:v>1.2</x:v>
      </x:c>
      <x:c r="AM78" s="2">
        <x:v>5.8530129237285799E-18</x:v>
      </x:c>
      <x:c r="AN78" s="1">
        <x:v>9.5586954994757403E-2</x:v>
      </x:c>
      <x:c r="AO78" s="1">
        <x:v>6</x:v>
      </x:c>
      <x:c r="AP78" s="1" t="b">
        <x:v>1</x:v>
      </x:c>
      <x:c r="AQ78" s="1">
        <x:v>-38.263493663767598</x:v>
      </x:c>
      <x:c r="AR78" s="1">
        <x:v>13.1355404240631</x:v>
      </x:c>
      <x:c r="AS78">
        <x:f t="shared" si="40"/>
        <x:v>0.10277894221325111</x:v>
      </x:c>
      <x:c r="AT78">
        <x:f t="shared" si="41"/>
        <x:v>0.30029527559055119</x:v>
      </x:c>
    </x:row>
    <x:row r="79">
      <x:c r="A79" s="1">
        <x:v>-9.6910511673081096E-2</x:v>
      </x:c>
      <x:c r="B79" s="1">
        <x:v>3987.8372070312498</x:v>
      </x:c>
      <x:c r="C79" s="1">
        <x:v>2083.8817733990099</x:v>
      </x:c>
      <x:c r="D79" s="1">
        <x:f t="shared" si="28"/>
        <x:v>0.14536576750962166</x:v>
      </x:c>
      <x:c r="E79" s="1">
        <x:f t="shared" si="29"/>
        <x:v>1.408747090910758E-2</x:v>
      </x:c>
      <x:c r="F79" s="1">
        <x:f t="shared" si="30"/>
        <x:v>4.7837640771681775E-3</x:v>
      </x:c>
      <x:c r="G79" s="1">
        <x:f t="shared" si="31"/>
        <x:v>2.3918820385840883E-3</x:v>
      </x:c>
      <x:c r="H79" s="1">
        <x:f t="shared" si="32"/>
        <x:v>8.4022641236936063E-2</x:v>
      </x:c>
      <x:c r="I79">
        <x:f t="shared" si="33"/>
        <x:v>1.0855938553977599E-2</x:v>
      </x:c>
      <x:c r="L79" s="1">
        <x:v>-9.7346613590402101E-2</x:v>
      </x:c>
      <x:c r="M79" s="1">
        <x:v>4009.73971896701</x:v>
      </x:c>
      <x:c r="N79" s="1">
        <x:v>2095.0833333333298</x:v>
      </x:c>
      <x:c r="O79" s="1">
        <x:f t="shared" si="34"/>
        <x:v>0.14601992038560316</x:v>
      </x:c>
      <x:c r="P79" s="1">
        <x:f t="shared" si="35"/>
        <x:v>1.4214544766278588E-2</x:v>
      </x:c>
      <x:c r="Q79" s="1">
        <x:f t="shared" si="36"/>
        <x:v>4.7790431683295848E-3</x:v>
      </x:c>
      <x:c r="R79" s="1">
        <x:f t="shared" si="37"/>
        <x:v>2.3895215841647915E-3</x:v>
      </x:c>
      <x:c r="S79" s="1">
        <x:f t="shared" si="38"/>
        <x:v>8.3430809591504923E-2</x:v>
      </x:c>
      <x:c r="T79">
        <x:f t="shared" si="39"/>
        <x:v>1.0779472402919786E-2</x:v>
      </x:c>
      <x:c r="AC79" s="1">
        <x:v>4000</x:v>
      </x:c>
      <x:c r="AD79" s="1">
        <x:v>6.78</x:v>
      </x:c>
      <x:c r="AE79" s="1">
        <x:v>90</x:v>
      </x:c>
      <x:c r="AF79" s="1">
        <x:v>418.87902047863901</x:v>
      </x:c>
      <x:c r="AG79" s="1">
        <x:v>25.2096781767777</x:v>
      </x:c>
      <x:c r="AH79" s="1">
        <x:v>1.3670966444772101E-2</x:v>
      </x:c>
      <x:c r="AI79" s="1">
        <x:v>1.3670966444772101E-2</x:v>
      </x:c>
      <x:c r="AJ79" s="1">
        <x:v>5.6762033394296203E-2</x:v>
      </x:c>
      <x:c r="AK79" s="1">
        <x:v>5.6762033394296203E-2</x:v>
      </x:c>
      <x:c r="AL79" s="1">
        <x:v>1.2</x:v>
      </x:c>
      <x:c r="AM79" s="2">
        <x:v>6.5033476930317596E-18</x:v>
      </x:c>
      <x:c r="AN79" s="1">
        <x:v>0.106207727771952</x:v>
      </x:c>
      <x:c r="AO79" s="1">
        <x:v>6</x:v>
      </x:c>
      <x:c r="AP79" s="1" t="b">
        <x:v>1</x:v>
      </x:c>
      <x:c r="AQ79" s="1">
        <x:v>-42.843891157873003</x:v>
      </x:c>
      <x:c r="AR79" s="1">
        <x:v>13.5048994202262</x:v>
      </x:c>
      <x:c r="AS79">
        <x:f t="shared" si="40"/>
        <x:v>0.10597143659539099</x:v>
      </x:c>
      <x:c r="AT79">
        <x:f t="shared" si="41"/>
        <x:v>0.33366141732283461</x:v>
      </x:c>
    </x:row>
    <x:row r="80">
      <x:c r="A80" s="1">
        <x:v>-5.9157354831104202E-2</x:v>
      </x:c>
      <x:c r="B80" s="1">
        <x:v>0</x:v>
      </x:c>
      <x:c r="C80" s="1">
        <x:v>91.771825396825307</x:v>
      </x:c>
      <x:c r="D80" s="1">
        <x:f t="shared" si="28"/>
        <x:v>8.8736032246656299E-2</x:v>
      </x:c>
      <x:c r="E80" s="1">
        <x:f t="shared" si="29"/>
        <x:v>5.2493889459197512E-3</x:v>
      </x:c>
      <x:c r="F80" s="1" t="e">
        <x:f t="shared" si="30"/>
        <x:v>#DIV/0!</x:v>
      </x:c>
      <x:c r="G80" s="1" t="e">
        <x:f t="shared" si="31"/>
        <x:v>#DIV/0!</x:v>
      </x:c>
      <x:c r="H80" s="1" t="e">
        <x:f t="shared" si="32"/>
        <x:v>#DIV/0!</x:v>
      </x:c>
      <x:c r="I80" t="e">
        <x:f t="shared" si="33"/>
        <x:v>#DIV/0!</x:v>
      </x:c>
      <x:c r="L80" s="1">
        <x:v>-5.4959948242142504E-3</x:v>
      </x:c>
      <x:c r="M80" s="1">
        <x:v>0</x:v>
      </x:c>
      <x:c r="N80" s="1">
        <x:v>91.387681159420296</x:v>
      </x:c>
      <x:c r="O80" s="1">
        <x:f t="shared" si="34"/>
        <x:v>8.243992236321376E-3</x:v>
      </x:c>
      <x:c r="P80" s="1">
        <x:f t="shared" si="35"/>
        <x:v>4.5308938661684744E-5</x:v>
      </x:c>
      <x:c r="Q80" s="1" t="e">
        <x:f t="shared" si="36"/>
        <x:v>#DIV/0!</x:v>
      </x:c>
      <x:c r="R80" s="1" t="e">
        <x:f t="shared" si="37"/>
        <x:v>#DIV/0!</x:v>
      </x:c>
      <x:c r="S80" s="1" t="e">
        <x:f t="shared" si="38"/>
        <x:v>#DIV/0!</x:v>
      </x:c>
      <x:c r="T80" t="e">
        <x:f t="shared" si="39"/>
        <x:v>#DIV/0!</x:v>
      </x:c>
    </x:row>
    <x:row r="84">
      <x:c r="A84" s="3" t="s">
        <x:v>49</x:v>
      </x:c>
      <x:c r="B84" s="3"/>
      <x:c r="C84" s="3"/>
      <x:c r="L84" s="3" t="s">
        <x:v>50</x:v>
      </x:c>
      <x:c r="M84" s="3"/>
      <x:c r="N84" s="3"/>
    </x:row>
    <x:row r="85">
      <x:c r="A85" s="1" t="s">
        <x:v>3</x:v>
      </x:c>
      <x:c r="B85" s="1" t="s">
        <x:v>4</x:v>
      </x:c>
      <x:c r="C85" s="1" t="s">
        <x:v>5</x:v>
      </x:c>
      <x:c r="D85" s="1" t="s">
        <x:v>6</x:v>
      </x:c>
      <x:c r="E85" s="1" t="s">
        <x:v>7</x:v>
      </x:c>
      <x:c r="F85" s="1" t="s">
        <x:v>8</x:v>
      </x:c>
      <x:c r="G85" s="1" t="s">
        <x:v>9</x:v>
      </x:c>
      <x:c r="H85" s="1" t="s">
        <x:v>10</x:v>
      </x:c>
      <x:c r="I85" s="1" t="s">
        <x:v>11</x:v>
      </x:c>
      <x:c r="L85" s="1" t="s">
        <x:v>3</x:v>
      </x:c>
      <x:c r="M85" s="1" t="s">
        <x:v>4</x:v>
      </x:c>
      <x:c r="N85" s="1" t="s">
        <x:v>5</x:v>
      </x:c>
      <x:c r="O85" s="1" t="s">
        <x:v>6</x:v>
      </x:c>
      <x:c r="P85" s="1" t="s">
        <x:v>7</x:v>
      </x:c>
      <x:c r="Q85" s="1" t="s">
        <x:v>8</x:v>
      </x:c>
      <x:c r="R85" s="1" t="s">
        <x:v>9</x:v>
      </x:c>
      <x:c r="S85" s="1" t="s">
        <x:v>10</x:v>
      </x:c>
      <x:c r="T85" s="1" t="s">
        <x:v>11</x:v>
      </x:c>
    </x:row>
    <x:row r="86">
      <x:c r="A86" s="1">
        <x:v>-5.6249724089380497E-2</x:v>
      </x:c>
      <x:c r="B86" s="1">
        <x:v>0</x:v>
      </x:c>
      <x:c r="C86" s="1">
        <x:v>154.91388888888801</x:v>
      </x:c>
      <x:c r="D86" s="1" t="n">
        <x:f>-A86*1.5</x:f>
        <x:v>0.08437458613407074</x:v>
      </x:c>
      <x:c r="E86" s="1" t="n">
        <x:f>A86*A86*1.5</x:f>
        <x:v>0.004746047190197149</x:v>
      </x:c>
      <x:c r="F86" s="1" t="e">
        <x:f>D86/(B86/60)/0.4572</x:f>
        <x:v>#DIV/0!</x:v>
      </x:c>
      <x:c r="G86" s="1" t="e">
        <x:f>D86*SIN(RADIANS(45))/(B86/60)/0.4572</x:f>
        <x:v>#DIV/0!</x:v>
      </x:c>
      <x:c r="H86" s="1" t="e">
        <x:f>(C86-$C$86)*9.8/1.205/(B86/60)^2/0.4572^4/1000</x:f>
        <x:v>#DIV/0!</x:v>
      </x:c>
      <x:c r="I86" t="e">
        <x:f>H86*4/(3.14^3)</x:f>
        <x:v>#DIV/0!</x:v>
      </x:c>
      <x:c r="L86" s="1">
        <x:v>-8.9917547935456504E-3</x:v>
      </x:c>
      <x:c r="M86" s="1">
        <x:v>0</x:v>
      </x:c>
      <x:c r="N86" s="1">
        <x:v>158.03216374268999</x:v>
      </x:c>
      <x:c r="O86" s="1" t="n">
        <x:f>-L86*1.5</x:f>
        <x:v>0.013487632190318476</x:v>
      </x:c>
      <x:c r="P86" s="1" t="n">
        <x:f>L86*L86*1.5</x:f>
        <x:v>0.00012127748140087677</x:v>
      </x:c>
      <x:c r="Q86" s="1" t="e">
        <x:f>O86/(M86/60)/0.4572</x:f>
        <x:v>#DIV/0!</x:v>
      </x:c>
      <x:c r="R86" s="1" t="e">
        <x:f>O86*SIN(RADIANS(45))/(M86/60)/0.4572</x:f>
        <x:v>#DIV/0!</x:v>
      </x:c>
      <x:c r="S86" s="1" t="e">
        <x:f>(N86-$N$86)*9.8/1.205/(M86/60)^2/0.4572^4/1000</x:f>
        <x:v>#DIV/0!</x:v>
      </x:c>
      <x:c r="T86" t="e">
        <x:f>S86*4/(3.14^3)</x:f>
        <x:v>#DIV/0!</x:v>
      </x:c>
    </x:row>
    <x:row r="87">
      <x:c r="A87" s="1">
        <x:v>-0.104022082033837</x:v>
      </x:c>
      <x:c r="B87" s="1">
        <x:v>4038.7399859512002</x:v>
      </x:c>
      <x:c r="C87" s="1">
        <x:v>2222.7429078014102</x:v>
      </x:c>
      <x:c r="D87" s="1" t="n">
        <x:f t="shared" ref="D87:D108" si="42">-A87*1.5</x:f>
        <x:v>0.1560331230507555</x:v>
      </x:c>
      <x:c r="E87" s="1" t="n">
        <x:f t="shared" ref="E87:E108" si="43">A87*A87*1.5</x:f>
        <x:v>0.016230890325981472</x:v>
      </x:c>
      <x:c r="F87" s="1" t="n">
        <x:f t="shared" ref="F87:F108" si="44">D87/(B87/60)/0.4572</x:f>
        <x:v>0.005070093116458386</x:v>
      </x:c>
      <x:c r="G87" s="1" t="n">
        <x:f t="shared" ref="G87:G108" si="45">D87*SIN(RADIANS(45))/(B87/60)/0.4572</x:f>
        <x:v>0.0035850972238949605</x:v>
      </x:c>
      <x:c r="H87" s="1" t="n">
        <x:f t="shared" ref="H87:H108" si="46">(C87-$C$86)*9.8/1.205/(B87/60)^2/0.4572^4/1000</x:f>
        <x:v>0.08494532454748645</x:v>
      </x:c>
      <x:c r="I87" t="n">
        <x:f t="shared" ref="I87:I108" si="47">H87*4/(3.14^3)</x:f>
        <x:v>0.010975151580093614</x:v>
      </x:c>
      <x:c r="L87" s="1">
        <x:v>-6.0652966370745999E-2</x:v>
      </x:c>
      <x:c r="M87" s="1">
        <x:v>3993.2006506017701</x:v>
      </x:c>
      <x:c r="N87" s="1">
        <x:v>2189.79865771812</x:v>
      </x:c>
      <x:c r="O87" s="1" t="n">
        <x:f t="shared" ref="O87:O108" si="48">-L87*1.5</x:f>
        <x:v>0.090979449556119</x:v>
      </x:c>
      <x:c r="P87" s="1" t="n">
        <x:f t="shared" ref="P87:P108" si="49">L87*L87*1.5</x:f>
        <x:v>0.005518173494356268</x:v>
      </x:c>
      <x:c r="Q87" s="1" t="n">
        <x:f t="shared" ref="Q87:Q108" si="50">O87/(M87/60)/0.4572</x:f>
        <x:v>0.002989972544305454</x:v>
      </x:c>
      <x:c r="R87" s="1" t="n">
        <x:f t="shared" ref="R87:R108" si="51">O87*SIN(RADIANS(45))/(M87/60)/0.4572</x:f>
        <x:v>0.002114229861639981</x:v>
      </x:c>
      <x:c r="S87" s="1" t="n">
        <x:f t="shared" ref="S87:S108" si="52">(N87-$N$86)*9.8/1.205/(M87/60)^2/0.4572^4/1000</x:f>
        <x:v>0.08537843115929636</x:v>
      </x:c>
      <x:c r="T87" t="n">
        <x:f t="shared" ref="T87:T108" si="53">S87*4/(3.14^3)</x:f>
        <x:v>0.011031110053856315</x:v>
      </x:c>
    </x:row>
    <x:row r="88">
      <x:c r="A88" s="1">
        <x:v>-0.77058276212173804</x:v>
      </x:c>
      <x:c r="B88" s="1">
        <x:v>4060.8903198242101</x:v>
      </x:c>
      <x:c r="C88" s="1">
        <x:v>2230.84843205574</x:v>
      </x:c>
      <x:c r="D88" s="1">
        <x:f t="shared" si="42"/>
        <x:v>1.155874143182607</x:v>
      </x:c>
      <x:c r="E88" s="1">
        <x:f t="shared" si="43"/>
        <x:v>0.89069668991875073</x:v>
      </x:c>
      <x:c r="F88" s="1">
        <x:f t="shared" si="44"/>
        <x:v>3.735375943600238E-2</x:v>
      </x:c>
      <x:c r="G88" s="1">
        <x:f t="shared" si="45"/>
        <x:v>2.6413096600008269E-2</x:v>
      </x:c>
      <x:c r="H88" s="1">
        <x:f t="shared" si="46"/>
        <x:v>8.4350522773387976E-2</x:v>
      </x:c>
      <x:c r="I88">
        <x:f t="shared" si="47"/>
        <x:v>1.0898301680871792E-2</x:v>
      </x:c>
      <x:c r="L88" s="1">
        <x:v>-0.68137124989261</x:v>
      </x:c>
      <x:c r="M88" s="1">
        <x:v>3997.1855340254901</x:v>
      </x:c>
      <x:c r="N88" s="1">
        <x:v>2155.0969455511199</x:v>
      </x:c>
      <x:c r="O88" s="1">
        <x:f t="shared" si="48"/>
        <x:v>1.0220568748389149</x:v>
      </x:c>
      <x:c r="P88" s="1">
        <x:f t="shared" si="49"/>
        <x:v>0.6964001702703263</x:v>
      </x:c>
      <x:c r="Q88" s="1">
        <x:f t="shared" si="50"/>
        <x:v>3.3555660015280771E-2</x:v>
      </x:c>
      <x:c r="R88" s="1">
        <x:f t="shared" si="51"/>
        <x:v>2.3727434743995319E-2</x:v>
      </x:c>
      <x:c r="S88" s="1">
        <x:f t="shared" si="52"/>
        <x:v>8.375296323326481E-2</x:v>
      </x:c>
      <x:c r="T88">
        <x:f t="shared" si="53"/>
        <x:v>1.0821095471278509E-2</x:v>
      </x:c>
    </x:row>
    <x:row r="89">
      <x:c r="A89" s="1">
        <x:v>-1.3883400026341499</x:v>
      </x:c>
      <x:c r="B89" s="1">
        <x:v>4063.0183977399502</x:v>
      </x:c>
      <x:c r="C89" s="1">
        <x:v>2174.4771126760502</x:v>
      </x:c>
      <x:c r="D89" s="1">
        <x:f t="shared" si="42"/>
        <x:v>2.0825100039512248</x:v>
      </x:c>
      <x:c r="E89" s="1">
        <x:f t="shared" si="43"/>
        <x:v>2.8912319443712873</x:v>
      </x:c>
      <x:c r="F89" s="1">
        <x:f t="shared" si="44"/>
        <x:v>6.7264100074246477E-2</x:v>
      </x:c>
      <x:c r="G89" s="1">
        <x:f t="shared" si="45"/>
        <x:v>4.7562901292910242E-2</x:v>
      </x:c>
      <x:c r="H89" s="1">
        <x:f t="shared" si="46"/>
        <x:v>8.1974073824730403E-2</x:v>
      </x:c>
      <x:c r="I89">
        <x:f t="shared" si="47"/>
        <x:v>1.0591258443674076E-2</x:v>
      </x:c>
      <x:c r="L89" s="1">
        <x:v>-1.35440452411921</x:v>
      </x:c>
      <x:c r="M89" s="1">
        <x:v>3975.6623956088301</x:v>
      </x:c>
      <x:c r="N89" s="1">
        <x:v>2098.1618887015102</x:v>
      </x:c>
      <x:c r="O89" s="1">
        <x:f t="shared" si="48"/>
        <x:v>2.031606786178815</x:v>
      </x:c>
      <x:c r="P89" s="1">
        <x:f t="shared" si="49"/>
        <x:v>2.7516174224318757</x:v>
      </x:c>
      <x:c r="Q89" s="1">
        <x:f t="shared" si="50"/>
        <x:v>6.7061796820945818E-2</x:v>
      </x:c>
      <x:c r="R89" s="1">
        <x:f t="shared" si="51"/>
        <x:v>4.7419851290645243E-2</x:v>
      </x:c>
      <x:c r="S89" s="1">
        <x:f t="shared" si="52"/>
        <x:v>8.2248581439524876E-2</x:v>
      </x:c>
      <x:c r="T89">
        <x:f t="shared" si="53"/>
        <x:v>1.0626725524391097E-2</x:v>
      </x:c>
    </x:row>
    <x:row r="90">
      <x:c r="A90" s="1">
        <x:v>-2.0701163458824099</x:v>
      </x:c>
      <x:c r="B90" s="1">
        <x:v>4028.1178222656199</x:v>
      </x:c>
      <x:c r="C90" s="1">
        <x:v>2118.5633333333299</x:v>
      </x:c>
      <x:c r="D90" s="1">
        <x:f t="shared" si="42"/>
        <x:v>3.1051745188236151</x:v>
      </x:c>
      <x:c r="E90" s="1">
        <x:f t="shared" si="43"/>
        <x:v>6.4280725282343125</x:v>
      </x:c>
      <x:c r="F90" s="1">
        <x:f t="shared" si="44"/>
        <x:v>0.10116467185763377</x:v>
      </x:c>
      <x:c r="G90" s="1">
        <x:f t="shared" si="45"/>
        <x:v>7.1534225487044731E-2</x:v>
      </x:c>
      <x:c r="H90" s="1">
        <x:f t="shared" si="46"/>
        <x:v>8.1091675044705352E-2</x:v>
      </x:c>
      <x:c r="I90">
        <x:f t="shared" si="47"/>
        <x:v>1.0477250281171255E-2</x:v>
      </x:c>
      <x:c r="L90" s="1">
        <x:v>-2.0389982957610502</x:v>
      </x:c>
      <x:c r="M90" s="1">
        <x:v>3960.28515625</x:v>
      </x:c>
      <x:c r="N90" s="1">
        <x:v>2045.2925989672899</x:v>
      </x:c>
      <x:c r="O90" s="1">
        <x:f t="shared" si="48"/>
        <x:v>3.0584974436415751</x:v>
      </x:c>
      <x:c r="P90" s="1">
        <x:f t="shared" si="49"/>
        <x:v>6.2362710751747006</x:v>
      </x:c>
      <x:c r="Q90" s="1">
        <x:f t="shared" si="50"/>
        <x:v>0.10135068598339578</x:v>
      </x:c>
      <x:c r="R90" s="1">
        <x:f t="shared" si="51"/>
        <x:v>7.1665757336767513E-2</x:v>
      </x:c>
      <x:c r="S90" s="1">
        <x:f t="shared" si="52"/>
        <x:v>8.0629796203067636E-2</x:v>
      </x:c>
      <x:c r="T90">
        <x:f t="shared" si="53"/>
        <x:v>1.0417574362271467E-2</x:v>
      </x:c>
    </x:row>
    <x:row r="91">
      <x:c r="A91" s="1">
        <x:v>-2.75678818179111</x:v>
      </x:c>
      <x:c r="B91" s="1">
        <x:v>4050.3798730468702</x:v>
      </x:c>
      <x:c r="C91" s="1">
        <x:v>2059.1682974559599</x:v>
      </x:c>
      <x:c r="D91" s="1">
        <x:f t="shared" si="42"/>
        <x:v>4.1351822726866647</x:v>
      </x:c>
      <x:c r="E91" s="1">
        <x:f t="shared" si="43"/>
        <x:v>11.3998216188947</x:v>
      </x:c>
      <x:c r="F91" s="1">
        <x:f t="shared" si="44"/>
        <x:v>0.13398122051377725</x:v>
      </x:c>
      <x:c r="G91" s="1">
        <x:f t="shared" si="45"/>
        <x:v>9.4739029576942052E-2</x:v>
      </x:c>
      <x:c r="H91" s="1">
        <x:f t="shared" si="46"/>
        <x:v>7.7776805177011576E-2</x:v>
      </x:c>
      <x:c r="I91">
        <x:f t="shared" si="47"/>
        <x:v>1.0048960678888483E-2</x:v>
      </x:c>
      <x:c r="L91" s="1">
        <x:v>-2.73099000047343</x:v>
      </x:c>
      <x:c r="M91" s="1">
        <x:v>3978.1849083533598</x:v>
      </x:c>
      <x:c r="N91" s="1">
        <x:v>1986.5473887814301</x:v>
      </x:c>
      <x:c r="O91" s="1">
        <x:f t="shared" si="48"/>
        <x:v>4.0964850007101452</x:v>
      </x:c>
      <x:c r="P91" s="1">
        <x:f t="shared" si="49"/>
        <x:v>11.187459574028798</x:v>
      </x:c>
      <x:c r="Q91" s="1">
        <x:f t="shared" si="50"/>
        <x:v>0.13513611588472613</x:v>
      </x:c>
      <x:c r="R91" s="1">
        <x:f t="shared" si="51"/>
        <x:v>9.5555663925300974E-2</x:v>
      </x:c>
      <x:c r="S91" s="1">
        <x:f t="shared" si="52"/>
        <x:v>7.7418596248267482E-2</x:v>
      </x:c>
      <x:c r="T91">
        <x:f t="shared" si="53"/>
        <x:v>1.000267917591875E-2</x:v>
      </x:c>
    </x:row>
    <x:row r="92">
      <x:c r="A92" s="1">
        <x:v>-3.4401918695684</x:v>
      </x:c>
      <x:c r="B92" s="1">
        <x:v>4030.7581351143899</x:v>
      </x:c>
      <x:c r="C92" s="1">
        <x:v>1999.5751748251701</x:v>
      </x:c>
      <x:c r="D92" s="1">
        <x:f t="shared" si="42"/>
        <x:v>5.1602878043525999</x:v>
      </x:c>
      <x:c r="E92" s="1">
        <x:f t="shared" si="43"/>
        <x:v>17.752380149166783</x:v>
      </x:c>
      <x:c r="F92" s="1">
        <x:f t="shared" si="44"/>
        <x:v>0.16800887109332077</x:v>
      </x:c>
      <x:c r="G92" s="1">
        <x:f t="shared" si="45"/>
        <x:v>0.11880021204958362</x:v>
      </x:c>
      <x:c r="H92" s="1">
        <x:f t="shared" si="46"/>
        <x:v>7.6078124479128387E-2</x:v>
      </x:c>
      <x:c r="I92">
        <x:f t="shared" si="47"/>
        <x:v>9.8294868203240224E-3</x:v>
      </x:c>
      <x:c r="L92" s="1">
        <x:v>-3.4187360115540302</x:v>
      </x:c>
      <x:c r="M92" s="1">
        <x:v>3983.42454246238</x:v>
      </x:c>
      <x:c r="N92" s="1">
        <x:v>1919.76330275229</x:v>
      </x:c>
      <x:c r="O92" s="1">
        <x:f t="shared" si="48"/>
        <x:v>5.1281040173310455</x:v>
      </x:c>
      <x:c r="P92" s="1">
        <x:f t="shared" si="49"/>
        <x:v>17.531633875044534</x:v>
      </x:c>
      <x:c r="Q92" s="1">
        <x:f t="shared" si="50"/>
        <x:v>0.16894496749208254</x:v>
      </x:c>
      <x:c r="R92" s="1">
        <x:f t="shared" si="51"/>
        <x:v>0.1194621321609924</x:v>
      </x:c>
      <x:c r="S92" s="1">
        <x:f t="shared" si="52"/>
        <x:v>7.4394886192846413E-2</x:v>
      </x:c>
      <x:c r="T92">
        <x:f t="shared" si="53"/>
        <x:v>9.6120081605417015E-3</x:v>
      </x:c>
    </x:row>
    <x:row r="93">
      <x:c r="A93" s="1">
        <x:v>-4.1267288273912097</x:v>
      </x:c>
      <x:c r="B93" s="1">
        <x:v>4033.02295939127</x:v>
      </x:c>
      <x:c r="C93" s="1">
        <x:v>1940.9938900203599</x:v>
      </x:c>
      <x:c r="D93" s="1">
        <x:f t="shared" si="42"/>
        <x:v>6.1900932410868146</x:v>
      </x:c>
      <x:c r="E93" s="1">
        <x:f t="shared" si="43"/>
        <x:v>25.544836222232441</x:v>
      </x:c>
      <x:c r="F93" s="1">
        <x:f t="shared" si="44"/>
        <x:v>0.20142414326621172</x:v>
      </x:c>
      <x:c r="G93" s="1">
        <x:f t="shared" si="45"/>
        <x:v>0.14242837759822899</x:v>
      </x:c>
      <x:c r="H93" s="1">
        <x:f t="shared" si="46"/>
        <x:v>7.3579386357860543E-2</x:v>
      </x:c>
      <x:c r="I93">
        <x:f t="shared" si="47"/>
        <x:v>9.506643511572611E-3</x:v>
      </x:c>
      <x:c r="L93" s="1">
        <x:v>-4.1091670935598099</x:v>
      </x:c>
      <x:c r="M93" s="1">
        <x:v>3977.9663273737901</x:v>
      </x:c>
      <x:c r="N93" s="1">
        <x:v>1862.38095238095</x:v>
      </x:c>
      <x:c r="O93" s="1">
        <x:f t="shared" si="48"/>
        <x:v>6.1637506403397149</x:v>
      </x:c>
      <x:c r="P93" s="1">
        <x:f t="shared" si="49"/>
        <x:v>25.327881304192164</x:v>
      </x:c>
      <x:c r="Q93" s="1">
        <x:f t="shared" si="50"/>
        <x:v>0.20334288769196043</x:v>
      </x:c>
      <x:c r="R93" s="1">
        <x:f t="shared" si="51"/>
        <x:v>0.14378513479303975</x:v>
      </x:c>
      <x:c r="S93" s="1">
        <x:f t="shared" si="52"/>
        <x:v>7.216936993123306E-2</x:v>
      </x:c>
      <x:c r="T93">
        <x:f t="shared" si="53"/>
        <x:v>9.3244658096791125E-3</x:v>
      </x:c>
    </x:row>
    <x:row r="94">
      <x:c r="A94" s="1">
        <x:v>-4.8050967981149402</x:v>
      </x:c>
      <x:c r="B94" s="1">
        <x:v>4060.5239479758502</x:v>
      </x:c>
      <x:c r="C94" s="1">
        <x:v>1882.0898203592801</x:v>
      </x:c>
      <x:c r="D94" s="1">
        <x:f t="shared" si="42"/>
        <x:v>7.2076451971724103</x:v>
      </x:c>
      <x:c r="E94" s="1">
        <x:f t="shared" si="43"/>
        <x:v>34.633432858881676</x:v>
      </x:c>
      <x:c r="F94" s="1">
        <x:f t="shared" si="44"/>
        <x:v>0.23294658733655241</x:v>
      </x:c>
      <x:c r="G94" s="1">
        <x:f t="shared" si="45"/>
        <x:v>0.16471811155994054</x:v>
      </x:c>
      <x:c r="H94" s="1">
        <x:f t="shared" si="46"/>
        <x:v>7.0192234449753324E-2</x:v>
      </x:c>
      <x:c r="I94">
        <x:f t="shared" si="47"/>
        <x:v>9.0690148861678234E-3</x:v>
      </x:c>
      <x:c r="L94" s="1">
        <x:v>-4.7933580065882397</x:v>
      </x:c>
      <x:c r="M94" s="1">
        <x:v>3995.6060384114498</x:v>
      </x:c>
      <x:c r="N94" s="1">
        <x:v>1808.99537037037</x:v>
      </x:c>
      <x:c r="O94" s="1">
        <x:f t="shared" si="48"/>
        <x:v>7.1900370098823601</x:v>
      </x:c>
      <x:c r="P94" s="1">
        <x:f t="shared" si="49"/>
        <x:v>34.464421468985378</x:v>
      </x:c>
      <x:c r="Q94" s="1">
        <x:f t="shared" si="50"/>
        <x:v>0.23615301450511808</x:v>
      </x:c>
      <x:c r="R94" s="1">
        <x:f t="shared" si="51"/>
        <x:v>0.1669853979542141</x:v>
      </x:c>
      <x:c r="S94" s="1">
        <x:f t="shared" si="52"/>
        <x:v>6.9292896528407588E-2</x:v>
      </x:c>
      <x:c r="T94">
        <x:f t="shared" si="53"/>
        <x:v>8.9528181436033995E-3</x:v>
      </x:c>
    </x:row>
    <x:row r="95">
      <x:c r="A95" s="1">
        <x:v>-5.4878909852769597</x:v>
      </x:c>
      <x:c r="B95" s="1">
        <x:v>4062.55514761117</x:v>
      </x:c>
      <x:c r="C95" s="1">
        <x:v>1824.9103585657299</x:v>
      </x:c>
      <x:c r="D95" s="1">
        <x:f t="shared" si="42"/>
        <x:v>8.23183647791544</x:v>
      </x:c>
      <x:c r="E95" s="1">
        <x:f t="shared" si="43"/>
        <x:v>45.175421199426182</x:v>
      </x:c>
      <x:c r="F95" s="1">
        <x:f t="shared" si="44"/>
        <x:v>0.26591479051650457</x:v>
      </x:c>
      <x:c r="G95" s="1">
        <x:f t="shared" si="45"/>
        <x:v>0.18803015159202063</x:v>
      </x:c>
      <x:c r="H95" s="1">
        <x:f t="shared" si="46"/>
        <x:v>6.7800618693781955E-2</x:v>
      </x:c>
      <x:c r="I95">
        <x:f t="shared" si="47"/>
        <x:v>8.7600120589615728E-3</x:v>
      </x:c>
      <x:c r="L95" s="1">
        <x:v>-5.4780388971654297</x:v>
      </x:c>
      <x:c r="M95" s="1">
        <x:v>3999.2567871093702</x:v>
      </x:c>
      <x:c r="N95" s="1">
        <x:v>1749.96593673965</x:v>
      </x:c>
      <x:c r="O95" s="1">
        <x:f t="shared" si="48"/>
        <x:v>8.2170583457481445</x:v>
      </x:c>
      <x:c r="P95" s="1">
        <x:f t="shared" si="49"/>
        <x:v>45.013365238286156</x:v>
      </x:c>
      <x:c r="Q95" s="1">
        <x:f t="shared" si="50"/>
        <x:v>0.26963862812986999</x:v>
      </x:c>
      <x:c r="R95" s="1">
        <x:f t="shared" si="51"/>
        <x:v>0.19066330242046883</x:v>
      </x:c>
      <x:c r="S95" s="1">
        <x:f t="shared" si="52"/>
        <x:v>6.6693430702596743E-2</x:v>
      </x:c>
      <x:c r="T95">
        <x:f t="shared" si="53"/>
        <x:v>8.6169605597101444E-3</x:v>
      </x:c>
    </x:row>
    <x:row r="96">
      <x:c r="A96" s="1">
        <x:v>-6.1768597040744799</x:v>
      </x:c>
      <x:c r="B96" s="1">
        <x:v>4050.46669108072</x:v>
      </x:c>
      <x:c r="C96" s="1">
        <x:v>1762.43874172185</x:v>
      </x:c>
      <x:c r="D96" s="1">
        <x:f t="shared" si="42"/>
        <x:v>9.2652895561117194</x:v>
      </x:c>
      <x:c r="E96" s="1">
        <x:f t="shared" si="43"/>
        <x:v>57.230393705728609</x:v>
      </x:c>
      <x:c r="F96" s="1">
        <x:f t="shared" si="44"/>
        <x:v>0.30019189325987694</x:v>
      </x:c>
      <x:c r="G96" s="1">
        <x:f t="shared" si="45"/>
        <x:v>0.21226772338128719</x:v>
      </x:c>
      <x:c r="H96" s="1">
        <x:f t="shared" si="46"/>
        <x:v>6.5654456181867091E-2</x:v>
      </x:c>
      <x:c r="I96">
        <x:f t="shared" si="47"/>
        <x:v>8.4827224140133963E-3</x:v>
      </x:c>
      <x:c r="L96" s="1">
        <x:v>-6.1635530211708698</x:v>
      </x:c>
      <x:c r="M96" s="1">
        <x:v>3985.7160237630201</x:v>
      </x:c>
      <x:c r="N96" s="1">
        <x:v>1693.0496894409901</x:v>
      </x:c>
      <x:c r="O96" s="1">
        <x:f t="shared" si="48"/>
        <x:v>9.2453295317563047</x:v>
      </x:c>
      <x:c r="P96" s="1">
        <x:f t="shared" si="49"/>
        <x:v>56.98407876717684</x:v>
      </x:c>
      <x:c r="Q96" s="1">
        <x:f t="shared" si="50"/>
        <x:v>0.30441151140207345</x:v>
      </x:c>
      <x:c r="R96" s="1">
        <x:f t="shared" si="51"/>
        <x:v>0.21525144398365217</x:v>
      </x:c>
      <x:c r="S96" s="1">
        <x:f t="shared" si="52"/>
        <x:v>6.474664594274554E-2</x:v>
      </x:c>
      <x:c r="T96">
        <x:f t="shared" si="53"/>
        <x:v>8.3654310264838772E-3</x:v>
      </x:c>
    </x:row>
    <x:row r="97">
      <x:c r="A97" s="1">
        <x:v>-6.8010869337521003</x:v>
      </x:c>
      <x:c r="B97" s="1">
        <x:v>4071.8432196255299</x:v>
      </x:c>
      <x:c r="C97" s="1">
        <x:v>1707.1394148020599</x:v>
      </x:c>
      <x:c r="D97" s="1">
        <x:f t="shared" si="42"/>
        <x:v>10.201630400628151</x:v>
      </x:c>
      <x:c r="E97" s="1">
        <x:f t="shared" si="43"/>
        <x:v>69.382175220680324</x:v>
      </x:c>
      <x:c r="F97" s="1">
        <x:f t="shared" si="44"/>
        <x:v>0.32879375955577816</x:v>
      </x:c>
      <x:c r="G97" s="1">
        <x:f t="shared" si="45"/>
        <x:v>0.23249229699370993</x:v>
      </x:c>
      <x:c r="H97" s="1">
        <x:f t="shared" si="46"/>
        <x:v>6.2732033847775343E-2</x:v>
      </x:c>
      <x:c r="I97">
        <x:f t="shared" si="47"/>
        <x:v>8.1051380293686859E-3</x:v>
      </x:c>
      <x:c r="L97" s="1">
        <x:v>-6.79109577923656</x:v>
      </x:c>
      <x:c r="M97" s="1">
        <x:v>4023.9687011718702</x:v>
      </x:c>
      <x:c r="N97" s="1">
        <x:v>1642.4800796812699</x:v>
      </x:c>
      <x:c r="O97" s="1">
        <x:f t="shared" si="48"/>
        <x:v>10.18664366885484</x:v>
      </x:c>
      <x:c r="P97" s="1">
        <x:f t="shared" si="49"/>
        <x:v>69.178472824146937</x:v>
      </x:c>
      <x:c r="Q97" s="1">
        <x:f t="shared" si="50"/>
        <x:v>0.3322167683394649</x:v>
      </x:c>
      <x:c r="R97" s="1">
        <x:f t="shared" si="51"/>
        <x:v>0.2349127297167159</x:v>
      </x:c>
      <x:c r="S97" s="1">
        <x:f t="shared" si="52"/>
        <x:v>6.1428854781026679E-2</x:v>
      </x:c>
      <x:c r="T97">
        <x:f t="shared" si="53"/>
        <x:v>7.9367639855968466E-3</x:v>
      </x:c>
    </x:row>
    <x:row r="98">
      <x:c r="A98" s="1">
        <x:v>-6.1725335099962004</x:v>
      </x:c>
      <x:c r="B98" s="1">
        <x:v>4067.41307532269</x:v>
      </x:c>
      <x:c r="C98" s="1">
        <x:v>1759.58980044345</x:v>
      </x:c>
      <x:c r="D98" s="1">
        <x:f t="shared" si="42"/>
        <x:v>9.2588002649943011</x:v>
      </x:c>
      <x:c r="E98" s="1">
        <x:f t="shared" si="43"/>
        <x:v>57.150254898039023</x:v>
      </x:c>
      <x:c r="F98" s="1">
        <x:f t="shared" si="44"/>
        <x:v>0.29873180546769462</x:v>
      </x:c>
      <x:c r="G98" s="1">
        <x:f t="shared" si="45"/>
        <x:v>0.21123528540230738</x:v>
      </x:c>
      <x:c r="H98" s="1">
        <x:f t="shared" si="46"/>
        <x:v>6.4993124390099674E-2</x:v>
      </x:c>
      <x:c r="I98">
        <x:f t="shared" si="47"/>
        <x:v>8.3972766676106633E-3</x:v>
      </x:c>
      <x:c r="L98" s="1">
        <x:v>-6.1673267464659496</x:v>
      </x:c>
      <x:c r="M98" s="1">
        <x:v>3995.1591907848001</x:v>
      </x:c>
      <x:c r="N98" s="1">
        <x:v>1687.14578587699</x:v>
      </x:c>
      <x:c r="O98" s="1">
        <x:f t="shared" si="48"/>
        <x:v>9.2509901196989244</x:v>
      </x:c>
      <x:c r="P98" s="1">
        <x:f t="shared" si="49"/>
        <x:v>57.053878796511412</x:v>
      </x:c>
      <x:c r="Q98" s="1">
        <x:f t="shared" si="50"/>
        <x:v>0.30387792829970689</x:v>
      </x:c>
      <x:c r="R98" s="1">
        <x:f t="shared" si="51"/>
        <x:v>0.21487414375364217</x:v>
      </x:c>
      <x:c r="S98" s="1">
        <x:f t="shared" si="52"/>
        <x:v>6.4193081248303058E-2</x:v>
      </x:c>
      <x:c r="T98">
        <x:f t="shared" si="53"/>
        <x:v>8.2939090626411444E-3</x:v>
      </x:c>
    </x:row>
    <x:row r="99">
      <x:c r="A99" s="1">
        <x:v>-5.4925362191983096</x:v>
      </x:c>
      <x:c r="B99" s="1">
        <x:v>4061.5628526475598</x:v>
      </x:c>
      <x:c r="C99" s="1">
        <x:v>1811.35074626865</x:v>
      </x:c>
      <x:c r="D99" s="1">
        <x:f t="shared" si="42"/>
        <x:v>8.2388043287974639</x:v>
      </x:c>
      <x:c r="E99" s="1">
        <x:f t="shared" si="43"/>
        <x:v>45.251931178807894</x:v>
      </x:c>
      <x:c r="F99" s="1">
        <x:f t="shared" si="44"/>
        <x:v>0.26620489609319431</x:v>
      </x:c>
      <x:c r="G99" s="1">
        <x:f t="shared" si="45"/>
        <x:v>0.18823528721255797</x:v>
      </x:c>
      <x:c r="H99" s="1">
        <x:f t="shared" si="46"/>
        <x:v>6.7282972730024065E-2</x:v>
      </x:c>
      <x:c r="I99">
        <x:f t="shared" si="47"/>
        <x:v>8.6931308863092676E-3</x:v>
      </x:c>
      <x:c r="L99" s="1">
        <x:v>-5.4899897224762801</x:v>
      </x:c>
      <x:c r="M99" s="1">
        <x:v>3984.4447790075201</x:v>
      </x:c>
      <x:c r="N99" s="1">
        <x:v>1737.73443223443</x:v>
      </x:c>
      <x:c r="O99" s="1">
        <x:f t="shared" si="48"/>
        <x:v>8.2349845837144198</x:v>
      </x:c>
      <x:c r="P99" s="1">
        <x:f t="shared" si="49"/>
        <x:v>45.209980729342774</x:v>
      </x:c>
      <x:c r="Q99" s="1">
        <x:f t="shared" si="50"/>
        <x:v>0.27123142576264386</x:v>
      </x:c>
      <x:c r="R99" s="1">
        <x:f t="shared" si="51"/>
        <x:v>0.19178958042766112</x:v>
      </x:c>
      <x:c r="S99" s="1">
        <x:f t="shared" si="52"/>
        <x:v>6.6673961503389959E-2</x:v>
      </x:c>
      <x:c r="T99">
        <x:f t="shared" si="53"/>
        <x:v>8.6144450897466616E-3</x:v>
      </x:c>
    </x:row>
    <x:row r="100">
      <x:c r="A100" s="1">
        <x:v>-4.8146795816719496</x:v>
      </x:c>
      <x:c r="B100" s="1">
        <x:v>4043.55806640625</x:v>
      </x:c>
      <x:c r="C100" s="1">
        <x:v>1868.173828125</x:v>
      </x:c>
      <x:c r="D100" s="1">
        <x:f t="shared" si="42"/>
        <x:v>7.2220193725079245</x:v>
      </x:c>
      <x:c r="E100" s="1">
        <x:f t="shared" si="43"/>
        <x:v>34.771709211253167</x:v>
      </x:c>
      <x:c r="F100" s="1">
        <x:f t="shared" si="44"/>
        <x:v>0.23439049362721445</x:v>
      </x:c>
      <x:c r="G100" s="1">
        <x:f t="shared" si="45"/>
        <x:v>0.16573910748946558</x:v>
      </x:c>
      <x:c r="H100" s="1">
        <x:f t="shared" si="46"/>
        <x:v>7.0212192447319646E-2</x:v>
      </x:c>
      <x:c r="I100">
        <x:f t="shared" si="47"/>
        <x:v>9.0715935101202596E-3</x:v>
      </x:c>
      <x:c r="L100" s="1">
        <x:v>-4.8108054880172899</x:v>
      </x:c>
      <x:c r="M100" s="1">
        <x:v>3970.1732031249999</x:v>
      </x:c>
      <x:c r="N100" s="1">
        <x:v>1803.2943548387</x:v>
      </x:c>
      <x:c r="O100" s="1">
        <x:f t="shared" si="48"/>
        <x:v>7.2162082320259344</x:v>
      </x:c>
      <x:c r="P100" s="1">
        <x:f t="shared" si="49"/>
        <x:v>34.715774165305909</x:v>
      </x:c>
      <x:c r="Q100" s="1">
        <x:f t="shared" si="50"/>
        <x:v>0.23853089169729502</x:v>
      </x:c>
      <x:c r="R100" s="1">
        <x:f t="shared" si="51"/>
        <x:v>0.16866681104163125</x:v>
      </x:c>
      <x:c r="S100" s="1">
        <x:f t="shared" si="52"/>
        <x:v>6.9941163498686482E-2</x:v>
      </x:c>
      <x:c r="T100">
        <x:f t="shared" si="53"/>
        <x:v>9.0365758819024814E-3</x:v>
      </x:c>
    </x:row>
    <x:row r="101">
      <x:c r="A101" s="1">
        <x:v>-4.1361435743478596</x:v>
      </x:c>
      <x:c r="B101" s="1">
        <x:v>4041.7828674316402</x:v>
      </x:c>
      <x:c r="C101" s="1">
        <x:v>1920.85438972162</x:v>
      </x:c>
      <x:c r="D101" s="1">
        <x:f t="shared" si="42"/>
        <x:v>6.2042153615217899</x:v>
      </x:c>
      <x:c r="E101" s="1">
        <x:f t="shared" si="43"/>
        <x:v>25.661525501428635</x:v>
      </x:c>
      <x:c r="F101" s="1">
        <x:f t="shared" si="44"/>
        <x:v>0.2014461235842549</x:v>
      </x:c>
      <x:c r="G101" s="1">
        <x:f t="shared" si="45"/>
        <x:v>0.1424439200301699</x:v>
      </x:c>
      <x:c r="H101" s="1">
        <x:f t="shared" si="46"/>
        <x:v>7.2434714438688153E-2</x:v>
      </x:c>
      <x:c r="I101">
        <x:f t="shared" si="47"/>
        <x:v>9.3587489936657348E-3</x:v>
      </x:c>
      <x:c r="L101" s="1">
        <x:v>-4.1314967058142802</x:v>
      </x:c>
      <x:c r="M101" s="1">
        <x:v>3970.0321451822902</x:v>
      </x:c>
      <x:c r="N101" s="1">
        <x:v>1855.31020408163</x:v>
      </x:c>
      <x:c r="O101" s="1">
        <x:f t="shared" si="48"/>
        <x:v>6.1972450587214203</x:v>
      </x:c>
      <x:c r="P101" s="1">
        <x:f t="shared" si="49"/>
        <x:v>25.603897545231373</x:v>
      </x:c>
      <x:c r="Q101" s="1">
        <x:f t="shared" si="50"/>
        <x:v>0.20485646548227229</x:v>
      </x:c>
      <x:c r="R101" s="1">
        <x:f t="shared" si="51"/>
        <x:v>0.14485539591242264</x:v>
      </x:c>
      <x:c r="S101" s="1">
        <x:f t="shared" si="52"/>
        <x:v>7.2157518345813104E-2</x:v>
      </x:c>
      <x:c r="T101">
        <x:f t="shared" si="53"/>
        <x:v>9.3229345547555312E-3</x:v>
      </x:c>
    </x:row>
    <x:row r="102">
      <x:c r="A102" s="1">
        <x:v>-3.3857096609219099</x:v>
      </x:c>
      <x:c r="B102" s="1">
        <x:v>4035.6711895282401</x:v>
      </x:c>
      <x:c r="C102" s="1">
        <x:v>1977.44680851063</x:v>
      </x:c>
      <x:c r="D102" s="1">
        <x:f t="shared" si="42"/>
        <x:v>5.0785644913828651</x:v>
      </x:c>
      <x:c r="E102" s="1">
        <x:f t="shared" si="43"/>
        <x:v>17.194544862089934</x:v>
      </x:c>
      <x:c r="F102" s="1">
        <x:f t="shared" si="44"/>
        <x:v>0.16514682401242581</x:v>
      </x:c>
      <x:c r="G102" s="1">
        <x:f t="shared" si="45"/>
        <x:v>0.11677643915060762</x:v>
      </x:c>
      <x:c r="H102" s="1">
        <x:f t="shared" si="46"/>
        <x:v>7.4982596542820773E-2</x:v>
      </x:c>
      <x:c r="I102">
        <x:f t="shared" si="47"/>
        <x:v>9.6879418297638673E-3</x:v>
      </x:c>
      <x:c r="L102" s="1">
        <x:v>-3.4467654093106499</x:v>
      </x:c>
      <x:c r="M102" s="1">
        <x:v>3970.0890625000002</x:v>
      </x:c>
      <x:c r="N102" s="1">
        <x:v>1903.11</x:v>
      </x:c>
      <x:c r="O102" s="1">
        <x:f t="shared" si="48"/>
        <x:v>5.1701481139659746</x:v>
      </x:c>
      <x:c r="P102" s="1">
        <x:f t="shared" si="49"/>
        <x:v>17.820287680230617</x:v>
      </x:c>
      <x:c r="Q102" s="1">
        <x:f t="shared" si="50"/>
        <x:v>0.17090224353551439</x:v>
      </x:c>
      <x:c r="R102" s="1">
        <x:f t="shared" si="51"/>
        <x:v>0.12084613532395702</x:v>
      </x:c>
      <x:c r="S102" s="1">
        <x:f t="shared" si="52"/>
        <x:v>7.4187535861025777E-2</x:v>
      </x:c>
      <x:c r="T102">
        <x:f t="shared" si="53"/>
        <x:v>9.5852179712754039E-3</x:v>
      </x:c>
    </x:row>
    <x:row r="103">
      <x:c r="A103" s="1">
        <x:v>-2.7692409768889199</x:v>
      </x:c>
      <x:c r="B103" s="1">
        <x:v>4028.4965311686101</x:v>
      </x:c>
      <x:c r="C103" s="1">
        <x:v>2027.7852631578901</x:v>
      </x:c>
      <x:c r="D103" s="1">
        <x:f t="shared" si="42"/>
        <x:v>4.1538614653333799</x:v>
      </x:c>
      <x:c r="E103" s="1">
        <x:f t="shared" si="43"/>
        <x:v>11.503043382121049</x:v>
      </x:c>
      <x:c r="F103" s="1">
        <x:f t="shared" si="44"/>
        <x:v>0.13531752412724643</x:v>
      </x:c>
      <x:c r="G103" s="1">
        <x:f t="shared" si="45"/>
        <x:v>9.5683938923750211E-2</x:v>
      </x:c>
      <x:c r="H103" s="1">
        <x:f t="shared" si="46"/>
        <x:v>7.7328325588462643E-2</x:v>
      </x:c>
      <x:c r="I103">
        <x:f t="shared" si="47"/>
        <x:v>9.9910159775041113E-3</x:v>
      </x:c>
      <x:c r="L103" s="1">
        <x:v>-2.8302526508058801</x:v>
      </x:c>
      <x:c r="M103" s="1">
        <x:v>3969.16380092075</x:v>
      </x:c>
      <x:c r="N103" s="1">
        <x:v>1955.0803571428501</x:v>
      </x:c>
      <x:c r="O103" s="1">
        <x:f t="shared" si="48"/>
        <x:v>4.2453789762088201</x:v>
      </x:c>
      <x:c r="P103" s="1">
        <x:f t="shared" si="49"/>
        <x:v>12.015495101090568</x:v>
      </x:c>
      <x:c r="Q103" s="1">
        <x:f t="shared" si="50"/>
        <x:v>0.14036617699037576</x:v>
      </x:c>
      <x:c r="R103" s="1">
        <x:f t="shared" si="51"/>
        <x:v>9.9253875599125838E-2</x:v>
      </x:c>
      <x:c r="S103" s="1">
        <x:f t="shared" si="52"/>
        <x:v>7.643254542070696E-2</x:v>
      </x:c>
      <x:c r="T103">
        <x:f t="shared" si="53"/>
        <x:v>9.8752789057355017E-3</x:v>
      </x:c>
    </x:row>
    <x:row r="104">
      <x:c r="A104" s="1">
        <x:v>-2.08230123168978</x:v>
      </x:c>
      <x:c r="B104" s="1">
        <x:v>4011.7255328634501</x:v>
      </x:c>
      <x:c r="C104" s="1">
        <x:v>2081.4698275862002</x:v>
      </x:c>
      <x:c r="D104" s="1">
        <x:f t="shared" si="42"/>
        <x:v>3.1234518475346702</x:v>
      </x:c>
      <x:c r="E104" s="1">
        <x:f t="shared" si="43"/>
        <x:v>6.503967629245162</x:v>
      </x:c>
      <x:c r="F104" s="1">
        <x:f t="shared" si="44"/>
        <x:v>0.10217593748722685</x:v>
      </x:c>
      <x:c r="G104" s="1">
        <x:f t="shared" si="45"/>
        <x:v>7.2249298271310866E-2</x:v>
      </x:c>
      <x:c r="H104" s="1">
        <x:f t="shared" si="46"/>
        <x:v>8.021135281267712E-2</x:v>
      </x:c>
      <x:c r="I104">
        <x:f t="shared" si="47"/>
        <x:v>1.0363510413941304E-2</x:v>
      </x:c>
      <x:c r="L104" s="1">
        <x:v>-2.0803497091416299</x:v>
      </x:c>
      <x:c r="M104" s="1">
        <x:v>3955.7591513356801</x:v>
      </x:c>
      <x:c r="N104" s="1">
        <x:v>2011.92431561996</x:v>
      </x:c>
      <x:c r="O104" s="1">
        <x:f t="shared" si="48"/>
        <x:v>3.1205245637124448</x:v>
      </x:c>
      <x:c r="P104" s="1">
        <x:f t="shared" si="49"/>
        <x:v>6.4917823684884963</x:v>
      </x:c>
      <x:c r="Q104" s="1">
        <x:f t="shared" si="50"/>
        <x:v>0.1035244168345216</x:v>
      </x:c>
      <x:c r="R104" s="1">
        <x:f t="shared" si="51"/>
        <x:v>7.3202817162072997E-2</x:v>
      </x:c>
      <x:c r="S104" s="1">
        <x:f t="shared" si="52"/>
        <x:v>7.9385544088767385E-2</x:v>
      </x:c>
      <x:c r="T104">
        <x:f t="shared" si="53"/>
        <x:v>1.0256813830352336E-2</x:v>
      </x:c>
    </x:row>
    <x:row r="105">
      <x:c r="A105" s="1">
        <x:v>-1.3973630419221901</x:v>
      </x:c>
      <x:c r="B105" s="1">
        <x:v>4003.3594563801998</x:v>
      </x:c>
      <x:c r="C105" s="1">
        <x:v>2132.3902953586498</x:v>
      </x:c>
      <x:c r="D105" s="1">
        <x:f t="shared" si="42"/>
        <x:v>2.0960445628832849</x:v>
      </x:c>
      <x:c r="E105" s="1">
        <x:f t="shared" si="43"/>
        <x:v>2.9289352063950544</x:v>
      </x:c>
      <x:c r="F105" s="1">
        <x:f t="shared" si="44"/>
        <x:v>6.8710159040784702E-2</x:v>
      </x:c>
      <x:c r="G105" s="1">
        <x:f t="shared" si="45"/>
        <x:v>4.8585419394145027E-2</x:v>
      </x:c>
      <x:c r="H105" s="1">
        <x:f t="shared" si="46"/>
        <x:v>8.2675871210667121E-2</x:v>
      </x:c>
      <x:c r="I105">
        <x:f t="shared" si="47"/>
        <x:v>1.0681932447572467E-2</x:v>
      </x:c>
      <x:c r="L105" s="1">
        <x:v>-1.3963889719903899</x:v>
      </x:c>
      <x:c r="M105" s="1">
        <x:v>3944.9574350210301</x:v>
      </x:c>
      <x:c r="N105" s="1">
        <x:v>2063.5368217054202</x:v>
      </x:c>
      <x:c r="O105" s="1">
        <x:f t="shared" si="48"/>
        <x:v>2.0945834579855847</x:v>
      </x:c>
      <x:c r="P105" s="1">
        <x:f t="shared" si="49"/>
        <x:v>2.9248532416445672</x:v>
      </x:c>
      <x:c r="Q105" s="1">
        <x:f t="shared" si="50"/>
        <x:v>6.967875406094988E-2</x:v>
      </x:c>
      <x:c r="R105" s="1">
        <x:f t="shared" si="51"/>
        <x:v>4.9270319501127348E-2</x:v>
      </x:c>
      <x:c r="S105" s="1">
        <x:f t="shared" si="52"/>
        <x:v>8.2043090978724406E-2</x:v>
      </x:c>
      <x:c r="T105">
        <x:f t="shared" si="53"/>
        <x:v>1.0600175635182214E-2</x:v>
      </x:c>
    </x:row>
    <x:row r="106">
      <x:c r="A106" s="1">
        <x:v>-0.71087966315886497</x:v>
      </x:c>
      <x:c r="B106" s="1">
        <x:v>4018.30592773437</x:v>
      </x:c>
      <x:c r="C106" s="1">
        <x:v>2179.216796875</x:v>
      </x:c>
      <x:c r="D106" s="1">
        <x:f t="shared" si="42"/>
        <x:v>1.0663194947382975</x:v>
      </x:c>
      <x:c r="E106" s="1">
        <x:f t="shared" si="43"/>
        <x:v>0.75802484323929198</x:v>
      </x:c>
      <x:c r="F106" s="1">
        <x:f t="shared" si="44"/>
        <x:v>3.4824860048823097E-2</x:v>
      </x:c>
      <x:c r="G106" s="1">
        <x:f t="shared" si="45"/>
        <x:v>2.4624894694395293E-2</x:v>
      </x:c>
      <x:c r="H106" s="1">
        <x:f t="shared" si="46"/>
        <x:v>8.4005195251535533E-2</x:v>
      </x:c>
      <x:c r="I106">
        <x:f t="shared" si="47"/>
        <x:v>1.0853684488374165E-2</x:v>
      </x:c>
      <x:c r="L106" s="1">
        <x:v>-0.71008017857869399</x:v>
      </x:c>
      <x:c r="M106" s="1">
        <x:v>3958.4241055575199</x:v>
      </x:c>
      <x:c r="N106" s="1">
        <x:v>2111.0509977827001</x:v>
      </x:c>
      <x:c r="O106" s="1">
        <x:f t="shared" si="48"/>
        <x:v>1.0651202678680409</x:v>
      </x:c>
      <x:c r="P106" s="1">
        <x:f t="shared" si="49"/>
        <x:v>0.75632079001552488</x:v>
      </x:c>
      <x:c r="Q106" s="1">
        <x:f t="shared" si="50"/>
        <x:v>3.5311921862059864E-2</x:v>
      </x:c>
      <x:c r="R106" s="1">
        <x:f t="shared" si="51"/>
        <x:v>2.4969299405392019E-2</x:v>
      </x:c>
      <x:c r="S106" s="1">
        <x:f t="shared" si="52"/>
        <x:v>8.3517681346715167E-2</x:v>
      </x:c>
      <x:c r="T106">
        <x:f t="shared" si="53"/>
        <x:v>1.0790696454232088E-2</x:v>
      </x:c>
    </x:row>
    <x:row r="107">
      <x:c r="A107" s="1">
        <x:v>-0.110900759999011</x:v>
      </x:c>
      <x:c r="B107" s="1">
        <x:v>4030.80014870383</x:v>
      </x:c>
      <x:c r="C107" s="1">
        <x:v>2195.5739910313901</x:v>
      </x:c>
      <x:c r="D107" s="1">
        <x:f t="shared" si="42"/>
        <x:v>0.1663511399985165</x:v>
      </x:c>
      <x:c r="E107" s="1">
        <x:f t="shared" si="43"/>
        <x:v>1.8448467852537356E-2</x:v>
      </x:c>
      <x:c r="F107" s="1">
        <x:f t="shared" si="44"/>
        <x:v>5.416011080217391E-3</x:v>
      </x:c>
      <x:c r="G107" s="1">
        <x:f t="shared" si="45"/>
        <x:v>3.8296981618031948E-3</x:v>
      </x:c>
      <x:c r="H107" s="1">
        <x:f t="shared" si="46"/>
        <x:v>8.4159817357655209E-2</x:v>
      </x:c>
      <x:c r="I107">
        <x:f t="shared" si="47"/>
        <x:v>1.0873662057020079E-2</x:v>
      </x:c>
      <x:c r="L107" s="1">
        <x:v>-0.111526347324252</x:v>
      </x:c>
      <x:c r="M107" s="1">
        <x:v>3972.9391682942701</x:v>
      </x:c>
      <x:c r="N107" s="1">
        <x:v>2142.4979079497898</x:v>
      </x:c>
      <x:c r="O107" s="1">
        <x:f t="shared" si="48"/>
        <x:v>0.167289520986378</x:v>
      </x:c>
      <x:c r="P107" s="1">
        <x:f t="shared" si="49"/>
        <x:v>1.8657189221234535E-2</x:v>
      </x:c>
      <x:c r="Q107" s="1">
        <x:f t="shared" si="50"/>
        <x:v>5.5258851064199487E-3</x:v>
      </x:c>
      <x:c r="R107" s="1">
        <x:f t="shared" si="51"/>
        <x:v>3.9073908308072921E-3</x:v>
      </x:c>
      <x:c r="S107" s="1">
        <x:f t="shared" si="52"/>
        <x:v>8.4243503206581735E-2</x:v>
      </x:c>
      <x:c r="T107">
        <x:f t="shared" si="53"/>
        <x:v>1.0884474481152545E-2</x:v>
      </x:c>
    </x:row>
    <x:row r="108">
      <x:c r="A108" s="1">
        <x:v>-5.78008943292148E-2</x:v>
      </x:c>
      <x:c r="B108" s="1">
        <x:v>0</x:v>
      </x:c>
      <x:c r="C108" s="1">
        <x:v>159.06388206388201</x:v>
      </x:c>
      <x:c r="D108" s="1">
        <x:f t="shared" si="42"/>
        <x:v>8.6701341493822193E-2</x:v>
      </x:c>
      <x:c r="E108" s="1">
        <x:f t="shared" si="43"/>
        <x:v>5.0114150778855834E-3</x:v>
      </x:c>
      <x:c r="F108" s="1" t="e">
        <x:f t="shared" si="44"/>
        <x:v>#DIV/0!</x:v>
      </x:c>
      <x:c r="G108" s="1" t="e">
        <x:f t="shared" si="45"/>
        <x:v>#DIV/0!</x:v>
      </x:c>
      <x:c r="H108" s="1" t="e">
        <x:f t="shared" si="46"/>
        <x:v>#DIV/0!</x:v>
      </x:c>
      <x:c r="I108" t="e">
        <x:f t="shared" si="47"/>
        <x:v>#DIV/0!</x:v>
      </x:c>
      <x:c r="L108" s="1">
        <x:v>-7.7215730203586797E-2</x:v>
      </x:c>
      <x:c r="M108" s="1">
        <x:v>0</x:v>
      </x:c>
      <x:c r="N108" s="1">
        <x:v>158.91707317073099</x:v>
      </x:c>
      <x:c r="O108" s="1">
        <x:f t="shared" si="48"/>
        <x:v>0.11582359530538019</x:v>
      </x:c>
      <x:c r="P108" s="1">
        <x:f t="shared" si="49"/>
        <x:v>8.94340348630966E-3</x:v>
      </x:c>
      <x:c r="Q108" s="1" t="e">
        <x:f t="shared" si="50"/>
        <x:v>#DIV/0!</x:v>
      </x:c>
      <x:c r="R108" s="1" t="e">
        <x:f t="shared" si="51"/>
        <x:v>#DIV/0!</x:v>
      </x:c>
      <x:c r="S108" s="1" t="e">
        <x:f t="shared" si="52"/>
        <x:v>#DIV/0!</x:v>
      </x:c>
      <x:c r="T108" t="e">
        <x:f t="shared" si="53"/>
        <x:v>#DIV/0!</x:v>
      </x:c>
    </x:row>
    <x:row r="113">
      <x:c r="A113" s="3" t="s">
        <x:v>51</x:v>
      </x:c>
      <x:c r="B113" s="3"/>
      <x:c r="C113" s="3"/>
      <x:c r="L113" s="3" t="s">
        <x:v>52</x:v>
      </x:c>
      <x:c r="M113" s="3"/>
      <x:c r="N113" s="3"/>
      <x:c r="P113" t="s">
        <x:v>53</x:v>
      </x:c>
      <x:c r="R113" t="s">
        <x:v>54</x:v>
      </x:c>
    </x:row>
    <x:row r="114">
      <x:c r="A114" s="1" t="s">
        <x:v>3</x:v>
      </x:c>
      <x:c r="B114" s="1" t="s">
        <x:v>4</x:v>
      </x:c>
      <x:c r="C114" s="1" t="s">
        <x:v>5</x:v>
      </x:c>
      <x:c r="D114" s="1" t="s">
        <x:v>6</x:v>
      </x:c>
      <x:c r="E114" s="1" t="s">
        <x:v>7</x:v>
      </x:c>
      <x:c r="F114" s="1" t="s">
        <x:v>8</x:v>
      </x:c>
      <x:c r="G114" s="1" t="s">
        <x:v>9</x:v>
      </x:c>
      <x:c r="H114" s="1" t="s">
        <x:v>10</x:v>
      </x:c>
      <x:c r="I114" s="1" t="s">
        <x:v>11</x:v>
      </x:c>
      <x:c r="L114" s="1" t="s">
        <x:v>3</x:v>
      </x:c>
      <x:c r="M114" s="1" t="s">
        <x:v>4</x:v>
      </x:c>
      <x:c r="N114" s="1" t="s">
        <x:v>5</x:v>
      </x:c>
      <x:c r="O114" s="1" t="s">
        <x:v>40</x:v>
      </x:c>
      <x:c r="P114" s="1" t="s">
        <x:v>6</x:v>
      </x:c>
      <x:c r="Q114" s="1" t="s">
        <x:v>7</x:v>
      </x:c>
      <x:c r="R114" s="1" t="s">
        <x:v>8</x:v>
      </x:c>
      <x:c r="S114" s="1" t="s">
        <x:v>9</x:v>
      </x:c>
      <x:c r="T114" s="1" t="s">
        <x:v>10</x:v>
      </x:c>
      <x:c r="U114" s="1" t="s">
        <x:v>11</x:v>
      </x:c>
    </x:row>
    <x:row r="115">
      <x:c r="A115" s="1">
        <x:v>-0.109874946656841</x:v>
      </x:c>
      <x:c r="B115" s="1">
        <x:v>0</x:v>
      </x:c>
      <x:c r="C115" s="1">
        <x:v>245.36692913385801</x:v>
      </x:c>
      <x:c r="D115" s="1" t="n">
        <x:f>-A115*1.5</x:f>
        <x:v>0.1648124199852615</x:v>
      </x:c>
      <x:c r="E115" s="1" t="n">
        <x:f>A115*A115*1.5</x:f>
        <x:v>0.018108755854265482</x:v>
      </x:c>
      <x:c r="F115" s="1" t="e">
        <x:f>D115/(B115/60)/0.4572</x:f>
        <x:v>#DIV/0!</x:v>
      </x:c>
      <x:c r="G115" s="1" t="e">
        <x:f>D115*SIN(RADIANS(60))/(B115/60)/0.4572</x:f>
        <x:v>#DIV/0!</x:v>
      </x:c>
      <x:c r="H115" s="1" t="e">
        <x:f>(C115-$C$115)*9.8/1.205/(B115/60)^2/0.4572^4/1000</x:f>
        <x:v>#DIV/0!</x:v>
      </x:c>
      <x:c r="I115" t="e">
        <x:f>H115*4/(3.14^3)</x:f>
        <x:v>#DIV/0!</x:v>
      </x:c>
      <x:c r="L115" s="1">
        <x:v>-2.7651946277284501E-2</x:v>
      </x:c>
      <x:c r="M115" s="1">
        <x:v>0</x:v>
      </x:c>
      <x:c r="N115" s="1">
        <x:v>29.510895883777199</x:v>
      </x:c>
      <x:c r="O115" t="n">
        <x:f>N115*(-1.0512)-3.6614</x:f>
        <x:v>-34.683253753026584</x:v>
      </x:c>
      <x:c r="P115" s="1" t="n">
        <x:f>-L115*1.5</x:f>
        <x:v>0.04147791941592675</x:v>
      </x:c>
      <x:c r="Q115" s="1" t="n">
        <x:f>L115*L115*1.5</x:f>
        <x:v>0.0011469451993827422</x:v>
      </x:c>
      <x:c r="R115" s="1" t="e">
        <x:f>P115/(M115/60)/0.4572</x:f>
        <x:v>#DIV/0!</x:v>
      </x:c>
      <x:c r="S115" s="1" t="e">
        <x:f>P115*SIN(RADIANS(60))/(M115/60)/0.4572</x:f>
        <x:v>#DIV/0!</x:v>
      </x:c>
      <x:c r="T115" s="1" t="e">
        <x:f>(O115-$O$115)*9.8/1.205/(M115/60)^2/0.4572^4/1000</x:f>
        <x:v>#DIV/0!</x:v>
      </x:c>
      <x:c r="U115" t="e">
        <x:f>T115*4/(3.14^3)</x:f>
        <x:v>#DIV/0!</x:v>
      </x:c>
    </x:row>
    <x:row r="116">
      <x:c r="A116" s="1" t="n">
        <x:f>-83.959/500</x:f>
        <x:v>-0.167918</x:v>
      </x:c>
      <x:c r="B116" s="1">
        <x:v>4121.16</x:v>
      </x:c>
      <x:c r="C116" s="1">
        <x:v>2354.0459999999998</x:v>
      </x:c>
      <x:c r="D116" s="1" t="n">
        <x:f t="shared" ref="D116:D137" si="54">-A116*1.5</x:f>
        <x:v>0.251877</x:v>
      </x:c>
      <x:c r="E116" s="1" t="n">
        <x:f t="shared" ref="E116:E137" si="55">A116*A116*1.5</x:f>
        <x:v>0.042294682086000006</x:v>
      </x:c>
      <x:c r="F116" s="1" t="n">
        <x:f t="shared" ref="F116:F137" si="56">D116/(B116/60)/0.4572</x:f>
        <x:v>0.008020733096858367</x:v>
      </x:c>
      <x:c r="G116" s="1" t="n">
        <x:f t="shared" ref="G116:G137" si="57">D116*SIN(RADIANS(60))/(B116/60)/0.4572</x:f>
        <x:v>0.006946158618853978</x:v>
      </x:c>
      <x:c r="H116" s="1" t="n">
        <x:f t="shared" ref="H116:H137" si="58">(C116-$C$115)*9.8/1.205/(B116/60)^2/0.4572^4/1000</x:f>
        <x:v>0.08319326681625772</x:v>
      </x:c>
      <x:c r="I116" t="n">
        <x:f t="shared" ref="I116:I137" si="59">H116*4/(3.14^3)</x:f>
        <x:v>0.01074878127331398</x:v>
      </x:c>
      <x:c r="L116" s="1" t="n">
        <x:f>-83.72/500</x:f>
        <x:v>-0.16744</x:v>
      </x:c>
      <x:c r="M116" s="1">
        <x:v>4033.3</x:v>
      </x:c>
      <x:c r="N116" s="1">
        <x:v>-1846.2055</x:v>
      </x:c>
      <x:c r="O116" t="n">
        <x:f t="shared" ref="O116:O137" si="60">N116*(-1.0512)-3.6614</x:f>
        <x:v>1937.0698215999998</x:v>
      </x:c>
      <x:c r="P116" s="1" t="n">
        <x:f t="shared" ref="P116:P137" si="61">-L116*1.5</x:f>
        <x:v>0.25116</x:v>
      </x:c>
      <x:c r="Q116" s="1" t="n">
        <x:f t="shared" ref="Q116:Q137" si="62">L116*L116*1.5</x:f>
        <x:v>0.0420542304</x:v>
      </x:c>
      <x:c r="R116" s="1" t="n">
        <x:f t="shared" ref="R116:R137" si="63">P116/(M116/60)/0.4572</x:f>
        <x:v>0.008172124543490403</x:v>
      </x:c>
      <x:c r="S116" s="1" t="n">
        <x:f t="shared" ref="S116:S137" si="64">P116*SIN(RADIANS(60))/(M116/60)/0.4572</x:f>
        <x:v>0.007077267457552997</x:v>
      </x:c>
      <x:c r="T116" s="1" t="n">
        <x:f t="shared" ref="T116:T137" si="65">(O116-$O$115)*9.8/1.205/(M116/60)^2/0.4572^4/1000</x:f>
        <x:v>0.08121721942490656</x:v>
      </x:c>
      <x:c r="U116" t="n">
        <x:f t="shared" ref="U116:U137" si="66">T116*4/(3.14^3)</x:f>
        <x:v>0.01049347093380961</x:v>
      </x:c>
    </x:row>
    <x:row r="117">
      <x:c r="A117" s="1">
        <x:v>-0.70477343897024702</x:v>
      </x:c>
      <x:c r="B117" s="1">
        <x:v>4147.2222493489498</x:v>
      </x:c>
      <x:c r="C117" s="1">
        <x:v>2303.0696378829998</x:v>
      </x:c>
      <x:c r="D117" s="1">
        <x:f t="shared" si="54"/>
        <x:v>1.0571601584553705</x:v>
      </x:c>
      <x:c r="E117" s="1">
        <x:f t="shared" si="55"/>
        <x:v>0.74505840041692273</x:v>
      </x:c>
      <x:c r="F117" s="1">
        <x:f t="shared" si="56"/>
        <x:v>3.3452494366061583E-2</x:v>
      </x:c>
      <x:c r="G117" s="1">
        <x:f t="shared" si="57"/>
        <x:v>2.8970709940965136E-2</x:v>
      </x:c>
      <x:c r="H117" s="1">
        <x:f t="shared" si="58"/>
        <x:v>8.0164973315325599E-2</x:v>
      </x:c>
      <x:c r="I117">
        <x:f t="shared" si="59"/>
        <x:v>1.0357518065141026E-2</x:v>
      </x:c>
      <x:c r="L117" s="1">
        <x:v>-0.70021709174285696</x:v>
      </x:c>
      <x:c r="M117" s="1">
        <x:v>4010.9226786295499</x:v>
      </x:c>
      <x:c r="N117" s="1">
        <x:v>-1800.1773195876201</x:v>
      </x:c>
      <x:c r="O117">
        <x:f t="shared" si="60"/>
        <x:v>1888.6849983505062</x:v>
      </x:c>
      <x:c r="P117" s="1">
        <x:f t="shared" si="61"/>
        <x:v>1.0503256376142853</x:v>
      </x:c>
      <x:c r="Q117" s="1">
        <x:f t="shared" si="62"/>
        <x:v>0.73545596335323682</x:v>
      </x:c>
      <x:c r="R117" s="1">
        <x:f t="shared" si="63"/>
        <x:v>3.4365661277892839E-2</x:v>
      </x:c>
      <x:c r="S117" s="1">
        <x:f t="shared" si="64"/>
        <x:v>2.9761535684506391E-2</x:v>
      </x:c>
      <x:c r="T117" s="1">
        <x:f t="shared" si="65"/>
        <x:v>8.0110696214798452E-2</x:v>
      </x:c>
      <x:c r="U117">
        <x:f t="shared" si="66"/>
        <x:v>1.0350505325961008E-2</x:v>
      </x:c>
    </x:row>
    <x:row r="118">
      <x:c r="A118" s="1">
        <x:v>-1.3951712402335299</x:v>
      </x:c>
      <x:c r="B118" s="1">
        <x:v>4095.4972189198302</x:v>
      </x:c>
      <x:c r="C118" s="1">
        <x:v>2228.12472647702</x:v>
      </x:c>
      <x:c r="D118" s="1">
        <x:f t="shared" si="54"/>
        <x:v>2.0927568603502946</x:v>
      </x:c>
      <x:c r="E118" s="1">
        <x:f t="shared" si="55"/>
        <x:v>2.9197541843621488</x:v>
      </x:c>
      <x:c r="F118" s="1">
        <x:f t="shared" si="56"/>
        <x:v>6.7059014629833213E-2</x:v>
      </x:c>
      <x:c r="G118" s="1">
        <x:f t="shared" si="57"/>
        <x:v>5.8074810222187891E-2</x:v>
      </x:c>
      <x:c r="H118" s="1">
        <x:f t="shared" si="58"/>
        <x:v>7.9208727873689946E-2</x:v>
      </x:c>
      <x:c r="I118">
        <x:f t="shared" si="59"/>
        <x:v>1.0233968726485453E-2</x:v>
      </x:c>
      <x:c r="L118" s="1">
        <x:v>-1.3860409687037401</x:v>
      </x:c>
      <x:c r="M118" s="1">
        <x:v>4014.06624755859</x:v>
      </x:c>
      <x:c r="N118" s="1">
        <x:v>-1734.3145363408501</x:v>
      </x:c>
      <x:c r="O118">
        <x:f t="shared" si="60"/>
        <x:v>1819.4500406015015</x:v>
      </x:c>
      <x:c r="P118" s="1">
        <x:f t="shared" si="61"/>
        <x:v>2.0790614530556102</x:v>
      </x:c>
      <x:c r="Q118" s="1">
        <x:f t="shared" si="62"/>
        <x:v>2.881664350387803</x:v>
      </x:c>
      <x:c r="R118" s="1">
        <x:f t="shared" si="63"/>
        <x:v>6.7971651075937944E-2</x:v>
      </x:c>
      <x:c r="S118" s="1">
        <x:f t="shared" si="64"/>
        <x:v>5.886517656893412E-2</x:v>
      </x:c>
      <x:c r="T118" s="1">
        <x:f t="shared" si="65"/>
        <x:v>7.7106062091514174E-2</x:v>
      </x:c>
      <x:c r="U118">
        <x:f t="shared" si="66"/>
        <x:v>9.9622989694436222E-3</x:v>
      </x:c>
    </x:row>
    <x:row r="119">
      <x:c r="A119" s="1">
        <x:v>-2.0783499390165301</x:v>
      </x:c>
      <x:c r="B119" s="1">
        <x:v>4079.76986839657</x:v>
      </x:c>
      <x:c r="C119" s="1">
        <x:v>2153.3325526931999</x:v>
      </x:c>
      <x:c r="D119" s="1">
        <x:f t="shared" si="54"/>
        <x:v>3.1175249085247954</x:v>
      </x:c>
      <x:c r="E119" s="1">
        <x:f t="shared" si="55"/>
        <x:v>6.4793077035150217</x:v>
      </x:c>
      <x:c r="F119" s="1">
        <x:f t="shared" si="56"/>
        <x:v>0.10028114745212462</x:v>
      </x:c>
      <x:c r="G119" s="1">
        <x:f t="shared" si="57"/>
        <x:v>8.6846021214193048E-2</x:v>
      </x:c>
      <x:c r="H119" s="1">
        <x:f t="shared" si="58"/>
        <x:v>7.6809662363311937E-2</x:v>
      </x:c>
      <x:c r="I119">
        <x:f t="shared" si="59"/>
        <x:v>9.9240033720973588E-3</x:v>
      </x:c>
      <x:c r="L119" s="1">
        <x:v>-2.0390920705921101</x:v>
      </x:c>
      <x:c r="M119" s="1">
        <x:v>3998.6727945963498</x:v>
      </x:c>
      <x:c r="N119" s="1">
        <x:v>-1649.06425041186</x:v>
      </x:c>
      <x:c r="O119">
        <x:f t="shared" si="60"/>
        <x:v>1729.8349400329471</x:v>
      </x:c>
      <x:c r="P119" s="1">
        <x:f t="shared" si="61"/>
        <x:v>3.0586381058881651</x:v>
      </x:c>
      <x:c r="Q119" s="1">
        <x:f t="shared" si="62"/>
        <x:v>6.2368447085274283</x:v>
      </x:c>
      <x:c r="R119" s="1">
        <x:f t="shared" si="63"/>
        <x:v>0.10038232621349803</x:v>
      </x:c>
      <x:c r="S119" s="1">
        <x:f t="shared" si="64"/>
        <x:v>8.6933644591865866E-2</x:v>
      </x:c>
      <x:c r="T119" s="1">
        <x:f t="shared" si="65"/>
        <x:v>7.3945380410789754E-2</x:v>
      </x:c>
      <x:c r="U119">
        <x:f t="shared" si="66"/>
        <x:v>9.553930872350961E-3</x:v>
      </x:c>
    </x:row>
    <x:row r="120">
      <x:c r="A120" s="1">
        <x:v>-2.76442195484473</x:v>
      </x:c>
      <x:c r="B120" s="1">
        <x:v>4104.4147491454996</x:v>
      </x:c>
      <x:c r="C120" s="1">
        <x:v>2070.2601880877701</x:v>
      </x:c>
      <x:c r="D120" s="1">
        <x:f t="shared" si="54"/>
        <x:v>4.146632932267095</x:v>
      </x:c>
      <x:c r="E120" s="1">
        <x:f t="shared" si="55"/>
        <x:v>11.463043116641337</x:v>
      </x:c>
      <x:c r="F120" s="1">
        <x:f t="shared" si="56"/>
        <x:v>0.13258347009877061</x:v>
      </x:c>
      <x:c r="G120" s="1">
        <x:f t="shared" si="57"/>
        <x:v>0.11482065322742988</x:v>
      </x:c>
      <x:c r="H120" s="1">
        <x:f t="shared" si="58"/>
        <x:v>7.258579376608941E-2</x:v>
      </x:c>
      <x:c r="I120">
        <x:f t="shared" si="59"/>
        <x:v>9.378268826307266E-3</x:v>
      </x:c>
      <x:c r="L120" s="1">
        <x:v>-2.7566694808857699</x:v>
      </x:c>
      <x:c r="M120" s="1">
        <x:v>3983.7394686612201</x:v>
      </x:c>
      <x:c r="N120" s="1">
        <x:v>-1547.40268456375</x:v>
      </x:c>
      <x:c r="O120">
        <x:f t="shared" si="60"/>
        <x:v>1622.9683020134139</x:v>
      </x:c>
      <x:c r="P120" s="1">
        <x:f t="shared" si="61"/>
        <x:v>4.1350042213286553</x:v>
      </x:c>
      <x:c r="Q120" s="1">
        <x:f t="shared" si="62"/>
        <x:v>11.39883994027053</x:v>
      </x:c>
      <x:c r="R120" s="1">
        <x:f t="shared" si="63"/>
        <x:v>0.13621660675457603</x:v>
      </x:c>
      <x:c r="S120" s="1">
        <x:f t="shared" si="64"/>
        <x:v>0.11796704186677778</x:v>
      </x:c>
      <x:c r="T120" s="1">
        <x:f t="shared" si="65"/>
        <x:v>6.9988716860926364E-2</x:v>
      </x:c>
      <x:c r="U120">
        <x:f t="shared" si="66"/>
        <x:v>9.0427198970263988E-3</x:v>
      </x:c>
    </x:row>
    <x:row r="121">
      <x:c r="A121" s="1">
        <x:v>-3.4448423264132901</x:v>
      </x:c>
      <x:c r="B121" s="1">
        <x:v>4101.6966552734302</x:v>
      </x:c>
      <x:c r="C121" s="1">
        <x:v>1981.0955414012701</x:v>
      </x:c>
      <x:c r="D121" s="1">
        <x:f t="shared" si="54"/>
        <x:v>5.167263489619935</x:v>
      </x:c>
      <x:c r="E121" s="1">
        <x:f t="shared" si="55"/>
        <x:v>17.800407980772793</x:v>
      </x:c>
      <x:c r="F121" s="1">
        <x:f t="shared" si="56"/>
        <x:v>0.16532635764757384</x:v>
      </x:c>
      <x:c r="G121" s="1">
        <x:f t="shared" si="57"/>
        <x:v>0.14317682563795064</x:v>
      </x:c>
      <x:c r="H121" s="1">
        <x:f t="shared" si="58"/>
        <x:v>6.9130769021762559E-2</x:v>
      </x:c>
      <x:c r="I121">
        <x:f t="shared" si="59"/>
        <x:v>8.9318708581558395E-3</x:v>
      </x:c>
      <x:c r="L121" s="1">
        <x:v>-3.3698807583566199</x:v>
      </x:c>
      <x:c r="M121" s="1">
        <x:v>4004.9142376443601</x:v>
      </x:c>
      <x:c r="N121" s="1">
        <x:v>-1448.3523600439</x:v>
      </x:c>
      <x:c r="O121">
        <x:f t="shared" si="60"/>
        <x:v>1518.8466008781477</x:v>
      </x:c>
      <x:c r="P121" s="1">
        <x:f t="shared" si="61"/>
        <x:v>5.0548211375349297</x:v>
      </x:c>
      <x:c r="Q121" s="1">
        <x:f t="shared" si="62"/>
        <x:v>17.034144488313281</x:v>
      </x:c>
      <x:c r="R121" s="1">
        <x:f t="shared" si="63"/>
        <x:v>0.16563709349176725</x:v>
      </x:c>
      <x:c r="S121" s="1">
        <x:f t="shared" si="64"/>
        <x:v>0.14344593077288856</x:v>
      </x:c>
      <x:c r="T121" s="1">
        <x:f t="shared" si="65"/>
        <x:v>6.490076343078352E-2</x:v>
      </x:c>
      <x:c r="U121">
        <x:f t="shared" si="66"/>
        <x:v>8.3853433971925722E-3</x:v>
      </x:c>
    </x:row>
    <x:row r="122">
      <x:c r="A122" s="1">
        <x:v>-4.1275948740187101</x:v>
      </x:c>
      <x:c r="B122" s="1">
        <x:v>4099.5502355238896</x:v>
      </x:c>
      <x:c r="C122" s="1">
        <x:v>1898.8076923076901</x:v>
      </x:c>
      <x:c r="D122" s="1">
        <x:f t="shared" si="54"/>
        <x:v>6.1913923110280651</x:v>
      </x:c>
      <x:c r="E122" s="1">
        <x:f t="shared" si="55"/>
        <x:v>25.555559166038297</x:v>
      </x:c>
      <x:c r="F122" s="1">
        <x:f t="shared" si="56"/>
        <x:v>0.19819702877335316</x:v>
      </x:c>
      <x:c r="G122" s="1">
        <x:f t="shared" si="57"/>
        <x:v>0.17164366187231916</x:v>
      </x:c>
      <x:c r="H122" s="1">
        <x:f t="shared" si="58"/>
        <x:v>6.5922376883647466E-2</x:v>
      </x:c>
      <x:c r="I122">
        <x:f t="shared" si="59"/>
        <x:v>8.5173384488469658E-3</x:v>
      </x:c>
      <x:c r="L122" s="1">
        <x:v>-4.1235211046915197</x:v>
      </x:c>
      <x:c r="M122" s="1">
        <x:v>4022.6297265624999</x:v>
      </x:c>
      <x:c r="N122" s="1">
        <x:v>-1331.7940594059401</x:v>
      </x:c>
      <x:c r="O122">
        <x:f t="shared" si="60"/>
        <x:v>1396.3205152475241</x:v>
      </x:c>
      <x:c r="P122" s="1">
        <x:f t="shared" si="61"/>
        <x:v>6.1852816570372795</x:v>
      </x:c>
      <x:c r="Q122" s="1">
        <x:f t="shared" si="62"/>
        <x:v>25.505139451254557</x:v>
      </x:c>
      <x:c r="R122" s="1">
        <x:f t="shared" si="63"/>
        <x:v>0.20178758873381974</x:v>
      </x:c>
      <x:c r="S122" s="1">
        <x:f t="shared" si="64"/>
        <x:v>0.17475317801189447</x:v>
      </x:c>
      <x:c r="T122" s="1">
        <x:f t="shared" si="65"/>
        <x:v>5.9256678303152482E-2</x:v>
      </x:c>
      <x:c r="U122">
        <x:f t="shared" si="66"/>
        <x:v>7.6561132702057241E-3</x:v>
      </x:c>
    </x:row>
    <x:row r="123">
      <x:c r="A123" s="1">
        <x:v>-4.8102226151360403</x:v>
      </x:c>
      <x:c r="B123" s="1">
        <x:v>4120.4358723958303</x:v>
      </x:c>
      <x:c r="C123" s="1">
        <x:v>1818.6398891966701</x:v>
      </x:c>
      <x:c r="D123" s="1">
        <x:f t="shared" si="54"/>
        <x:v>7.21533392270406</x:v>
      </x:c>
      <x:c r="E123" s="1">
        <x:f t="shared" si="55"/>
        <x:v>34.707362410749312</x:v>
      </x:c>
      <x:c r="F123" s="1">
        <x:f t="shared" si="56"/>
        <x:v>0.2298043811145126</x:v>
      </x:c>
      <x:c r="G123" s="1">
        <x:f t="shared" si="57"/>
        <x:v>0.19901643194612878</x:v>
      </x:c>
      <x:c r="H123" s="1">
        <x:f t="shared" si="58"/>
        <x:v>6.2091821768676093E-2</x:v>
      </x:c>
      <x:c r="I123">
        <x:f t="shared" si="59"/>
        <x:v>8.0224210034587629E-3</x:v>
      </x:c>
      <x:c r="L123" s="1">
        <x:v>-4.8057137984263703</x:v>
      </x:c>
      <x:c r="M123" s="1">
        <x:v>4027.81740315755</x:v>
      </x:c>
      <x:c r="N123" s="1">
        <x:v>-1235.39789473684</x:v>
      </x:c>
      <x:c r="O123">
        <x:f t="shared" si="60"/>
        <x:v>1294.9888669473662</x:v>
      </x:c>
      <x:c r="P123" s="1">
        <x:f t="shared" si="61"/>
        <x:v>7.2085706976395549</x:v>
      </x:c>
      <x:c r="Q123" s="1">
        <x:f t="shared" si="62"/>
        <x:v>34.642327668578417</x:v>
      </x:c>
      <x:c r="R123" s="1">
        <x:f t="shared" si="63"/>
        <x:v>0.23486830671418443</x:v>
      </x:c>
      <x:c r="S123" s="1">
        <x:f t="shared" si="64"/>
        <x:v>0.20340192015831893</x:v>
      </x:c>
      <x:c r="T123" s="1">
        <x:f t="shared" si="65"/>
        <x:v>5.4918878199684273E-2</x:v>
      </x:c>
      <x:c r="U123">
        <x:f t="shared" si="66"/>
        <x:v>7.0956584845736394E-3</x:v>
      </x:c>
    </x:row>
    <x:row r="124">
      <x:c r="A124" s="1">
        <x:v>-5.4720071823999197</x:v>
      </x:c>
      <x:c r="B124" s="1">
        <x:v>4132.6598612467396</x:v>
      </x:c>
      <x:c r="C124" s="1">
        <x:v>1740.23408624229</x:v>
      </x:c>
      <x:c r="D124" s="1">
        <x:f t="shared" si="54"/>
        <x:v>8.2080107735998791</x:v>
      </x:c>
      <x:c r="E124" s="1">
        <x:f t="shared" si="55"/>
        <x:v>44.914293906354459</x:v>
      </x:c>
      <x:c r="F124" s="1">
        <x:f t="shared" si="56"/>
        <x:v>0.26064733231251241</x:v>
      </x:c>
      <x:c r="G124" s="1">
        <x:f t="shared" si="57"/>
        <x:v>0.22572721121128034</x:v>
      </x:c>
      <x:c r="H124" s="1">
        <x:f t="shared" si="58"/>
        <x:v>5.864890644407203E-2</x:v>
      </x:c>
      <x:c r="I124">
        <x:f t="shared" si="59"/>
        <x:v>7.5775876030774007E-3</x:v>
      </x:c>
      <x:c r="L124" s="1">
        <x:v>-5.4877587063143896</x:v>
      </x:c>
      <x:c r="M124" s="1">
        <x:v>4047.46675832648</x:v>
      </x:c>
      <x:c r="N124" s="1">
        <x:v>-1184.8136020151101</x:v>
      </x:c>
      <x:c r="O124">
        <x:f t="shared" si="60"/>
        <x:v>1241.8146584382837</x:v>
      </x:c>
      <x:c r="P124" s="1">
        <x:f t="shared" si="61"/>
        <x:v>8.2316380594715852</x:v>
      </x:c>
      <x:c r="Q124" s="1">
        <x:f t="shared" si="62"/>
        <x:v>45.173243428094075</x:v>
      </x:c>
      <x:c r="R124" s="1">
        <x:f t="shared" si="63"/>
        <x:v>0.26689965017021494</x:v>
      </x:c>
      <x:c r="S124" s="1">
        <x:f t="shared" si="64"/>
        <x:v>0.23114187730858582</x:v>
      </x:c>
      <x:c r="T124" s="1">
        <x:f t="shared" si="65"/>
        <x:v>5.2211980877325662E-2</x:v>
      </x:c>
      <x:c r="U124">
        <x:f t="shared" si="66"/>
        <x:v>6.7459204785927747E-3</x:v>
      </x:c>
    </x:row>
    <x:row r="125">
      <x:c r="A125" s="1">
        <x:v>-6.1737437396316004</x:v>
      </x:c>
      <x:c r="B125" s="1">
        <x:v>4132.5385284423801</x:v>
      </x:c>
      <x:c r="C125" s="1">
        <x:v>1667.7414330218</x:v>
      </x:c>
      <x:c r="D125" s="1">
        <x:f t="shared" si="54"/>
        <x:v>9.2606156094474006</x:v>
      </x:c>
      <x:c r="E125" s="1">
        <x:f t="shared" si="55"/>
        <x:v>57.172667643960565</x:v>
      </x:c>
      <x:c r="F125" s="1">
        <x:f t="shared" si="56"/>
        <x:v>0.29408168305990834</x:v>
      </x:c>
      <x:c r="G125" s="1">
        <x:f t="shared" si="57"/>
        <x:v>0.25468220831756444</x:v>
      </x:c>
      <x:c r="H125" s="1">
        <x:f t="shared" si="58"/>
        <x:v>5.5808041139763474E-2</x:v>
      </x:c>
      <x:c r="I125">
        <x:f t="shared" si="59"/>
        <x:v>7.2105405937274583E-3</x:v>
      </x:c>
      <x:c r="L125" s="1">
        <x:v>-6.1620917904610701</x:v>
      </x:c>
      <x:c r="M125" s="1">
        <x:v>4049.3088256835899</x:v>
      </x:c>
      <x:c r="N125" s="1">
        <x:v>-1029.30712530712</x:v>
      </x:c>
      <x:c r="O125">
        <x:f t="shared" si="60"/>
        <x:v>1078.3462501228446</x:v>
      </x:c>
      <x:c r="P125" s="1">
        <x:f t="shared" si="61"/>
        <x:v>9.2431376856916057</x:v>
      </x:c>
      <x:c r="Q125" s="1">
        <x:f t="shared" si="62"/>
        <x:v>56.957062851101568</x:v>
      </x:c>
      <x:c r="R125" s="1">
        <x:f t="shared" si="63"/>
        <x:v>0.29955981309177515</x:v>
      </x:c>
      <x:c r="S125" s="1">
        <x:f t="shared" si="64"/>
        <x:v>0.25942640809039552</x:v>
      </x:c>
      <x:c r="T125" s="1">
        <x:f t="shared" si="65"/>
        <x:v>4.5484300404022342E-2</x:v>
      </x:c>
      <x:c r="U125">
        <x:f t="shared" si="66"/>
        <x:v>5.8766870820488237E-3</x:v>
      </x:c>
    </x:row>
    <x:row r="126">
      <x:c r="A126" s="1">
        <x:v>-6.7983618848812499</x:v>
      </x:c>
      <x:c r="B126" s="1">
        <x:v>4158.0458221435501</x:v>
      </x:c>
      <x:c r="C126" s="1">
        <x:v>1606.3167701863299</x:v>
      </x:c>
      <x:c r="D126" s="1">
        <x:f t="shared" si="54"/>
        <x:v>10.197542827321875</x:v>
      </x:c>
      <x:c r="E126" s="1">
        <x:f t="shared" si="55"/>
        <x:v>69.326586476709224</x:v>
      </x:c>
      <x:c r="F126" s="1">
        <x:f t="shared" si="56"/>
        <x:v>0.32184835636789666</x:v>
      </x:c>
      <x:c r="G126" s="1">
        <x:f t="shared" si="57"/>
        <x:v>0.27872885278086562</x:v>
      </x:c>
      <x:c r="H126" s="1">
        <x:f t="shared" si="58"/>
        <x:v>5.2744869223937174E-2</x:v>
      </x:c>
      <x:c r="I126">
        <x:f t="shared" si="59"/>
        <x:v>6.8147710058052216E-3</x:v>
      </x:c>
      <x:c r="L126" s="1">
        <x:v>-6.7930545636585702</x:v>
      </x:c>
      <x:c r="M126" s="1">
        <x:v>4073.1814422607399</x:v>
      </x:c>
      <x:c r="N126" s="1">
        <x:v>-923.95845697329298</x:v>
      </x:c>
      <x:c r="O126">
        <x:f t="shared" si="60"/>
        <x:v>967.6037299703255</x:v>
      </x:c>
      <x:c r="P126" s="1">
        <x:f t="shared" si="61"/>
        <x:v>10.189581845487854</x:v>
      </x:c>
      <x:c r="Q126" s="1">
        <x:f t="shared" si="62"/>
        <x:v>69.218385457263793</x:v>
      </x:c>
      <x:c r="R126" s="1">
        <x:f t="shared" si="63"/>
        <x:v>0.32829754437477859</x:v>
      </x:c>
      <x:c r="S126" s="1">
        <x:f t="shared" si="64"/>
        <x:v>0.28431401342860729</x:v>
      </x:c>
      <x:c r="T126" s="1">
        <x:f t="shared" si="65"/>
        <x:v>4.0480066772908906E-2</x:v>
      </x:c>
      <x:c r="U126">
        <x:f t="shared" si="66"/>
        <x:v>5.2301273927869455E-3</x:v>
      </x:c>
    </x:row>
    <x:row r="127">
      <x:c r="A127" s="1">
        <x:v>-6.1734330955593002</x:v>
      </x:c>
      <x:c r="B127" s="1">
        <x:v>4122.1642348345504</x:v>
      </x:c>
      <x:c r="C127" s="1">
        <x:v>1660.7485714285699</x:v>
      </x:c>
      <x:c r="D127" s="1">
        <x:f t="shared" si="54"/>
        <x:v>9.2601496433389503</x:v>
      </x:c>
      <x:c r="E127" s="1">
        <x:f t="shared" si="55"/>
        <x:v>57.166914278020322</x:v>
      </x:c>
      <x:c r="F127" s="1">
        <x:f t="shared" si="56"/>
        <x:v>0.29480696695120751</x:v>
      </x:c>
      <x:c r="G127" s="1">
        <x:f t="shared" si="57"/>
        <x:v>0.25531032259238512</x:v>
      </x:c>
      <x:c r="H127" s="1">
        <x:f t="shared" si="58"/>
        <x:v>5.5813546499198292E-2</x:v>
      </x:c>
      <x:c r="I127">
        <x:f t="shared" si="59"/>
        <x:v>7.2112519001427547E-3</x:v>
      </x:c>
      <x:c r="L127" s="1">
        <x:v>-6.1688936141229398</x:v>
      </x:c>
      <x:c r="M127" s="1">
        <x:v>4064.7837042557499</x:v>
      </x:c>
      <x:c r="N127" s="1">
        <x:v>-1022.98924731182</x:v>
      </x:c>
      <x:c r="O127">
        <x:f t="shared" si="60"/>
        <x:v>1071.704896774185</x:v>
      </x:c>
      <x:c r="P127" s="1">
        <x:f t="shared" si="61"/>
        <x:v>9.2533404211844097</x:v>
      </x:c>
      <x:c r="Q127" s="1">
        <x:f t="shared" si="62"/>
        <x:v>57.082872633550181</x:v>
      </x:c>
      <x:c r="R127" s="1">
        <x:f t="shared" si="63"/>
        <x:v>0.29874877115035026</x:v>
      </x:c>
      <x:c r="S127" s="1">
        <x:f t="shared" si="64"/>
        <x:v>0.25872402516558696</x:v>
      </x:c>
      <x:c r="T127" s="1">
        <x:f t="shared" si="65"/>
        <x:v>4.4869298204208714E-2</x:v>
      </x:c>
      <x:c r="U127">
        <x:f t="shared" si="66"/>
        <x:v>5.7972272365422912E-3</x:v>
      </x:c>
    </x:row>
    <x:row r="128">
      <x:c r="A128" s="1">
        <x:v>-5.4298495463470902</x:v>
      </x:c>
      <x:c r="B128" s="1">
        <x:v>4124.1787109375</x:v>
      </x:c>
      <x:c r="C128" s="1">
        <x:v>1735.6641791044699</x:v>
      </x:c>
      <x:c r="D128" s="1">
        <x:f t="shared" si="54"/>
        <x:v>8.1447743195206357</x:v>
      </x:c>
      <x:c r="E128" s="1">
        <x:f t="shared" si="55"/>
        <x:v>44.224899143948548</x:v>
      </x:c>
      <x:c r="F128" s="1">
        <x:f t="shared" si="56"/>
        <x:v>0.25917112129495806</x:v>
      </x:c>
      <x:c r="G128" s="1">
        <x:f t="shared" si="57"/>
        <x:v>0.22444877496873178</x:v>
      </x:c>
      <x:c r="H128" s="1">
        <x:f t="shared" si="58"/>
        <x:v>5.8710339337820466E-2</x:v>
      </x:c>
      <x:c r="I128">
        <x:f t="shared" si="59"/>
        <x:v>7.5855248889078412E-3</x:v>
      </x:c>
      <x:c r="L128" s="1">
        <x:v>-5.5606561984334597</x:v>
      </x:c>
      <x:c r="M128" s="1">
        <x:v>4028.1069623161702</x:v>
      </x:c>
      <x:c r="N128" s="1">
        <x:v>-1115.73590504451</x:v>
      </x:c>
      <x:c r="O128">
        <x:f t="shared" si="60"/>
        <x:v>1169.2001833827887</x:v>
      </x:c>
      <x:c r="P128" s="1">
        <x:f t="shared" si="61"/>
        <x:v>8.3409842976501896</x:v>
      </x:c>
      <x:c r="Q128" s="1">
        <x:f t="shared" si="62"/>
        <x:v>46.381346035764686</x:v>
      </x:c>
      <x:c r="R128" s="1">
        <x:f t="shared" si="63"/>
        <x:v>0.27174485984030156</x:v>
      </x:c>
      <x:c r="S128" s="1">
        <x:f t="shared" si="64"/>
        <x:v>0.2353379519695428</x:v>
      </x:c>
      <x:c r="T128" s="1">
        <x:f t="shared" si="65"/>
        <x:v>4.9716333612811789E-2</x:v>
      </x:c>
      <x:c r="U128">
        <x:f t="shared" si="66"/>
        <x:v>6.4234765163806579E-3</x:v>
      </x:c>
    </x:row>
    <x:row r="129">
      <x:c r="A129" s="1">
        <x:v>-4.8125869990524999</x:v>
      </x:c>
      <x:c r="B129" s="1">
        <x:v>4094.5353422619</x:v>
      </x:c>
      <x:c r="C129" s="1">
        <x:v>1809.16467780429</x:v>
      </x:c>
      <x:c r="D129" s="1">
        <x:f t="shared" si="54"/>
        <x:v>7.2188804985787502</x:v>
      </x:c>
      <x:c r="E129" s="1">
        <x:f t="shared" si="55"/>
        <x:v>34.741490435173723</x:v>
      </x:c>
      <x:c r="F129" s="1">
        <x:f t="shared" si="56"/>
        <x:v>0.23137171041230672</x:v>
      </x:c>
      <x:c r="G129" s="1">
        <x:f t="shared" si="57"/>
        <x:v>0.20037377893411412</x:v>
      </x:c>
      <x:c r="H129" s="1">
        <x:f t="shared" si="58"/>
        <x:v>6.2501145640882369E-2</x:v>
      </x:c>
      <x:c r="I129">
        <x:f t="shared" si="59"/>
        <x:v>8.0753066868880317E-3</x:v>
      </x:c>
      <x:c r="L129" s="1">
        <x:v>-4.8134456614858099</x:v>
      </x:c>
      <x:c r="M129" s="1">
        <x:v>4039.66887207031</x:v>
      </x:c>
      <x:c r="N129" s="1">
        <x:v>-1216.5358974358901</x:v>
      </x:c>
      <x:c r="O129">
        <x:f t="shared" si="60"/>
        <x:v>1275.1611353846076</x:v>
      </x:c>
      <x:c r="P129" s="1">
        <x:f t="shared" si="61"/>
        <x:v>7.2201684922287148</x:v>
      </x:c>
      <x:c r="Q129" s="1">
        <x:f t="shared" si="62"/>
        <x:v>34.75388870411485</x:v>
      </x:c>
      <x:c r="R129" s="1">
        <x:f t="shared" si="63"/>
        <x:v>0.23455602514154211</x:v>
      </x:c>
      <x:c r="S129" s="1">
        <x:f t="shared" si="64"/>
        <x:v>0.20313147638327694</x:v>
      </x:c>
      <x:c r="T129" s="1">
        <x:f t="shared" si="65"/>
        <x:v>5.3782973703740994E-2</x:v>
      </x:c>
      <x:c r="U129">
        <x:f t="shared" si="66"/>
        <x:v>6.9488967400056006E-3</x:v>
      </x:c>
    </x:row>
    <x:row r="130">
      <x:c r="A130" s="1">
        <x:v>-4.1356464319930897</x:v>
      </x:c>
      <x:c r="B130" s="1">
        <x:v>4088.0685504415701</x:v>
      </x:c>
      <x:c r="C130" s="1">
        <x:v>1880.5658747300199</x:v>
      </x:c>
      <x:c r="D130" s="1">
        <x:f t="shared" si="54"/>
        <x:v>6.2034696479896345</x:v>
      </x:c>
      <x:c r="E130" s="1">
        <x:f t="shared" si="55"/>
        <x:v>25.65535711568576</x:v>
      </x:c>
      <x:c r="F130" s="1">
        <x:f t="shared" si="56"/>
        <x:v>0.19914138383446667</x:v>
      </x:c>
      <x:c r="G130" s="1">
        <x:f t="shared" si="57"/>
        <x:v>0.17246149734543587</x:v>
      </x:c>
      <x:c r="H130" s="1">
        <x:f t="shared" si="58"/>
        <x:v>6.5561805013407137E-2</x:v>
      </x:c>
      <x:c r="I130">
        <x:f t="shared" si="59"/>
        <x:v>8.4707516478371801E-3</x:v>
      </x:c>
      <x:c r="L130" s="1">
        <x:v>-4.1360687768406796</x:v>
      </x:c>
      <x:c r="M130" s="1">
        <x:v>4029.7584228515602</x:v>
      </x:c>
      <x:c r="N130" s="1">
        <x:v>-1311.4559471365601</x:v>
      </x:c>
      <x:c r="O130">
        <x:f t="shared" si="60"/>
        <x:v>1374.9410916299519</x:v>
      </x:c>
      <x:c r="P130" s="1">
        <x:f t="shared" si="61"/>
        <x:v>6.204103165261019</x:v>
      </x:c>
      <x:c r="Q130" s="1">
        <x:f t="shared" si="62"/>
        <x:v>25.660597390134534</x:v>
      </x:c>
      <x:c r="R130" s="1">
        <x:f t="shared" si="63"/>
        <x:v>0.20204356729614636</x:v>
      </x:c>
      <x:c r="S130" s="1">
        <x:f t="shared" si="64"/>
        <x:v>0.17497486194969356</x:v>
      </x:c>
      <x:c r="T130" s="1">
        <x:f t="shared" si="65"/>
        <x:v>5.8165037308933062E-2</x:v>
      </x:c>
      <x:c r="U130">
        <x:f t="shared" si="66"/>
        <x:v>7.5150704824310461E-3</x:v>
      </x:c>
    </x:row>
    <x:row r="131">
      <x:c r="A131" s="1">
        <x:v>-3.4531624833226702</x:v>
      </x:c>
      <x:c r="B131" s="1">
        <x:v>4095.0448688009501</x:v>
      </x:c>
      <x:c r="C131" s="1">
        <x:v>1960.4425162689799</x:v>
      </x:c>
      <x:c r="D131" s="1">
        <x:f t="shared" si="54"/>
        <x:v>5.1797437249840055</x:v>
      </x:c>
      <x:c r="E131" s="1">
        <x:f t="shared" si="55"/>
        <x:v>17.886496704340786</x:v>
      </x:c>
      <x:c r="F131" s="1">
        <x:f t="shared" si="56"/>
        <x:v>0.1659948586970898</x:v>
      </x:c>
      <x:c r="G131" s="1">
        <x:f t="shared" si="57"/>
        <x:v>0.14375576452928807</x:v>
      </x:c>
      <x:c r="H131" s="1">
        <x:f t="shared" si="58"/>
        <x:v>6.8530291403048824E-2</x:v>
      </x:c>
      <x:c r="I131">
        <x:f t="shared" si="59"/>
        <x:v>8.8542876254006017E-3</x:v>
      </x:c>
      <x:c r="L131" s="1">
        <x:v>-3.3875498217860498</x:v>
      </x:c>
      <x:c r="M131" s="1">
        <x:v>3997.6162109375</x:v>
      </x:c>
      <x:c r="N131" s="1">
        <x:v>-1423.0039447731699</x:v>
      </x:c>
      <x:c r="O131">
        <x:f t="shared" si="60"/>
        <x:v>1492.2003467455561</x:v>
      </x:c>
      <x:c r="P131" s="1">
        <x:f t="shared" si="61"/>
        <x:v>5.0813247326790751</x:v>
      </x:c>
      <x:c r="Q131" s="1">
        <x:f t="shared" si="62"/>
        <x:v>17.213240692624048</x:v>
      </x:c>
      <x:c r="R131" s="1">
        <x:f t="shared" si="63"/>
        <x:v>0.16680953871338045</x:v>
      </x:c>
      <x:c r="S131" s="1">
        <x:f t="shared" si="64"/>
        <x:v>0.14446129811935121</x:v>
      </x:c>
      <x:c r="T131" s="1">
        <x:f t="shared" si="65"/>
        <x:v>6.4020694060309163E-2</x:v>
      </x:c>
      <x:c r="U131">
        <x:f t="shared" si="66"/>
        <x:v>8.2716362003173154E-3</x:v>
      </x:c>
    </x:row>
    <x:row r="132">
      <x:c r="A132" s="1">
        <x:v>-2.7725214156948099</x:v>
      </x:c>
      <x:c r="B132" s="1">
        <x:v>4074.1282226562498</x:v>
      </x:c>
      <x:c r="C132" s="1">
        <x:v>2040.3880903490699</x:v>
      </x:c>
      <x:c r="D132" s="1">
        <x:f t="shared" si="54"/>
        <x:v>4.1587821235422151</x:v>
      </x:c>
      <x:c r="E132" s="1">
        <x:f t="shared" si="55"/>
        <x:v>11.530312500729529</x:v>
      </x:c>
      <x:c r="F132" s="1">
        <x:f t="shared" si="56"/>
        <x:v>0.13396042107569101</x:v>
      </x:c>
      <x:c r="G132" s="1">
        <x:f t="shared" si="57"/>
        <x:v>0.11601312775320871</x:v>
      </x:c>
      <x:c r="H132" s="1">
        <x:f t="shared" si="58"/>
        <x:v>7.2463086600359314E-2</x:v>
      </x:c>
      <x:c r="I132">
        <x:f t="shared" si="59"/>
        <x:v>9.3624147489813417E-3</x:v>
      </x:c>
      <x:c r="L132" s="1">
        <x:v>-2.7058416312595499</x:v>
      </x:c>
      <x:c r="M132" s="1">
        <x:v>3985.6698314525402</x:v>
      </x:c>
      <x:c r="N132" s="1">
        <x:v>-1516.32452830188</x:v>
      </x:c>
      <x:c r="O132">
        <x:f t="shared" si="60"/>
        <x:v>1590.2989441509362</x:v>
      </x:c>
      <x:c r="P132" s="1">
        <x:f t="shared" si="61"/>
        <x:v>4.0587624468893253</x:v>
      </x:c>
      <x:c r="Q132" s="1">
        <x:f t="shared" si="62"/>
        <x:v>10.982368400186013</x:v>
      </x:c>
      <x:c r="R132" s="1">
        <x:f t="shared" si="63"/>
        <x:v>0.13364026949801444</x:v>
      </x:c>
      <x:c r="S132" s="1">
        <x:f t="shared" si="64"/>
        <x:v>0.11573586835387917</x:v>
      </x:c>
      <x:c r="T132" s="1">
        <x:f t="shared" si="65"/>
        <x:v>6.8542921508446791E-2</x:v>
      </x:c>
      <x:c r="U132">
        <x:f t="shared" si="66"/>
        <x:v>8.8559194670817503E-3</x:v>
      </x:c>
    </x:row>
    <x:row r="133">
      <x:c r="A133" s="1">
        <x:v>-2.08679019645805</x:v>
      </x:c>
      <x:c r="B133" s="1">
        <x:v>4055.84930889423</x:v>
      </x:c>
      <x:c r="C133" s="1">
        <x:v>2122.5551401869102</x:v>
      </x:c>
      <x:c r="D133" s="1">
        <x:f t="shared" si="54"/>
        <x:v>3.1301852946870747</x:v>
      </x:c>
      <x:c r="E133" s="1">
        <x:f t="shared" si="55"/>
        <x:v>6.5320399860501404</x:v>
      </x:c>
      <x:c r="F133" s="1">
        <x:f t="shared" si="56"/>
        <x:v>0.1012822322670823</x:v>
      </x:c>
      <x:c r="G133" s="1">
        <x:f t="shared" si="57"/>
        <x:v>8.7712986095289255E-2</x:v>
      </x:c>
      <x:c r="H133" s="1">
        <x:f t="shared" si="58"/>
        <x:v>7.6464673615351711E-2</x:v>
      </x:c>
      <x:c r="I133">
        <x:f t="shared" si="59"/>
        <x:v>9.8794299500466424E-3</x:v>
      </x:c>
      <x:c r="L133" s="1">
        <x:v>-2.0879346414045798</x:v>
      </x:c>
      <x:c r="M133" s="1">
        <x:v>3950.6170099431802</x:v>
      </x:c>
      <x:c r="N133" s="1">
        <x:v>-1599.1564625850301</x:v>
      </x:c>
      <x:c r="O133">
        <x:f t="shared" si="60"/>
        <x:v>1677.3718734693834</x:v>
      </x:c>
      <x:c r="P133" s="1">
        <x:f t="shared" si="61"/>
        <x:v>3.1319019621068698</x:v>
      </x:c>
      <x:c r="Q133" s="1">
        <x:f t="shared" si="62"/>
        <x:v>6.5392066001659082</x:v>
      </x:c>
      <x:c r="R133" s="1">
        <x:f t="shared" si="63"/>
        <x:v>0.10403710487438905</x:v>
      </x:c>
      <x:c r="S133" s="1">
        <x:f t="shared" si="64"/>
        <x:v>9.0098775757406768E-2</x:v>
      </x:c>
      <x:c r="T133" s="1">
        <x:f t="shared" si="65"/>
        <x:v>7.3502909215372406E-2</x:v>
      </x:c>
      <x:c r="U133">
        <x:f t="shared" si="66"/>
        <x:v>9.4967624706125461E-3</x:v>
      </x:c>
    </x:row>
    <x:row r="134">
      <x:c r="A134" s="1">
        <x:v>-1.40349448767575</x:v>
      </x:c>
      <x:c r="B134" s="1">
        <x:v>4061.6793619791601</x:v>
      </x:c>
      <x:c r="C134" s="1">
        <x:v>2196.8348457350198</x:v>
      </x:c>
      <x:c r="D134" s="1">
        <x:f t="shared" si="54"/>
        <x:v>2.1052417315136251</x:v>
      </x:c>
      <x:c r="E134" s="1">
        <x:f t="shared" si="55"/>
        <x:v>2.9546951654043241</x:v>
      </x:c>
      <x:c r="F134" s="1">
        <x:f t="shared" si="56"/>
        <x:v>6.8020741627727199E-2</x:v>
      </x:c>
      <x:c r="G134" s="1">
        <x:f t="shared" si="57"/>
        <x:v>5.8907690233869422E-2</x:v>
      </x:c>
      <x:c r="H134" s="1">
        <x:f t="shared" si="58"/>
        <x:v>7.9262321061135177E-2</x:v>
      </x:c>
      <x:c r="I134">
        <x:f t="shared" si="59"/>
        <x:v>1.0240893102359054E-2</x:v>
      </x:c>
      <x:c r="L134" s="1">
        <x:v>-1.4040854996187</x:v>
      </x:c>
      <x:c r="M134" s="1">
        <x:v>3975.1399169921801</x:v>
      </x:c>
      <x:c r="N134" s="1">
        <x:v>-1690</x:v>
      </x:c>
      <x:c r="O134">
        <x:f t="shared" si="60"/>
        <x:v>1772.8665999999998</x:v>
      </x:c>
      <x:c r="P134" s="1">
        <x:f t="shared" si="61"/>
        <x:v>2.1061282494280498</x:v>
      </x:c>
      <x:c r="Q134" s="1">
        <x:f t="shared" si="62"/>
        <x:v>2.9571841353592418</x:v>
      </x:c>
      <x:c r="R134" s="1">
        <x:f t="shared" si="63"/>
        <x:v>6.9530831407475097E-2</x:v>
      </x:c>
      <x:c r="S134" s="1">
        <x:f t="shared" si="64"/>
        <x:v>6.0215466345126339E-2</x:v>
      </x:c>
      <x:c r="T134" s="1">
        <x:f t="shared" si="65"/>
        <x:v>7.6648222502536376E-2</x:v>
      </x:c>
      <x:c r="U134">
        <x:f t="shared" si="66"/>
        <x:v>9.9031449322418436E-3</x:v>
      </x:c>
    </x:row>
    <x:row r="135">
      <x:c r="A135" s="1">
        <x:v>-0.71676433964499398</x:v>
      </x:c>
      <x:c r="B135" s="1">
        <x:v>4058.2130180027102</x:v>
      </x:c>
      <x:c r="C135" s="1">
        <x:v>2255.921875</x:v>
      </x:c>
      <x:c r="D135" s="1">
        <x:f t="shared" si="54"/>
        <x:v>1.075146509467491</x:v>
      </x:c>
      <x:c r="E135" s="1">
        <x:f t="shared" si="55"/>
        <x:v>0.77062667788008643</x:v>
      </x:c>
      <x:c r="F135" s="1">
        <x:f t="shared" si="56"/>
        <x:v>3.4767850239473985E-2</x:v>
      </x:c>
      <x:c r="G135" s="1">
        <x:f t="shared" si="57"/>
        <x:v>3.0109841542357348E-2</x:v>
      </x:c>
      <x:c r="H135" s="1">
        <x:f t="shared" si="58"/>
        <x:v>8.1801809315134352E-2</x:v>
      </x:c>
      <x:c r="I135">
        <x:f t="shared" si="59"/>
        <x:v>1.056900143171069E-2</x:v>
      </x:c>
      <x:c r="L135" s="1">
        <x:v>-0.71723117989100704</x:v>
      </x:c>
      <x:c r="M135" s="1">
        <x:v>3961.29009540264</x:v>
      </x:c>
      <x:c r="N135" s="1">
        <x:v>-1753.55700934579</x:v>
      </x:c>
      <x:c r="O135">
        <x:f t="shared" si="60"/>
        <x:v>1839.6777282242942</x:v>
      </x:c>
      <x:c r="P135" s="1">
        <x:f t="shared" si="61"/>
        <x:v>1.0758467698365106</x:v>
      </x:c>
      <x:c r="Q135" s="1">
        <x:f t="shared" si="62"/>
        <x:v>0.77163084811176907</x:v>
      </x:c>
      <x:c r="R135" s="1">
        <x:f t="shared" si="63"/>
        <x:v>3.5641732045800664E-2</x:v>
      </x:c>
      <x:c r="S135" s="1">
        <x:f t="shared" si="64"/>
        <x:v>3.086664538654128E-2</x:v>
      </x:c>
      <x:c r="T135" s="1">
        <x:f t="shared" si="65"/>
        <x:v>8.0038065191737409E-2</x:v>
      </x:c>
      <x:c r="U135">
        <x:f t="shared" si="66"/>
        <x:v>1.034112121339497E-2</x:v>
      </x:c>
    </x:row>
    <x:row r="136">
      <x:c r="A136" s="1" t="n">
        <x:f>-90.687/500</x:f>
        <x:v>-0.181374</x:v>
      </x:c>
      <x:c r="B136" s="1">
        <x:v>4078.855</x:v>
      </x:c>
      <x:c r="C136" s="1">
        <x:v>2287.1239999999998</x:v>
      </x:c>
      <x:c r="D136" s="1">
        <x:f t="shared" si="54"/>
        <x:v>0.272061</x:v>
      </x:c>
      <x:c r="E136" s="1">
        <x:f t="shared" si="55"/>
        <x:v>4.9344791814000005E-2</x:v>
      </x:c>
      <x:c r="F136" s="1">
        <x:f t="shared" si="56"/>
        <x:v>8.7533249667091882E-3</x:v>
      </x:c>
      <x:c r="G136" s="1">
        <x:f t="shared" si="57"/>
        <x:v>7.5806017887507342E-3</x:v>
      </x:c>
      <x:c r="H136" s="1">
        <x:f t="shared" si="58"/>
        <x:v>8.2232629453109773E-2</x:v>
      </x:c>
      <x:c r="I136">
        <x:f t="shared" si="59"/>
        <x:v>1.062466448724936E-2</x:v>
      </x:c>
      <x:c r="L136" s="1" t="n">
        <x:f>-90.575/500</x:f>
        <x:v>-0.18115</x:v>
      </x:c>
      <x:c r="M136" s="1">
        <x:v>3957.99</x:v>
      </x:c>
      <x:c r="N136" s="1">
        <x:v>-1780.539</x:v>
      </x:c>
      <x:c r="O136">
        <x:f t="shared" si="60"/>
        <x:v>1868.0411967999999</x:v>
      </x:c>
      <x:c r="P136" s="1">
        <x:f t="shared" si="61"/>
        <x:v>0.27172499999999999</x:v>
      </x:c>
      <x:c r="Q136" s="1">
        <x:f t="shared" si="62"/>
        <x:v>4.9222983750000004E-2</x:v>
      </x:c>
      <x:c r="R136" s="1">
        <x:f t="shared" si="63"/>
        <x:v>9.0094843137293532E-3</x:v>
      </x:c>
      <x:c r="S136" s="1">
        <x:f t="shared" si="64"/>
        <x:v>7.802442290687028E-3</x:v>
      </x:c>
      <x:c r="T136" s="1">
        <x:f t="shared" si="65"/>
        <x:v>8.1384772995884883E-2</x:v>
      </x:c>
      <x:c r="U136">
        <x:f t="shared" si="66"/>
        <x:v>1.0515119280544046E-2</x:v>
      </x:c>
    </x:row>
    <x:row r="137">
      <x:c r="A137" s="1">
        <x:v>-0.13700324182738399</x:v>
      </x:c>
      <x:c r="B137" s="1">
        <x:v>0</x:v>
      </x:c>
      <x:c r="C137" s="1">
        <x:v>243.06888763410501</x:v>
      </x:c>
      <x:c r="D137" s="1">
        <x:f t="shared" si="54"/>
        <x:v>0.20550486274107599</x:v>
      </x:c>
      <x:c r="E137" s="1">
        <x:f t="shared" si="55"/>
        <x:v>2.8154832406818986E-2</x:v>
      </x:c>
      <x:c r="F137" s="1" t="e">
        <x:f t="shared" si="56"/>
        <x:v>#DIV/0!</x:v>
      </x:c>
      <x:c r="G137" s="1" t="e">
        <x:f t="shared" si="57"/>
        <x:v>#DIV/0!</x:v>
      </x:c>
      <x:c r="H137" s="1" t="e">
        <x:f t="shared" si="58"/>
        <x:v>#DIV/0!</x:v>
      </x:c>
      <x:c r="I137" t="e">
        <x:f t="shared" si="59"/>
        <x:v>#DIV/0!</x:v>
      </x:c>
      <x:c r="L137" s="1">
        <x:v>-7.8188370612809303E-3</x:v>
      </x:c>
      <x:c r="M137" s="1">
        <x:v>0</x:v>
      </x:c>
      <x:c r="N137" s="1">
        <x:v>51.035701906412399</x:v>
      </x:c>
      <x:c r="O137">
        <x:f t="shared" si="60"/>
        <x:v>-57.310129844020707</x:v>
      </x:c>
      <x:c r="P137" s="1">
        <x:f t="shared" si="61"/>
        <x:v>1.1728255591921396E-2</x:v>
      </x:c>
      <x:c r="Q137" s="1">
        <x:f t="shared" si="62"/>
        <x:v>9.1701319486290337E-5</x:v>
      </x:c>
      <x:c r="R137" s="1" t="e">
        <x:f t="shared" si="63"/>
        <x:v>#DIV/0!</x:v>
      </x:c>
      <x:c r="S137" s="1" t="e">
        <x:f t="shared" si="64"/>
        <x:v>#DIV/0!</x:v>
      </x:c>
      <x:c r="T137" s="1" t="e">
        <x:f t="shared" si="65"/>
        <x:v>#DIV/0!</x:v>
      </x:c>
      <x:c r="U137" t="e">
        <x:f t="shared" si="66"/>
        <x:v>#DIV/0!</x:v>
      </x:c>
    </x:row>
    <x:row r="142">
      <x:c r="P142" t="s">
        <x:v>55</x:v>
      </x:c>
    </x:row>
    <x:row r="143">
      <x:c r="A143" s="3" t="s">
        <x:v>56</x:v>
      </x:c>
      <x:c r="B143" s="3"/>
      <x:c r="C143" s="3"/>
      <x:c r="L143" s="3" t="s">
        <x:v>57</x:v>
      </x:c>
      <x:c r="M143" s="3"/>
      <x:c r="N143" s="3"/>
    </x:row>
    <x:row r="144">
      <x:c r="A144" s="1" t="s">
        <x:v>3</x:v>
      </x:c>
      <x:c r="B144" s="1" t="s">
        <x:v>4</x:v>
      </x:c>
      <x:c r="C144" s="1" t="s">
        <x:v>5</x:v>
      </x:c>
      <x:c r="D144" s="1" t="s">
        <x:v>40</x:v>
      </x:c>
      <x:c r="E144" s="1" t="s">
        <x:v>6</x:v>
      </x:c>
      <x:c r="F144" s="1" t="s">
        <x:v>7</x:v>
      </x:c>
      <x:c r="G144" s="1" t="s">
        <x:v>8</x:v>
      </x:c>
      <x:c r="H144" s="1" t="s">
        <x:v>9</x:v>
      </x:c>
      <x:c r="I144" s="1" t="s">
        <x:v>10</x:v>
      </x:c>
      <x:c r="J144" s="1" t="s">
        <x:v>11</x:v>
      </x:c>
      <x:c r="L144" s="1" t="s">
        <x:v>3</x:v>
      </x:c>
      <x:c r="M144" s="1" t="s">
        <x:v>4</x:v>
      </x:c>
      <x:c r="N144" s="1" t="s">
        <x:v>5</x:v>
      </x:c>
      <x:c r="O144" s="1" t="s">
        <x:v>40</x:v>
      </x:c>
      <x:c r="P144" s="1" t="s">
        <x:v>6</x:v>
      </x:c>
      <x:c r="Q144" s="1" t="s">
        <x:v>7</x:v>
      </x:c>
      <x:c r="R144" s="1" t="s">
        <x:v>8</x:v>
      </x:c>
      <x:c r="S144" s="1" t="s">
        <x:v>9</x:v>
      </x:c>
      <x:c r="T144" s="1" t="s">
        <x:v>10</x:v>
      </x:c>
      <x:c r="U144" s="1" t="s">
        <x:v>11</x:v>
      </x:c>
    </x:row>
    <x:row r="145">
      <x:c r="A145" s="1">
        <x:v>-6.3072417381632804E-3</x:v>
      </x:c>
      <x:c r="B145" s="1">
        <x:v>0</x:v>
      </x:c>
      <x:c r="C145" s="1">
        <x:v>-48.556666666666601</x:v>
      </x:c>
      <x:c r="D145" t="n">
        <x:f>C145*(-1.047)-13.539</x:f>
        <x:v>37.29982999999993</x:v>
      </x:c>
      <x:c r="E145" s="1" t="n">
        <x:f>-A145*1.5</x:f>
        <x:v>0.009460862607244921</x:v>
      </x:c>
      <x:c r="F145" s="1" t="n">
        <x:f>A145*A145*1.5</x:f>
        <x:v>0.000059671947515443444</x:v>
      </x:c>
      <x:c r="G145" s="1" t="e">
        <x:f>E145/(B145/60)/0.4572</x:f>
        <x:v>#DIV/0!</x:v>
      </x:c>
      <x:c r="H145" s="1" t="e">
        <x:f>E145*SIN(RADIANS(75))/(B145/60)/0.4572</x:f>
        <x:v>#DIV/0!</x:v>
      </x:c>
      <x:c r="I145" s="1" t="e">
        <x:f>(D145-$D$145)*9.8/1.205/(B145/60)^2/0.4572^4/1000</x:f>
        <x:v>#DIV/0!</x:v>
      </x:c>
      <x:c r="J145" t="e">
        <x:f>I145*4/(3.14^3)</x:f>
        <x:v>#DIV/0!</x:v>
      </x:c>
      <x:c r="L145" s="1">
        <x:v>-0.125216603314592</x:v>
      </x:c>
      <x:c r="M145" s="1">
        <x:v>0</x:v>
      </x:c>
      <x:c r="N145" s="1">
        <x:v>-44.545238095238098</x:v>
      </x:c>
      <x:c r="O145" t="n">
        <x:f>N145*(-1.047)-13.539</x:f>
        <x:v>33.09986428571428</x:v>
      </x:c>
      <x:c r="P145" s="1" t="n">
        <x:f>-L145*1.5</x:f>
        <x:v>0.187824904971888</x:v>
      </x:c>
      <x:c r="Q145" s="1" t="n">
        <x:f>L145*L145*1.5</x:f>
        <x:v>0.02351879661846584</x:v>
      </x:c>
      <x:c r="R145" s="1" t="e">
        <x:f>P145/(M145/60)/0.4572</x:f>
        <x:v>#DIV/0!</x:v>
      </x:c>
      <x:c r="S145" s="1" t="e">
        <x:f>P145*SIN(RADIANS(75))/(M145/60)/0.4572</x:f>
        <x:v>#DIV/0!</x:v>
      </x:c>
      <x:c r="T145" s="1" t="e">
        <x:f>(O145-$O$145)*9.8/1.205/(M145/60)^2/0.4572^4/1000</x:f>
        <x:v>#DIV/0!</x:v>
      </x:c>
      <x:c r="U145" t="e">
        <x:f>T145*4/(3.14^3)</x:f>
        <x:v>#DIV/0!</x:v>
      </x:c>
    </x:row>
    <x:row r="146">
      <x:c r="A146" s="1" t="n">
        <x:f>-56.569/500</x:f>
        <x:v>-0.113138</x:v>
      </x:c>
      <x:c r="B146" s="1">
        <x:v>4083.25</x:v>
      </x:c>
      <x:c r="C146" s="1">
        <x:v>-2015.1559999999999</x:v>
      </x:c>
      <x:c r="D146" t="n">
        <x:f t="shared" ref="D146:D167" si="67">C146*(-1.047)-13.539</x:f>
        <x:v>2096.329332</x:v>
      </x:c>
      <x:c r="E146" s="1" t="n">
        <x:f t="shared" ref="E146:E167" si="68">-A146*1.5</x:f>
        <x:v>0.169707</x:v>
      </x:c>
      <x:c r="F146" s="1" t="n">
        <x:f t="shared" ref="F146:F167" si="69">A146*A146*1.5</x:f>
        <x:v>0.019200310566000002</x:v>
      </x:c>
      <x:c r="G146" s="1" t="n">
        <x:f t="shared" ref="G146:G167" si="70">E146/(B146/60)/0.4572</x:f>
        <x:v>0.005454297396074129</x:v>
      </x:c>
      <x:c r="H146" s="1" t="n">
        <x:f t="shared" ref="H146:H167" si="71">E146*SIN(RADIANS(75))/(B146/60)/0.4572</x:f>
        <x:v>0.005268446719129217</x:v>
      </x:c>
      <x:c r="I146" s="1" t="n">
        <x:f t="shared" ref="I146:I167" si="72">(D146-$D$145)*9.8/1.205/(B146/60)^2/0.4572^4/1000</x:f>
        <x:v>0.08274986052832088</x:v>
      </x:c>
      <x:c r="J146" t="n">
        <x:f t="shared" ref="J146:J167" si="73">I146*4/(3.14^3)</x:f>
        <x:v>0.010691492055248152</x:v>
      </x:c>
      <x:c r="L146" s="1" t="n">
        <x:f>-92.999/500</x:f>
        <x:v>-0.185998</x:v>
      </x:c>
      <x:c r="M146" s="1">
        <x:v>4022.22</x:v>
      </x:c>
      <x:c r="N146" s="1">
        <x:v>-1948.242</x:v>
      </x:c>
      <x:c r="O146" t="n">
        <x:f t="shared" ref="O146:O167" si="74">N146*(-1.047)-13.539</x:f>
        <x:v>2026.270374</x:v>
      </x:c>
      <x:c r="P146" s="1" t="n">
        <x:f t="shared" ref="P146:P167" si="75">-L146*1.5</x:f>
        <x:v>0.278997</x:v>
      </x:c>
      <x:c r="Q146" s="1" t="n">
        <x:f t="shared" ref="Q146:Q167" si="76">L146*L146*1.5</x:f>
        <x:v>0.051892884006</x:v>
      </x:c>
      <x:c r="R146" s="1" t="n">
        <x:f t="shared" ref="R146:R167" si="77">P146/(M146/60)/0.4572</x:f>
        <x:v>0.009102878392419873</x:v>
      </x:c>
      <x:c r="S146" s="1" t="n">
        <x:f t="shared" ref="S146:S167" si="78">P146*SIN(RADIANS(75))/(M146/60)/0.4572</x:f>
        <x:v>0.008792705332807071</x:v>
      </x:c>
      <x:c r="T146" s="1" t="n">
        <x:f t="shared" ref="T146:T167" si="79">(O146-$O$145)*9.8/1.205/(M146/60)^2/0.4572^4/1000</x:f>
        <x:v>0.08255235237218377</x:v>
      </x:c>
      <x:c r="U146" t="n">
        <x:f t="shared" ref="U146:U167" si="80">T146*4/(3.14^3)</x:f>
        <x:v>0.01066597350006625</x:v>
      </x:c>
    </x:row>
    <x:row r="147">
      <x:c r="A147" s="1">
        <x:v>-0.63704024786002</x:v>
      </x:c>
      <x:c r="B147" s="1">
        <x:v>4070.0038641567799</x:v>
      </x:c>
      <x:c r="C147" s="1">
        <x:v>-1951.8735042735</x:v>
      </x:c>
      <x:c r="D147">
        <x:f t="shared" si="67"/>
        <x:v>2030.0725589743543</x:v>
      </x:c>
      <x:c r="E147" s="1">
        <x:f t="shared" si="68"/>
        <x:v>0.95556037179003006</x:v>
      </x:c>
      <x:c r="F147" s="1">
        <x:f t="shared" si="69"/>
        <x:v>0.60873041609033351</x:v>
      </x:c>
      <x:c r="G147" s="1">
        <x:f t="shared" si="70"/>
        <x:v>3.0811180475493905E-2</x:v>
      </x:c>
      <x:c r="H147" s="1">
        <x:f t="shared" si="71"/>
        <x:v>2.9761314959733057E-2</x:v>
      </x:c>
      <x:c r="I147" s="1">
        <x:f t="shared" si="72"/>
        <x:v>8.0609229652919279E-2</x:v>
      </x:c>
      <x:c r="J147">
        <x:f t="shared" si="73"/>
        <x:v>1.0414917111780516E-2</x:v>
      </x:c>
      <x:c r="L147" s="1">
        <x:v>-0.78109954991217301</x:v>
      </x:c>
      <x:c r="M147" s="1">
        <x:v>3991.3689707880399</x:v>
      </x:c>
      <x:c r="N147" s="1">
        <x:v>-1884.7198275861999</x:v>
      </x:c>
      <x:c r="O147">
        <x:f t="shared" si="74"/>
        <x:v>1959.7626594827511</x:v>
      </x:c>
      <x:c r="P147" s="1">
        <x:f t="shared" si="75"/>
        <x:v>1.1716493248682596</x:v>
      </x:c>
      <x:c r="Q147" s="1">
        <x:f t="shared" si="76"/>
        <x:v>0.91517476030949885</x:v>
      </x:c>
      <x:c r="R147" s="1">
        <x:f t="shared" si="77"/>
        <x:v>3.8523061898073876E-2</x:v>
      </x:c>
      <x:c r="S147" s="1">
        <x:f t="shared" si="78"/>
        <x:v>3.7210420395081933E-2</x:v>
      </x:c>
      <x:c r="T147" s="1">
        <x:f t="shared" si="79"/>
        <x:v>8.1036112774090521E-2</x:v>
      </x:c>
      <x:c r="U147">
        <x:f t="shared" si="80"/>
        <x:v>1.0470071494753281E-2</x:v>
      </x:c>
    </x:row>
    <x:row r="148">
      <x:c r="A148" s="1">
        <x:v>-1.4687362561623201</x:v>
      </x:c>
      <x:c r="B148" s="1">
        <x:v>4025.9235093858501</x:v>
      </x:c>
      <x:c r="C148" s="1">
        <x:v>-1849.6809986130299</x:v>
      </x:c>
      <x:c r="D148">
        <x:f t="shared" si="67"/>
        <x:v>1923.0770055478422</x:v>
      </x:c>
      <x:c r="E148" s="1">
        <x:f t="shared" si="68"/>
        <x:v>2.2031043842434803</x:v>
      </x:c>
      <x:c r="F148" s="1">
        <x:f t="shared" si="69"/>
        <x:v>3.2357792852485625</x:v>
      </x:c>
      <x:c r="G148" s="1">
        <x:f t="shared" si="70"/>
        <x:v>7.1814903982683573E-2</x:v>
      </x:c>
      <x:c r="H148" s="1">
        <x:f t="shared" si="71"/>
        <x:v>6.9367870469343715E-2</x:v>
      </x:c>
      <x:c r="I148" s="1">
        <x:f t="shared" si="72"/>
        <x:v>7.7960744731777804E-2</x:v>
      </x:c>
      <x:c r="J148">
        <x:f t="shared" si="73"/>
        <x:v>1.0072726136326999E-2</x:v>
      </x:c>
      <x:c r="L148" s="1">
        <x:v>-1.38923286270572</x:v>
      </x:c>
      <x:c r="M148" s="1">
        <x:v>4003.6163024902298</x:v>
      </x:c>
      <x:c r="N148" s="1">
        <x:v>-1802.8</x:v>
      </x:c>
      <x:c r="O148">
        <x:f t="shared" si="74"/>
        <x:v>1873.9925999999998</x:v>
      </x:c>
      <x:c r="P148" s="1">
        <x:f t="shared" si="75"/>
        <x:v>2.08384929405858</x:v>
      </x:c>
      <x:c r="Q148" s="1">
        <x:f t="shared" si="76"/>
        <x:v>2.8949519202322946</x:v>
      </x:c>
      <x:c r="R148" s="1">
        <x:f t="shared" si="77"/>
        <x:v>6.8306005197250108E-2</x:v>
      </x:c>
      <x:c r="S148" s="1">
        <x:f t="shared" si="78"/>
        <x:v>6.5978534510659201E-2</x:v>
      </x:c>
      <x:c r="T148" s="1">
        <x:f t="shared" si="79"/>
        <x:v>7.6955600004842792E-2</x:v>
      </x:c>
      <x:c r="U148">
        <x:f t="shared" si="80"/>
        <x:v>9.9428588858713647E-3</x:v>
      </x:c>
    </x:row>
    <x:row r="149">
      <x:c r="A149" s="1">
        <x:v>-2.0853213568528401</x:v>
      </x:c>
      <x:c r="B149" s="1">
        <x:v>4068.6939031427501</x:v>
      </x:c>
      <x:c r="C149" s="1">
        <x:v>-1755.7281105990701</x:v>
      </x:c>
      <x:c r="D149">
        <x:f t="shared" si="67"/>
        <x:v>1824.7083317972263</x:v>
      </x:c>
      <x:c r="E149" s="1">
        <x:f t="shared" si="68"/>
        <x:v>3.1279820352792602</x:v>
      </x:c>
      <x:c r="F149" s="1">
        <x:f t="shared" si="69"/>
        <x:v>6.5228477420198558</x:v>
      </x:c>
      <x:c r="G149" s="1">
        <x:f t="shared" si="70"/>
        <x:v>0.10089142605986291</x:v>
      </x:c>
      <x:c r="H149" s="1">
        <x:f t="shared" si="71"/>
        <x:v>9.7453634082355522E-2</x:v>
      </x:c>
      <x:c r="I149" s="1">
        <x:f t="shared" si="72"/>
        <x:v>7.2348648989750311E-2</x:v>
      </x:c>
      <x:c r="J149">
        <x:f t="shared" si="73"/>
        <x:v>9.3476291191707771E-3</x:v>
      </x:c>
      <x:c r="L149" s="1">
        <x:v>-2.0792900683895801</x:v>
      </x:c>
      <x:c r="M149" s="1">
        <x:v>4006.30911458333</x:v>
      </x:c>
      <x:c r="N149" s="1">
        <x:v>-1704.04377104377</x:v>
      </x:c>
      <x:c r="O149">
        <x:f t="shared" si="74"/>
        <x:v>1770.5948282828272</x:v>
      </x:c>
      <x:c r="P149" s="1">
        <x:f t="shared" si="75"/>
        <x:v>3.1189351025843699</x:v>
      </x:c>
      <x:c r="Q149" s="1">
        <x:f t="shared" si="76"/>
        <x:v>6.4851707827553176</x:v>
      </x:c>
      <x:c r="R149" s="1">
        <x:f t="shared" si="77"/>
        <x:v>0.10216612270149192</x:v>
      </x:c>
      <x:c r="S149" s="1">
        <x:f t="shared" si="78"/>
        <x:v>9.8684896489188934E-2</x:v>
      </x:c>
      <x:c r="T149" s="1">
        <x:f t="shared" si="79"/>
        <x:v>7.253561322423964E-2</x:v>
      </x:c>
      <x:c r="U149">
        <x:f t="shared" si="80"/>
        <x:v>9.3717853729081962E-3</x:v>
      </x:c>
    </x:row>
    <x:row r="150">
      <x:c r="A150" s="1">
        <x:v>-2.76959265419358</x:v>
      </x:c>
      <x:c r="B150" s="1">
        <x:v>4056.5072769657199</x:v>
      </x:c>
      <x:c r="C150" s="1">
        <x:v>-1632.8566721581501</x:v>
      </x:c>
      <x:c r="D150">
        <x:f t="shared" si="67"/>
        <x:v>1696.061935749583</x:v>
      </x:c>
      <x:c r="E150" s="1">
        <x:f t="shared" si="68"/>
        <x:v>4.1543889812903698</x:v>
      </x:c>
      <x:c r="F150" s="1">
        <x:f t="shared" si="69"/>
        <x:v>11.505965205244559</x:v>
      </x:c>
      <x:c r="G150" s="1">
        <x:f t="shared" si="70"/>
        <x:v>0.13440020370840375</x:v>
      </x:c>
      <x:c r="H150" s="1">
        <x:f t="shared" si="71"/>
        <x:v>0.129820627820459</x:v>
      </x:c>
      <x:c r="I150" s="1">
        <x:f t="shared" si="72"/>
        <x:v>6.7545470200337923E-2</x:v>
      </x:c>
      <x:c r="J150">
        <x:f t="shared" si="73"/>
        <x:v>8.7270462258695423E-3</x:v>
      </x:c>
      <x:c r="L150" s="1">
        <x:v>-2.7645290064904402</x:v>
      </x:c>
      <x:c r="M150" s="1">
        <x:v>4005.27030273437</x:v>
      </x:c>
      <x:c r="N150" s="1">
        <x:v>-1593.53696498054</x:v>
      </x:c>
      <x:c r="O150">
        <x:f t="shared" si="74"/>
        <x:v>1654.8942023346253</x:v>
      </x:c>
      <x:c r="P150" s="1">
        <x:f t="shared" si="75"/>
        <x:v>4.1467935097356605</x:v>
      </x:c>
      <x:c r="Q150" s="1">
        <x:f t="shared" si="76"/>
        <x:v>11.463930941590531</x:v>
      </x:c>
      <x:c r="R150" s="1">
        <x:f t="shared" si="77"/>
        <x:v>0.13587063598513421</x:v>
      </x:c>
      <x:c r="S150" s="1">
        <x:f t="shared" si="78"/>
        <x:v>0.13124095633236199</x:v>
      </x:c>
      <x:c r="T150" s="1">
        <x:f t="shared" si="79"/>
        <x:v>6.774055670975089E-2</x:v>
      </x:c>
      <x:c r="U150">
        <x:f t="shared" si="80"/>
        <x:v>8.7522518981469101E-3</x:v>
      </x:c>
    </x:row>
    <x:row r="151">
      <x:c r="A151" s="1">
        <x:v>-3.4501296044974898</x:v>
      </x:c>
      <x:c r="B151" s="1">
        <x:v>4056.00952148437</x:v>
      </x:c>
      <x:c r="C151" s="1">
        <x:v>-1508.79270315091</x:v>
      </x:c>
      <x:c r="D151">
        <x:f t="shared" si="67"/>
        <x:v>1566.1669601990027</x:v>
      </x:c>
      <x:c r="E151" s="1">
        <x:f t="shared" si="68"/>
        <x:v>5.1751944067462343</x:v>
      </x:c>
      <x:c r="F151" s="1">
        <x:f t="shared" si="69"/>
        <x:v>17.855091431745009</x:v>
      </x:c>
      <x:c r="G151" s="1">
        <x:f t="shared" si="70"/>
        <x:v>0.16744521120244366</x:v>
      </x:c>
      <x:c r="H151" s="1">
        <x:f t="shared" si="71"/>
        <x:v>0.16173965398886794</x:v>
      </x:c>
      <x:c r="I151" s="1">
        <x:f t="shared" si="72"/>
        <x:v>6.2271374895663978E-2</x:v>
      </x:c>
      <x:c r="J151">
        <x:f t="shared" si="73"/>
        <x:v>8.045619723292605E-3</x:v>
      </x:c>
      <x:c r="L151" s="1">
        <x:v>-3.4446838533700399</x:v>
      </x:c>
      <x:c r="M151" s="1">
        <x:v>4020.1202980324001</x:v>
      </x:c>
      <x:c r="N151" s="1">
        <x:v>-1467.8003731343199</x:v>
      </x:c>
      <x:c r="O151">
        <x:f t="shared" si="74"/>
        <x:v>1523.2479906716328</x:v>
      </x:c>
      <x:c r="P151" s="1">
        <x:f t="shared" si="75"/>
        <x:v>5.1670257800550594</x:v>
      </x:c>
      <x:c r="Q151" s="1">
        <x:f t="shared" si="76"/>
        <x:v>17.798770274502399</x:v>
      </x:c>
      <x:c r="R151" s="1">
        <x:f t="shared" si="77"/>
        <x:v>0.16867340339106754</x:v>
      </x:c>
      <x:c r="S151" s="1">
        <x:f t="shared" si="78"/>
        <x:v>0.16292599654350623</x:v>
      </x:c>
      <x:c r="T151" s="1">
        <x:f t="shared" si="79"/>
        <x:v>6.1782856743326661E-2</x:v>
      </x:c>
      <x:c r="U151">
        <x:f t="shared" si="80"/>
        <x:v>7.9825019378218804E-3</x:v>
      </x:c>
    </x:row>
    <x:row r="152">
      <x:c r="A152" s="1">
        <x:v>-4.0666802335994001</x:v>
      </x:c>
      <x:c r="B152" s="1">
        <x:v>4062.6226362748498</x:v>
      </x:c>
      <x:c r="C152" s="1">
        <x:v>-1407.3908045977</x:v>
      </x:c>
      <x:c r="D152">
        <x:f t="shared" si="67"/>
        <x:v>1459.9991724137919</x:v>
      </x:c>
      <x:c r="E152" s="1">
        <x:f t="shared" si="68"/>
        <x:v>6.1000203503991006</x:v>
      </x:c>
      <x:c r="F152" s="1">
        <x:f t="shared" si="69"/>
        <x:v>24.806832183522108</x:v>
      </x:c>
      <x:c r="G152" s="1">
        <x:f t="shared" si="70"/>
        <x:v>0.19704700059793931</x:v>
      </x:c>
      <x:c r="H152" s="1">
        <x:f t="shared" si="71"/>
        <x:v>0.19033278687034708</x:v>
      </x:c>
      <x:c r="I152" s="1">
        <x:f t="shared" si="72"/>
        <x:v>5.7758619618356259E-2</x:v>
      </x:c>
      <x:c r="J152">
        <x:f t="shared" si="73"/>
        <x:v>7.4625602850461568E-3</x:v>
      </x:c>
      <x:c r="L152" s="1">
        <x:v>-4.1283431914409299</x:v>
      </x:c>
      <x:c r="M152" s="1">
        <x:v>4026.3015985903498</x:v>
      </x:c>
      <x:c r="N152" s="1">
        <x:v>-1352.1942604856499</x:v>
      </x:c>
      <x:c r="O152">
        <x:f t="shared" si="74"/>
        <x:v>1402.2083907284755</x:v>
      </x:c>
      <x:c r="P152" s="1">
        <x:f t="shared" si="75"/>
        <x:v>6.1925147871613948</x:v>
      </x:c>
      <x:c r="Q152" s="1">
        <x:f t="shared" si="76"/>
        <x:v>25.564826259475026</x:v>
      </x:c>
      <x:c r="R152" s="1">
        <x:f t="shared" si="77"/>
        <x:v>0.2018393214387206</x:v>
      </x:c>
      <x:c r="S152" s="1">
        <x:f t="shared" si="78"/>
        <x:v>0.19496181333832105</x:v>
      </x:c>
      <x:c r="T152" s="1">
        <x:f t="shared" si="79"/>
        <x:v>5.6590288861239353E-2</x:v>
      </x:c>
      <x:c r="U152">
        <x:f t="shared" si="80"/>
        <x:v>7.3116089852147525E-3</x:v>
      </x:c>
    </x:row>
    <x:row r="153">
      <x:c r="A153" s="1">
        <x:v>-4.80879110903353</x:v>
      </x:c>
      <x:c r="B153" s="1">
        <x:v>4107.1753040660496</x:v>
      </x:c>
      <x:c r="C153" s="1">
        <x:v>-1279.5999999999999</x:v>
      </x:c>
      <x:c r="D153">
        <x:f t="shared" si="67"/>
        <x:v>1326.2021999999997</x:v>
      </x:c>
      <x:c r="E153" s="1">
        <x:f t="shared" si="68"/>
        <x:v>7.213186663550295</x:v>
      </x:c>
      <x:c r="F153" s="1">
        <x:f t="shared" si="69"/>
        <x:v>34.686707895479891</x:v>
      </x:c>
      <x:c r="G153" s="1">
        <x:f t="shared" si="70"/>
        <x:v>0.23047772567705174</x:v>
      </x:c>
      <x:c r="H153" s="1">
        <x:f t="shared" si="71"/>
        <x:v>0.22262438761583142</x:v>
      </x:c>
      <x:c r="I153" s="1">
        <x:f t="shared" si="72"/>
        <x:v>5.1197668612239379E-2</x:v>
      </x:c>
      <x:c r="J153">
        <x:f t="shared" si="73"/>
        <x:v>6.6148687589345978E-3</x:v>
      </x:c>
      <x:c r="L153" s="1">
        <x:v>-4.8062959534150496</x:v>
      </x:c>
      <x:c r="M153" s="1">
        <x:v>4063.0566638764799</x:v>
      </x:c>
      <x:c r="N153" s="1">
        <x:v>-1239.5427251732101</x:v>
      </x:c>
      <x:c r="O153">
        <x:f t="shared" si="74"/>
        <x:v>1284.262233256351</x:v>
      </x:c>
      <x:c r="P153" s="1">
        <x:f t="shared" si="75"/>
        <x:v>7.2094439301225748</x:v>
      </x:c>
      <x:c r="Q153" s="1">
        <x:f t="shared" si="76"/>
        <x:v>34.650721187720819</x:v>
      </x:c>
      <x:c r="R153" s="1">
        <x:f t="shared" si="77"/>
        <x:v>0.23285947722165876</x:v>
      </x:c>
      <x:c r="S153" s="1">
        <x:f t="shared" si="78"/>
        <x:v>0.22492498294457122</x:v>
      </x:c>
      <x:c r="T153" s="1">
        <x:f t="shared" si="79"/>
        <x:v>5.0783725566947484E-2</x:v>
      </x:c>
      <x:c r="U153">
        <x:f t="shared" si="80"/>
        <x:v>6.5613862666160901E-3</x:v>
      </x:c>
    </x:row>
    <x:row r="154">
      <x:c r="A154" s="1">
        <x:v>-5.4954239030679002</x:v>
      </x:c>
      <x:c r="B154" s="1">
        <x:v>4128.9196006373304</x:v>
      </x:c>
      <x:c r="C154" s="1">
        <x:v>-1164.4255874673599</x:v>
      </x:c>
      <x:c r="D154">
        <x:f t="shared" si="67"/>
        <x:v>1205.6145900783258</x:v>
      </x:c>
      <x:c r="E154" s="1">
        <x:f t="shared" si="68"/>
        <x:v>8.2431358546018494</x:v>
      </x:c>
      <x:c r="F154" s="1">
        <x:f t="shared" si="69"/>
        <x:v>45.299525811615055</x:v>
      </x:c>
      <x:c r="G154" s="1">
        <x:f t="shared" si="70"/>
        <x:v>0.26199986037622369</x:v>
      </x:c>
      <x:c r="H154" s="1">
        <x:f t="shared" si="71"/>
        <x:v>0.25307243162152437</x:v>
      </x:c>
      <x:c r="I154" s="1">
        <x:f t="shared" si="72"/>
        <x:v>4.5920187593544E-2</x:v>
      </x:c>
      <x:c r="J154">
        <x:f t="shared" si="73"/>
        <x:v>5.9330048135108641E-3</x:v>
      </x:c>
      <x:c r="L154" s="1">
        <x:v>-5.4933834349709798</x:v>
      </x:c>
      <x:c r="M154" s="1">
        <x:v>4082.9181780133899</x:v>
      </x:c>
      <x:c r="N154" s="1">
        <x:v>-1124.2206235011899</x:v>
      </x:c>
      <x:c r="O154">
        <x:f t="shared" si="74"/>
        <x:v>1163.5199928057459</x:v>
      </x:c>
      <x:c r="P154" s="1">
        <x:f t="shared" si="75"/>
        <x:v>8.2400751524564697</x:v>
      </x:c>
      <x:c r="Q154" s="1">
        <x:f t="shared" si="76"/>
        <x:v>45.26589234542034</x:v>
      </x:c>
      <x:c r="R154" s="1">
        <x:f t="shared" si="77"/>
        <x:v>0.26485338299127553</x:v>
      </x:c>
      <x:c r="S154" s="1">
        <x:f t="shared" si="78"/>
        <x:v>0.25582872281130287</x:v>
      </x:c>
      <x:c r="T154" s="1">
        <x:f t="shared" si="79"/>
        <x:v>4.5437577743527371E-2</x:v>
      </x:c>
      <x:c r="U154">
        <x:f t="shared" si="80"/>
        <x:v>5.870650395699231E-3</x:v>
      </x:c>
    </x:row>
    <x:row r="155">
      <x:c r="A155" s="1">
        <x:v>-6.1693768801989801</x:v>
      </x:c>
      <x:c r="B155" s="1">
        <x:v>4117.5397283380598</x:v>
      </x:c>
      <x:c r="C155" s="1">
        <x:v>-1381.18284424379</x:v>
      </x:c>
      <x:c r="D155">
        <x:f t="shared" si="67"/>
        <x:v>1432.559437923248</x:v>
      </x:c>
      <x:c r="E155" s="1">
        <x:f t="shared" si="68"/>
        <x:v>9.2540653202984693</x:v>
      </x:c>
      <x:c r="F155" s="1">
        <x:f t="shared" si="69"/>
        <x:v>57.091816634900553</x:v>
      </x:c>
      <x:c r="G155" s="1">
        <x:f t="shared" si="70"/>
        <x:v>0.29494415303331734</x:v>
      </x:c>
      <x:c r="H155" s="1">
        <x:f t="shared" si="71"/>
        <x:v>0.2848941747278364</x:v>
      </x:c>
      <x:c r="I155" s="1">
        <x:f t="shared" si="72"/>
        <x:v>5.5143720990295776E-2</x:v>
      </x:c>
      <x:c r="J155">
        <x:f t="shared" si="73"/>
        <x:v>7.1247087439233817E-3</x:v>
      </x:c>
      <x:c r="L155" s="1">
        <x:v>-6.1691356747808399</x:v>
      </x:c>
      <x:c r="M155" s="1">
        <x:v>4092.4656284877201</x:v>
      </x:c>
      <x:c r="N155" s="1">
        <x:v>-982.74776386404199</x:v>
      </x:c>
      <x:c r="O155">
        <x:f t="shared" si="74"/>
        <x:v>1015.3979087656519</x:v>
      </x:c>
      <x:c r="P155" s="1">
        <x:f t="shared" si="75"/>
        <x:v>9.2537035121712599</x:v>
      </x:c>
      <x:c r="Q155" s="1">
        <x:f t="shared" si="76"/>
        <x:v>57.08735246078048</x:v>
      </x:c>
      <x:c r="R155" s="1">
        <x:f t="shared" si="77"/>
        <x:v>0.29673964221489002</x:v>
      </x:c>
      <x:c r="S155" s="1">
        <x:f t="shared" si="78"/>
        <x:v>0.28662848409914016</x:v>
      </x:c>
      <x:c r="T155" s="1">
        <x:f t="shared" si="79"/>
        <x:v>3.9299754822579303E-2</x:v>
      </x:c>
      <x:c r="U155">
        <x:f t="shared" si="80"/>
        <x:v>5.0776280923761075E-3</x:v>
      </x:c>
    </x:row>
    <x:row r="156">
      <x:c r="A156" s="1">
        <x:v>-6.7897229827410799</x:v>
      </x:c>
      <x:c r="B156" s="1">
        <x:v>4156.0862978980604</x:v>
      </x:c>
      <x:c r="C156" s="1">
        <x:v>-945.952718676122</x:v>
      </x:c>
      <x:c r="D156">
        <x:f t="shared" si="67"/>
        <x:v>976.87349645389963</x:v>
      </x:c>
      <x:c r="E156" s="1">
        <x:f t="shared" si="68"/>
        <x:v>10.18458447411162</x:v>
      </x:c>
      <x:c r="F156" s="1">
        <x:f t="shared" si="69"/>
        <x:v>69.150507273543639</x:v>
      </x:c>
      <x:c r="G156" s="1">
        <x:f t="shared" si="70"/>
        <x:v>0.32159092628751018</x:v>
      </x:c>
      <x:c r="H156" s="1">
        <x:f t="shared" si="71"/>
        <x:v>0.31063298120133004</x:v>
      </x:c>
      <x:c r="I156" s="1">
        <x:f t="shared" si="72"/>
        <x:v>3.6448391340678246E-2</x:v>
      </x:c>
      <x:c r="J156">
        <x:f t="shared" si="73"/>
        <x:v>4.7092246918297538E-3</x:v>
      </x:c>
      <x:c r="L156" s="1">
        <x:v>-6.7908521947902303</x:v>
      </x:c>
      <x:c r="M156" s="1">
        <x:v>4098.4058997112697</x:v>
      </x:c>
      <x:c r="N156" s="1">
        <x:v>-996.52954048139998</x:v>
      </x:c>
      <x:c r="O156">
        <x:f t="shared" si="74"/>
        <x:v>1029.8274288840257</x:v>
      </x:c>
      <x:c r="P156" s="1">
        <x:f t="shared" si="75"/>
        <x:v>10.186278292185346</x:v>
      </x:c>
      <x:c r="Q156" s="1">
        <x:f t="shared" si="76"/>
        <x:v>69.173510297230933</x:v>
      </x:c>
      <x:c r="R156" s="1">
        <x:f t="shared" si="77"/>
        <x:v>0.32617118968194159</x:v>
      </x:c>
      <x:c r="S156" s="1">
        <x:f t="shared" si="78"/>
        <x:v>0.31505717590521787</x:v>
      </x:c>
      <x:c r="T156" s="1">
        <x:f t="shared" si="79"/>
        <x:v>3.9761538058271248E-2</x:v>
      </x:c>
      <x:c r="U156">
        <x:f t="shared" si="80"/>
        <x:v>5.1372916587449895E-3</x:v>
      </x:c>
    </x:row>
    <x:row r="157">
      <x:c r="A157" s="1">
        <x:v>-6.1102170944213796</x:v>
      </x:c>
      <x:c r="B157" s="1">
        <x:v>4116.4678141275999</x:v>
      </x:c>
      <x:c r="C157" s="1">
        <x:v>-1062.0648648648601</x:v>
      </x:c>
      <x:c r="D157">
        <x:f t="shared" si="67"/>
        <x:v>1098.4429135135085</x:v>
      </x:c>
      <x:c r="E157" s="1">
        <x:f t="shared" si="68"/>
        <x:v>9.1653256416320694</x:v>
      </x:c>
      <x:c r="F157" s="1">
        <x:f t="shared" si="69"/>
        <x:v>56.002129411438872</x:v>
      </x:c>
      <x:c r="G157" s="1">
        <x:f t="shared" si="70"/>
        <x:v>0.29219192155618445</x:v>
      </x:c>
      <x:c r="H157" s="1">
        <x:f t="shared" si="71"/>
        <x:v>0.28223572326414809</x:v>
      </x:c>
      <x:c r="I157" s="1">
        <x:f t="shared" si="72"/>
        <x:v>4.1960547108206327E-2</x:v>
      </x:c>
      <x:c r="J157">
        <x:f t="shared" si="73"/>
        <x:v>5.421409210565554E-3</x:v>
      </x:c>
      <x:c r="L157" s="1">
        <x:v>-6.1068455805337303</x:v>
      </x:c>
      <x:c r="M157" s="1">
        <x:v>4080.0564741654798</x:v>
      </x:c>
      <x:c r="N157" s="1">
        <x:v>-1098.1607929515401</x:v>
      </x:c>
      <x:c r="O157">
        <x:f t="shared" si="74"/>
        <x:v>1136.2353502202625</x:v>
      </x:c>
      <x:c r="P157" s="1">
        <x:f t="shared" si="75"/>
        <x:v>9.1602683708005959</x:v>
      </x:c>
      <x:c r="Q157" s="1">
        <x:f t="shared" si="76"/>
        <x:v>55.940344416726525</x:v>
      </x:c>
      <x:c r="R157" s="1">
        <x:f t="shared" si="77"/>
        <x:v>0.29463684250690642</x:v>
      </x:c>
      <x:c r="S157" s="1">
        <x:f t="shared" si="78"/>
        <x:v>0.28459733555368566</x:v>
      </x:c>
      <x:c r="T157" s="1">
        <x:f t="shared" si="79"/>
        <x:v>4.440308545015359E-2</x:v>
      </x:c>
      <x:c r="U157">
        <x:f t="shared" si="80"/>
        <x:v>5.7369913651557792E-3</x:v>
      </x:c>
    </x:row>
    <x:row r="158">
      <x:c r="A158" s="1">
        <x:v>-5.4963710398613603</x:v>
      </x:c>
      <x:c r="B158" s="1">
        <x:v>4096.7862389605898</x:v>
      </x:c>
      <x:c r="C158" s="1">
        <x:v>-1153.52</x:v>
      </x:c>
      <x:c r="D158">
        <x:f t="shared" si="67"/>
        <x:v>1194.1964399999999</x:v>
      </x:c>
      <x:c r="E158" s="1">
        <x:f t="shared" si="68"/>
        <x:v>8.2445565597920414</x:v>
      </x:c>
      <x:c r="F158" s="1">
        <x:f t="shared" si="69"/>
        <x:v>45.315141911739978</x:v>
      </x:c>
      <x:c r="G158" s="1">
        <x:f t="shared" si="70"/>
        <x:v>0.26410038015476828</x:v>
      </x:c>
      <x:c r="H158" s="1">
        <x:f t="shared" si="71"/>
        <x:v>0.25510137792425164</x:v>
      </x:c>
      <x:c r="I158" s="1">
        <x:f t="shared" si="72"/>
        <x:v>4.6187513540402132E-2</x:v>
      </x:c>
      <x:c r="J158">
        <x:f t="shared" si="73"/>
        <x:v>5.9675440044985907E-3</x:v>
      </x:c>
      <x:c r="L158" s="1">
        <x:v>-5.4928412075042701</x:v>
      </x:c>
      <x:c r="M158" s="1">
        <x:v>4075.2983691406198</x:v>
      </x:c>
      <x:c r="N158" s="1">
        <x:v>-1137.81037924151</x:v>
      </x:c>
      <x:c r="O158">
        <x:f t="shared" si="74"/>
        <x:v>1177.748467065861</x:v>
      </x:c>
      <x:c r="P158" s="1">
        <x:f t="shared" si="75"/>
        <x:v>8.2392618112564051</x:v>
      </x:c>
      <x:c r="Q158" s="1">
        <x:f t="shared" si="76"/>
        <x:v>45.256956796285451</x:v>
      </x:c>
      <x:c r="R158" s="1">
        <x:f t="shared" si="77"/>
        <x:v>0.26532240250696953</x:v>
      </x:c>
      <x:c r="S158" s="1">
        <x:f t="shared" si="78"/>
        <x:v>0.25628176087454529</x:v>
      </x:c>
      <x:c r="T158" s="1">
        <x:f t="shared" si="79"/>
        <x:v>4.6181709357416618E-2</x:v>
      </x:c>
      <x:c r="U158">
        <x:f t="shared" si="80"/>
        <x:v>5.9667940893219293E-3</x:v>
      </x:c>
    </x:row>
    <x:row r="159">
      <x:c r="A159" s="1">
        <x:v>-4.7505183413021204</x:v>
      </x:c>
      <x:c r="B159" s="1">
        <x:v>4061.7615890502898</x:v>
      </x:c>
      <x:c r="C159" s="1">
        <x:v>-1268.23868954758</x:v>
      </x:c>
      <x:c r="D159">
        <x:f t="shared" si="67"/>
        <x:v>1314.3069079563161</x:v>
      </x:c>
      <x:c r="E159" s="1">
        <x:f t="shared" si="68"/>
        <x:v>7.1257775119531805</x:v>
      </x:c>
      <x:c r="F159" s="1">
        <x:f t="shared" si="69"/>
        <x:v>33.851136766571777</x:v>
      </x:c>
      <x:c r="G159" s="1">
        <x:f t="shared" si="70"/>
        <x:v>0.23023050104395373</x:v>
      </x:c>
      <x:c r="H159" s="1">
        <x:f t="shared" si="71"/>
        <x:v>0.22238558695782723</x:v>
      </x:c>
      <x:c r="I159" s="1">
        <x:f t="shared" si="72"/>
        <x:v>5.186580113152877E-2</x:v>
      </x:c>
      <x:c r="J159">
        <x:f t="shared" si="73"/>
        <x:v>6.7011931765980047E-3</x:v>
      </x:c>
      <x:c r="L159" s="1">
        <x:v>-4.8156951867140698</x:v>
      </x:c>
      <x:c r="M159" s="1">
        <x:v>4044.6715678553401</x:v>
      </x:c>
      <x:c r="N159" s="1">
        <x:v>-1239.3932038834901</x:v>
      </x:c>
      <x:c r="O159">
        <x:f t="shared" si="74"/>
        <x:v>1284.1056844660141</x:v>
      </x:c>
      <x:c r="P159" s="1">
        <x:f t="shared" si="75"/>
        <x:v>7.2235427800711047</x:v>
      </x:c>
      <x:c r="Q159" s="1">
        <x:f t="shared" si="76"/>
        <x:v>34.786380197011589</x:v>
      </x:c>
      <x:c r="R159" s="1">
        <x:f t="shared" si="77"/>
        <x:v>0.2343753942796169</x:v>
      </x:c>
      <x:c r="S159" s="1">
        <x:f t="shared" si="78"/>
        <x:v>0.22638924638136515</x:v>
      </x:c>
      <x:c r="T159" s="1">
        <x:f t="shared" si="79"/>
        <x:v>5.1240038638844548E-2</x:v>
      </x:c>
      <x:c r="U159">
        <x:f t="shared" si="80"/>
        <x:v>6.6203430739357064E-3</x:v>
      </x:c>
    </x:row>
    <x:row r="160">
      <x:c r="A160" s="1">
        <x:v>-4.07380235079422</x:v>
      </x:c>
      <x:c r="B160" s="1">
        <x:v>4059.67797851562</x:v>
      </x:c>
      <x:c r="C160" s="1">
        <x:v>-1376.4814216478101</x:v>
      </x:c>
      <x:c r="D160">
        <x:f t="shared" si="67"/>
        <x:v>1427.6370484652571</x:v>
      </x:c>
      <x:c r="E160" s="1">
        <x:f t="shared" si="68"/>
        <x:v>6.1107035261913296</x:v>
      </x:c>
      <x:c r="F160" s="1">
        <x:f t="shared" si="69"/>
        <x:v>24.893798390004768</x:v>
      </x:c>
      <x:c r="G160" s="1">
        <x:f t="shared" si="70"/>
        <x:v>0.19753527271299801</x:v>
      </x:c>
      <x:c r="H160" s="1">
        <x:f t="shared" si="71"/>
        <x:v>0.19080442151653901</x:v>
      </x:c>
      <x:c r="I160" s="1">
        <x:f t="shared" si="72"/>
        <x:v>5.6526698350034973E-2</x:v>
      </x:c>
      <x:c r="J160">
        <x:f t="shared" si="73"/>
        <x:v>7.3033929297315154E-3</x:v>
      </x:c>
      <x:c r="L160" s="1">
        <x:v>-4.07315522900213</x:v>
      </x:c>
      <x:c r="M160" s="1">
        <x:v>4031.84149380387</x:v>
      </x:c>
      <x:c r="N160" s="1">
        <x:v>-1354.7589743589699</x:v>
      </x:c>
      <x:c r="O160">
        <x:f t="shared" si="74"/>
        <x:v>1404.8936461538415</x:v>
      </x:c>
      <x:c r="P160" s="1">
        <x:f t="shared" si="75"/>
        <x:v>6.1097328435031955</x:v>
      </x:c>
      <x:c r="Q160" s="1">
        <x:f t="shared" si="76"/>
        <x:v>24.885890279321089</x:v>
      </x:c>
      <x:c r="R160" s="1">
        <x:f t="shared" si="77"/>
        <x:v>0.19886749309607016</x:v>
      </x:c>
      <x:c r="S160" s="1">
        <x:f t="shared" si="78"/>
        <x:v>0.19209124759085716</x:v>
      </x:c>
      <x:c r="T160" s="1">
        <x:f t="shared" si="79"/>
        <x:v>5.6545568193994325E-2</x:v>
      </x:c>
      <x:c r="U160">
        <x:f t="shared" si="80"/>
        <x:v>7.3058309614754619E-3</x:v>
      </x:c>
    </x:row>
    <x:row r="161">
      <x:c r="A161" s="1">
        <x:v>-3.45911616583665</x:v>
      </x:c>
      <x:c r="B161" s="1">
        <x:v>4006.88538018588</x:v>
      </x:c>
      <x:c r="C161" s="1">
        <x:v>-1477.72616984402</x:v>
      </x:c>
      <x:c r="D161">
        <x:f t="shared" si="67"/>
        <x:v>1533.6402998266888</x:v>
      </x:c>
      <x:c r="E161" s="1">
        <x:f t="shared" si="68"/>
        <x:v>5.1886742487549746</x:v>
      </x:c>
      <x:c r="F161" s="1">
        <x:f t="shared" si="69"/>
        <x:v>17.948226973128669</x:v>
      </x:c>
      <x:c r="G161" s="1">
        <x:f t="shared" si="70"/>
        <x:v>0.1699395701381691</x:v>
      </x:c>
      <x:c r="H161" s="1">
        <x:f t="shared" si="71"/>
        <x:v>0.16414901970492007</x:v>
      </x:c>
      <x:c r="I161" s="1">
        <x:f t="shared" si="72"/>
        <x:v>6.2450112635631515E-2</x:v>
      </x:c>
      <x:c r="J161">
        <x:f t="shared" si="73"/>
        <x:v>8.0687130930534139E-3</x:v>
      </x:c>
      <x:c r="L161" s="1">
        <x:v>-3.4588438694937098</x:v>
      </x:c>
      <x:c r="M161" s="1">
        <x:v>4024.4765189034501</x:v>
      </x:c>
      <x:c r="N161" s="1">
        <x:v>-1450.0823117338</x:v>
      </x:c>
      <x:c r="O161">
        <x:f t="shared" si="74"/>
        <x:v>1504.6971803852884</x:v>
      </x:c>
      <x:c r="P161" s="1">
        <x:f t="shared" si="75"/>
        <x:v>5.1882658042405652</x:v>
      </x:c>
      <x:c r="Q161" s="1">
        <x:f t="shared" si="76"/>
        <x:v>17.94540137030133</x:v>
      </x:c>
      <x:c r="R161" s="1">
        <x:f t="shared" si="77"/>
        <x:v>0.16918343895441831</x:v>
      </x:c>
      <x:c r="S161" s="1">
        <x:f t="shared" si="78"/>
        <x:v>0.16341865306647266</x:v>
      </x:c>
      <x:c r="T161" s="1">
        <x:f t="shared" si="79"/>
        <x:v>6.0881708885627897E-2</x:v>
      </x:c>
      <x:c r="U161">
        <x:f t="shared" si="80"/>
        <x:v>7.8660713468858053E-3</x:v>
      </x:c>
    </x:row>
    <x:row r="162">
      <x:c r="A162" s="1">
        <x:v>-2.7105407962662298</x:v>
      </x:c>
      <x:c r="B162" s="1">
        <x:v>4004.07189069475</x:v>
      </x:c>
      <x:c r="C162" s="1">
        <x:v>-1600.05357142857</x:v>
      </x:c>
      <x:c r="D162">
        <x:f t="shared" si="67"/>
        <x:v>1661.7170892857127</x:v>
      </x:c>
      <x:c r="E162" s="1">
        <x:f t="shared" si="68"/>
        <x:v>4.0658111943993447</x:v>
      </x:c>
      <x:c r="F162" s="1">
        <x:f t="shared" si="69"/>
        <x:v>11.02054711233535</x:v>
      </x:c>
      <x:c r="G162" s="1">
        <x:f t="shared" si="70"/>
        <x:v>0.13325710363169149</x:v>
      </x:c>
      <x:c r="H162" s="1">
        <x:f t="shared" si="71"/>
        <x:v>0.12871647793432961</x:v>
      </x:c>
      <x:c r="I162" s="1">
        <x:f t="shared" si="72"/>
        <x:v>6.7890734159801527E-2</x:v>
      </x:c>
      <x:c r="J162">
        <x:f t="shared" si="73"/>
        <x:v>8.7716552059451669E-3</x:v>
      </x:c>
      <x:c r="L162" s="1">
        <x:v>-2.7784253484080201</x:v>
      </x:c>
      <x:c r="M162" s="1">
        <x:v>3964.2267878605699</x:v>
      </x:c>
      <x:c r="N162" s="1">
        <x:v>-1563.35797665369</x:v>
      </x:c>
      <x:c r="O162">
        <x:f t="shared" si="74"/>
        <x:v>1623.2968015564134</x:v>
      </x:c>
      <x:c r="P162" s="1">
        <x:f t="shared" si="75"/>
        <x:v>4.1676380226120298</x:v>
      </x:c>
      <x:c r="Q162" s="1">
        <x:f t="shared" si="76"/>
        <x:v>11.579471125014342</x:v>
      </x:c>
      <x:c r="R162" s="1">
        <x:f t="shared" si="77"/>
        <x:v>0.13796741532982218</x:v>
      </x:c>
      <x:c r="S162" s="1">
        <x:f t="shared" si="78"/>
        <x:v>0.13326628965342555</x:v>
      </x:c>
      <x:c r="T162" s="1">
        <x:f t="shared" si="79"/>
        <x:v>6.7803259398587168E-2</x:v>
      </x:c>
      <x:c r="U162">
        <x:f t="shared" si="80"/>
        <x:v>8.7603532447262968E-3</x:v>
      </x:c>
    </x:row>
    <x:row r="163">
      <x:c r="A163" s="1">
        <x:v>-2.0935404459014499</x:v>
      </x:c>
      <x:c r="B163" s="1">
        <x:v>3995.07955078125</x:v>
      </x:c>
      <x:c r="C163" s="1">
        <x:v>-1698.7153996101299</x:v>
      </x:c>
      <x:c r="D163">
        <x:f t="shared" si="67"/>
        <x:v>1765.0160233918059</x:v>
      </x:c>
      <x:c r="E163" s="1">
        <x:f t="shared" si="68"/>
        <x:v>3.1403106688521749</x:v>
      </x:c>
      <x:c r="F163" s="1">
        <x:f t="shared" si="69"/>
        <x:v>6.5743673979378627</x:v>
      </x:c>
      <x:c r="G163" s="1">
        <x:f t="shared" si="70"/>
        <x:v>0.10315545804929772</x:v>
      </x:c>
      <x:c r="H163" s="1">
        <x:f t="shared" si="71"/>
        <x:v>9.9640521052495226E-2</x:v>
      </x:c>
      <x:c r="I163" s="1">
        <x:f t="shared" si="72"/>
        <x:v>7.2533424716242356E-2</x:v>
      </x:c>
      <x:c r="J163">
        <x:f t="shared" si="73"/>
        <x:v>9.3715026121190363E-3</x:v>
      </x:c>
      <x:c r="L163" s="1">
        <x:v>-2.0941579425057699</x:v>
      </x:c>
      <x:c r="M163" s="1">
        <x:v>3977.5851111778802</x:v>
      </x:c>
      <x:c r="N163" s="1">
        <x:v>-1668.8388349514501</x:v>
      </x:c>
      <x:c r="O163">
        <x:f t="shared" si="74"/>
        <x:v>1733.7352601941682</x:v>
      </x:c>
      <x:c r="P163" s="1">
        <x:f t="shared" si="75"/>
        <x:v>3.1412369137586547</x:v>
      </x:c>
      <x:c r="Q163" s="1">
        <x:f t="shared" si="76"/>
        <x:v>6.5782462322399997</x:v>
      </x:c>
      <x:c r="R163" s="1">
        <x:f t="shared" si="77"/>
        <x:v>0.10363972207544203</x:v>
      </x:c>
      <x:c r="S163" s="1">
        <x:f t="shared" si="78"/>
        <x:v>0.10010828418209075</x:v>
      </x:c>
      <x:c r="T163" s="1">
        <x:f t="shared" si="79"/>
        <x:v>7.2025933210985549E-2</x:v>
      </x:c>
      <x:c r="U163">
        <x:f t="shared" si="80"/>
        <x:v>9.3059334212839406E-3</x:v>
      </x:c>
    </x:row>
    <x:row r="164">
      <x:c r="A164" s="1">
        <x:v>-1.4092442424673699</x:v>
      </x:c>
      <x:c r="B164" s="1">
        <x:v>3986.2525634765602</x:v>
      </x:c>
      <x:c r="C164" s="1">
        <x:v>-1798.0684210526299</x:v>
      </x:c>
      <x:c r="D164">
        <x:f t="shared" si="67"/>
        <x:v>1869.0386368421034</x:v>
      </x:c>
      <x:c r="E164" s="1">
        <x:f t="shared" si="68"/>
        <x:v>2.1138663637010549</x:v>
      </x:c>
      <x:c r="F164" s="1">
        <x:f t="shared" si="69"/>
        <x:v>2.9789540023911467</x:v>
      </x:c>
      <x:c r="G164" s="1">
        <x:f t="shared" si="70"/>
        <x:v>6.9591748022189981E-2</x:v>
      </x:c>
      <x:c r="H164" s="1">
        <x:f t="shared" si="71"/>
        <x:v>6.7220466711234481E-2</x:v>
      </x:c>
      <x:c r="I164" s="1">
        <x:f t="shared" si="72"/>
        <x:v>7.72414763363172E-2</x:v>
      </x:c>
      <x:c r="J164">
        <x:f t="shared" si="73"/>
        <x:v>9.9797948336449085E-3</x:v>
      </x:c>
      <x:c r="L164" s="1">
        <x:v>-1.41034150921279</x:v>
      </x:c>
      <x:c r="M164" s="1">
        <x:v>3972.2454336660799</x:v>
      </x:c>
      <x:c r="N164" s="1">
        <x:v>-1766.4981412639399</x:v>
      </x:c>
      <x:c r="O164">
        <x:f t="shared" si="74"/>
        <x:v>1835.9845539033449</x:v>
      </x:c>
      <x:c r="P164" s="1">
        <x:f t="shared" si="75"/>
        <x:v>2.115512263819185</x:v>
      </x:c>
      <x:c r="Q164" s="1">
        <x:f t="shared" si="76"/>
        <x:v>2.9835947589129157</x:v>
      </x:c>
      <x:c r="R164" s="1">
        <x:f t="shared" si="77"/>
        <x:v>6.989152256004294E-2</x:v>
      </x:c>
      <x:c r="S164" s="1">
        <x:f t="shared" si="78"/>
        <x:v>6.7510026679410556E-2</x:v>
      </x:c>
      <x:c r="T164" s="1">
        <x:f t="shared" si="79"/>
        <x:v>7.6561854480721767E-2</x:v>
      </x:c>
      <x:c r="U164">
        <x:f t="shared" si="80"/>
        <x:v>9.8919859645630725E-3</x:v>
      </x:c>
    </x:row>
    <x:row r="165">
      <x:c r="A165" s="1">
        <x:v>-0.72231788495007598</x:v>
      </x:c>
      <x:c r="B165" s="1">
        <x:v>3990.06231219951</x:v>
      </x:c>
      <x:c r="C165" s="1">
        <x:v>-1878.37964774951</x:v>
      </x:c>
      <x:c r="D165">
        <x:f t="shared" si="67"/>
        <x:v>1953.124491193737</x:v>
      </x:c>
      <x:c r="E165" s="1">
        <x:f t="shared" si="68"/>
        <x:v>1.0834768274251139</x:v>
      </x:c>
      <x:c r="F165" s="1">
        <x:f t="shared" si="69"/>
        <x:v>0.78261469037812681</x:v>
      </x:c>
      <x:c r="G165" s="1">
        <x:f t="shared" si="70"/>
        <x:v>3.5635674058223286E-2</x:v>
      </x:c>
      <x:c r="H165" s="1">
        <x:f t="shared" si="71"/>
        <x:v>3.4421417910057248E-2</x:v>
      </x:c>
      <x:c r="I165" s="1">
        <x:f t="shared" si="72"/>
        <x:v>8.063304226069741E-2</x:v>
      </x:c>
      <x:c r="J165">
        <x:f t="shared" si="73"/>
        <x:v>1.0417993761157918E-2</x:v>
      </x:c>
      <x:c r="L165" s="1">
        <x:v>-0.72484412518414498</x:v>
      </x:c>
      <x:c r="M165" s="1">
        <x:v>3970.8826904296802</x:v>
      </x:c>
      <x:c r="N165" s="1">
        <x:v>-1851.1580594679101</x:v>
      </x:c>
      <x:c r="O165">
        <x:f t="shared" si="74"/>
        <x:v>1924.6234882629017</x:v>
      </x:c>
      <x:c r="P165" s="1">
        <x:f t="shared" si="75"/>
        <x:v>1.0872661877762175</x:v>
      </x:c>
      <x:c r="Q165" s="1">
        <x:f t="shared" si="76"/>
        <x:v>0.78809850872095266</x:v>
      </x:c>
      <x:c r="R165" s="1">
        <x:f t="shared" si="77"/>
        <x:v>3.5933031151510052E-2</x:v>
      </x:c>
      <x:c r="S165" s="1">
        <x:f t="shared" si="78"/>
        <x:v>3.470864280609319E-2</x:v>
      </x:c>
      <x:c r="T165" s="1">
        <x:f t="shared" si="79"/>
        <x:v>8.0381165332985657E-2</x:v>
      </x:c>
      <x:c r="U165">
        <x:f t="shared" si="80"/>
        <x:v>1.038545062266394E-2</x:v>
      </x:c>
    </x:row>
    <x:row r="166">
      <x:c r="A166" s="1" t="n">
        <x:f>-94.737/500</x:f>
        <x:v>-0.18947399999999998</x:v>
      </x:c>
      <x:c r="B166" s="1">
        <x:v>3990.6759999999999</x:v>
      </x:c>
      <x:c r="C166" s="1">
        <x:v>-1920.865</x:v>
      </x:c>
      <x:c r="D166">
        <x:f t="shared" si="67"/>
        <x:v>1997.6066549999998</x:v>
      </x:c>
      <x:c r="E166" s="1">
        <x:f t="shared" si="68"/>
        <x:v>0.28421099999999999</x:v>
      </x:c>
      <x:c r="F166" s="1">
        <x:f t="shared" si="69"/>
        <x:v>5.385059501399999E-2</x:v>
      </x:c>
      <x:c r="G166" s="1">
        <x:f t="shared" si="70"/>
        <x:v>9.3462940855291166E-3</x:v>
      </x:c>
      <x:c r="H166" s="1">
        <x:f t="shared" si="71"/>
        <x:v>9.0278268373053423E-3</x:v>
      </x:c>
      <x:c r="I166" s="1">
        <x:f t="shared" si="72"/>
        <x:v>8.2479829833303361E-2</x:v>
      </x:c>
      <x:c r="J166">
        <x:f t="shared" si="73"/>
        <x:v>1.0656603403931757E-2</x:v>
      </x:c>
      <x:c r="L166" s="1" t="n">
        <x:f>-96.306/500</x:f>
        <x:v>-0.192612</x:v>
      </x:c>
      <x:c r="M166" s="1">
        <x:v>3951.45</x:v>
      </x:c>
      <x:c r="N166" s="1">
        <x:v>-1899.67</x:v>
      </x:c>
      <x:c r="O166">
        <x:f t="shared" si="74"/>
        <x:v>1975.4154899999999</x:v>
      </x:c>
      <x:c r="P166" s="1">
        <x:f t="shared" si="75"/>
        <x:v>0.28891800000000001</x:v>
      </x:c>
      <x:c r="Q166" s="1">
        <x:f t="shared" si="76"/>
        <x:v>5.5649073816000011E-2</x:v>
      </x:c>
      <x:c r="R166" s="1">
        <x:f t="shared" si="77"/>
        <x:v>9.5954011898153994E-3</x:v>
      </x:c>
      <x:c r="S166" s="1">
        <x:f t="shared" si="78"/>
        <x:v>9.2684458228475489E-3</x:v>
      </x:c>
      <x:c r="T166" s="1">
        <x:f t="shared" si="79"/>
        <x:v>8.3353427897796789E-2</x:v>
      </x:c>
      <x:c r="U166">
        <x:f t="shared" si="80"/>
        <x:v>1.0769474491645736E-2</x:v>
      </x:c>
    </x:row>
    <x:row r="167">
      <x:c r="A167" s="1">
        <x:v>-0.104425779502424</x:v>
      </x:c>
      <x:c r="B167" s="1">
        <x:v>0</x:v>
      </x:c>
      <x:c r="C167" s="1">
        <x:v>-45.815533980582501</x:v>
      </x:c>
      <x:c r="D167">
        <x:f t="shared" si="67"/>
        <x:v>34.429864077669876</x:v>
      </x:c>
      <x:c r="E167" s="1">
        <x:f t="shared" si="68"/>
        <x:v>0.15663866925363601</x:v>
      </x:c>
      <x:c r="F167" s="1">
        <x:f t="shared" si="69"/>
        <x:v>1.6357115137033317E-2</x:v>
      </x:c>
      <x:c r="G167" s="1" t="e">
        <x:f t="shared" si="70"/>
        <x:v>#DIV/0!</x:v>
      </x:c>
      <x:c r="H167" s="1" t="e">
        <x:f t="shared" si="71"/>
        <x:v>#DIV/0!</x:v>
      </x:c>
      <x:c r="I167" s="1" t="e">
        <x:f t="shared" si="72"/>
        <x:v>#DIV/0!</x:v>
      </x:c>
      <x:c r="J167" t="e">
        <x:f t="shared" si="73"/>
        <x:v>#DIV/0!</x:v>
      </x:c>
      <x:c r="L167" s="1">
        <x:v>-0.146097339193026</x:v>
      </x:c>
      <x:c r="M167" s="1">
        <x:v>0</x:v>
      </x:c>
      <x:c r="N167" s="1">
        <x:v>-54.278008298755097</x:v>
      </x:c>
      <x:c r="O167">
        <x:f t="shared" si="74"/>
        <x:v>43.290074688796579</x:v>
      </x:c>
      <x:c r="P167" s="1">
        <x:f t="shared" si="75"/>
        <x:v>0.21914600878953899</x:v>
      </x:c>
      <x:c r="Q167" s="1">
        <x:f t="shared" si="76"/>
        <x:v>3.2016648778923143E-2</x:v>
      </x:c>
      <x:c r="R167" s="1" t="e">
        <x:f t="shared" si="77"/>
        <x:v>#DIV/0!</x:v>
      </x:c>
      <x:c r="S167" s="1" t="e">
        <x:f t="shared" si="78"/>
        <x:v>#DIV/0!</x:v>
      </x:c>
      <x:c r="T167" s="1" t="e">
        <x:f t="shared" si="79"/>
        <x:v>#DIV/0!</x:v>
      </x:c>
      <x:c r="U167" t="e">
        <x:f t="shared" si="80"/>
        <x:v>#DIV/0!</x:v>
      </x:c>
    </x:row>
    <x:row r="170">
      <x:c r="P170" t="s">
        <x:v>58</x:v>
      </x:c>
    </x:row>
    <x:row r="171">
      <x:c r="A171" s="3" t="s">
        <x:v>59</x:v>
      </x:c>
      <x:c r="B171" s="3"/>
      <x:c r="C171" s="3"/>
      <x:c r="L171" s="3" t="s">
        <x:v>60</x:v>
      </x:c>
      <x:c r="M171" s="3"/>
      <x:c r="N171" s="3"/>
    </x:row>
    <x:row r="172">
      <x:c r="A172" s="1" t="s">
        <x:v>3</x:v>
      </x:c>
      <x:c r="B172" s="1" t="s">
        <x:v>4</x:v>
      </x:c>
      <x:c r="C172" s="1" t="s">
        <x:v>5</x:v>
      </x:c>
      <x:c r="D172" s="1" t="s">
        <x:v>40</x:v>
      </x:c>
      <x:c r="E172" s="1" t="s">
        <x:v>6</x:v>
      </x:c>
      <x:c r="F172" s="1" t="s">
        <x:v>7</x:v>
      </x:c>
      <x:c r="G172" s="1" t="s">
        <x:v>8</x:v>
      </x:c>
      <x:c r="H172" s="1" t="s">
        <x:v>9</x:v>
      </x:c>
      <x:c r="I172" s="1" t="s">
        <x:v>10</x:v>
      </x:c>
      <x:c r="J172" s="1" t="s">
        <x:v>11</x:v>
      </x:c>
      <x:c r="L172" s="1" t="s">
        <x:v>3</x:v>
      </x:c>
      <x:c r="M172" s="1" t="s">
        <x:v>4</x:v>
      </x:c>
      <x:c r="N172" s="1" t="s">
        <x:v>5</x:v>
      </x:c>
      <x:c r="O172" s="1" t="s">
        <x:v>40</x:v>
      </x:c>
      <x:c r="P172" s="1" t="s">
        <x:v>6</x:v>
      </x:c>
      <x:c r="Q172" s="1" t="s">
        <x:v>7</x:v>
      </x:c>
      <x:c r="R172" s="1" t="s">
        <x:v>8</x:v>
      </x:c>
      <x:c r="S172" s="1" t="s">
        <x:v>9</x:v>
      </x:c>
      <x:c r="T172" s="1" t="s">
        <x:v>10</x:v>
      </x:c>
      <x:c r="U172" s="1" t="s">
        <x:v>11</x:v>
      </x:c>
    </x:row>
    <x:row r="173">
      <x:c r="A173" s="1">
        <x:v>-0.138624483355381</x:v>
      </x:c>
      <x:c r="B173" s="1">
        <x:v>0</x:v>
      </x:c>
      <x:c r="C173" s="1">
        <x:v>-203.36158192090301</x:v>
      </x:c>
      <x:c r="D173" t="n">
        <x:f>C173*(-1.121)-4.2564</x:f>
        <x:v>223.71193333333227</x:v>
      </x:c>
      <x:c r="E173" s="1" t="n">
        <x:f>-A173*1.5</x:f>
        <x:v>0.20793672503307148</x:v>
      </x:c>
      <x:c r="F173" s="1" t="n">
        <x:f>A173*A173*1.5</x:f>
        <x:v>0.028825121078319454</x:v>
      </x:c>
      <x:c r="G173" s="1" t="e">
        <x:f>E173/(B173/60)/0.4572</x:f>
        <x:v>#DIV/0!</x:v>
      </x:c>
      <x:c r="H173" s="1" t="e">
        <x:f>E173*SIN(RADIANS(90))/(B173/60)/0.4572</x:f>
        <x:v>#DIV/0!</x:v>
      </x:c>
      <x:c r="I173" s="1" t="e">
        <x:f>(D173-$D$173)*9.8/1.205/(B173/60)^2/0.4572^4/1000</x:f>
        <x:v>#DIV/0!</x:v>
      </x:c>
      <x:c r="J173" t="e">
        <x:f>I173*4/(3.14^3)</x:f>
        <x:v>#DIV/0!</x:v>
      </x:c>
      <x:c r="L173" s="1">
        <x:v>-3.20934688846327E-2</x:v>
      </x:c>
      <x:c r="M173" s="1">
        <x:v>0</x:v>
      </x:c>
      <x:c r="N173" s="1">
        <x:v>-162.72736625514401</x:v>
      </x:c>
      <x:c r="O173" t="n">
        <x:f>N173*(-1.121)-4.2564</x:f>
        <x:v>178.1609775720164</x:v>
      </x:c>
      <x:c r="P173" s="1" t="n">
        <x:f>-L173*1.5</x:f>
        <x:v>0.04814020332694905</x:v>
      </x:c>
      <x:c r="Q173" s="1" t="n">
        <x:f>L173*L173*1.5</x:f>
        <x:v>0.001544986117573331</x:v>
      </x:c>
      <x:c r="R173" s="1" t="e">
        <x:f>P173/(M173/60)/0.4572</x:f>
        <x:v>#DIV/0!</x:v>
      </x:c>
      <x:c r="S173" s="1" t="e">
        <x:f>P173*SIN(RADIANS(90))/(M173/60)/0.4572</x:f>
        <x:v>#DIV/0!</x:v>
      </x:c>
      <x:c r="T173" s="1" t="e">
        <x:f>(O173-$O$173)*9.8/1.205/(M173/60)^2/0.4572^4/1000</x:f>
        <x:v>#DIV/0!</x:v>
      </x:c>
      <x:c r="U173" t="e">
        <x:f>T173*4/(3.14^3)</x:f>
        <x:v>#DIV/0!</x:v>
      </x:c>
    </x:row>
    <x:row r="174">
      <x:c r="A174" s="1" t="n">
        <x:f>-86.709/500</x:f>
        <x:v>-0.17341800000000002</x:v>
      </x:c>
      <x:c r="B174" s="1">
        <x:v>4068.277</x:v>
      </x:c>
      <x:c r="C174" s="1">
        <x:v>-1964.3998999999999</x:v>
      </x:c>
      <x:c r="D174" t="n">
        <x:f t="shared" ref="D174:D195" si="81">C174*(-1.121)-4.2564</x:f>
        <x:v>2197.8358878999998</x:v>
      </x:c>
      <x:c r="E174" s="1" t="n">
        <x:f t="shared" ref="E174:E195" si="82">-A174*1.5</x:f>
        <x:v>0.260127</x:v>
      </x:c>
      <x:c r="F174" s="1" t="n">
        <x:f t="shared" ref="F174:F195" si="83">A174*A174*1.5</x:f>
        <x:v>0.04511070408600001</x:v>
      </x:c>
      <x:c r="G174" s="1" t="n">
        <x:f t="shared" ref="G174:G195" si="84">E174/(B174/60)/0.4572</x:f>
        <x:v>0.00839112026413225</x:v>
      </x:c>
      <x:c r="H174" s="1" t="n">
        <x:f t="shared" ref="H174:H195" si="85">E174*SIN(RADIANS(90))/(B174/60)/0.4572</x:f>
        <x:v>0.00839112026413225</x:v>
      </x:c>
      <x:c r="I174" s="1" t="n">
        <x:f t="shared" ref="I174:I195" si="86">(D174-$D$173)*9.8/1.205/(B174/60)^2/0.4572^4/1000</x:f>
        <x:v>0.07992267849558425</x:v>
      </x:c>
      <x:c r="J174" t="n">
        <x:f t="shared" ref="J174:J195" si="87">I174*4/(3.14^3)</x:f>
        <x:v>0.01032621295932268</x:v>
      </x:c>
      <x:c r="L174" s="1" t="n">
        <x:f>-41.752/500</x:f>
        <x:v>-0.08350400000000001</x:v>
      </x:c>
      <x:c r="M174" s="1">
        <x:v>4056.06</x:v>
      </x:c>
      <x:c r="N174" s="1">
        <x:v>-2117.46</x:v>
      </x:c>
      <x:c r="O174" t="n">
        <x:f t="shared" ref="O174:O195" si="88">N174*(-1.121)-4.2564</x:f>
        <x:v>2369.41626</x:v>
      </x:c>
      <x:c r="P174" s="1" t="n">
        <x:f t="shared" ref="P174:P195" si="89">-L174*1.5</x:f>
        <x:v>0.125256</x:v>
      </x:c>
      <x:c r="Q174" s="1" t="n">
        <x:f t="shared" ref="Q174:Q195" si="90">L174*L174*1.5</x:f>
        <x:v>0.010459377024000002</x:v>
      </x:c>
      <x:c r="R174" s="1" t="n">
        <x:f t="shared" ref="R174:R195" si="91">P174/(M174/60)/0.4572</x:f>
        <x:v>0.004052650916305614</x:v>
      </x:c>
      <x:c r="S174" s="1" t="n">
        <x:f t="shared" ref="S174:S195" si="92">P174*SIN(RADIANS(90))/(M174/60)/0.4572</x:f>
        <x:v>0.004052650916305614</x:v>
      </x:c>
      <x:c r="T174" s="1" t="n">
        <x:f t="shared" ref="T174:T195" si="93">(O174-$O$173)*9.8/1.205/(M174/60)^2/0.4572^4/1000</x:f>
        <x:v>0.08924849004257475</x:v>
      </x:c>
      <x:c r="U174" t="n">
        <x:f t="shared" ref="U174:U195" si="94">T174*4/(3.14^3)</x:f>
        <x:v>0.011531131486397006</x:v>
      </x:c>
    </x:row>
    <x:row r="175">
      <x:c r="A175" s="1">
        <x:v>-0.71115430623945497</x:v>
      </x:c>
      <x:c r="B175" s="1">
        <x:v>4062.4411892361099</x:v>
      </x:c>
      <x:c r="C175" s="1">
        <x:v>-1948.8251366120201</x:v>
      </x:c>
      <x:c r="D175">
        <x:f t="shared" si="81"/>
        <x:v>2180.3765781420743</x:v>
      </x:c>
      <x:c r="E175" s="1">
        <x:f t="shared" si="82"/>
        <x:v>1.0667314593591826</x:v>
      </x:c>
      <x:c r="F175" s="1">
        <x:f t="shared" si="83"/>
        <x:v>0.75861067092438073</x:v>
      </x:c>
      <x:c r="G175" s="1">
        <x:f t="shared" si="84"/>
        <x:v>3.4459823205851899E-2</x:v>
      </x:c>
      <x:c r="H175" s="1">
        <x:f t="shared" si="85"/>
        <x:v>3.4459823205851899E-2</x:v>
      </x:c>
      <x:c r="I175" s="1">
        <x:f t="shared" si="86"/>
        <x:v>7.9443590963640343E-2</x:v>
      </x:c>
      <x:c r="J175">
        <x:f t="shared" si="87"/>
        <x:v>1.0264313633948063E-2</x:v>
      </x:c>
      <x:c r="L175" s="1">
        <x:v>-0.70170592565041001</x:v>
      </x:c>
      <x:c r="M175" s="1">
        <x:v>4063.54835045856</x:v>
      </x:c>
      <x:c r="N175" s="1">
        <x:v>-2064.18103448275</x:v>
      </x:c>
      <x:c r="O175">
        <x:f t="shared" si="88"/>
        <x:v>2309.6905396551624</x:v>
      </x:c>
      <x:c r="P175" s="1">
        <x:f t="shared" si="89"/>
        <x:v>1.052558888475615</x:v>
      </x:c>
      <x:c r="Q175" s="1">
        <x:f t="shared" si="90"/>
        <x:v>0.73858680913934815</x:v>
      </x:c>
      <x:c r="R175" s="1">
        <x:f t="shared" si="91"/>
        <x:v>3.3992726507332184E-2</x:v>
      </x:c>
      <x:c r="S175" s="1">
        <x:f t="shared" si="92"/>
        <x:v>3.3992726507332184E-2</x:v>
      </x:c>
      <x:c r="T175" s="1">
        <x:f t="shared" si="93"/>
        <x:v>8.6496222199390585E-2</x:v>
      </x:c>
      <x:c r="U175">
        <x:f t="shared" si="94"/>
        <x:v>1.1175531493944482E-2</x:v>
      </x:c>
    </x:row>
    <x:row r="176">
      <x:c r="A176" s="1">
        <x:v>-1.4004883732275899</x:v>
      </x:c>
      <x:c r="B176" s="1">
        <x:v>4044.1965797060998</x:v>
      </x:c>
      <x:c r="C176" s="1">
        <x:v>-1875.13981042654</x:v>
      </x:c>
      <x:c r="D176">
        <x:f t="shared" si="81"/>
        <x:v>2097.7753274881511</x:v>
      </x:c>
      <x:c r="E176" s="1">
        <x:f t="shared" si="82"/>
        <x:v>2.1007325598413846</x:v>
      </x:c>
      <x:c r="F176" s="1">
        <x:f t="shared" si="83"/>
        <x:v>2.9420515253184916</x:v>
      </x:c>
      <x:c r="G176" s="1">
        <x:f t="shared" si="84"/>
        <x:v>6.8168468621587389E-2</x:v>
      </x:c>
      <x:c r="H176" s="1">
        <x:f t="shared" si="85"/>
        <x:v>6.8168468621587389E-2</x:v>
      </x:c>
      <x:c r="I176" s="1">
        <x:f t="shared" si="86"/>
        <x:v>7.6777931113152981E-2</x:v>
      </x:c>
      <x:c r="J176">
        <x:f t="shared" si="87"/>
        <x:v>9.9199036140214959E-3</x:v>
      </x:c>
      <x:c r="L176" s="1">
        <x:v>-1.39173833857801</x:v>
      </x:c>
      <x:c r="M176" s="1">
        <x:v>4029.1033559945899</x:v>
      </x:c>
      <x:c r="N176" s="1">
        <x:v>-1979.10150375939</x:v>
      </x:c>
      <x:c r="O176">
        <x:f t="shared" si="88"/>
        <x:v>2214.3163857142758</x:v>
      </x:c>
      <x:c r="P176" s="1">
        <x:f t="shared" si="89"/>
        <x:v>2.0876075078670149</x:v>
      </x:c>
      <x:c r="Q176" s="1">
        <x:f t="shared" si="90"/>
        <x:v>2.9054034046018193</x:v>
      </x:c>
      <x:c r="R176" s="1">
        <x:f t="shared" si="91"/>
        <x:v>6.7996329622557555E-2</x:v>
      </x:c>
      <x:c r="S176" s="1">
        <x:f t="shared" si="92"/>
        <x:v>6.7996329622557555E-2</x:v>
      </x:c>
      <x:c r="T176" s="1">
        <x:f t="shared" si="93"/>
        <x:v>8.4044780716097237E-2</x:v>
      </x:c>
      <x:c r="U176">
        <x:f t="shared" si="94"/>
        <x:v>1.0858799030890161E-2</x:v>
      </x:c>
    </x:row>
    <x:row r="177">
      <x:c r="A177" s="1">
        <x:v>-2.0838773686398699</x:v>
      </x:c>
      <x:c r="B177" s="1">
        <x:v>4023.66770717075</x:v>
      </x:c>
      <x:c r="C177" s="1">
        <x:v>-1773.1256732495499</x:v>
      </x:c>
      <x:c r="D177">
        <x:f t="shared" si="81"/>
        <x:v>1983.4174797127455</x:v>
      </x:c>
      <x:c r="E177" s="1">
        <x:f t="shared" si="82"/>
        <x:v>3.1258160529598049</x:v>
      </x:c>
      <x:c r="F177" s="1">
        <x:f t="shared" si="83"/>
        <x:v>6.5138173312941436</x:v>
      </x:c>
      <x:c r="G177" s="1">
        <x:f t="shared" si="84"/>
        <x:v>0.10194979066235087</x:v>
      </x:c>
      <x:c r="H177" s="1">
        <x:f t="shared" si="85"/>
        <x:v>0.10194979066235087</x:v>
      </x:c>
      <x:c r="I177" s="1">
        <x:f t="shared" si="86"/>
        <x:v>7.2830355613604209E-2</x:v>
      </x:c>
      <x:c r="J177">
        <x:f t="shared" si="87"/>
        <x:v>9.4098668378691866E-3</x:v>
      </x:c>
      <x:c r="L177" s="1">
        <x:v>-2.0768555687821402</x:v>
      </x:c>
      <x:c r="M177" s="1">
        <x:v>4032.9284406389502</x:v>
      </x:c>
      <x:c r="N177" s="1">
        <x:v>-1878.76769509981</x:v>
      </x:c>
      <x:c r="O177">
        <x:f t="shared" si="88"/>
        <x:v>2101.8421862068867</x:v>
      </x:c>
      <x:c r="P177" s="1">
        <x:f t="shared" si="89"/>
        <x:v>3.1152833531732105</x:v>
      </x:c>
      <x:c r="Q177" s="1">
        <x:f t="shared" si="90"/>
        <x:v>6.4699935803720798</x:v>
      </x:c>
      <x:c r="R177" s="1">
        <x:f t="shared" si="91"/>
        <x:v>0.10137294583626799</x:v>
      </x:c>
      <x:c r="S177" s="1">
        <x:f t="shared" si="92"/>
        <x:v>0.10137294583626799</x:v>
      </x:c>
      <x:c r="T177" s="1">
        <x:f t="shared" si="93"/>
        <x:v>7.9251723045898698E-2</x:v>
      </x:c>
      <x:c r="U177">
        <x:f t="shared" si="94"/>
        <x:v>1.0239523811885587E-2</x:v>
      </x:c>
    </x:row>
    <x:row r="178">
      <x:c r="A178" s="1">
        <x:v>-2.7679771306779601</x:v>
      </x:c>
      <x:c r="B178" s="1">
        <x:v>4046.8997913707299</x:v>
      </x:c>
      <x:c r="C178" s="1">
        <x:v>-1630.7777777777701</x:v>
      </x:c>
      <x:c r="D178">
        <x:f t="shared" si="81"/>
        <x:v>1823.8454888888803</x:v>
      </x:c>
      <x:c r="E178" s="1">
        <x:f t="shared" si="82"/>
        <x:v>4.1519656960169407</x:v>
      </x:c>
      <x:c r="F178" s="1">
        <x:f t="shared" si="83"/>
        <x:v>11.49254609393429</x:v>
      </x:c>
      <x:c r="G178" s="1">
        <x:f t="shared" si="84"/>
        <x:v>0.13464069189224384</x:v>
      </x:c>
      <x:c r="H178" s="1">
        <x:f t="shared" si="85"/>
        <x:v>0.13464069189224384</x:v>
      </x:c>
      <x:c r="I178" s="1">
        <x:f t="shared" si="86"/>
        <x:v>6.5467834237485978E-2</x:v>
      </x:c>
      <x:c r="J178">
        <x:f t="shared" si="87"/>
        <x:v>8.4586103850269219E-3</x:v>
      </x:c>
      <x:c r="L178" s="1">
        <x:v>-2.69584989340408</x:v>
      </x:c>
      <x:c r="M178" s="1">
        <x:v>4062.2435992697001</x:v>
      </x:c>
      <x:c r="N178" s="1">
        <x:v>-1774.96086956521</x:v>
      </x:c>
      <x:c r="O178">
        <x:f t="shared" si="88"/>
        <x:v>1985.4747347826005</x:v>
      </x:c>
      <x:c r="P178" s="1">
        <x:f t="shared" si="89"/>
        <x:v>4.0437748401061198</x:v>
      </x:c>
      <x:c r="Q178" s="1">
        <x:f t="shared" si="90"/>
        <x:v>10.901409971650184</x:v>
      </x:c>
      <x:c r="R178" s="1">
        <x:f t="shared" si="91"/>
        <x:v>0.13063694973147918</x:v>
      </x:c>
      <x:c r="S178" s="1">
        <x:f t="shared" si="92"/>
        <x:v>0.13063694973147918</x:v>
      </x:c>
      <x:c r="T178" s="1">
        <x:f t="shared" si="93"/>
        <x:v>7.3386854092267667E-2</x:v>
      </x:c>
      <x:c r="U178">
        <x:f t="shared" si="94"/>
        <x:v>9.4817678540811932E-3</x:v>
      </x:c>
    </x:row>
    <x:row r="179">
      <x:c r="A179" s="1">
        <x:v>-3.4499935011506602</x:v>
      </x:c>
      <x:c r="B179" s="1">
        <x:v>4047.5585406759501</x:v>
      </x:c>
      <x:c r="C179" s="1">
        <x:v>-1543.8543046357599</x:v>
      </x:c>
      <x:c r="D179">
        <x:f t="shared" si="81"/>
        <x:v>1726.404275496687</x:v>
      </x:c>
      <x:c r="E179" s="1">
        <x:f t="shared" si="82"/>
        <x:v>5.1749902517259905</x:v>
      </x:c>
      <x:c r="F179" s="1">
        <x:f t="shared" si="83"/>
        <x:v>17.853682736972686</x:v>
      </x:c>
      <x:c r="G179" s="1">
        <x:f t="shared" si="84"/>
        <x:v>0.167788204207974</x:v>
      </x:c>
      <x:c r="H179" s="1">
        <x:f t="shared" si="85"/>
        <x:v>0.167788204207974</x:v>
      </x:c>
      <x:c r="I179" s="1">
        <x:f t="shared" si="86"/>
        <x:v>6.1461115506825564E-2</x:v>
      </x:c>
      <x:c r="J179">
        <x:f t="shared" si="87"/>
        <x:v>7.9409321532695563E-3</x:v>
      </x:c>
      <x:c r="L179" s="1">
        <x:v>-3.4409777746572101</x:v>
      </x:c>
      <x:c r="M179" s="1">
        <x:v>4066.0997049082798</x:v>
      </x:c>
      <x:c r="N179" s="1">
        <x:v>-1642.20652173913</x:v>
      </x:c>
      <x:c r="O179">
        <x:f t="shared" si="88"/>
        <x:v>1836.6571108695648</x:v>
      </x:c>
      <x:c r="P179" s="1">
        <x:f t="shared" si="89"/>
        <x:v>5.1614666619858154</x:v>
      </x:c>
      <x:c r="Q179" s="1">
        <x:f t="shared" si="90"/>
        <x:v>17.760492068527331</x:v>
      </x:c>
      <x:c r="R179" s="1">
        <x:f t="shared" si="91"/>
        <x:v>0.16658662571389415</x:v>
      </x:c>
      <x:c r="S179" s="1">
        <x:f t="shared" si="92"/>
        <x:v>0.16658662571389415</x:v>
      </x:c>
      <x:c r="T179" s="1">
        <x:f t="shared" si="93"/>
        <x:v>6.7216370557444838E-2</x:v>
      </x:c>
      <x:c r="U179">
        <x:f t="shared" si="94"/>
        <x:v>8.6845257165307707E-3</x:v>
      </x:c>
    </x:row>
    <x:row r="180">
      <x:c r="A180" s="1">
        <x:v>-4.1379690636759197</x:v>
      </x:c>
      <x:c r="B180" s="1">
        <x:v>4058.1017704716401</x:v>
      </x:c>
      <x:c r="C180" s="1">
        <x:v>-1458.8333333333301</x:v>
      </x:c>
      <x:c r="D180">
        <x:f t="shared" si="81"/>
        <x:v>1631.0957666666629</x:v>
      </x:c>
      <x:c r="E180" s="1">
        <x:f t="shared" si="82"/>
        <x:v>6.2069535955138795</x:v>
      </x:c>
      <x:c r="F180" s="1">
        <x:f t="shared" si="83"/>
        <x:v>25.68418195790845</x:v>
      </x:c>
      <x:c r="G180" s="1">
        <x:f t="shared" si="84"/>
        <x:v>0.20072459622214295</x:v>
      </x:c>
      <x:c r="H180" s="1">
        <x:f t="shared" si="85"/>
        <x:v>0.20072459622214295</x:v>
      </x:c>
      <x:c r="I180" s="1">
        <x:f t="shared" si="86"/>
        <x:v>5.726421771104627E-2</x:v>
      </x:c>
      <x:c r="J180">
        <x:f t="shared" si="87"/>
        <x:v>7.3986823034960228E-3</x:v>
      </x:c>
      <x:c r="L180" s="1">
        <x:v>-4.1254642049471499</x:v>
      </x:c>
      <x:c r="M180" s="1">
        <x:v>4052.7246805826799</x:v>
      </x:c>
      <x:c r="N180" s="1">
        <x:v>-1529.59081419624</x:v>
      </x:c>
      <x:c r="O180">
        <x:f t="shared" si="88"/>
        <x:v>1710.4149027139849</x:v>
      </x:c>
      <x:c r="P180" s="1">
        <x:f t="shared" si="89"/>
        <x:v>6.1881963074207249</x:v>
      </x:c>
      <x:c r="Q180" s="1">
        <x:f t="shared" si="90"/>
        <x:v>25.529182359450328</x:v>
      </x:c>
      <x:c r="R180" s="1">
        <x:f t="shared" si="91"/>
        <x:v>0.20038352391250841</x:v>
      </x:c>
      <x:c r="S180" s="1">
        <x:f t="shared" si="92"/>
        <x:v>0.20038352391250841</x:v>
      </x:c>
      <x:c r="T180" s="1">
        <x:f t="shared" si="93"/>
        <x:v>6.2510530240534101E-2</x:v>
      </x:c>
      <x:c r="U180">
        <x:f t="shared" si="94"/>
        <x:v>8.0765192009874809E-3</x:v>
      </x:c>
    </x:row>
    <x:row r="181">
      <x:c r="A181" s="1">
        <x:v>-4.8092921257018997</x:v>
      </x:c>
      <x:c r="B181" s="1">
        <x:v>4107.9402700570899</x:v>
      </x:c>
      <x:c r="C181" s="1">
        <x:v>-1349.5568400770701</x:v>
      </x:c>
      <x:c r="D181">
        <x:f t="shared" si="81"/>
        <x:v>1508.5968177263956</x:v>
      </x:c>
      <x:c r="E181" s="1">
        <x:f t="shared" si="82"/>
        <x:v>7.2139381885528495</x:v>
      </x:c>
      <x:c r="F181" s="1">
        <x:f t="shared" si="83"/>
        <x:v>34.693936125507442</x:v>
      </x:c>
      <x:c r="G181" s="1">
        <x:f t="shared" si="84"/>
        <x:v>0.23045881539883215</x:v>
      </x:c>
      <x:c r="H181" s="1">
        <x:f t="shared" si="85"/>
        <x:v>0.23045881539883215</x:v>
      </x:c>
      <x:c r="I181" s="1">
        <x:f t="shared" si="86"/>
        <x:v>5.101907990483124E-2</x:v>
      </x:c>
      <x:c r="J181">
        <x:f t="shared" si="87"/>
        <x:v>6.591794644558808E-3</x:v>
      </x:c>
      <x:c r="L181" s="1">
        <x:v>-4.8028798462852498</x:v>
      </x:c>
      <x:c r="M181" s="1">
        <x:v>4081.0165234374999</x:v>
      </x:c>
      <x:c r="N181" s="1">
        <x:v>-1420.1067193675799</x:v>
      </x:c>
      <x:c r="O181">
        <x:f t="shared" si="88"/>
        <x:v>1587.6832324110571</x:v>
      </x:c>
      <x:c r="P181" s="1">
        <x:f t="shared" si="89"/>
        <x:v>7.2043197694278742</x:v>
      </x:c>
      <x:c r="Q181" s="1">
        <x:f t="shared" si="90"/>
        <x:v>34.601482226779538</x:v>
      </x:c>
      <x:c r="R181" s="1">
        <x:f t="shared" si="91"/>
        <x:v>0.23166992419880308</x:v>
      </x:c>
      <x:c r="S181" s="1">
        <x:f t="shared" si="92"/>
        <x:v>0.23166992419880308</x:v>
      </x:c>
      <x:c r="T181" s="1">
        <x:f t="shared" si="93"/>
        <x:v>5.670898492649229E-2</x:v>
      </x:c>
      <x:c r="U181">
        <x:f t="shared" si="94"/>
        <x:v>7.3269448181761468E-3</x:v>
      </x:c>
    </x:row>
    <x:row r="182">
      <x:c r="A182" s="1">
        <x:v>-5.4902147067676799</x:v>
      </x:c>
      <x:c r="B182" s="1">
        <x:v>4087.2379466869202</x:v>
      </x:c>
      <x:c r="C182" s="1">
        <x:v>-1265.00363636363</x:v>
      </x:c>
      <x:c r="D182">
        <x:f t="shared" si="81"/>
        <x:v>1413.8126763636292</x:v>
      </x:c>
      <x:c r="E182" s="1">
        <x:f t="shared" si="82"/>
        <x:v>8.2353220601515194</x:v>
      </x:c>
      <x:c r="F182" s="1">
        <x:f t="shared" si="83"/>
        <x:v>45.213686289612184</x:v>
      </x:c>
      <x:c r="G182" s="1">
        <x:f t="shared" si="84"/>
        <x:v>0.26442084865773918</x:v>
      </x:c>
      <x:c r="H182" s="1">
        <x:f t="shared" si="85"/>
        <x:v>0.26442084865773918</x:v>
      </x:c>
      <x:c r="I182" s="1">
        <x:f t="shared" si="86"/>
        <x:v>4.7735395534274028E-2</x:v>
      </x:c>
      <x:c r="J182">
        <x:f t="shared" si="87"/>
        <x:v>6.1675342876759158E-3</x:v>
      </x:c>
      <x:c r="L182" s="1">
        <x:v>-5.4875893613656999</x:v>
      </x:c>
      <x:c r="M182" s="1">
        <x:v>4097.35060716712</x:v>
      </x:c>
      <x:c r="N182" s="1">
        <x:v>-1309.6331877729201</x:v>
      </x:c>
      <x:c r="O182">
        <x:f t="shared" si="88"/>
        <x:v>1463.8424034934435</x:v>
      </x:c>
      <x:c r="P182" s="1">
        <x:f t="shared" si="89"/>
        <x:v>8.2313840420485498</x:v>
      </x:c>
      <x:c r="Q182" s="1">
        <x:f t="shared" si="90"/>
        <x:v>45.17045549846101</x:v>
      </x:c>
      <x:c r="R182" s="1">
        <x:f t="shared" si="91"/>
        <x:v>0.26364210188982512</x:v>
      </x:c>
      <x:c r="S182" s="1">
        <x:f t="shared" si="92"/>
        <x:v>0.26364210188982512</x:v>
      </x:c>
      <x:c r="T182" s="1">
        <x:f t="shared" si="93"/>
        <x:v>5.131493189246436E-2</x:v>
      </x:c>
      <x:c r="U182">
        <x:f t="shared" si="94"/>
        <x:v>6.6300194724330051E-3</x:v>
      </x:c>
    </x:row>
    <x:row r="183">
      <x:c r="A183" s="1">
        <x:v>-6.1728995293949698</x:v>
      </x:c>
      <x:c r="B183" s="1">
        <x:v>4152.8235990084104</x:v>
      </x:c>
      <x:c r="C183" s="1">
        <x:v>-1175.5719769673699</x:v>
      </x:c>
      <x:c r="D183">
        <x:f t="shared" si="81"/>
        <x:v>1313.5597861804217</x:v>
      </x:c>
      <x:c r="E183" s="1">
        <x:f t="shared" si="82"/>
        <x:v>9.2593492940924556</x:v>
      </x:c>
      <x:c r="F183" s="1">
        <x:f t="shared" si="83"/>
        <x:v>57.157032900006968</x:v>
      </x:c>
      <x:c r="G183" s="1">
        <x:f t="shared" si="84"/>
        <x:v>0.292605181430521</x:v>
      </x:c>
      <x:c r="H183" s="1">
        <x:f t="shared" si="85"/>
        <x:v>0.292605181430521</x:v>
      </x:c>
      <x:c r="I183" s="1">
        <x:f t="shared" si="86"/>
        <x:v>4.2344357531510633E-2</x:v>
      </x:c>
      <x:c r="J183">
        <x:f t="shared" si="87"/>
        <x:v>5.4709984916263355E-3</x:v>
      </x:c>
      <x:c r="L183" s="1">
        <x:v>-6.16835243690947</x:v>
      </x:c>
      <x:c r="M183" s="1">
        <x:v>4117.6822842684596</x:v>
      </x:c>
      <x:c r="N183" s="1">
        <x:v>-1218.6428571428501</x:v>
      </x:c>
      <x:c r="O183">
        <x:f t="shared" si="88"/>
        <x:v>1361.842242857135</x:v>
      </x:c>
      <x:c r="P183" s="1">
        <x:f t="shared" si="89"/>
        <x:v>9.2525286553642054</x:v>
      </x:c>
      <x:c r="Q183" s="1">
        <x:f t="shared" si="90"/>
        <x:v>57.072857678890493</x:v>
      </x:c>
      <x:c r="R183" s="1">
        <x:f t="shared" si="91"/>
        <x:v>0.29488496728604718</x:v>
      </x:c>
      <x:c r="S183" s="1">
        <x:f t="shared" si="92"/>
        <x:v>0.29488496728604718</x:v>
      </x:c>
      <x:c r="T183" s="1">
        <x:f t="shared" si="93"/>
        <x:v>4.6778441525663704E-2</x:v>
      </x:c>
      <x:c r="U183">
        <x:f t="shared" si="94"/>
        <x:v>6.0438934003683954E-3</x:v>
      </x:c>
    </x:row>
    <x:row r="184">
      <x:c r="A184" s="1">
        <x:v>-6.7925408512938201</x:v>
      </x:c>
      <x:c r="B184" s="1">
        <x:v>4115.0240234374996</x:v>
      </x:c>
      <x:c r="C184" s="1">
        <x:v>-1165.1023622047201</x:v>
      </x:c>
      <x:c r="D184">
        <x:f t="shared" si="81"/>
        <x:v>1301.8233480314912</x:v>
      </x:c>
      <x:c r="E184" s="1">
        <x:f t="shared" si="82"/>
        <x:v>10.188811276940729</x:v>
      </x:c>
      <x:c r="F184" s="1">
        <x:f t="shared" si="83"/>
        <x:v>69.207916824743066</x:v>
      </x:c>
      <x:c r="G184" s="1">
        <x:f t="shared" si="84"/>
        <x:v>0.32493475935746952</x:v>
      </x:c>
      <x:c r="H184" s="1">
        <x:f t="shared" si="85"/>
        <x:v>0.32493475935746952</x:v>
      </x:c>
      <x:c r="I184" s="1">
        <x:f t="shared" si="86"/>
        <x:v>4.266144259107911E-2</x:v>
      </x:c>
      <x:c r="J184">
        <x:f t="shared" si="87"/>
        <x:v>5.5119666862984461E-3</x:v>
      </x:c>
      <x:c r="L184" s="1">
        <x:v>-6.7869662215176199</x:v>
      </x:c>
      <x:c r="M184" s="1">
        <x:v>4157.8695179332299</x:v>
      </x:c>
      <x:c r="N184" s="1">
        <x:v>-1121.5022727272701</x:v>
      </x:c>
      <x:c r="O184">
        <x:f t="shared" si="88"/>
        <x:v>1252.9476477272699</x:v>
      </x:c>
      <x:c r="P184" s="1">
        <x:f t="shared" si="89"/>
        <x:v>10.18044933227643</x:v>
      </x:c>
      <x:c r="Q184" s="1">
        <x:f t="shared" si="90"/>
        <x:v>69.09436573803174</x:v>
      </x:c>
      <x:c r="R184" s="1">
        <x:f t="shared" si="91"/>
        <x:v>0.32132248666711133</x:v>
      </x:c>
      <x:c r="S184" s="1">
        <x:f t="shared" si="92"/>
        <x:v>0.32132248666711133</x:v>
      </x:c>
      <x:c r="T184" s="1">
        <x:f t="shared" si="93"/>
        <x:v>4.1657883566555233E-2</x:v>
      </x:c>
      <x:c r="U184">
        <x:f t="shared" si="94"/>
        <x:v>5.3823043126199135E-3</x:v>
      </x:c>
    </x:row>
    <x:row r="185">
      <x:c r="A185" s="1">
        <x:v>-6.1751711858461897</x:v>
      </x:c>
      <x:c r="B185" s="1">
        <x:v>4127.240234375</x:v>
      </x:c>
      <x:c r="C185" s="1">
        <x:v>-1210.4282460136601</x:v>
      </x:c>
      <x:c r="D185">
        <x:f t="shared" si="81"/>
        <x:v>1352.6336637813131</x:v>
      </x:c>
      <x:c r="E185" s="1">
        <x:f t="shared" si="82"/>
        <x:v>9.262756778769285</x:v>
      </x:c>
      <x:c r="F185" s="1">
        <x:f t="shared" si="83"/>
        <x:v>57.199108761757557</x:v>
      </x:c>
      <x:c r="G185" s="1">
        <x:f t="shared" si="84"/>
        <x:v>0.29452728944130879</x:v>
      </x:c>
      <x:c r="H185" s="1">
        <x:f t="shared" si="85"/>
        <x:v>0.29452728944130879</x:v>
      </x:c>
      <x:c r="I185" s="1">
        <x:f t="shared" si="86"/>
        <x:v>4.4407975859747768E-2</x:v>
      </x:c>
      <x:c r="J185">
        <x:f t="shared" si="87"/>
        <x:v>5.7376232184905068E-3</x:v>
      </x:c>
      <x:c r="L185" s="1">
        <x:v>-6.0875833964929296</x:v>
      </x:c>
      <x:c r="M185" s="1">
        <x:v>4124.96120117187</x:v>
      </x:c>
      <x:c r="N185" s="1">
        <x:v>-1229.88571428571</x:v>
      </x:c>
      <x:c r="O185">
        <x:f t="shared" si="88"/>
        <x:v>1374.4454857142809</x:v>
      </x:c>
      <x:c r="P185" s="1">
        <x:f t="shared" si="89"/>
        <x:v>9.1313750947393935</x:v>
      </x:c>
      <x:c r="Q185" s="1">
        <x:f t="shared" si="90"/>
        <x:v>55.58800741388459</x:v>
      </x:c>
      <x:c r="R185" s="1">
        <x:f t="shared" si="91"/>
        <x:v>0.29051017205824131</x:v>
      </x:c>
      <x:c r="S185" s="1">
        <x:f t="shared" si="92"/>
        <x:v>0.29051017205824131</x:v>
      </x:c>
      <x:c r="T185" s="1">
        <x:f t="shared" si="93"/>
        <x:v>4.7109813543653185E-2</x:v>
      </x:c>
      <x:c r="U185">
        <x:f t="shared" si="94"/>
        <x:v>6.0867075063384419E-3</x:v>
      </x:c>
    </x:row>
    <x:row r="186">
      <x:c r="A186" s="1">
        <x:v>-5.5019807163625902</x:v>
      </x:c>
      <x:c r="B186" s="1">
        <x:v>4106.24658203125</x:v>
      </x:c>
      <x:c r="C186" s="1">
        <x:v>-1305.1559454190999</x:v>
      </x:c>
      <x:c r="D186">
        <x:f t="shared" si="81"/>
        <x:v>1458.823414814811</x:v>
      </x:c>
      <x:c r="E186" s="1">
        <x:f t="shared" si="82"/>
        <x:v>8.2529710745438862</x:v>
      </x:c>
      <x:c r="F186" s="1">
        <x:f t="shared" si="83"/>
        <x:v>45.407687704838708</x:v>
      </x:c>
      <x:c r="G186" s="1">
        <x:f t="shared" si="84"/>
        <x:v>0.26376084546153877</x:v>
      </x:c>
      <x:c r="H186" s="1">
        <x:f t="shared" si="85"/>
        <x:v>0.26376084546153877</x:v>
      </x:c>
      <x:c r="I186" s="1">
        <x:f t="shared" si="86"/>
        <x:v>4.9083186635915044E-2</x:v>
      </x:c>
      <x:c r="J186">
        <x:f t="shared" si="87"/>
        <x:v>6.3416723196112971E-3</x:v>
      </x:c>
      <x:c r="L186" s="1">
        <x:v>-5.42969673204224</x:v>
      </x:c>
      <x:c r="M186" s="1">
        <x:v>4099.4285546874999</x:v>
      </x:c>
      <x:c r="N186" s="1">
        <x:v>-1329.8132780082899</x:v>
      </x:c>
      <x:c r="O186">
        <x:f t="shared" si="88"/>
        <x:v>1486.464284647293</x:v>
      </x:c>
      <x:c r="P186" s="1">
        <x:f t="shared" si="89"/>
        <x:v>8.1445450980633609</x:v>
      </x:c>
      <x:c r="Q186" s="1">
        <x:f t="shared" si="90"/>
        <x:v>44.222409902925271</x:v>
      </x:c>
      <x:c r="R186" s="1">
        <x:f t="shared" si="91"/>
        <x:v>0.26072851987046558</x:v>
      </x:c>
      <x:c r="S186" s="1">
        <x:f t="shared" si="92"/>
        <x:v>0.26072851987046558</x:v>
      </x:c>
      <x:c r="T186" s="1">
        <x:f t="shared" si="93"/>
        <x:v>5.2164907075276268E-2</x:v>
      </x:c>
      <x:c r="U186">
        <x:f t="shared" si="94"/>
        <x:v>6.7398384238629159E-3</x:v>
      </x:c>
    </x:row>
    <x:row r="187">
      <x:c r="A187" s="1">
        <x:v>-4.8213891264270297</x:v>
      </x:c>
      <x:c r="B187" s="1">
        <x:v>4077.6326468331399</x:v>
      </x:c>
      <x:c r="C187" s="1">
        <x:v>-1389.9487179487101</x:v>
      </x:c>
      <x:c r="D187">
        <x:f t="shared" si="81"/>
        <x:v>1553.876112820504</x:v>
      </x:c>
      <x:c r="E187" s="1">
        <x:f t="shared" si="82"/>
        <x:v>7.2320836896405449</x:v>
      </x:c>
      <x:c r="F187" s="1">
        <x:f t="shared" si="83"/>
        <x:v>34.868689662643192</x:v>
      </x:c>
      <x:c r="G187" s="1">
        <x:f t="shared" si="84"/>
        <x:v>0.23275572615864776</x:v>
      </x:c>
      <x:c r="H187" s="1">
        <x:f t="shared" si="85"/>
        <x:v>0.23275572615864776</x:v>
      </x:c>
      <x:c r="I187" s="1">
        <x:f t="shared" si="86"/>
        <x:v>5.3605048790229946E-2</x:v>
      </x:c>
      <x:c r="J187">
        <x:f t="shared" si="87"/>
        <x:v>6.9259083894864723E-3</x:v>
      </x:c>
      <x:c r="L187" s="1">
        <x:v>-4.7469754794135097</x:v>
      </x:c>
      <x:c r="M187" s="1">
        <x:v>4091.8434570312502</x:v>
      </x:c>
      <x:c r="N187" s="1">
        <x:v>-1424.7682619647301</x:v>
      </x:c>
      <x:c r="O187">
        <x:f t="shared" si="88"/>
        <x:v>1592.9088216624625</x:v>
      </x:c>
      <x:c r="P187" s="1">
        <x:f t="shared" si="89"/>
        <x:v>7.1204632191202641</x:v>
      </x:c>
      <x:c r="Q187" s="1">
        <x:f t="shared" si="90"/>
        <x:v>33.800664303229681</x:v>
      </x:c>
      <x:c r="R187" s="1">
        <x:f t="shared" si="91"/>
        <x:v>0.22836748321953138</x:v>
      </x:c>
      <x:c r="S187" s="1">
        <x:f t="shared" si="92"/>
        <x:v>0.22836748321953138</x:v>
      </x:c>
      <x:c r="T187" s="1">
        <x:f t="shared" si="93"/>
        <x:v>5.6618409165507838E-2</x:v>
      </x:c>
      <x:c r="U187">
        <x:f t="shared" si="94"/>
        <x:v>7.3152421999145498E-3</x:v>
      </x:c>
    </x:row>
    <x:row r="188">
      <x:c r="A188" s="1">
        <x:v>-4.1455307725876098</x:v>
      </x:c>
      <x:c r="B188" s="1">
        <x:v>4041.7098730468701</x:v>
      </x:c>
      <x:c r="C188" s="1">
        <x:v>-1469.40755467196</x:v>
      </x:c>
      <x:c r="D188">
        <x:f t="shared" si="81"/>
        <x:v>1642.9494687872673</x:v>
      </x:c>
      <x:c r="E188" s="1">
        <x:f t="shared" si="82"/>
        <x:v>6.2182961588814152</x:v>
      </x:c>
      <x:c r="F188" s="1">
        <x:f t="shared" si="83"/>
        <x:v>25.778138079706238</x:v>
      </x:c>
      <x:c r="G188" s="1">
        <x:f t="shared" si="84"/>
        <x:v>0.20190696272501524</x:v>
      </x:c>
      <x:c r="H188" s="1">
        <x:f t="shared" si="85"/>
        <x:v>0.20190696272501524</x:v>
      </x:c>
      <x:c r="I188" s="1">
        <x:f t="shared" si="86"/>
        <x:v>5.8215879217403177E-2</x:v>
      </x:c>
      <x:c r="J188">
        <x:f t="shared" si="87"/>
        <x:v>7.5216393860764591E-3</x:v>
      </x:c>
      <x:c r="L188" s="1">
        <x:v>-4.1413436280356501</x:v>
      </x:c>
      <x:c r="M188" s="1">
        <x:v>4040.9262152777701</x:v>
      </x:c>
      <x:c r="N188" s="1">
        <x:v>-1518.1218836564999</x:v>
      </x:c>
      <x:c r="O188">
        <x:f t="shared" si="88"/>
        <x:v>1697.5582315789363</x:v>
      </x:c>
      <x:c r="P188" s="1">
        <x:f t="shared" si="89"/>
        <x:v>6.2120154420534757</x:v>
      </x:c>
      <x:c r="Q188" s="1">
        <x:f t="shared" si="90"/>
        <x:v>25.726090568207219</x:v>
      </x:c>
      <x:c r="R188" s="1">
        <x:f t="shared" si="91"/>
        <x:v>0.20174214529008103</x:v>
      </x:c>
      <x:c r="S188" s="1">
        <x:f t="shared" si="92"/>
        <x:v>0.20174214529008103</x:v>
      </x:c>
      <x:c r="T188" s="1">
        <x:f t="shared" si="93"/>
        <x:v>6.2348518538280807E-2</x:v>
      </x:c>
      <x:c r="U188">
        <x:f t="shared" si="94"/>
        <x:v>8.0555868777613237E-3</x:v>
      </x:c>
    </x:row>
    <x:row r="189">
      <x:c r="A189" s="1">
        <x:v>-3.4642588383981798</x:v>
      </x:c>
      <x:c r="B189" s="1">
        <x:v>4043.2636006673101</x:v>
      </x:c>
      <x:c r="C189" s="1">
        <x:v>-1563.71816283924</x:v>
      </x:c>
      <x:c r="D189">
        <x:f t="shared" si="81"/>
        <x:v>1748.671660542788</x:v>
      </x:c>
      <x:c r="E189" s="1">
        <x:f t="shared" si="82"/>
        <x:v>5.1963882575972695</x:v>
      </x:c>
      <x:c r="F189" s="1">
        <x:f t="shared" si="83"/>
        <x:v>18.001633949129861</x:v>
      </x:c>
      <x:c r="G189" s="1">
        <x:f t="shared" si="84"/>
        <x:v>0.16866095896086639</x:v>
      </x:c>
      <x:c r="H189" s="1">
        <x:f t="shared" si="85"/>
        <x:v>0.16866095896086639</x:v>
      </x:c>
      <x:c r="I189" s="1">
        <x:f t="shared" si="86"/>
        <x:v>6.250444524602479E-2</x:v>
      </x:c>
      <x:c r="J189">
        <x:f t="shared" si="87"/>
        <x:v>8.0757330042490558E-3</x:v>
      </x:c>
      <x:c r="L189" s="1">
        <x:v>-3.4597194101903299</x:v>
      </x:c>
      <x:c r="M189" s="1">
        <x:v>4028.5548679517601</x:v>
      </x:c>
      <x:c r="N189" s="1">
        <x:v>-1628.2543103448199</x:v>
      </x:c>
      <x:c r="O189">
        <x:f t="shared" si="88"/>
        <x:v>1821.0166818965431</x:v>
      </x:c>
      <x:c r="P189" s="1">
        <x:f t="shared" si="89"/>
        <x:v>5.1895791152854951</x:v>
      </x:c>
      <x:c r="Q189" s="1">
        <x:f t="shared" si="90"/>
        <x:v>17.954487595871583</x:v>
      </x:c>
      <x:c r="R189" s="1">
        <x:f t="shared" si="91"/>
        <x:v>0.16905494657852024</x:v>
      </x:c>
      <x:c r="S189" s="1">
        <x:f t="shared" si="92"/>
        <x:v>0.16905494657852024</x:v>
      </x:c>
      <x:c r="T189" s="1">
        <x:f t="shared" si="93"/>
        <x:v>6.7829325230006968E-2</x:v>
      </x:c>
      <x:c r="U189">
        <x:f t="shared" si="94"/>
        <x:v>8.7637210163184053E-3</x:v>
      </x:c>
    </x:row>
    <x:row r="190">
      <x:c r="A190" s="1">
        <x:v>-2.7822833701129599</x:v>
      </x:c>
      <x:c r="B190" s="1">
        <x:v>3998.75681470788</x:v>
      </x:c>
      <x:c r="C190" s="1">
        <x:v>-1661.80735930735</x:v>
      </x:c>
      <x:c r="D190">
        <x:f t="shared" si="81"/>
        <x:v>1858.6296497835394</x:v>
      </x:c>
      <x:c r="E190" s="1">
        <x:f t="shared" si="82"/>
        <x:v>4.1734250551694396</x:v>
      </x:c>
      <x:c r="F190" s="1">
        <x:f t="shared" si="83"/>
        <x:v>11.611651127410695</x:v>
      </x:c>
      <x:c r="G190" s="1">
        <x:f t="shared" si="84"/>
        <x:v>0.13696596271606484</x:v>
      </x:c>
      <x:c r="H190" s="1">
        <x:f t="shared" si="85"/>
        <x:v>0.13696596271606484</x:v>
      </x:c>
      <x:c r="I190" s="1">
        <x:f t="shared" si="86"/>
        <x:v>6.851135488088643E-2</x:v>
      </x:c>
      <x:c r="J190">
        <x:f t="shared" si="87"/>
        <x:v>8.8518409786635475E-3</x:v>
      </x:c>
      <x:c r="L190" s="1">
        <x:v>-2.5713999615265699</x:v>
      </x:c>
      <x:c r="M190" s="1">
        <x:v>3997.4940243675501</x:v>
      </x:c>
      <x:c r="N190" s="1">
        <x:v>-1777.0673076922999</x:v>
      </x:c>
      <x:c r="O190">
        <x:f t="shared" si="88"/>
        <x:v>1987.8360519230682</x:v>
      </x:c>
      <x:c r="P190" s="1">
        <x:f t="shared" si="89"/>
        <x:v>3.8570999422898549</x:v>
      </x:c>
      <x:c r="Q190" s="1">
        <x:f t="shared" si="90"/>
        <x:v>9.9181466432082672</x:v>
      </x:c>
      <x:c r="R190" s="1">
        <x:f t="shared" si="91"/>
        <x:v>0.12662460323972055</x:v>
      </x:c>
      <x:c r="S190" s="1">
        <x:f t="shared" si="92"/>
        <x:v>0.12662460323972055</x:v>
      </x:c>
      <x:c r="T190" s="1">
        <x:f t="shared" si="93"/>
        <x:v>7.5882494811486179E-2</x:v>
      </x:c>
      <x:c r="U190">
        <x:f t="shared" si="94"/>
        <x:v>9.8042109706245328E-3</x:v>
      </x:c>
    </x:row>
    <x:row r="191">
      <x:c r="A191" s="1">
        <x:v>-2.02971460725542</x:v>
      </x:c>
      <x:c r="B191" s="1">
        <x:v>3998.7878948709199</x:v>
      </x:c>
      <x:c r="C191" s="1">
        <x:v>-1767.4279475982501</x:v>
      </x:c>
      <x:c r="D191">
        <x:f t="shared" si="81"/>
        <x:v>1977.0303292576384</x:v>
      </x:c>
      <x:c r="E191" s="1">
        <x:f t="shared" si="82"/>
        <x:v>3.0445719108831302</x:v>
      </x:c>
      <x:c r="F191" s="1">
        <x:f t="shared" si="83"/>
        <x:v>6.1796120803590355</x:v>
      </x:c>
      <x:c r="G191" s="1">
        <x:f t="shared" si="84"/>
        <x:v>9.9917807606388673E-2</x:v>
      </x:c>
      <x:c r="H191" s="1">
        <x:f t="shared" si="85"/>
        <x:v>9.9917807606388673E-2</x:v>
      </x:c>
      <x:c r="I191" s="1">
        <x:f t="shared" si="86"/>
        <x:v>7.3471802504848013E-2</x:v>
      </x:c>
      <x:c r="J191">
        <x:f t="shared" si="87"/>
        <x:v>9.4927434046429716E-3</x:v>
      </x:c>
      <x:c r="L191" s="1">
        <x:v>-2.0972560302231602</x:v>
      </x:c>
      <x:c r="M191" s="1">
        <x:v>4002.4045222355699</x:v>
      </x:c>
      <x:c r="N191" s="1">
        <x:v>-1845.6673151750899</x:v>
      </x:c>
      <x:c r="O191">
        <x:f t="shared" si="88"/>
        <x:v>2064.7366603112755</x:v>
      </x:c>
      <x:c r="P191" s="1">
        <x:f t="shared" si="89"/>
        <x:v>3.1458840453347401</x:v>
      </x:c>
      <x:c r="Q191" s="1">
        <x:f t="shared" si="90"/>
        <x:v>6.5977242844611137</x:v>
      </x:c>
      <x:c r="R191" s="1">
        <x:f t="shared" si="91"/>
        <x:v>0.10314941254618157</x:v>
      </x:c>
      <x:c r="S191" s="1">
        <x:f t="shared" si="92"/>
        <x:v>0.10314941254618157</x:v>
      </x:c>
      <x:c r="T191" s="1">
        <x:f t="shared" si="93"/>
        <x:v>7.8913065354171405E-2</x:v>
      </x:c>
      <x:c r="U191">
        <x:f t="shared" si="94"/>
        <x:v>1.0195768378372657E-2</x:v>
      </x:c>
    </x:row>
    <x:row r="192">
      <x:c r="A192" s="1">
        <x:v>-1.3392697766369399</x:v>
      </x:c>
      <x:c r="B192" s="1">
        <x:v>4003.04653494698</x:v>
      </x:c>
      <x:c r="C192" s="1">
        <x:v>-1874.0542495479201</x:v>
      </x:c>
      <x:c r="D192">
        <x:f t="shared" si="81"/>
        <x:v>2096.5584137432184</x:v>
      </x:c>
      <x:c r="E192" s="1">
        <x:f t="shared" si="82"/>
        <x:v>2.0089046649554101</x:v>
      </x:c>
      <x:c r="F192" s="1">
        <x:f t="shared" si="83"/>
        <x:v>2.6904653019197386</x:v>
      </x:c>
      <x:c r="G192" s="1">
        <x:f t="shared" si="84"/>
        <x:v>6.5858785427793956E-2</x:v>
      </x:c>
      <x:c r="H192" s="1">
        <x:f t="shared" si="85"/>
        <x:v>6.5858785427793956E-2</x:v>
      </x:c>
      <x:c r="I192" s="1">
        <x:f t="shared" si="86"/>
        <x:v>7.8313664157092747E-2</x:v>
      </x:c>
      <x:c r="J192">
        <x:f t="shared" si="87"/>
        <x:v>1.0118324222025356E-2</x:v>
      </x:c>
      <x:c r="L192" s="1">
        <x:v>-1.41401028021787</x:v>
      </x:c>
      <x:c r="M192" s="1">
        <x:v>3982.39525462962</x:v>
      </x:c>
      <x:c r="N192" s="1">
        <x:v>-1940.11882998171</x:v>
      </x:c>
      <x:c r="O192">
        <x:f t="shared" si="88"/>
        <x:v>2170.6168084094966</x:v>
      </x:c>
      <x:c r="P192" s="1">
        <x:f t="shared" si="89"/>
        <x:v>2.1210154203268052</x:v>
      </x:c>
      <x:c r="Q192" s="1">
        <x:f t="shared" si="90"/>
        <x:v>2.9991376088427288</x:v>
      </x:c>
      <x:c r="R192" s="1">
        <x:f t="shared" si="91"/>
        <x:v>6.9894739863970656E-2</x:v>
      </x:c>
      <x:c r="S192" s="1">
        <x:f t="shared" si="92"/>
        <x:v>6.9894739863970656E-2</x:v>
      </x:c>
      <x:c r="T192" s="1">
        <x:f t="shared" si="93"/>
        <x:v>8.418149258658944E-2</x:v>
      </x:c>
      <x:c r="U192">
        <x:f t="shared" si="94"/>
        <x:v>1.0876462551624739E-2</x:v>
      </x:c>
    </x:row>
    <x:row r="193">
      <x:c r="A193" s="1">
        <x:v>-0.72641061374683202</x:v>
      </x:c>
      <x:c r="B193" s="1">
        <x:v>3987.5478759765601</x:v>
      </x:c>
      <x:c r="C193" s="1">
        <x:v>-1927.3631840795999</x:v>
      </x:c>
      <x:c r="D193">
        <x:f t="shared" si="81"/>
        <x:v>2156.3177293532312</x:v>
      </x:c>
      <x:c r="E193" s="1">
        <x:f t="shared" si="82"/>
        <x:v>1.089615920620248</x:v>
      </x:c>
      <x:c r="F193" s="1">
        <x:f t="shared" si="83"/>
        <x:v>0.79150856964607386</x:v>
      </x:c>
      <x:c r="G193" s="1">
        <x:f t="shared" si="84"/>
        <x:v>3.5860187702316894E-2</x:v>
      </x:c>
      <x:c r="H193" s="1">
        <x:f t="shared" si="85"/>
        <x:v>3.5860187702316894E-2</x:v>
      </x:c>
      <x:c r="I193" s="1">
        <x:f t="shared" si="86"/>
        <x:v>8.1441937984804549E-2</x:v>
      </x:c>
      <x:c r="J193">
        <x:f t="shared" si="87"/>
        <x:v>1.0522505142235785E-2</x:v>
      </x:c>
      <x:c r="L193" s="1">
        <x:v>-0.72815659294525703</x:v>
      </x:c>
      <x:c r="M193" s="1">
        <x:v>4003.8457641601499</x:v>
      </x:c>
      <x:c r="N193" s="1">
        <x:v>-2020.6597077244201</x:v>
      </x:c>
      <x:c r="O193">
        <x:f t="shared" si="88"/>
        <x:v>2260.9031323590748</x:v>
      </x:c>
      <x:c r="P193" s="1">
        <x:f t="shared" si="89"/>
        <x:v>1.0922348894178855</x:v>
      </x:c>
      <x:c r="Q193" s="1">
        <x:f t="shared" si="90"/>
        <x:v>0.79531803577446714</x:v>
      </x:c>
      <x:c r="R193" s="1">
        <x:f t="shared" si="91"/>
        <x:v>3.580005835393725E-2</x:v>
      </x:c>
      <x:c r="S193" s="1">
        <x:f t="shared" si="92"/>
        <x:v>3.580005835393725E-2</x:v>
      </x:c>
      <x:c r="T193" s="1">
        <x:f t="shared" si="93"/>
        <x:v>8.7055752000806993E-2</x:v>
      </x:c>
      <x:c r="U193">
        <x:f t="shared" si="94"/>
        <x:v>1.1247824164751711E-2</x:v>
      </x:c>
    </x:row>
    <x:row r="194">
      <x:c r="A194" s="1" t="n">
        <x:f>-67.76/500</x:f>
        <x:v>-0.13552</x:v>
      </x:c>
      <x:c r="B194" s="1">
        <x:v>4040.05</x:v>
      </x:c>
      <x:c r="C194" s="1">
        <x:v>-1978.5994000000001</x:v>
      </x:c>
      <x:c r="D194">
        <x:f t="shared" si="81"/>
        <x:v>2213.7535273999997</x:v>
      </x:c>
      <x:c r="E194" s="1">
        <x:f t="shared" si="82"/>
        <x:v>0.20328000000000002</x:v>
      </x:c>
      <x:c r="F194" s="1">
        <x:f t="shared" si="83"/>
        <x:v>2.7548505599999999E-2</x:v>
      </x:c>
      <x:c r="G194" s="1">
        <x:f t="shared" si="84"/>
        <x:v>6.6031770285839798E-3</x:v>
      </x:c>
      <x:c r="H194" s="1">
        <x:f t="shared" si="85"/>
        <x:v>6.6031770285839798E-3</x:v>
      </x:c>
      <x:c r="I194" s="1">
        <x:f t="shared" si="86"/>
        <x:v>8.1696850882456346E-2</x:v>
      </x:c>
      <x:c r="J194">
        <x:f t="shared" si="87"/>
        <x:v>1.0555440535753358E-2</x:v>
      </x:c>
      <x:c r="L194" t="n">
        <x:f>-67.495/500</x:f>
        <x:v>-0.13499</x:v>
      </x:c>
      <x:c r="M194" s="1">
        <x:v>4002.565967</x:v>
      </x:c>
      <x:c r="N194" s="1">
        <x:v>-2060.5</x:v>
      </x:c>
      <x:c r="O194">
        <x:f t="shared" si="88"/>
        <x:v>2305.5640999999996</x:v>
      </x:c>
      <x:c r="P194" s="1">
        <x:f t="shared" si="89"/>
        <x:v>0.202485</x:v>
      </x:c>
      <x:c r="Q194" s="1">
        <x:f t="shared" si="90"/>
        <x:v>2.7333450149999997E-2</x:v>
      </x:c>
      <x:c r="R194" s="1">
        <x:f t="shared" si="91"/>
        <x:v>6.6389498298727962E-3</x:v>
      </x:c>
      <x:c r="S194" s="1">
        <x:f t="shared" si="92"/>
        <x:v>6.6389498298727962E-3</x:v>
      </x:c>
      <x:c r="T194" s="1">
        <x:f t="shared" si="93"/>
        <x:v>8.8979392910621499E-2</x:v>
      </x:c>
      <x:c r="U194">
        <x:f t="shared" si="94"/>
        <x:v>1.1496363453798527E-2</x:v>
      </x:c>
    </x:row>
    <x:row r="195">
      <x:c r="A195" s="1">
        <x:v>-2.97161343565676E-2</x:v>
      </x:c>
      <x:c r="B195" s="1">
        <x:v>0</x:v>
      </x:c>
      <x:c r="C195" s="1">
        <x:v>-208.015189873417</x:v>
      </x:c>
      <x:c r="D195">
        <x:f t="shared" si="81"/>
        <x:v>228.92862784810043</x:v>
      </x:c>
      <x:c r="E195" s="1">
        <x:f t="shared" si="82"/>
        <x:v>4.45742015348514E-2</x:v>
      </x:c>
      <x:c r="F195" s="1">
        <x:f t="shared" si="83"/>
        <x:v>1.3245729616463658E-3</x:v>
      </x:c>
      <x:c r="G195" s="1" t="e">
        <x:f t="shared" si="84"/>
        <x:v>#DIV/0!</x:v>
      </x:c>
      <x:c r="H195" s="1" t="e">
        <x:f t="shared" si="85"/>
        <x:v>#DIV/0!</x:v>
      </x:c>
      <x:c r="I195" s="1" t="e">
        <x:f t="shared" si="86"/>
        <x:v>#DIV/0!</x:v>
      </x:c>
      <x:c r="J195" t="e">
        <x:f t="shared" si="87"/>
        <x:v>#DIV/0!</x:v>
      </x:c>
      <x:c r="L195" t="n">
        <x:f>-31.925/500</x:f>
        <x:v>-0.06385</x:v>
      </x:c>
      <x:c r="M195" s="1">
        <x:v>0</x:v>
      </x:c>
      <x:c r="N195" s="1">
        <x:v>-166.7</x:v>
      </x:c>
      <x:c r="O195">
        <x:f t="shared" si="88"/>
        <x:v>182.61429999999999</x:v>
      </x:c>
      <x:c r="P195" s="1">
        <x:f t="shared" si="89"/>
        <x:v>9.5774999999999999E-2</x:v>
      </x:c>
      <x:c r="Q195" s="1">
        <x:f t="shared" si="90"/>
        <x:v>6.1152337500000008E-3</x:v>
      </x:c>
      <x:c r="R195" s="1" t="e">
        <x:f t="shared" si="91"/>
        <x:v>#DIV/0!</x:v>
      </x:c>
      <x:c r="S195" s="1" t="e">
        <x:f t="shared" si="92"/>
        <x:v>#DIV/0!</x:v>
      </x:c>
      <x:c r="T195" s="1" t="e">
        <x:f t="shared" si="93"/>
        <x:v>#DIV/0!</x:v>
      </x:c>
      <x:c r="U195" t="e">
        <x:f t="shared" si="94"/>
        <x:v>#DIV/0!</x:v>
      </x:c>
    </x:row>
  </x:sheetData>
  <x:mergeCells>
    <x:mergeCell ref="A143:C143"/>
    <x:mergeCell ref="L143:N143"/>
    <x:mergeCell ref="A171:C171"/>
    <x:mergeCell ref="L171:N171"/>
    <x:mergeCell ref="A113:C113"/>
    <x:mergeCell ref="L113:N113"/>
    <x:mergeCell ref="AC1:AT1"/>
    <x:mergeCell ref="A1:C1"/>
    <x:mergeCell ref="K1:M1"/>
    <x:mergeCell ref="A84:C84"/>
    <x:mergeCell ref="L84:N84"/>
    <x:mergeCell ref="A56:C56"/>
    <x:mergeCell ref="L56:N56"/>
    <x:mergeCell ref="A28:C28"/>
    <x:mergeCell ref="L28:N28"/>
  </x:mergeCells>
  <x:pageMargins left="0.7" right="0.7" top="0.75" bottom="0.75" header="0.3" footer="0.3"/>
  <x:drawing xmlns:r="http://schemas.openxmlformats.org/officeDocument/2006/relationships" r:id="R44292b26b55245ce"/>
</x:worksheet>
</file>

<file path=xl/worksheets/sheet3.xml><?xml version="1.0" encoding="utf-8"?>
<x:worksheet xmlns:x="http://schemas.openxmlformats.org/spreadsheetml/2006/main">
  <x:sheetFormatPr defaultRowHeight="14.25"/>
  <x:sheetData>
    <x:row r="1">
      <x:c r="A1" s="3" t="s">
        <x:v>61</x:v>
      </x:c>
      <x:c r="B1" s="3"/>
      <x:c r="C1" s="3"/>
      <x:c r="E1" s="3" t="s">
        <x:v>62</x:v>
      </x:c>
      <x:c r="F1" s="3"/>
      <x:c r="G1" s="3"/>
      <x:c r="AC1" s="3" t="s">
        <x:v>2</x:v>
      </x:c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</x:row>
    <x:row r="2">
      <x:c r="A2" s="1" t="s">
        <x:v>3</x:v>
      </x:c>
      <x:c r="B2" s="1" t="s">
        <x:v>4</x:v>
      </x:c>
      <x:c r="C2" s="1" t="s">
        <x:v>5</x:v>
      </x:c>
      <x:c r="D2" s="1" t="s">
        <x:v>6</x:v>
      </x:c>
      <x:c r="E2" s="1" t="s">
        <x:v>7</x:v>
      </x:c>
      <x:c r="F2" s="1" t="s">
        <x:v>8</x:v>
      </x:c>
      <x:c r="G2" s="1" t="s">
        <x:v>9</x:v>
      </x:c>
      <x:c r="H2" s="1" t="s">
        <x:v>10</x:v>
      </x:c>
      <x:c r="I2" s="1" t="s">
        <x:v>11</x:v>
      </x:c>
      <x:c r="K2" s="1" t="s">
        <x:v>3</x:v>
      </x:c>
      <x:c r="L2" s="1" t="s">
        <x:v>4</x:v>
      </x:c>
      <x:c r="M2" s="1" t="s">
        <x:v>5</x:v>
      </x:c>
      <x:c r="N2" s="1" t="s">
        <x:v>6</x:v>
      </x:c>
      <x:c r="O2" s="1" t="s">
        <x:v>7</x:v>
      </x:c>
      <x:c r="P2" s="1" t="s">
        <x:v>8</x:v>
      </x:c>
      <x:c r="Q2" s="1" t="s">
        <x:v>9</x:v>
      </x:c>
      <x:c r="R2" s="1" t="s">
        <x:v>10</x:v>
      </x:c>
      <x:c r="S2" s="1" t="s">
        <x:v>11</x:v>
      </x:c>
      <x:c r="T2" s="1" t="s">
        <x:v>63</x:v>
      </x:c>
      <x:c r="AC2" s="1" t="s">
        <x:v>12</x:v>
      </x:c>
      <x:c r="AD2" s="1" t="s">
        <x:v>13</x:v>
      </x:c>
      <x:c r="AE2" s="1" t="s">
        <x:v>14</x:v>
      </x:c>
      <x:c r="AF2" s="1" t="s">
        <x:v>15</x:v>
      </x:c>
      <x:c r="AG2" s="1" t="s">
        <x:v>16</x:v>
      </x:c>
      <x:c r="AH2" s="1" t="s">
        <x:v>17</x:v>
      </x:c>
      <x:c r="AI2" s="1" t="s">
        <x:v>11</x:v>
      </x:c>
      <x:c r="AJ2" s="1" t="s">
        <x:v>18</x:v>
      </x:c>
      <x:c r="AK2" s="1" t="s">
        <x:v>19</x:v>
      </x:c>
      <x:c r="AL2" s="1" t="s">
        <x:v>20</x:v>
      </x:c>
      <x:c r="AM2" s="1" t="s">
        <x:v>21</x:v>
      </x:c>
      <x:c r="AN2" s="1" t="s">
        <x:v>22</x:v>
      </x:c>
      <x:c r="AO2" s="1" t="s">
        <x:v>23</x:v>
      </x:c>
      <x:c r="AP2" s="1" t="s">
        <x:v>24</x:v>
      </x:c>
      <x:c r="AQ2" s="1" t="s">
        <x:v>25</x:v>
      </x:c>
      <x:c r="AR2" s="1" t="s">
        <x:v>26</x:v>
      </x:c>
      <x:c r="AS2" s="1" t="s">
        <x:v>10</x:v>
      </x:c>
      <x:c r="AT2" s="1" t="s">
        <x:v>8</x:v>
      </x:c>
    </x:row>
    <x:row r="3">
      <x:c r="A3" s="1">
        <x:v>-1.3342922503835699E-3</x:v>
      </x:c>
      <x:c r="B3" s="1">
        <x:v>0</x:v>
      </x:c>
      <x:c r="C3" s="1">
        <x:v>41.106481481481403</x:v>
      </x:c>
      <x:c r="D3" s="1" t="n">
        <x:f>-A3*1.5</x:f>
        <x:v>0.002001438375575355</x:v>
      </x:c>
      <x:c r="E3" s="1" t="n">
        <x:f>A3*A3*1.5</x:f>
        <x:v>0.000002670503714150477</x:v>
      </x:c>
      <x:c r="F3" s="1" t="e">
        <x:f>D3/(B3/60)/0.4572</x:f>
        <x:v>#DIV/0!</x:v>
      </x:c>
      <x:c r="G3" s="1" t="e">
        <x:f>D3*SIN(RADIANS(0))/(B3/60)/0.4572</x:f>
        <x:v>#DIV/0!</x:v>
      </x:c>
      <x:c r="H3" s="1" t="e">
        <x:f>(C3-$C$3)*9.8/1.205/(B3/60)^2/0.4572^4/1000</x:f>
        <x:v>#DIV/0!</x:v>
      </x:c>
      <x:c r="I3" t="e">
        <x:f>H3*4/(3.14^3)</x:f>
        <x:v>#DIV/0!</x:v>
      </x:c>
      <x:c r="K3" s="1">
        <x:v>-4.9665680853649896E-3</x:v>
      </x:c>
      <x:c r="L3" s="1">
        <x:v>0</x:v>
      </x:c>
      <x:c r="M3" s="1">
        <x:v>40.537500000000001</x:v>
      </x:c>
      <x:c r="N3" s="1" t="n">
        <x:f>-K3*1.5</x:f>
        <x:v>0.007449852128047484</x:v>
      </x:c>
      <x:c r="O3" s="1" t="n">
        <x:f>K3*K3*1.5</x:f>
        <x:v>0.00003700019781984909</x:v>
      </x:c>
      <x:c r="P3" s="1" t="e">
        <x:f>N3/(L3/60)/0.4572</x:f>
        <x:v>#DIV/0!</x:v>
      </x:c>
      <x:c r="Q3" s="1" t="e">
        <x:f>N3*SIN(RADIANS(0))/(L3/60)/0.4572</x:f>
        <x:v>#DIV/0!</x:v>
      </x:c>
      <x:c r="R3" s="1" t="e">
        <x:f>(M3-$M$3)*9.8/1.205/(L3/60)^2/0.4572^4/1000</x:f>
        <x:v>#DIV/0!</x:v>
      </x:c>
      <x:c r="S3" t="e">
        <x:f>R3*4/(3.14^3)</x:f>
        <x:v>#DIV/0!</x:v>
      </x:c>
      <x:c r="AC3" s="1">
        <x:v>5000</x:v>
      </x:c>
      <x:c r="AD3" s="1">
        <x:v>0</x:v>
      </x:c>
      <x:c r="AE3" s="1">
        <x:v>0</x:v>
      </x:c>
      <x:c r="AF3" s="1">
        <x:v>523.59877559829795</x:v>
      </x:c>
      <x:c r="AG3" s="1">
        <x:v>31.092246169528199</x:v>
      </x:c>
      <x:c r="AH3" s="1">
        <x:v>1.07910570179103E-2</x:v>
      </x:c>
      <x:c r="AI3" s="1">
        <x:v>1.07910570179103E-2</x:v>
      </x:c>
      <x:c r="AJ3" s="1">
        <x:v>7.3454261340129903E-2</x:v>
      </x:c>
      <x:c r="AK3" s="1">
        <x:v>7.3454261340129903E-2</x:v>
      </x:c>
      <x:c r="AL3" s="1">
        <x:v>0</x:v>
      </x:c>
      <x:c r="AM3" s="1">
        <x:v>0</x:v>
      </x:c>
      <x:c r="AN3" s="1">
        <x:v>0</x:v>
      </x:c>
      <x:c r="AO3" s="1">
        <x:v>11</x:v>
      </x:c>
      <x:c r="AP3" s="1" t="b">
        <x:v>1</x:v>
      </x:c>
      <x:c r="AQ3" s="1">
        <x:v>-17.886333046690499</x:v>
      </x:c>
      <x:c r="AR3" s="1">
        <x:v>5.9826990104032403</x:v>
      </x:c>
      <x:c r="AS3" t="n">
        <x:f>3.1415926^3/4*AI3</x:f>
        <x:v>0.0836476206119306</x:v>
      </x:c>
      <x:c r="AT3" t="n">
        <x:f>AD3*1.5/AC3*60/0.4572</x:f>
        <x:v>0</x:v>
      </x:c>
    </x:row>
    <x:row r="4">
      <x:c r="A4" s="1">
        <x:v>-8.9486663230509706E-3</x:v>
      </x:c>
      <x:c r="B4" s="1">
        <x:v>5021.2961232018797</x:v>
      </x:c>
      <x:c r="C4" s="1">
        <x:v>3235.5016025640998</x:v>
      </x:c>
      <x:c r="D4" s="1" t="n">
        <x:f t="shared" ref="D4:D24" si="0">-A4*1.5</x:f>
        <x:v>0.013422999484576457</x:v>
      </x:c>
      <x:c r="E4" s="1" t="n">
        <x:f t="shared" ref="E4:E24" si="1">A4*A4*1.5</x:f>
        <x:v>0.00012011794344195988</x:v>
      </x:c>
      <x:c r="F4" s="1" t="n">
        <x:f t="shared" ref="F4:F24" si="2">D4/(B4/60)/0.4572</x:f>
        <x:v>0.0003508154957541704</x:v>
      </x:c>
      <x:c r="G4" s="1" t="n">
        <x:f t="shared" ref="G4:G24" si="3">D4*SIN(RADIANS(0))/(B4/60)/0.4572</x:f>
        <x:v>0</x:v>
      </x:c>
      <x:c r="H4" s="1" t="n">
        <x:f t="shared" ref="H4:H24" si="4">(C4-$C$3)*9.8/1.205/(B4/60)^2/0.4572^4/1000</x:f>
        <x:v>0.08489333765363163</x:v>
      </x:c>
      <x:c r="I4" t="n">
        <x:f t="shared" ref="I4:I24" si="5">H4*4/(3.14^3)</x:f>
        <x:v>0.010968434741429754</x:v>
      </x:c>
      <x:c r="K4" s="1">
        <x:v>-5.0786477840089701E-3</x:v>
      </x:c>
      <x:c r="L4" s="1">
        <x:v>5060.9688144899701</x:v>
      </x:c>
      <x:c r="M4" s="1">
        <x:v>3239.12995391705</x:v>
      </x:c>
      <x:c r="N4" s="1" t="n">
        <x:f t="shared" ref="N4:N24" si="6">-K4*1.5</x:f>
        <x:v>0.007617971676013455</x:v>
      </x:c>
      <x:c r="O4" s="1" t="n">
        <x:f t="shared" ref="O4:O24" si="7">K4*K4*1.5</x:f>
        <x:v>0.00003868899497102883</x:v>
      </x:c>
      <x:c r="P4" s="1" t="n">
        <x:f t="shared" ref="P4:P24" si="8">N4/(L4/60)/0.4572</x:f>
        <x:v>0.00019753803123375845</x:v>
      </x:c>
      <x:c r="Q4" s="1" t="n">
        <x:f t="shared" ref="Q4:Q24" si="9">N4*SIN(RADIANS(0))/(L4/60)/0.4572</x:f>
        <x:v>0</x:v>
      </x:c>
      <x:c r="R4" s="1" t="n">
        <x:f t="shared" ref="R4:R24" si="10">(M4-$M$3)*9.8/1.205/(L4/60)^2/0.4572^4/1000</x:f>
        <x:v>0.08367740984628405</x:v>
      </x:c>
      <x:c r="S4" t="n">
        <x:f t="shared" ref="S4:S25" si="11">R4*4/(3.14^3)</x:f>
        <x:v>0.010811333781875113</x:v>
      </x:c>
      <x:c r="AC4" s="1">
        <x:v>5000</x:v>
      </x:c>
      <x:c r="AD4" s="1">
        <x:v>0.67800000000000005</x:v>
      </x:c>
      <x:c r="AE4" s="1">
        <x:v>0</x:v>
      </x:c>
      <x:c r="AF4" s="1">
        <x:v>523.59877559829795</x:v>
      </x:c>
      <x:c r="AG4" s="1">
        <x:v>29.966890023183801</x:v>
      </x:c>
      <x:c r="AH4" s="1">
        <x:v>1.04004843241768E-2</x:v>
      </x:c>
      <x:c r="AI4" s="1">
        <x:v>1.04004843241768E-2</x:v>
      </x:c>
      <x:c r="AJ4" s="1">
        <x:v>7.6486061716576001E-2</x:v>
      </x:c>
      <x:c r="AK4" s="1">
        <x:v>6.7989443494819696E-2</x:v>
      </x:c>
      <x:c r="AL4" s="1">
        <x:v>0</x:v>
      </x:c>
      <x:c r="AM4" s="1">
        <x:v>8.4966182217562306E-3</x:v>
      </x:c>
      <x:c r="AN4" s="1">
        <x:v>0</x:v>
      </x:c>
      <x:c r="AO4" s="1">
        <x:v>11</x:v>
      </x:c>
      <x:c r="AP4" s="1" t="b">
        <x:v>1</x:v>
      </x:c>
      <x:c r="AQ4" s="1">
        <x:v>-18.871788436777901</x:v>
      </x:c>
      <x:c r="AR4" s="1">
        <x:v>5.5232589946377102</x:v>
      </x:c>
      <x:c r="AS4" t="n">
        <x:f t="shared" ref="AS4:AS67" si="12">3.1415926^3/4*AI4</x:f>
        <x:v>0.08062006951544623</x:v>
      </x:c>
      <x:c r="AT4" t="n">
        <x:f t="shared" ref="AT4:AT67" si="13">AD4*1.5/AC4*60/0.4572</x:f>
        <x:v>0.02669291338582678</x:v>
      </x:c>
    </x:row>
    <x:row r="5">
      <x:c r="A5" s="1">
        <x:v>-0.68128978124292705</x:v>
      </x:c>
      <x:c r="B5" s="1">
        <x:v>5039.5304827008904</x:v>
      </x:c>
      <x:c r="C5" s="1">
        <x:v>3232.36428571428</x:v>
      </x:c>
      <x:c r="D5" s="1">
        <x:f t="shared" si="0"/>
        <x:v>1.0219346718643907</x:v>
      </x:c>
      <x:c r="E5" s="1">
        <x:f t="shared" si="1"/>
        <x:v>0.69623364903905316</x:v>
      </x:c>
      <x:c r="F5" s="1">
        <x:f t="shared" si="2"/>
        <x:v>2.6612035014443914E-2</x:v>
      </x:c>
      <x:c r="G5" s="1">
        <x:f t="shared" si="3"/>
        <x:v>0</x:v>
      </x:c>
      <x:c r="H5" s="1">
        <x:f t="shared" si="4"/>
        <x:v>8.4197341610088433E-2</x:v>
      </x:c>
      <x:c r="I5">
        <x:f t="shared" si="5"/>
        <x:v>1.0878510285696327E-2</x:v>
      </x:c>
      <x:c r="K5" s="1">
        <x:v>-0.68343864690947798</x:v>
      </x:c>
      <x:c r="L5" s="1">
        <x:v>5022.1493983114897</x:v>
      </x:c>
      <x:c r="M5" s="1">
        <x:v>3240.5438311688299</x:v>
      </x:c>
      <x:c r="N5" s="1">
        <x:f t="shared" si="6"/>
        <x:v>1.0251579703642171</x:v>
      </x:c>
      <x:c r="O5" s="1">
        <x:f t="shared" si="7"/>
        <x:v>0.70063257613418717</x:v>
      </x:c>
      <x:c r="P5" s="1">
        <x:f t="shared" si="8"/>
        <x:v>2.6788364113520126E-2</x:v>
      </x:c>
      <x:c r="Q5" s="1">
        <x:f t="shared" si="9"/>
        <x:v>0</x:v>
      </x:c>
      <x:c r="R5" s="1">
        <x:f t="shared" si="10"/>
        <x:v>8.5013564202731193E-2</x:v>
      </x:c>
      <x:c r="S5">
        <x:f t="shared" si="11"/>
        <x:v>1.0983968316789532E-2</x:v>
      </x:c>
      <x:c r="AC5" s="1">
        <x:v>5000</x:v>
      </x:c>
      <x:c r="AD5" s="1">
        <x:v>1.3560000000000001</x:v>
      </x:c>
      <x:c r="AE5" s="1">
        <x:v>0</x:v>
      </x:c>
      <x:c r="AF5" s="1">
        <x:v>523.59877559829795</x:v>
      </x:c>
      <x:c r="AG5" s="1">
        <x:v>28.784422615455501</x:v>
      </x:c>
      <x:c r="AH5" s="1">
        <x:v>9.9900902616493498E-3</x:v>
      </x:c>
      <x:c r="AI5" s="1">
        <x:v>9.9900902616493498E-3</x:v>
      </x:c>
      <x:c r="AJ5" s="1">
        <x:v>7.9681129092087494E-2</x:v>
      </x:c>
      <x:c r="AK5" s="1">
        <x:v>6.2687892648575105E-2</x:v>
      </x:c>
      <x:c r="AL5" s="1">
        <x:v>0</x:v>
      </x:c>
      <x:c r="AM5" s="1">
        <x:v>1.6993236443512399E-2</x:v>
      </x:c>
      <x:c r="AN5" s="1">
        <x:v>0</x:v>
      </x:c>
      <x:c r="AO5" s="1">
        <x:v>10</x:v>
      </x:c>
      <x:c r="AP5" s="1" t="b">
        <x:v>1</x:v>
      </x:c>
      <x:c r="AQ5" s="1">
        <x:v>-19.888613678715501</x:v>
      </x:c>
      <x:c r="AR5" s="1">
        <x:v>5.0373680957037603</x:v>
      </x:c>
      <x:c r="AS5">
        <x:f t="shared" si="12"/>
        <x:v>7.7438871715572788E-2</x:v>
      </x:c>
      <x:c r="AT5">
        <x:f t="shared" si="13"/>
        <x:v>5.3385826771653558E-2</x:v>
      </x:c>
    </x:row>
    <x:row r="6">
      <x:c r="A6" s="1">
        <x:v>-1.3618461679430001</x:v>
      </x:c>
      <x:c r="B6" s="1">
        <x:v>5059.0543258101798</x:v>
      </x:c>
      <x:c r="C6" s="1">
        <x:v>3248.4074766355102</x:v>
      </x:c>
      <x:c r="D6" s="1">
        <x:f t="shared" si="0"/>
        <x:v>2.0427692519145002</x:v>
      </x:c>
      <x:c r="E6" s="1">
        <x:f t="shared" si="1"/>
        <x:v>2.7819374777115509</x:v>
      </x:c>
      <x:c r="F6" s="1">
        <x:f t="shared" si="2"/>
        <x:v>5.2990131565064123E-2</x:v>
      </x:c>
      <x:c r="G6" s="1">
        <x:f t="shared" si="3"/>
        <x:v>0</x:v>
      </x:c>
      <x:c r="H6" s="1">
        <x:f t="shared" si="4"/>
        <x:v>8.3968747582401124E-2</x:v>
      </x:c>
      <x:c r="I6">
        <x:f t="shared" si="5"/>
        <x:v>1.0848975356993218E-2</x:v>
      </x:c>
      <x:c r="K6" s="1">
        <x:v>-1.3613529239627</x:v>
      </x:c>
      <x:c r="L6" s="1">
        <x:v>5061.0307442801304</x:v>
      </x:c>
      <x:c r="M6" s="1">
        <x:v>3257.8219424460399</x:v>
      </x:c>
      <x:c r="N6" s="1">
        <x:f t="shared" si="6"/>
        <x:v>2.0420293859440499</x:v>
      </x:c>
      <x:c r="O6" s="1">
        <x:f t="shared" si="7"/>
        <x:v>2.7799226753726893</x:v>
      </x:c>
      <x:c r="P6" s="1">
        <x:f t="shared" si="8"/>
        <x:v>5.2950253137790983E-2</x:v>
      </x:c>
      <x:c r="Q6" s="1">
        <x:f t="shared" si="9"/>
        <x:v>0</x:v>
      </x:c>
      <x:c r="R6" s="1">
        <x:f t="shared" si="10"/>
        <x:v>8.4164345497181853E-2</x:v>
      </x:c>
      <x:c r="S6">
        <x:f t="shared" si="11"/>
        <x:v>1.0874247104142394E-2</x:v>
      </x:c>
      <x:c r="AC6" s="1">
        <x:v>5000</x:v>
      </x:c>
      <x:c r="AD6" s="1">
        <x:v>2.0339999999999998</x:v>
      </x:c>
      <x:c r="AE6" s="1">
        <x:v>0</x:v>
      </x:c>
      <x:c r="AF6" s="1">
        <x:v>523.59877559829795</x:v>
      </x:c>
      <x:c r="AG6" s="1">
        <x:v>27.544400254306101</x:v>
      </x:c>
      <x:c r="AH6" s="1">
        <x:v>9.5597208399714299E-3</x:v>
      </x:c>
      <x:c r="AI6" s="1">
        <x:v>9.5597208399714299E-3</x:v>
      </x:c>
      <x:c r="AJ6" s="1">
        <x:v>8.3046305249401403E-2</x:v>
      </x:c>
      <x:c r="AK6" s="1">
        <x:v>5.7556450584132703E-2</x:v>
      </x:c>
      <x:c r="AL6" s="1">
        <x:v>0</x:v>
      </x:c>
      <x:c r="AM6" s="1">
        <x:v>2.54898546652686E-2</x:v>
      </x:c>
      <x:c r="AN6" s="1">
        <x:v>0</x:v>
      </x:c>
      <x:c r="AO6" s="1">
        <x:v>8</x:v>
      </x:c>
      <x:c r="AP6" s="1" t="b">
        <x:v>1</x:v>
      </x:c>
      <x:c r="AQ6" s="1">
        <x:v>-20.9362087176724</x:v>
      </x:c>
      <x:c r="AR6" s="1">
        <x:v>4.6183083605305297</x:v>
      </x:c>
      <x:c r="AS6">
        <x:f t="shared" si="12"/>
        <x:v>7.4102833545471272E-2</x:v>
      </x:c>
      <x:c r="AT6">
        <x:f t="shared" si="13"/>
        <x:v>8.0078740157480316E-2</x:v>
      </x:c>
    </x:row>
    <x:row r="7">
      <x:c r="A7" s="1">
        <x:v>-2.0425365856334299</x:v>
      </x:c>
      <x:c r="B7" s="1">
        <x:v>5055.9656575520803</x:v>
      </x:c>
      <x:c r="C7" s="1">
        <x:v>3265.5503731343201</x:v>
      </x:c>
      <x:c r="D7" s="1">
        <x:f t="shared" si="0"/>
        <x:v>3.0638048784501448</x:v>
      </x:c>
      <x:c r="E7" s="1">
        <x:f t="shared" si="1"/>
        <x:v>6.2579335554766047</x:v>
      </x:c>
      <x:c r="F7" s="1">
        <x:f t="shared" si="2"/>
        <x:v>7.9524695827319525E-2</x:v>
      </x:c>
      <x:c r="G7" s="1">
        <x:f t="shared" si="3"/>
        <x:v>0</x:v>
      </x:c>
      <x:c r="H7" s="1">
        <x:f t="shared" si="4"/>
        <x:v>8.4520729373741998E-2</x:v>
      </x:c>
      <x:c r="I7">
        <x:f t="shared" si="5"/>
        <x:v>1.0920292805736746E-2</x:v>
      </x:c>
      <x:c r="K7" s="1">
        <x:v>-2.0446029639244001</x:v>
      </x:c>
      <x:c r="L7" s="1">
        <x:v>5050.7610742187499</x:v>
      </x:c>
      <x:c r="M7" s="1">
        <x:v>3275.5728542914098</x:v>
      </x:c>
      <x:c r="N7" s="1">
        <x:f t="shared" si="6"/>
        <x:v>3.0669044458866002</x:v>
      </x:c>
      <x:c r="O7" s="1">
        <x:f t="shared" si="7"/>
        <x:v>6.2706019201326626</x:v>
      </x:c>
      <x:c r="P7" s="1">
        <x:f t="shared" si="8"/>
        <x:v>7.9687178327391112E-2</x:v>
      </x:c>
      <x:c r="Q7" s="1">
        <x:f t="shared" si="9"/>
        <x:v>0</x:v>
      </x:c>
      <x:c r="R7" s="1">
        <x:f t="shared" si="10"/>
        <x:v>8.4973209938928179E-2</x:v>
      </x:c>
      <x:c r="S7">
        <x:f t="shared" si="11"/>
        <x:v>1.0978754443459828E-2</x:v>
      </x:c>
      <x:c r="AC7" s="1">
        <x:v>5000</x:v>
      </x:c>
      <x:c r="AD7" s="1">
        <x:v>2.7120000000000002</x:v>
      </x:c>
      <x:c r="AE7" s="1">
        <x:v>0</x:v>
      </x:c>
      <x:c r="AF7" s="1">
        <x:v>523.59877559829795</x:v>
      </x:c>
      <x:c r="AG7" s="1">
        <x:v>26.237278455645502</x:v>
      </x:c>
      <x:c r="AH7" s="1">
        <x:v>9.1060634946065599E-3</x:v>
      </x:c>
      <x:c r="AI7" s="1">
        <x:v>9.1060634946065599E-3</x:v>
      </x:c>
      <x:c r="AJ7" s="1">
        <x:v>8.6576346091804701E-2</x:v>
      </x:c>
      <x:c r="AK7" s="1">
        <x:v>5.2589873204779702E-2</x:v>
      </x:c>
      <x:c r="AL7" s="1">
        <x:v>0</x:v>
      </x:c>
      <x:c r="AM7" s="1">
        <x:v>3.3986472887024902E-2</x:v>
      </x:c>
      <x:c r="AN7" s="1">
        <x:v>0</x:v>
      </x:c>
      <x:c r="AO7" s="1">
        <x:v>7</x:v>
      </x:c>
      <x:c r="AP7" s="1" t="b">
        <x:v>1</x:v>
      </x:c>
      <x:c r="AQ7" s="1">
        <x:v>-22.0101535920539</x:v>
      </x:c>
      <x:c r="AR7" s="1">
        <x:v>4.3311317554037796</x:v>
      </x:c>
      <x:c r="AS7">
        <x:f t="shared" si="12"/>
        <x:v>7.0586277433320854E-2</x:v>
      </x:c>
      <x:c r="AT7">
        <x:f t="shared" si="13"/>
        <x:v>0.10677165354330712</x:v>
      </x:c>
    </x:row>
    <x:row r="8">
      <x:c r="A8" s="1">
        <x:v>-2.7283774980476898</x:v>
      </x:c>
      <x:c r="B8" s="1">
        <x:v>5064.9541538783396</x:v>
      </x:c>
      <x:c r="C8" s="1">
        <x:v>3283.9019607843102</x:v>
      </x:c>
      <x:c r="D8" s="1">
        <x:f t="shared" si="0"/>
        <x:v>4.0925662470715345</x:v>
      </x:c>
      <x:c r="E8" s="1">
        <x:f t="shared" si="1"/>
        <x:v>11.166065657779457</x:v>
      </x:c>
      <x:c r="F8" s="1">
        <x:f t="shared" si="2"/>
        <x:v>0.10603890348026193</x:v>
      </x:c>
      <x:c r="G8" s="1">
        <x:f t="shared" si="3"/>
        <x:v>0</x:v>
      </x:c>
      <x:c r="H8" s="1">
        <x:f t="shared" si="4"/>
        <x:v>8.4700342072742907E-2</x:v>
      </x:c>
      <x:c r="I8">
        <x:f t="shared" si="5"/>
        <x:v>1.0943499222425905E-2</x:v>
      </x:c>
      <x:c r="K8" s="1">
        <x:v>-2.7296824161320501</x:v>
      </x:c>
      <x:c r="L8" s="1">
        <x:v>5084.6561834161903</x:v>
      </x:c>
      <x:c r="M8" s="1">
        <x:v>3290.7602739725999</x:v>
      </x:c>
      <x:c r="N8" s="1">
        <x:f t="shared" si="6"/>
        <x:v>4.0945236241980751</x:v>
      </x:c>
      <x:c r="O8" s="1">
        <x:f t="shared" si="7"/>
        <x:v>11.176749139410759</x:v>
      </x:c>
      <x:c r="P8" s="1">
        <x:f t="shared" si="8"/>
        <x:v>0.10567854323095897</x:v>
      </x:c>
      <x:c r="Q8" s="1">
        <x:f t="shared" si="9"/>
        <x:v>0</x:v>
      </x:c>
      <x:c r="R8" s="1">
        <x:f t="shared" si="10"/>
        <x:v>8.4237716939821058E-2</x:v>
      </x:c>
      <x:c r="S8">
        <x:f t="shared" si="11"/>
        <x:v>1.0883726880797615E-2</x:v>
      </x:c>
      <x:c r="AC8" s="1">
        <x:v>5000</x:v>
      </x:c>
      <x:c r="AD8" s="1">
        <x:v>3.39</x:v>
      </x:c>
      <x:c r="AE8" s="1">
        <x:v>0</x:v>
      </x:c>
      <x:c r="AF8" s="1">
        <x:v>523.59877559829795</x:v>
      </x:c>
      <x:c r="AG8" s="1">
        <x:v>24.8586436085345</x:v>
      </x:c>
      <x:c r="AH8" s="1">
        <x:v>8.6275864118979598E-3</x:v>
      </x:c>
      <x:c r="AI8" s="1">
        <x:v>8.6275864118979598E-3</x:v>
      </x:c>
      <x:c r="AJ8" s="1">
        <x:v>9.0270530426459994E-2</x:v>
      </x:c>
      <x:c r="AK8" s="1">
        <x:v>4.7787439317678898E-2</x:v>
      </x:c>
      <x:c r="AL8" s="1">
        <x:v>0</x:v>
      </x:c>
      <x:c r="AM8" s="1">
        <x:v>4.2483091108781103E-2</x:v>
      </x:c>
      <x:c r="AN8" s="1">
        <x:v>0</x:v>
      </x:c>
      <x:c r="AO8" s="1">
        <x:v>6</x:v>
      </x:c>
      <x:c r="AP8" s="1" t="b">
        <x:v>1</x:v>
      </x:c>
      <x:c r="AQ8" s="1">
        <x:v>-23.106743762052801</x:v>
      </x:c>
      <x:c r="AR8" s="1">
        <x:v>4.0277799535115504</x:v>
      </x:c>
      <x:c r="AS8">
        <x:f t="shared" si="12"/>
        <x:v>6.6877329420212961E-2</x:v>
      </x:c>
      <x:c r="AT8">
        <x:f t="shared" si="13"/>
        <x:v>0.13346456692913383</x:v>
      </x:c>
    </x:row>
    <x:row r="9">
      <x:c r="A9" s="1">
        <x:v>-3.4022169763391599</x:v>
      </x:c>
      <x:c r="B9" s="1">
        <x:v>5062.6141826923003</x:v>
      </x:c>
      <x:c r="C9" s="1">
        <x:v>3312.4478178368099</x:v>
      </x:c>
      <x:c r="D9" s="1">
        <x:f t="shared" si="0"/>
        <x:v>5.1033254645087398</x:v>
      </x:c>
      <x:c r="E9" s="1">
        <x:f t="shared" si="1"/>
        <x:v>17.362620531135565</x:v>
      </x:c>
      <x:c r="F9" s="1">
        <x:f t="shared" si="2"/>
        <x:v>0.13228891775665683</x:v>
      </x:c>
      <x:c r="G9" s="1">
        <x:f t="shared" si="3"/>
        <x:v>0</x:v>
      </x:c>
      <x:c r="H9" s="1">
        <x:f t="shared" si="4"/>
        <x:v>8.5524952398190177E-2</x:v>
      </x:c>
      <x:c r="I9">
        <x:f t="shared" si="5"/>
        <x:v>1.105004096989118E-2</x:v>
      </x:c>
      <x:c r="K9" s="1">
        <x:v>-3.41516299177359</x:v>
      </x:c>
      <x:c r="L9" s="1">
        <x:v>5096.06080845424</x:v>
      </x:c>
      <x:c r="M9" s="1">
        <x:v>3317.4926199261899</x:v>
      </x:c>
      <x:c r="N9" s="1">
        <x:f t="shared" si="6"/>
        <x:v>5.1227444876603849</x:v>
      </x:c>
      <x:c r="O9" s="1">
        <x:f t="shared" si="7"/>
        <x:v>17.495007390569906</x:v>
      </x:c>
      <x:c r="P9" s="1">
        <x:f t="shared" si="8"/>
        <x:v>0.13192075305846046</x:v>
      </x:c>
      <x:c r="Q9" s="1">
        <x:f t="shared" si="9"/>
        <x:v>0</x:v>
      </x:c>
      <x:c r="R9" s="1">
        <x:f t="shared" si="10"/>
        <x:v>8.4550841249354941E-2</x:v>
      </x:c>
      <x:c r="S9">
        <x:f t="shared" si="11"/>
        <x:v>1.09241833365102E-2</x:v>
      </x:c>
      <x:c r="AC9" s="1">
        <x:v>5000</x:v>
      </x:c>
      <x:c r="AD9" s="1">
        <x:v>4.0679999999999996</x:v>
      </x:c>
      <x:c r="AE9" s="1">
        <x:v>0</x:v>
      </x:c>
      <x:c r="AF9" s="1">
        <x:v>523.59877559829795</x:v>
      </x:c>
      <x:c r="AG9" s="1">
        <x:v>23.404777526630099</x:v>
      </x:c>
      <x:c r="AH9" s="1">
        <x:v>8.1229991363214495E-3</x:v>
      </x:c>
      <x:c r="AI9" s="1">
        <x:v>8.1229991363214495E-3</x:v>
      </x:c>
      <x:c r="AJ9" s="1">
        <x:v>9.41282983190629E-2</x:v>
      </x:c>
      <x:c r="AK9" s="1">
        <x:v>4.3148588988525499E-2</x:v>
      </x:c>
      <x:c r="AL9" s="1">
        <x:v>0</x:v>
      </x:c>
      <x:c r="AM9" s="1">
        <x:v>5.0979709330537297E-2</x:v>
      </x:c>
      <x:c r="AN9" s="1">
        <x:v>0</x:v>
      </x:c>
      <x:c r="AO9" s="1">
        <x:v>6</x:v>
      </x:c>
      <x:c r="AP9" s="1" t="b">
        <x:v>1</x:v>
      </x:c>
      <x:c r="AQ9" s="1">
        <x:v>-24.2229476459616</x:v>
      </x:c>
      <x:c r="AR9" s="1">
        <x:v>3.7083260761297399</x:v>
      </x:c>
      <x:c r="AS9">
        <x:f t="shared" si="12"/>
        <x:v>6.296598645140293E-2</x:v>
      </x:c>
      <x:c r="AT9">
        <x:f t="shared" si="13"/>
        <x:v>0.16015748031496063</x:v>
      </x:c>
    </x:row>
    <x:row r="10">
      <x:c r="A10" s="1">
        <x:v>-4.0893938328960102</x:v>
      </x:c>
      <x:c r="B10" s="1">
        <x:v>5086.4595356602804</x:v>
      </x:c>
      <x:c r="C10" s="1">
        <x:v>3337.8446280991702</x:v>
      </x:c>
      <x:c r="D10" s="1">
        <x:f t="shared" si="0"/>
        <x:v>6.1340907493440149</x:v>
      </x:c>
      <x:c r="E10" s="1">
        <x:f t="shared" si="1"/>
        <x:v>25.084712880791884</x:v>
      </x:c>
      <x:c r="F10" s="1">
        <x:f t="shared" si="2"/>
        <x:v>0.15826308660463048</x:v>
      </x:c>
      <x:c r="G10" s="1">
        <x:f t="shared" si="3"/>
        <x:v>0</x:v>
      </x:c>
      <x:c r="H10" s="1">
        <x:f t="shared" si="4"/>
        <x:v>8.5382704742986426E-2</x:v>
      </x:c>
      <x:c r="I10">
        <x:f t="shared" si="5"/>
        <x:v>1.1031662211718311E-2</x:v>
      </x:c>
      <x:c r="K10" s="1">
        <x:v>-4.0871645469497402</x:v>
      </x:c>
      <x:c r="L10" s="1">
        <x:v>5099.1760360054304</x:v>
      </x:c>
      <x:c r="M10" s="1">
        <x:v>3345.0811403508701</x:v>
      </x:c>
      <x:c r="N10" s="1">
        <x:f t="shared" si="6"/>
        <x:v>6.1307468204246103</x:v>
      </x:c>
      <x:c r="O10" s="1">
        <x:f t="shared" si="7"/>
        <x:v>25.057371050764313</x:v>
      </x:c>
      <x:c r="P10" s="1">
        <x:f t="shared" si="8"/>
        <x:v>0.15778234454075241</x:v>
      </x:c>
      <x:c r="Q10" s="1">
        <x:f t="shared" si="9"/>
        <x:v>0</x:v>
      </x:c>
      <x:c r="R10" s="1">
        <x:f t="shared" si="10"/>
        <x:v>8.5158523711176201E-2</x:v>
      </x:c>
      <x:c r="S10">
        <x:f t="shared" si="11"/>
        <x:v>1.1002697453285684E-2</x:v>
      </x:c>
      <x:c r="AC10" s="1">
        <x:v>5000</x:v>
      </x:c>
      <x:c r="AD10" s="1">
        <x:v>4.7460000000000004</x:v>
      </x:c>
      <x:c r="AE10" s="1">
        <x:v>0</x:v>
      </x:c>
      <x:c r="AF10" s="1">
        <x:v>523.59877559829795</x:v>
      </x:c>
      <x:c r="AG10" s="1">
        <x:v>21.864632774810701</x:v>
      </x:c>
      <x:c r="AH10" s="1">
        <x:v>7.5884674803548702E-3</x:v>
      </x:c>
      <x:c r="AI10" s="1">
        <x:v>7.5884674803548702E-3</x:v>
      </x:c>
      <x:c r="AJ10" s="1">
        <x:v>9.8138365725617599E-2</x:v>
      </x:c>
      <x:c r="AK10" s="1">
        <x:v>3.86620381733239E-2</x:v>
      </x:c>
      <x:c r="AL10" s="1">
        <x:v>0</x:v>
      </x:c>
      <x:c r="AM10" s="1">
        <x:v>5.9476327552293602E-2</x:v>
      </x:c>
      <x:c r="AN10" s="1">
        <x:v>0</x:v>
      </x:c>
      <x:c r="AO10" s="1">
        <x:v>5</x:v>
      </x:c>
      <x:c r="AP10" s="1" t="b">
        <x:v>1</x:v>
      </x:c>
      <x:c r="AQ10" s="1">
        <x:v>-25.352579108231801</x:v>
      </x:c>
      <x:c r="AR10" s="1">
        <x:v>3.3740412536818201</x:v>
      </x:c>
      <x:c r="AS10">
        <x:f t="shared" si="12"/>
        <x:v>5.8822527558622655E-2</x:v>
      </x:c>
      <x:c r="AT10">
        <x:f t="shared" si="13"/>
        <x:v>0.18685039370078743</x:v>
      </x:c>
    </x:row>
    <x:row r="11">
      <x:c r="A11" s="1">
        <x:v>-4.7649840516864099</x:v>
      </x:c>
      <x:c r="B11" s="1">
        <x:v>5117.3192274305502</x:v>
      </x:c>
      <x:c r="C11" s="1">
        <x:v>3383.7037735848999</x:v>
      </x:c>
      <x:c r="D11" s="1">
        <x:f t="shared" si="0"/>
        <x:v>7.1474760775296149</x:v>
      </x:c>
      <x:c r="E11" s="1">
        <x:f t="shared" si="1"/>
        <x:v>34.057609519238753</x:v>
      </x:c>
      <x:c r="F11" s="1">
        <x:f t="shared" si="2"/>
        <x:v>0.18329694608937172</x:v>
      </x:c>
      <x:c r="G11" s="1">
        <x:f t="shared" si="3"/>
        <x:v>0</x:v>
      </x:c>
      <x:c r="H11" s="1">
        <x:f t="shared" si="4"/>
        <x:v>8.5529450123184803E-2</x:v>
      </x:c>
      <x:c r="I11">
        <x:f t="shared" si="5"/>
        <x:v>1.1050622087378746E-2</x:v>
      </x:c>
      <x:c r="K11" s="1">
        <x:v>-4.7565097785463504</x:v>
      </x:c>
      <x:c r="L11" s="1">
        <x:v>5079.8833740234304</x:v>
      </x:c>
      <x:c r="M11" s="1">
        <x:v>3380.3707317073099</x:v>
      </x:c>
      <x:c r="N11" s="1">
        <x:f t="shared" si="6"/>
        <x:v>7.1347646678195256</x:v>
      </x:c>
      <x:c r="O11" s="1">
        <x:f t="shared" si="7"/>
        <x:v>33.936577910110572</x:v>
      </x:c>
      <x:c r="P11" s="1">
        <x:f t="shared" si="8"/>
        <x:v>0.18431935412857681</x:v>
      </x:c>
      <x:c r="Q11" s="1">
        <x:f t="shared" si="9"/>
        <x:v>0</x:v>
      </x:c>
      <x:c r="R11" s="1">
        <x:f t="shared" si="10"/>
        <x:v>8.6722929707009636E-2</x:v>
      </x:c>
      <x:c r="S11">
        <x:f t="shared" si="11"/>
        <x:v>1.1204822679465508E-2</x:v>
      </x:c>
      <x:c r="AC11" s="1">
        <x:v>5000</x:v>
      </x:c>
      <x:c r="AD11" s="1">
        <x:v>5.4240000000000004</x:v>
      </x:c>
      <x:c r="AE11" s="1">
        <x:v>0</x:v>
      </x:c>
      <x:c r="AF11" s="1">
        <x:v>523.59877559829795</x:v>
      </x:c>
      <x:c r="AG11" s="1">
        <x:v>20.2627501904845</x:v>
      </x:c>
      <x:c r="AH11" s="1">
        <x:v>7.0325087307293197E-3</x:v>
      </x:c>
      <x:c r="AI11" s="1">
        <x:v>7.0325087307293197E-3</x:v>
      </x:c>
      <x:c r="AJ11" s="1">
        <x:v>0.1023336547737</x:v>
      </x:c>
      <x:c r="AK11" s="1">
        <x:v>3.4360708999651102E-2</x:v>
      </x:c>
      <x:c r="AL11" s="1">
        <x:v>0</x:v>
      </x:c>
      <x:c r="AM11" s="1">
        <x:v>6.7972945774049803E-2</x:v>
      </x:c>
      <x:c r="AN11" s="1">
        <x:v>0</x:v>
      </x:c>
      <x:c r="AO11" s="1">
        <x:v>5</x:v>
      </x:c>
      <x:c r="AP11" s="1" t="b">
        <x:v>1</x:v>
      </x:c>
      <x:c r="AQ11" s="1">
        <x:v>-26.501330352000998</x:v>
      </x:c>
      <x:c r="AR11" s="1">
        <x:v>3.0216708117125899</x:v>
      </x:c>
      <x:c r="AS11">
        <x:f t="shared" si="12"/>
        <x:v>5.4512975075730948E-2</x:v>
      </x:c>
      <x:c r="AT11">
        <x:f t="shared" si="13"/>
        <x:v>0.21354330708661423</x:v>
      </x:c>
    </x:row>
    <x:row r="12">
      <x:c r="A12" s="1">
        <x:v>-5.4442717964584704</x:v>
      </x:c>
      <x:c r="B12" s="1">
        <x:v>5126.3362630208303</x:v>
      </x:c>
      <x:c r="C12" s="1">
        <x:v>3427.0054054053999</x:v>
      </x:c>
      <x:c r="D12" s="1">
        <x:f t="shared" si="0"/>
        <x:v>8.166407694687706</x:v>
      </x:c>
      <x:c r="E12" s="1">
        <x:f t="shared" si="1"/>
        <x:v>44.460143090569709</x:v>
      </x:c>
      <x:c r="F12" s="1">
        <x:f t="shared" si="2"/>
        <x:v>0.20905906120083723</x:v>
      </x:c>
      <x:c r="G12" s="1">
        <x:f t="shared" si="3"/>
        <x:v>0</x:v>
      </x:c>
      <x:c r="H12" s="1">
        <x:f t="shared" si="4"/>
        <x:v>8.6332924194354815E-2</x:v>
      </x:c>
      <x:c r="I12">
        <x:f t="shared" si="5"/>
        <x:v>1.1154432977133323E-2</x:v>
      </x:c>
      <x:c r="K12" s="1">
        <x:v>-5.44403909083983</x:v>
      </x:c>
      <x:c r="L12" s="1">
        <x:v>5084.59814453125</x:v>
      </x:c>
      <x:c r="M12" s="1">
        <x:v>3423.8087954110802</x:v>
      </x:c>
      <x:c r="N12" s="1">
        <x:f t="shared" si="6"/>
        <x:v>8.1660586362597449</x:v>
      </x:c>
      <x:c r="O12" s="1">
        <x:f t="shared" si="7"/>
        <x:v>44.456342433888246</x:v>
      </x:c>
      <x:c r="P12" s="1">
        <x:f t="shared" si="8"/>
        <x:v>0.21076616241677323</x:v>
      </x:c>
      <x:c r="Q12" s="1">
        <x:f t="shared" si="9"/>
        <x:v>0</x:v>
      </x:c>
      <x:c r="R12" s="1">
        <x:f t="shared" si="10"/>
        <x:v>8.768800660652612E-2</x:v>
      </x:c>
      <x:c r="S12">
        <x:f t="shared" si="11"/>
        <x:v>1.1329513064899483E-2</x:v>
      </x:c>
      <x:c r="AC12" s="1">
        <x:v>5000</x:v>
      </x:c>
      <x:c r="AD12" s="1">
        <x:v>6.1020000000000003</x:v>
      </x:c>
      <x:c r="AE12" s="1">
        <x:v>0</x:v>
      </x:c>
      <x:c r="AF12" s="1">
        <x:v>523.59877559829795</x:v>
      </x:c>
      <x:c r="AG12" s="1">
        <x:v>18.608298502573401</x:v>
      </x:c>
      <x:c r="AH12" s="1">
        <x:v>6.45830504019236E-3</x:v>
      </x:c>
      <x:c r="AI12" s="1">
        <x:v>6.45830504019236E-3</x:v>
      </x:c>
      <x:c r="AJ12" s="1">
        <x:v>0.10672608208673801</x:v>
      </x:c>
      <x:c r="AK12" s="1">
        <x:v>3.0256518090932102E-2</x:v>
      </x:c>
      <x:c r="AL12" s="1">
        <x:v>0</x:v>
      </x:c>
      <x:c r="AM12" s="1">
        <x:v>7.6469563995806095E-2</x:v>
      </x:c>
      <x:c r="AN12" s="1">
        <x:v>0</x:v>
      </x:c>
      <x:c r="AO12" s="1">
        <x:v>6</x:v>
      </x:c>
      <x:c r="AP12" s="1" t="b">
        <x:v>1</x:v>
      </x:c>
      <x:c r="AQ12" s="1">
        <x:v>-27.668504780946201</x:v>
      </x:c>
      <x:c r="AR12" s="1">
        <x:v>2.7482597768812198</x:v>
      </x:c>
      <x:c r="AS12">
        <x:f t="shared" si="12"/>
        <x:v>5.0061995678597968E-2</x:v>
      </x:c>
      <x:c r="AT12">
        <x:f t="shared" si="13"/>
        <x:v>0.24023622047244095</x:v>
      </x:c>
    </x:row>
    <x:row r="13">
      <x:c r="A13" s="1">
        <x:v>-6.1058131690718103</x:v>
      </x:c>
      <x:c r="B13" s="1">
        <x:v>5102.9222783627702</x:v>
      </x:c>
      <x:c r="C13" s="1">
        <x:v>3480.16059957173</x:v>
      </x:c>
      <x:c r="D13" s="1">
        <x:f t="shared" si="0"/>
        <x:v>9.1587197536077163</x:v>
      </x:c>
      <x:c r="E13" s="1">
        <x:f t="shared" si="1"/>
        <x:v>55.92143168341611</x:v>
      </x:c>
      <x:c r="F13" s="1">
        <x:f t="shared" si="2"/>
        <x:v>0.23553792525738174</x:v>
      </x:c>
      <x:c r="G13" s="1">
        <x:f t="shared" si="3"/>
        <x:v>0</x:v>
      </x:c>
      <x:c r="H13" s="1">
        <x:f t="shared" si="4"/>
        <x:v>8.8494798614499062E-2</x:v>
      </x:c>
      <x:c r="I13">
        <x:f t="shared" si="5"/>
        <x:v>1.1433752640512161E-2</x:v>
      </x:c>
      <x:c r="K13" s="1">
        <x:v>-6.1185597160647998</x:v>
      </x:c>
      <x:c r="L13" s="1">
        <x:v>5120.8605685763796</x:v>
      </x:c>
      <x:c r="M13" s="1">
        <x:v>3469.57471264367</x:v>
      </x:c>
      <x:c r="N13" s="1">
        <x:f t="shared" si="6"/>
        <x:v>9.1778395740971987</x:v>
      </x:c>
      <x:c r="O13" s="1">
        <x:f t="shared" si="7"/>
        <x:v>56.155159498576452</x:v>
      </x:c>
      <x:c r="P13" s="1">
        <x:f t="shared" si="8"/>
        <x:v>0.23520282828633493</x:v>
      </x:c>
      <x:c r="Q13" s="1">
        <x:f t="shared" si="9"/>
        <x:v>0</x:v>
      </x:c>
      <x:c r="R13" s="1">
        <x:f t="shared" si="10"/>
        <x:v>8.7619937470352044E-2</x:v>
      </x:c>
      <x:c r="S13">
        <x:f t="shared" si="11"/>
        <x:v>1.132071835970039E-2</x:v>
      </x:c>
      <x:c r="AC13" s="1">
        <x:v>5000</x:v>
      </x:c>
      <x:c r="AD13" s="1">
        <x:v>6.78</x:v>
      </x:c>
      <x:c r="AE13" s="1">
        <x:v>0</x:v>
      </x:c>
      <x:c r="AF13" s="1">
        <x:v>523.59877559829795</x:v>
      </x:c>
      <x:c r="AG13" s="1">
        <x:v>16.888597718897302</x:v>
      </x:c>
      <x:c r="AH13" s="1">
        <x:v>5.8614556164096098E-3</x:v>
      </x:c>
      <x:c r="AI13" s="1">
        <x:v>5.8614556164096098E-3</x:v>
      </x:c>
      <x:c r="AJ13" s="1">
        <x:v>0.111298411955895</x:v>
      </x:c>
      <x:c r="AK13" s="1">
        <x:v>2.63322297383329E-2</x:v>
      </x:c>
      <x:c r="AL13" s="1">
        <x:v>0</x:v>
      </x:c>
      <x:c r="AM13" s="1">
        <x:v>8.4966182217562303E-2</x:v>
      </x:c>
      <x:c r="AN13" s="1">
        <x:v>0</x:v>
      </x:c>
      <x:c r="AO13" s="1">
        <x:v>7</x:v>
      </x:c>
      <x:c r="AP13" s="1" t="b">
        <x:v>1</x:v>
      </x:c>
      <x:c r="AQ13" s="1">
        <x:v>-28.8460610621947</x:v>
      </x:c>
      <x:c r="AR13" s="1">
        <x:v>2.5138120406382698</x:v>
      </x:c>
      <x:c r="AS13">
        <x:f t="shared" si="12"/>
        <x:v>4.5435476322786342E-2</x:v>
      </x:c>
      <x:c r="AT13">
        <x:f t="shared" si="13"/>
        <x:v>0.26692913385826766</x:v>
      </x:c>
    </x:row>
    <x:row r="14">
      <x:c r="A14" s="1">
        <x:v>-6.7553766859902202</x:v>
      </x:c>
      <x:c r="B14" s="1">
        <x:v>5129.5445692274297</x:v>
      </x:c>
      <x:c r="C14" s="1">
        <x:v>3532.9303621169902</x:v>
      </x:c>
      <x:c r="D14" s="1">
        <x:f t="shared" si="0"/>
        <x:v>10.13306502898533</x:v>
      </x:c>
      <x:c r="E14" s="1">
        <x:f t="shared" si="1"/>
        <x:v>68.452671254430314</x:v>
      </x:c>
      <x:c r="F14" s="1">
        <x:f t="shared" si="2"/>
        <x:v>0.25924300730553529</x:v>
      </x:c>
      <x:c r="G14" s="1">
        <x:f t="shared" si="3"/>
        <x:v>0</x:v>
      </x:c>
      <x:c r="H14" s="1">
        <x:f t="shared" si="4"/>
        <x:v>8.8922437359600842E-2</x:v>
      </x:c>
      <x:c r="I14">
        <x:f t="shared" si="5"/>
        <x:v>1.1489004652015035E-2</x:v>
      </x:c>
      <x:c r="K14" s="1">
        <x:v>-6.742</x:v>
      </x:c>
      <x:c r="L14" s="1">
        <x:v>5129.7</x:v>
      </x:c>
      <x:c r="M14" s="1">
        <x:v>3532.3</x:v>
      </x:c>
      <x:c r="N14" s="1">
        <x:f t="shared" si="6"/>
        <x:v>10.113</x:v>
      </x:c>
      <x:c r="O14" s="1">
        <x:f t="shared" si="7"/>
        <x:v>68.181845999999993</x:v>
      </x:c>
      <x:c r="P14" s="1">
        <x:f t="shared" si="8"/>
        <x:v>0.25872182668201044</x:v>
      </x:c>
      <x:c r="Q14" s="1">
        <x:f t="shared" si="9"/>
        <x:v>0</x:v>
      </x:c>
      <x:c r="R14" s="1">
        <x:f t="shared" si="10"/>
        <x:v>8.8915485693236596E-2</x:v>
      </x:c>
      <x:c r="S14">
        <x:f t="shared" si="11"/>
        <x:v>1.1488106479072753E-2</x:v>
      </x:c>
      <x:c r="AC14" s="1">
        <x:v>5000</x:v>
      </x:c>
      <x:c r="AD14" s="1">
        <x:v>0</x:v>
      </x:c>
      <x:c r="AE14" s="1">
        <x:v>15</x:v>
      </x:c>
      <x:c r="AF14" s="1">
        <x:v>523.59877559829795</x:v>
      </x:c>
      <x:c r="AG14" s="1">
        <x:v>31.092246169528199</x:v>
      </x:c>
      <x:c r="AH14" s="1">
        <x:v>1.07910570179103E-2</x:v>
      </x:c>
      <x:c r="AI14" s="1">
        <x:v>1.07910570179103E-2</x:v>
      </x:c>
      <x:c r="AJ14" s="1">
        <x:v>7.3454261340129903E-2</x:v>
      </x:c>
      <x:c r="AK14" s="1">
        <x:v>7.3454261340129903E-2</x:v>
      </x:c>
      <x:c r="AL14" s="1">
        <x:v>0</x:v>
      </x:c>
      <x:c r="AM14" s="1">
        <x:v>0</x:v>
      </x:c>
      <x:c r="AN14" s="1">
        <x:v>0</x:v>
      </x:c>
      <x:c r="AO14" s="1">
        <x:v>11</x:v>
      </x:c>
      <x:c r="AP14" s="1" t="b">
        <x:v>1</x:v>
      </x:c>
      <x:c r="AQ14" s="1">
        <x:v>-17.886333046690499</x:v>
      </x:c>
      <x:c r="AR14" s="1">
        <x:v>5.9826990104032403</x:v>
      </x:c>
      <x:c r="AS14">
        <x:f t="shared" si="12"/>
        <x:v>8.3647620611930595E-2</x:v>
      </x:c>
      <x:c r="AT14">
        <x:f t="shared" si="13"/>
        <x:v>0</x:v>
      </x:c>
    </x:row>
    <x:row r="15">
      <x:c r="A15" s="1">
        <x:v>-6.1256723184112101</x:v>
      </x:c>
      <x:c r="B15" s="1">
        <x:v>5145.2897600446404</x:v>
      </x:c>
      <x:c r="C15" s="1">
        <x:v>3475.58510638297</x:v>
      </x:c>
      <x:c r="D15" s="1">
        <x:f t="shared" si="0"/>
        <x:v>9.1885084776168142</x:v>
      </x:c>
      <x:c r="E15" s="1">
        <x:f t="shared" si="1"/>
        <x:v>56.285792028824048</x:v>
      </x:c>
      <x:c r="F15" s="1">
        <x:f t="shared" si="2"/>
        <x:v>0.23435823127496708</x:v>
      </x:c>
      <x:c r="G15" s="1">
        <x:f t="shared" si="3"/>
        <x:v>0</x:v>
      </x:c>
      <x:c r="H15" s="1">
        <x:f t="shared" si="4"/>
        <x:v>8.6927619318199534E-2</x:v>
      </x:c>
      <x:c r="I15">
        <x:f t="shared" si="5"/>
        <x:v>1.123126909687161E-2</x:v>
      </x:c>
      <x:c r="K15" s="1">
        <x:v>-6.1278296839984101</x:v>
      </x:c>
      <x:c r="L15" s="1">
        <x:v>5125.7302102481599</x:v>
      </x:c>
      <x:c r="M15" s="1">
        <x:v>3469.3554913294702</x:v>
      </x:c>
      <x:c r="N15" s="1">
        <x:f t="shared" si="6"/>
        <x:v>9.1917445259976152</x:v>
      </x:c>
      <x:c r="O15" s="1">
        <x:f t="shared" si="7"/>
        <x:v>56.325444954138085</x:v>
      </x:c>
      <x:c r="P15" s="1">
        <x:f t="shared" si="8"/>
        <x:v>0.23533538371073529</x:v>
      </x:c>
      <x:c r="Q15" s="1">
        <x:f t="shared" si="9"/>
        <x:v>0</x:v>
      </x:c>
      <x:c r="R15" s="1">
        <x:f t="shared" si="10"/>
        <x:v>8.7447940924340786E-2</x:v>
      </x:c>
      <x:c r="S15">
        <x:f t="shared" si="11"/>
        <x:v>1.1298495969312431E-2</x:v>
      </x:c>
      <x:c r="AC15" s="1">
        <x:v>5000</x:v>
      </x:c>
      <x:c r="AD15" s="1">
        <x:v>0.67800000000000005</x:v>
      </x:c>
      <x:c r="AE15" s="1">
        <x:v>15</x:v>
      </x:c>
      <x:c r="AF15" s="1">
        <x:v>523.59877559829795</x:v>
      </x:c>
      <x:c r="AG15" s="1">
        <x:v>29.969056203511801</x:v>
      </x:c>
      <x:c r="AH15" s="1">
        <x:v>1.0401236131405599E-2</x:v>
      </x:c>
      <x:c r="AI15" s="1">
        <x:v>1.0401236131405599E-2</x:v>
      </x:c>
      <x:c r="AJ15" s="1">
        <x:v>7.6320605142624995E-2</x:v>
      </x:c>
      <x:c r="AK15" s="1">
        <x:v>6.8113502166112394E-2</x:v>
      </x:c>
      <x:c r="AL15" s="1">
        <x:v>1.2</x:v>
      </x:c>
      <x:c r="AM15" s="1">
        <x:v>8.2071029765126407E-3</x:v>
      </x:c>
      <x:c r="AN15" s="1">
        <x:v>2.1990866147556199E-3</x:v>
      </x:c>
      <x:c r="AO15" s="1">
        <x:v>11</x:v>
      </x:c>
      <x:c r="AP15" s="1" t="b">
        <x:v>1</x:v>
      </x:c>
      <x:c r="AQ15" s="1">
        <x:v>-22.3733391622958</x:v>
      </x:c>
      <x:c r="AR15" s="1">
        <x:v>9.97382102659898</x:v>
      </x:c>
      <x:c r="AS15">
        <x:f t="shared" si="12"/>
        <x:v>8.0625897200884603E-2</x:v>
      </x:c>
      <x:c r="AT15">
        <x:f t="shared" si="13"/>
        <x:v>2.6692913385826779E-2</x:v>
      </x:c>
    </x:row>
    <x:row r="16">
      <x:c r="A16" s="1">
        <x:v>-5.4498580337440803</x:v>
      </x:c>
      <x:c r="B16" s="1">
        <x:v>5101.23191550925</x:v>
      </x:c>
      <x:c r="C16" s="1">
        <x:v>3419.5318761384301</x:v>
      </x:c>
      <x:c r="D16" s="1">
        <x:f t="shared" si="0"/>
        <x:v>8.1747870506161213</x:v>
      </x:c>
      <x:c r="E16" s="1">
        <x:f t="shared" si="1"/>
        <x:v>44.551428881947338</x:v>
      </x:c>
      <x:c r="F16" s="1">
        <x:f t="shared" si="2"/>
        <x:v>0.21030345558183161</x:v>
      </x:c>
      <x:c r="G16" s="1">
        <x:f t="shared" si="3"/>
        <x:v>0</x:v>
      </x:c>
      <x:c r="H16" s="1">
        <x:f t="shared" si="4"/>
        <x:v>8.6992305183625135E-2</x:v>
      </x:c>
      <x:c r="I16">
        <x:f t="shared" si="5"/>
        <x:v>1.1239626674900976E-2</x:v>
      </x:c>
      <x:c r="K16" s="1">
        <x:v>-5.4466337026814697</x:v>
      </x:c>
      <x:c r="L16" s="1">
        <x:v>5092.3417773437504</x:v>
      </x:c>
      <x:c r="M16" s="1">
        <x:v>3417.3636363636301</x:v>
      </x:c>
      <x:c r="N16" s="1">
        <x:f t="shared" si="6"/>
        <x:v>8.1699505540222042</x:v>
      </x:c>
      <x:c r="O16" s="1">
        <x:f t="shared" si="7"/>
        <x:v>44.498728036778488</x:v>
      </x:c>
      <x:c r="P16" s="1">
        <x:f t="shared" si="8"/>
        <x:v>0.21054596010955245</x:v>
      </x:c>
      <x:c r="Q16" s="1">
        <x:f t="shared" si="9"/>
        <x:v>0</x:v>
      </x:c>
      <x:c r="R16" s="1">
        <x:f t="shared" si="10"/>
        <x:v>8.7254986393176942E-2</x:v>
      </x:c>
      <x:c r="S16">
        <x:f t="shared" si="11"/>
        <x:v>1.1273565754037249E-2</x:v>
      </x:c>
      <x:c r="AC16" s="1">
        <x:v>5000</x:v>
      </x:c>
      <x:c r="AD16" s="1">
        <x:v>1.3560000000000001</x:v>
      </x:c>
      <x:c r="AE16" s="1">
        <x:v>15</x:v>
      </x:c>
      <x:c r="AF16" s="1">
        <x:v>523.59877559829795</x:v>
      </x:c>
      <x:c r="AG16" s="1">
        <x:v>28.849605235556901</x:v>
      </x:c>
      <x:c r="AH16" s="1">
        <x:v>1.0012712923462E-2</x:v>
      </x:c>
      <x:c r="AI16" s="1">
        <x:v>1.0012712923462E-2</x:v>
      </x:c>
      <x:c r="AJ16" s="1">
        <x:v>7.9383241993593104E-2</x:v>
      </x:c>
      <x:c r="AK16" s="1">
        <x:v>6.2969036040567805E-2</x:v>
      </x:c>
      <x:c r="AL16" s="1">
        <x:v>1.2</x:v>
      </x:c>
      <x:c r="AM16" s="1">
        <x:v>1.6414205953025202E-2</x:v>
      </x:c>
      <x:c r="AN16" s="1">
        <x:v>4.3981732295112503E-3</x:v>
      </x:c>
      <x:c r="AO16" s="1">
        <x:v>10</x:v>
      </x:c>
      <x:c r="AP16" s="1" t="b">
        <x:v>1</x:v>
      </x:c>
      <x:c r="AQ16" s="1">
        <x:v>-23.0228668932102</x:v>
      </x:c>
      <x:c r="AR16" s="1">
        <x:v>9.0807219240580999</x:v>
      </x:c>
      <x:c r="AS16">
        <x:f t="shared" si="12"/>
        <x:v>7.761423283445075E-2</x:v>
      </x:c>
      <x:c r="AT16">
        <x:f t="shared" si="13"/>
        <x:v>5.3385826771653558E-2</x:v>
      </x:c>
    </x:row>
    <x:row r="17">
      <x:c r="A17" s="1">
        <x:v>-4.7757444672468203</x:v>
      </x:c>
      <x:c r="B17" s="1">
        <x:v>5121.9005584716797</x:v>
      </x:c>
      <x:c r="C17" s="1">
        <x:v>3366.8751902587501</x:v>
      </x:c>
      <x:c r="D17" s="1">
        <x:f t="shared" si="0"/>
        <x:v>7.1636167008702305</x:v>
      </x:c>
      <x:c r="E17" s="1">
        <x:f t="shared" si="1"/>
        <x:v>34.211602824657923</x:v>
      </x:c>
      <x:c r="F17" s="1">
        <x:f t="shared" si="2"/>
        <x:v>0.18354655032045597</x:v>
      </x:c>
      <x:c r="G17" s="1">
        <x:f t="shared" si="3"/>
        <x:v>0</x:v>
      </x:c>
      <x:c r="H17" s="1">
        <x:f t="shared" si="4"/>
        <x:v>8.4946678207557955E-2</x:v>
      </x:c>
      <x:c r="I17">
        <x:f t="shared" si="5"/>
        <x:v>1.0975326476411357E-2</x:v>
      </x:c>
      <x:c r="K17" s="1">
        <x:v>-4.7739375819330601</x:v>
      </x:c>
      <x:c r="L17" s="1">
        <x:v>5087.8375721806997</x:v>
      </x:c>
      <x:c r="M17" s="1">
        <x:v>3353.58605664488</x:v>
      </x:c>
      <x:c r="N17" s="1">
        <x:f t="shared" si="6"/>
        <x:v>7.1609063728995901</x:v>
      </x:c>
      <x:c r="O17" s="1">
        <x:f t="shared" si="7"/>
        <x:v>34.185720054289305</x:v>
      </x:c>
      <x:c r="P17" s="1">
        <x:f t="shared" si="8"/>
        <x:v>0.18470548227500128</x:v>
      </x:c>
      <x:c r="Q17" s="1">
        <x:f t="shared" si="9"/>
        <x:v>0</x:v>
      </x:c>
      <x:c r="R17" s="1">
        <x:f t="shared" si="10"/>
        <x:v>8.5758656244291395E-2</x:v>
      </x:c>
      <x:c r="S17">
        <x:f t="shared" si="11"/>
        <x:v>1.1080236100105532E-2</x:v>
      </x:c>
      <x:c r="AC17" s="1">
        <x:v>5000</x:v>
      </x:c>
      <x:c r="AD17" s="1">
        <x:v>2.0339999999999998</x:v>
      </x:c>
      <x:c r="AE17" s="1">
        <x:v>15</x:v>
      </x:c>
      <x:c r="AF17" s="1">
        <x:v>523.59877559829795</x:v>
      </x:c>
      <x:c r="AG17" s="1">
        <x:v>27.6750805238506</x:v>
      </x:c>
      <x:c r="AH17" s="1">
        <x:v>9.6050754995248896E-3</x:v>
      </x:c>
      <x:c r="AI17" s="1">
        <x:v>9.6050754995248896E-3</x:v>
      </x:c>
      <x:c r="AJ17" s="1">
        <x:v>8.2587558525687194E-2</x:v>
      </x:c>
      <x:c r="AK17" s="1">
        <x:v>5.7966249596149301E-2</x:v>
      </x:c>
      <x:c r="AL17" s="1">
        <x:v>1.2</x:v>
      </x:c>
      <x:c r="AM17" s="1">
        <x:v>2.46213089295379E-2</x:v>
      </x:c>
      <x:c r="AN17" s="1">
        <x:v>6.5972598442668702E-3</x:v>
      </x:c>
      <x:c r="AO17" s="1">
        <x:v>9</x:v>
      </x:c>
      <x:c r="AP17" s="1" t="b">
        <x:v>1</x:v>
      </x:c>
      <x:c r="AQ17" s="1">
        <x:v>-23.758777033210801</x:v>
      </x:c>
      <x:c r="AR17" s="1">
        <x:v>8.3788825207394595</x:v>
      </x:c>
      <x:c r="AS17">
        <x:f t="shared" si="12"/>
        <x:v>7.4454403308193723E-2</x:v>
      </x:c>
      <x:c r="AT17">
        <x:f t="shared" si="13"/>
        <x:v>8.0078740157480316E-2</x:v>
      </x:c>
    </x:row>
    <x:row r="18">
      <x:c r="A18" s="1">
        <x:v>-4.1007196698869901</x:v>
      </x:c>
      <x:c r="B18" s="1">
        <x:v>5070.0873565673801</x:v>
      </x:c>
      <x:c r="C18" s="1">
        <x:v>3324.7229299362998</x:v>
      </x:c>
      <x:c r="D18" s="1">
        <x:f t="shared" si="0"/>
        <x:v>6.1510795048304852</x:v>
      </x:c>
      <x:c r="E18" s="1">
        <x:f t="shared" si="1"/>
        <x:v>25.223852716497095</x:v>
      </x:c>
      <x:c r="F18" s="1">
        <x:f t="shared" si="2"/>
        <x:v>0.15921388029502076</x:v>
      </x:c>
      <x:c r="G18" s="1">
        <x:f t="shared" si="3"/>
        <x:v>0</x:v>
      </x:c>
      <x:c r="H18" s="1">
        <x:f t="shared" si="4"/>
        <x:v>8.5592986647452227E-2</x:v>
      </x:c>
      <x:c r="I18">
        <x:f t="shared" si="5"/>
        <x:v>1.1058831167612674E-2</x:v>
      </x:c>
      <x:c r="K18" s="1">
        <x:v>-4.1021227246880896</x:v>
      </x:c>
      <x:c r="L18" s="1">
        <x:v>5058.3001011439701</x:v>
      </x:c>
      <x:c r="M18" s="1">
        <x:v>3303.2627865961199</x:v>
      </x:c>
      <x:c r="N18" s="1">
        <x:f t="shared" si="6"/>
        <x:v>6.1531840870321339</x:v>
      </x:c>
      <x:c r="O18" s="1">
        <x:f t="shared" si="7"/>
        <x:v>25.241116272603655</x:v>
      </x:c>
      <x:c r="P18" s="1">
        <x:f t="shared" si="8"/>
        <x:v>0.15963949493253166</x:v>
      </x:c>
      <x:c r="Q18" s="1">
        <x:f t="shared" si="9"/>
        <x:v>0</x:v>
      </x:c>
      <x:c r="R18" s="1">
        <x:f t="shared" si="10"/>
        <x:v>8.5445258474887181E-2</x:v>
      </x:c>
      <x:c r="S18">
        <x:f t="shared" si="11"/>
        <x:v>1.1039744312683474E-2</x:v>
      </x:c>
      <x:c r="AC18" s="1">
        <x:v>5000</x:v>
      </x:c>
      <x:c r="AD18" s="1">
        <x:v>2.7120000000000002</x:v>
      </x:c>
      <x:c r="AE18" s="1">
        <x:v>15</x:v>
      </x:c>
      <x:c r="AF18" s="1">
        <x:v>523.59877559829795</x:v>
      </x:c>
      <x:c r="AG18" s="1">
        <x:v>26.442749691233999</x:v>
      </x:c>
      <x:c r="AH18" s="1">
        <x:v>9.1773755447777106E-3</x:v>
      </x:c>
      <x:c r="AI18" s="1">
        <x:v>9.1773755447777106E-3</x:v>
      </x:c>
      <x:c r="AJ18" s="1">
        <x:v>8.5943155619771602E-2</x:v>
      </x:c>
      <x:c r="AK18" s="1">
        <x:v>5.3114743713721102E-2</x:v>
      </x:c>
      <x:c r="AL18" s="1">
        <x:v>1.2</x:v>
      </x:c>
      <x:c r="AM18" s="1">
        <x:v>3.28284119060505E-2</x:v>
      </x:c>
      <x:c r="AN18" s="1">
        <x:v>8.7963464590225006E-3</x:v>
      </x:c>
      <x:c r="AO18" s="1">
        <x:v>7</x:v>
      </x:c>
      <x:c r="AP18" s="1" t="b">
        <x:v>1</x:v>
      </x:c>
      <x:c r="AQ18" s="1">
        <x:v>-24.594216613894201</x:v>
      </x:c>
      <x:c r="AR18" s="1">
        <x:v>7.7045596526455</x:v>
      </x:c>
      <x:c r="AS18">
        <x:f t="shared" si="12"/>
        <x:v>7.1139057694594138E-2</x:v>
      </x:c>
      <x:c r="AT18">
        <x:f t="shared" si="13"/>
        <x:v>0.10677165354330712</x:v>
      </x:c>
    </x:row>
    <x:row r="19">
      <x:c r="A19" s="1">
        <x:v>-3.4119959597154099</x:v>
      </x:c>
      <x:c r="B19" s="1">
        <x:v>5048.5046909877201</x:v>
      </x:c>
      <x:c r="C19" s="1">
        <x:v>3290.1290909090899</x:v>
      </x:c>
      <x:c r="D19" s="1">
        <x:f t="shared" si="0"/>
        <x:v>5.1179939395731147</x:v>
      </x:c>
      <x:c r="E19" s="1">
        <x:f t="shared" si="1"/>
        <x:v>17.46257464367142</x:v>
      </x:c>
      <x:c r="F19" s="1">
        <x:f t="shared" si="2"/>
        <x:v>0.13303993738472059</x:v>
      </x:c>
      <x:c r="G19" s="1">
        <x:f t="shared" si="3"/>
        <x:v>0</x:v>
      </x:c>
      <x:c r="H19" s="1">
        <x:f t="shared" si="4"/>
        <x:v>8.5416908303563771E-2</x:v>
      </x:c>
      <x:c r="I19">
        <x:f t="shared" si="5"/>
        <x:v>1.1036081398576623E-2</x:v>
      </x:c>
      <x:c r="K19" s="1">
        <x:v>-3.42748406881927</x:v>
      </x:c>
      <x:c r="L19" s="1">
        <x:v>5030.4634835379402</x:v>
      </x:c>
      <x:c r="M19" s="1">
        <x:v>3268.5645161290299</x:v>
      </x:c>
      <x:c r="N19" s="1">
        <x:f t="shared" si="6"/>
        <x:v>5.1412261032289051</x:v>
      </x:c>
      <x:c r="O19" s="1">
        <x:f t="shared" si="7"/>
        <x:v>17.621470563014846</x:v>
      </x:c>
      <x:c r="P19" s="1">
        <x:f t="shared" si="8"/>
        <x:v>0.13412314601988332</x:v>
      </x:c>
      <x:c r="Q19" s="1">
        <x:f t="shared" si="9"/>
        <x:v>0</x:v>
      </x:c>
      <x:c r="R19" s="1">
        <x:f t="shared" si="10"/>
        <x:v>8.5474742650181346E-2</x:v>
      </x:c>
      <x:c r="S19">
        <x:f t="shared" si="11"/>
        <x:v>1.1043553742982215E-2</x:v>
      </x:c>
      <x:c r="AC19" s="1">
        <x:v>5000</x:v>
      </x:c>
      <x:c r="AD19" s="1">
        <x:v>3.39</x:v>
      </x:c>
      <x:c r="AE19" s="1">
        <x:v>15</x:v>
      </x:c>
      <x:c r="AF19" s="1">
        <x:v>523.59877559829795</x:v>
      </x:c>
      <x:c r="AG19" s="1">
        <x:v>25.148703493462801</x:v>
      </x:c>
      <x:c r="AH19" s="1">
        <x:v>8.72825629402239E-3</x:v>
      </x:c>
      <x:c r="AI19" s="1">
        <x:v>8.72825629402239E-3</x:v>
      </x:c>
      <x:c r="AJ19" s="1">
        <x:v>8.9456232949652006E-2</x:v>
      </x:c>
      <x:c r="AK19" s="1">
        <x:v>4.8420718067088801E-2</x:v>
      </x:c>
      <x:c r="AL19" s="1">
        <x:v>1.2</x:v>
      </x:c>
      <x:c r="AM19" s="1">
        <x:v>4.1035514882563198E-2</x:v>
      </x:c>
      <x:c r="AN19" s="1">
        <x:v>1.0995433073778101E-2</x:v>
      </x:c>
      <x:c r="AO19" s="1">
        <x:v>6</x:v>
      </x:c>
      <x:c r="AP19" s="1" t="b">
        <x:v>1</x:v>
      </x:c>
      <x:c r="AQ19" s="1">
        <x:v>-25.542669816429001</x:v>
      </x:c>
      <x:c r="AR19" s="1">
        <x:v>7.0268868483310403</x:v>
      </x:c>
      <x:c r="AS19">
        <x:f t="shared" si="12"/>
        <x:v>6.7657678934909787E-2</x:v>
      </x:c>
      <x:c r="AT19">
        <x:f t="shared" si="13"/>
        <x:v>0.13346456692913383</x:v>
      </x:c>
    </x:row>
    <x:row r="20">
      <x:c r="A20" s="1">
        <x:v>-2.8042059551132601</x:v>
      </x:c>
      <x:c r="B20" s="1">
        <x:v>5035.9266399515</x:v>
      </x:c>
      <x:c r="C20" s="1">
        <x:v>3261.1319444444398</x:v>
      </x:c>
      <x:c r="D20" s="1">
        <x:f t="shared" si="0"/>
        <x:v>4.2063089326698897</x:v>
      </x:c>
      <x:c r="E20" s="1">
        <x:f t="shared" si="1"/>
        <x:v>11.795356558039007</x:v>
      </x:c>
      <x:c r="F20" s="1">
        <x:f t="shared" si="2"/>
        <x:v>0.10961419531072718</x:v>
      </x:c>
      <x:c r="G20" s="1">
        <x:f t="shared" si="3"/>
        <x:v>0</x:v>
      </x:c>
      <x:c r="H20" s="1">
        <x:f t="shared" si="4"/>
        <x:v>8.5077977799045579E-2</x:v>
      </x:c>
      <x:c r="I20">
        <x:f t="shared" si="5"/>
        <x:v>1.0992290716958527E-2</x:v>
      </x:c>
      <x:c r="K20" s="1">
        <x:v>-2.73899807929992</x:v>
      </x:c>
      <x:c r="L20" s="1">
        <x:v>5020.7794921875002</x:v>
      </x:c>
      <x:c r="M20" s="1">
        <x:v>3232.033203125</x:v>
      </x:c>
      <x:c r="N20" s="1">
        <x:f t="shared" si="6"/>
        <x:v>4.10849711894988</x:v>
      </x:c>
      <x:c r="O20" s="1">
        <x:f t="shared" si="7"/>
        <x:v>11.253165717612976</x:v>
      </x:c>
      <x:c r="P20" s="1">
        <x:f t="shared" si="8"/>
        <x:v>0.10738827528571224</x:v>
      </x:c>
      <x:c r="Q20" s="1">
        <x:f t="shared" si="9"/>
        <x:v>0</x:v>
      </x:c>
      <x:c r="R20" s="1">
        <x:f t="shared" si="10"/>
        <x:v>8.4833739391406968E-2</x:v>
      </x:c>
      <x:c r="S20">
        <x:f t="shared" si="11"/>
        <x:v>1.0960734494649719E-2</x:v>
      </x:c>
      <x:c r="AC20" s="1">
        <x:v>5000</x:v>
      </x:c>
      <x:c r="AD20" s="1">
        <x:v>4.0679999999999996</x:v>
      </x:c>
      <x:c r="AE20" s="1">
        <x:v>15</x:v>
      </x:c>
      <x:c r="AF20" s="1">
        <x:v>523.59877559829795</x:v>
      </x:c>
      <x:c r="AG20" s="1">
        <x:v>23.791938089134</x:v>
      </x:c>
      <x:c r="AH20" s="1">
        <x:v>8.2573693481834704E-3</x:v>
      </x:c>
      <x:c r="AI20" s="1">
        <x:v>8.2573693481834704E-3</x:v>
      </x:c>
      <x:c r="AJ20" s="1">
        <x:v>9.3134645664446097E-2</x:v>
      </x:c>
      <x:c r="AK20" s="1">
        <x:v>4.3892027805370201E-2</x:v>
      </x:c>
      <x:c r="AL20" s="1">
        <x:v>1.2</x:v>
      </x:c>
      <x:c r="AM20" s="1">
        <x:v>4.9242617859075799E-2</x:v>
      </x:c>
      <x:c r="AN20" s="1">
        <x:v>1.3194519688533701E-2</x:v>
      </x:c>
      <x:c r="AO20" s="1">
        <x:v>6</x:v>
      </x:c>
      <x:c r="AP20" s="1" t="b">
        <x:v>1</x:v>
      </x:c>
      <x:c r="AQ20" s="1">
        <x:v>-26.6098128184681</x:v>
      </x:c>
      <x:c r="AR20" s="1">
        <x:v>6.3445788185375402</x:v>
      </x:c>
      <x:c r="AS20">
        <x:f t="shared" si="12"/>
        <x:v>6.4007566389746695E-2</x:v>
      </x:c>
      <x:c r="AT20">
        <x:f t="shared" si="13"/>
        <x:v>0.16015748031496063</x:v>
      </x:c>
    </x:row>
    <x:row r="21">
      <x:c r="A21" s="1">
        <x:v>-2.0508907384295401</x:v>
      </x:c>
      <x:c r="B21" s="1">
        <x:v>5019.2473144531205</x:v>
      </x:c>
      <x:c r="C21" s="1">
        <x:v>3227.1372549019602</x:v>
      </x:c>
      <x:c r="D21" s="1">
        <x:f t="shared" si="0"/>
        <x:v>3.0763361076443099</x:v>
      </x:c>
      <x:c r="E21" s="1">
        <x:f t="shared" si="1"/>
        <x:v>6.3092292314640961</x:v>
      </x:c>
      <x:c r="F21" s="1">
        <x:f t="shared" si="2"/>
        <x:v>8.0434101769528213E-2</x:v>
      </x:c>
      <x:c r="G21" s="1">
        <x:f t="shared" si="3"/>
        <x:v>0</x:v>
      </x:c>
      <x:c r="H21" s="1">
        <x:f t="shared" si="4"/>
        <x:v>8.4740187058041941E-2</x:v>
      </x:c>
      <x:c r="I21">
        <x:f t="shared" si="5"/>
        <x:v>1.0948647295680002E-2</x:v>
      </x:c>
      <x:c r="K21" s="1">
        <x:v>-2.0501714984247501</x:v>
      </x:c>
      <x:c r="L21" s="1">
        <x:v>4997.5950113932204</x:v>
      </x:c>
      <x:c r="M21" s="1">
        <x:v>3194.4814814814799</x:v>
      </x:c>
      <x:c r="N21" s="1">
        <x:f t="shared" si="6"/>
        <x:v>3.0752572476371252</x:v>
      </x:c>
      <x:c r="O21" s="1">
        <x:f t="shared" si="7"/>
        <x:v>6.3048047594297785</x:v>
      </x:c>
      <x:c r="P21" s="1">
        <x:f t="shared" si="8"/>
        <x:v>8.0754255936904509E-2</x:v>
      </x:c>
      <x:c r="Q21" s="1">
        <x:f t="shared" si="9"/>
        <x:v>0</x:v>
      </x:c>
      <x:c r="R21" s="1">
        <x:f t="shared" si="10"/>
        <x:v>8.4615222188248643E-2</x:v>
      </x:c>
      <x:c r="S21">
        <x:f t="shared" si="11"/>
        <x:v>1.0932501517257536E-2</x:v>
      </x:c>
      <x:c r="AC21" s="1">
        <x:v>5000</x:v>
      </x:c>
      <x:c r="AD21" s="1">
        <x:v>4.7460000000000004</x:v>
      </x:c>
      <x:c r="AE21" s="1">
        <x:v>15</x:v>
      </x:c>
      <x:c r="AF21" s="1">
        <x:v>523.59877559829795</x:v>
      </x:c>
      <x:c r="AG21" s="1">
        <x:v>22.3700966783125</x:v>
      </x:c>
      <x:c r="AH21" s="1">
        <x:v>7.76389674247519E-3</x:v>
      </x:c>
      <x:c r="AI21" s="1">
        <x:v>7.76389674247519E-3</x:v>
      </x:c>
      <x:c r="AJ21" s="1">
        <x:v>9.6982225192900298E-2</x:v>
      </x:c>
      <x:c r="AK21" s="1">
        <x:v>3.9532504357311801E-2</x:v>
      </x:c>
      <x:c r="AL21" s="1">
        <x:v>1.2</x:v>
      </x:c>
      <x:c r="AM21" s="1">
        <x:v>5.7449720835588497E-2</x:v>
      </x:c>
      <x:c r="AN21" s="1">
        <x:v>1.5393606303289301E-2</x:v>
      </x:c>
      <x:c r="AO21" s="1">
        <x:v>5</x:v>
      </x:c>
      <x:c r="AP21" s="1" t="b">
        <x:v>1</x:v>
      </x:c>
      <x:c r="AQ21" s="1">
        <x:v>-27.794513583186198</x:v>
      </x:c>
      <x:c r="AR21" s="1">
        <x:v>5.6577368417753897</x:v>
      </x:c>
      <x:c r="AS21">
        <x:f t="shared" si="12"/>
        <x:v>6.0182379548813801E-2</x:v>
      </x:c>
      <x:c r="AT21">
        <x:f t="shared" si="13"/>
        <x:v>0.18685039370078743</x:v>
      </x:c>
    </x:row>
    <x:row r="22">
      <x:c r="A22" s="1">
        <x:v>-1.36885311736</x:v>
      </x:c>
      <x:c r="B22" s="1">
        <x:v>4988.7487340856396</x:v>
      </x:c>
      <x:c r="C22" s="1">
        <x:v>3193.63450834879</x:v>
      </x:c>
      <x:c r="D22" s="1">
        <x:f t="shared" si="0"/>
        <x:v>2.0532796760399998</x:v>
      </x:c>
      <x:c r="E22" s="1">
        <x:f t="shared" si="1"/>
        <x:v>2.8106382853592851</x:v>
      </x:c>
      <x:c r="F22" s="1">
        <x:f t="shared" si="2"/>
        <x:v>5.4013398836823524E-2</x:v>
      </x:c>
      <x:c r="G22" s="1">
        <x:f t="shared" si="3"/>
        <x:v>0</x:v>
      </x:c>
      <x:c r="H22" s="1">
        <x:f t="shared" si="4"/>
        <x:v>8.4877452794685768E-2</x:v>
      </x:c>
      <x:c r="I22">
        <x:f t="shared" si="5"/>
        <x:v>1.0966382377327456E-2</x:v>
      </x:c>
      <x:c r="K22" s="1">
        <x:v>-1.29057966018545</x:v>
      </x:c>
      <x:c r="L22" s="1">
        <x:v>4985.4209408967299</x:v>
      </x:c>
      <x:c r="M22" s="1">
        <x:v>3152.3182795698899</x:v>
      </x:c>
      <x:c r="N22" s="1">
        <x:f t="shared" si="6"/>
        <x:v>1.935869490278175</x:v>
      </x:c>
      <x:c r="O22" s="1">
        <x:f t="shared" si="7"/>
        <x:v>2.4983937889265873</x:v>
      </x:c>
      <x:c r="P22" s="1">
        <x:f t="shared" si="8"/>
        <x:v>5.0958809140003725E-2</x:v>
      </x:c>
      <x:c r="Q22" s="1">
        <x:f t="shared" si="9"/>
        <x:v>0</x:v>
      </x:c>
      <x:c r="R22" s="1">
        <x:f t="shared" si="10"/>
        <x:v>8.38922745513343E-2</x:v>
      </x:c>
      <x:c r="S22">
        <x:f t="shared" si="11"/>
        <x:v>1.0839094847239225E-2</x:v>
      </x:c>
      <x:c r="AC22" s="1">
        <x:v>5000</x:v>
      </x:c>
      <x:c r="AD22" s="1">
        <x:v>5.4240000000000004</x:v>
      </x:c>
      <x:c r="AE22" s="1">
        <x:v>15</x:v>
      </x:c>
      <x:c r="AF22" s="1">
        <x:v>523.59877559829795</x:v>
      </x:c>
      <x:c r="AG22" s="1">
        <x:v>20.879957965743699</x:v>
      </x:c>
      <x:c r="AH22" s="1">
        <x:v>7.2467204753039801E-3</x:v>
      </x:c>
      <x:c r="AI22" s="1">
        <x:v>7.2467204753039801E-3</x:v>
      </x:c>
      <x:c r="AJ22" s="1">
        <x:v>0.10099966361526599</x:v>
      </x:c>
      <x:c r="AK22" s="1">
        <x:v>3.5342839803165299E-2</x:v>
      </x:c>
      <x:c r="AL22" s="1">
        <x:v>1.2</x:v>
      </x:c>
      <x:c r="AM22" s="1">
        <x:v>6.5656823812101098E-2</x:v>
      </x:c>
      <x:c r="AN22" s="1">
        <x:v>1.7592692918045001E-2</x:v>
      </x:c>
      <x:c r="AO22" s="1">
        <x:v>5</x:v>
      </x:c>
      <x:c r="AP22" s="1" t="b">
        <x:v>1</x:v>
      </x:c>
      <x:c r="AQ22" s="1">
        <x:v>-29.0922873817949</x:v>
      </x:c>
      <x:c r="AR22" s="1">
        <x:v>4.9666348575865999</x:v>
      </x:c>
      <x:c r="AS22">
        <x:f t="shared" si="12"/>
        <x:v>5.6173452145869794E-2</x:v>
      </x:c>
      <x:c r="AT22">
        <x:f t="shared" si="13"/>
        <x:v>0.21354330708661423</x:v>
      </x:c>
    </x:row>
    <x:row r="23">
      <x:c r="A23" s="1">
        <x:v>-0.68682164042084304</x:v>
      </x:c>
      <x:c r="B23" s="1">
        <x:v>4962.4712637442099</x:v>
      </x:c>
      <x:c r="C23" s="1">
        <x:v>3153.1743970315301</x:v>
      </x:c>
      <x:c r="D23" s="1">
        <x:f t="shared" si="0"/>
        <x:v>1.0302324606312645</x:v>
      </x:c>
      <x:c r="E23" s="1">
        <x:f t="shared" si="1"/>
        <x:v>0.70758594862556679</x:v>
      </x:c>
      <x:c r="F23" s="1">
        <x:f t="shared" si="2"/>
        <x:v>2.7244714001034571E-2</x:v>
      </x:c>
      <x:c r="G23" s="1">
        <x:f t="shared" si="3"/>
        <x:v>0</x:v>
      </x:c>
      <x:c r="H23" s="1">
        <x:f t="shared" si="4"/>
        <x:v>8.4677825901559131E-2</x:v>
      </x:c>
      <x:c r="I23">
        <x:f t="shared" si="5"/>
        <x:v>1.0940590075947724E-2</x:v>
      </x:c>
      <x:c r="K23" s="1">
        <x:v>-0.68738480995571805</x:v>
      </x:c>
      <x:c r="L23" s="1">
        <x:v>4948.8167724609302</x:v>
      </x:c>
      <x:c r="M23" s="1">
        <x:v>3112.45700636942</x:v>
      </x:c>
      <x:c r="N23" s="1">
        <x:f t="shared" si="6"/>
        <x:v>1.031077214933577</x:v>
      </x:c>
      <x:c r="O23" s="1">
        <x:f t="shared" si="7"/>
        <x:v>0.70874681543678797</x:v>
      </x:c>
      <x:c r="P23" s="1">
        <x:f t="shared" si="8"/>
        <x:v>2.7342287396192395E-2</x:v>
      </x:c>
      <x:c r="Q23" s="1">
        <x:f t="shared" si="9"/>
        <x:v>0</x:v>
      </x:c>
      <x:c r="R23" s="1">
        <x:f t="shared" si="10"/>
        <x:v>8.4047292027825585E-2</x:v>
      </x:c>
      <x:c r="S23">
        <x:f t="shared" si="11"/>
        <x:v>1.0859123498740866E-2</x:v>
      </x:c>
      <x:c r="AC23" s="1">
        <x:v>5000</x:v>
      </x:c>
      <x:c r="AD23" s="1">
        <x:v>6.1020000000000003</x:v>
      </x:c>
      <x:c r="AE23" s="1">
        <x:v>15</x:v>
      </x:c>
      <x:c r="AF23" s="1">
        <x:v>523.59877559829795</x:v>
      </x:c>
      <x:c r="AG23" s="1">
        <x:v>19.317642978771701</x:v>
      </x:c>
      <x:c r="AH23" s="1">
        <x:v>6.7044942877063397E-3</x:v>
      </x:c>
      <x:c r="AI23" s="1">
        <x:v>6.7044942877063397E-3</x:v>
      </x:c>
      <x:c r="AJ23" s="1">
        <x:v>0.10518451645921501</x:v>
      </x:c>
      <x:c r="AK23" s="1">
        <x:v>3.1320589670602098E-2</x:v>
      </x:c>
      <x:c r="AL23" s="1">
        <x:v>1.2</x:v>
      </x:c>
      <x:c r="AM23" s="1">
        <x:v>7.3863926788613796E-2</x:v>
      </x:c>
      <x:c r="AN23" s="1">
        <x:v>1.9791779532800601E-2</x:v>
      </x:c>
      <x:c r="AO23" s="1">
        <x:v>6</x:v>
      </x:c>
      <x:c r="AP23" s="1" t="b">
        <x:v>1</x:v>
      </x:c>
      <x:c r="AQ23" s="1">
        <x:v>-30.4789071688256</x:v>
      </x:c>
      <x:c r="AR23" s="1">
        <x:v>4.3866569379950198</x:v>
      </x:c>
      <x:c r="AS23">
        <x:f t="shared" si="12"/>
        <x:v>5.1970348561972309E-2</x:v>
      </x:c>
      <x:c r="AT23">
        <x:f t="shared" si="13"/>
        <x:v>0.24023622047244095</x:v>
      </x:c>
    </x:row>
    <x:row r="24">
      <x:c r="A24" s="1">
        <x:v>-6.2766243904156397E-3</x:v>
      </x:c>
      <x:c r="B24" s="1">
        <x:v>0</x:v>
      </x:c>
      <x:c r="C24" s="1">
        <x:v>40.010452961672399</x:v>
      </x:c>
      <x:c r="D24" s="1">
        <x:f t="shared" si="0"/>
        <x:v>9.4149365856234599E-3</x:v>
      </x:c>
      <x:c r="E24" s="1">
        <x:f t="shared" si="1"/>
        <x:v>5.9094020607540753E-5</x:v>
      </x:c>
      <x:c r="F24" s="1" t="e">
        <x:f t="shared" si="2"/>
        <x:v>#DIV/0!</x:v>
      </x:c>
      <x:c r="G24" s="1" t="e">
        <x:f t="shared" si="3"/>
        <x:v>#DIV/0!</x:v>
      </x:c>
      <x:c r="H24" s="1" t="e">
        <x:f t="shared" si="4"/>
        <x:v>#DIV/0!</x:v>
      </x:c>
      <x:c r="I24" t="e">
        <x:f t="shared" si="5"/>
        <x:v>#DIV/0!</x:v>
      </x:c>
      <x:c r="K24" s="1">
        <x:v>-1.5175715330988101E-2</x:v>
      </x:c>
      <x:c r="L24" s="1">
        <x:v>4939.5587332589203</x:v>
      </x:c>
      <x:c r="M24" s="1">
        <x:v>3084.6966666666599</x:v>
      </x:c>
      <x:c r="N24" s="1">
        <x:f t="shared" si="6"/>
        <x:v>2.276357299648215E-2</x:v>
      </x:c>
      <x:c r="O24" s="1">
        <x:f t="shared" si="7"/>
        <x:v>3.4545350371078089E-4</x:v>
      </x:c>
      <x:c r="P24" s="1">
        <x:f t="shared" si="8"/>
        <x:v>6.0477983943823936E-4</x:v>
      </x:c>
      <x:c r="Q24" s="1">
        <x:f t="shared" si="9"/>
        <x:v>0</x:v>
      </x:c>
      <x:c r="R24" s="1">
        <x:f t="shared" si="10"/>
        <x:v>8.3600272178737736E-2</x:v>
      </x:c>
      <x:c r="S24">
        <x:f t="shared" si="11"/>
        <x:v>1.0801367399400671E-2</x:v>
      </x:c>
      <x:c r="AC24" s="1">
        <x:v>5000</x:v>
      </x:c>
      <x:c r="AD24" s="1">
        <x:v>6.78</x:v>
      </x:c>
      <x:c r="AE24" s="1">
        <x:v>15</x:v>
      </x:c>
      <x:c r="AF24" s="1">
        <x:v>523.59877559829795</x:v>
      </x:c>
      <x:c r="AG24" s="1">
        <x:v>17.684462108366599</x:v>
      </x:c>
      <x:c r="AH24" s="1">
        <x:v>6.1376729716454198E-3</x:v>
      </x:c>
      <x:c r="AI24" s="1">
        <x:v>6.1376729716454198E-3</x:v>
      </x:c>
      <x:c r="AJ24" s="1">
        <x:v>0.109538957941599</x:v>
      </x:c>
      <x:c r="AK24" s="1">
        <x:v>2.74679281764733E-2</x:v>
      </x:c>
      <x:c r="AL24" s="1">
        <x:v>1.2</x:v>
      </x:c>
      <x:c r="AM24" s="1">
        <x:v>8.2071029765126396E-2</x:v>
      </x:c>
      <x:c r="AN24" s="1">
        <x:v>2.1990866147556201E-2</x:v>
      </x:c>
      <x:c r="AO24" s="1">
        <x:v>7</x:v>
      </x:c>
      <x:c r="AP24" s="1" t="b">
        <x:v>1</x:v>
      </x:c>
      <x:c r="AQ24" s="1">
        <x:v>-31.9439202394008</x:v>
      </x:c>
      <x:c r="AR24" s="1">
        <x:v>3.8500064010747099</x:v>
      </x:c>
      <x:c r="AS24">
        <x:f t="shared" si="12"/>
        <x:v>4.7576594148301288E-2</x:v>
      </x:c>
      <x:c r="AT24">
        <x:f t="shared" si="13"/>
        <x:v>0.26692913385826766</x:v>
      </x:c>
    </x:row>
    <x:row r="25">
      <x:c r="A25" s="1"/>
      <x:c r="D25" s="1"/>
      <x:c r="E25" s="1"/>
      <x:c r="F25" s="1"/>
      <x:c r="G25" s="1"/>
      <x:c r="H25" s="1"/>
      <x:c r="K25" s="1">
        <x:v>-5.3950028306101998E-3</x:v>
      </x:c>
      <x:c r="L25" s="1">
        <x:v>0</x:v>
      </x:c>
      <x:c r="M25" s="1">
        <x:v>38.8464912280701</x:v>
      </x:c>
      <x:c r="N25" s="1" t="n">
        <x:f t="shared" ref="N25" si="14">-K25*1.5</x:f>
        <x:v>0.008092504245915299</x:v>
      </x:c>
      <x:c r="O25" s="1" t="n">
        <x:f t="shared" ref="O25" si="15">K25*K25*1.5</x:f>
        <x:v>0.0000436590833134381</x:v>
      </x:c>
      <x:c r="P25" s="1" t="e">
        <x:f t="shared" ref="P25" si="16">N25/(L25/60)/0.4572</x:f>
        <x:v>#DIV/0!</x:v>
      </x:c>
      <x:c r="Q25" s="1" t="e">
        <x:f t="shared" ref="Q25" si="17">N25*SIN(RADIANS(0))/(L25/60)/0.4572</x:f>
        <x:v>#DIV/0!</x:v>
      </x:c>
      <x:c r="R25" s="1" t="e">
        <x:f t="shared" ref="R25" si="18">(M25-$M$3)*9.8/1.205/(L25/60)^2/0.4572^4/1000</x:f>
        <x:v>#DIV/0!</x:v>
      </x:c>
      <x:c r="S25" t="e">
        <x:f t="shared" si="11"/>
        <x:v>#DIV/0!</x:v>
      </x:c>
      <x:c r="AC25" s="1">
        <x:v>5000</x:v>
      </x:c>
      <x:c r="AD25" s="1">
        <x:v>0</x:v>
      </x:c>
      <x:c r="AE25" s="1">
        <x:v>30</x:v>
      </x:c>
      <x:c r="AF25" s="1">
        <x:v>523.59877559829795</x:v>
      </x:c>
      <x:c r="AG25" s="1">
        <x:v>31.092246169528199</x:v>
      </x:c>
      <x:c r="AH25" s="1">
        <x:v>1.07910570179103E-2</x:v>
      </x:c>
      <x:c r="AI25" s="1">
        <x:v>1.07910570179103E-2</x:v>
      </x:c>
      <x:c r="AJ25" s="1">
        <x:v>7.3454261340129903E-2</x:v>
      </x:c>
      <x:c r="AK25" s="1">
        <x:v>7.3454261340129903E-2</x:v>
      </x:c>
      <x:c r="AL25" s="1">
        <x:v>0</x:v>
      </x:c>
      <x:c r="AM25" s="1">
        <x:v>0</x:v>
      </x:c>
      <x:c r="AN25" s="1">
        <x:v>0</x:v>
      </x:c>
      <x:c r="AO25" s="1">
        <x:v>11</x:v>
      </x:c>
      <x:c r="AP25" s="1" t="b">
        <x:v>1</x:v>
      </x:c>
      <x:c r="AQ25" s="1">
        <x:v>-17.886333046690499</x:v>
      </x:c>
      <x:c r="AR25" s="1">
        <x:v>5.9826990104032403</x:v>
      </x:c>
      <x:c r="AS25">
        <x:f t="shared" si="12"/>
        <x:v>8.3647620611930595E-2</x:v>
      </x:c>
      <x:c r="AT25">
        <x:f t="shared" si="13"/>
        <x:v>0</x:v>
      </x:c>
    </x:row>
    <x:row r="26">
      <x:c r="AC26" s="1">
        <x:v>5000</x:v>
      </x:c>
      <x:c r="AD26" s="1">
        <x:v>0.67800000000000005</x:v>
      </x:c>
      <x:c r="AE26" s="1">
        <x:v>30</x:v>
      </x:c>
      <x:c r="AF26" s="1">
        <x:v>523.59877559829795</x:v>
      </x:c>
      <x:c r="AG26" s="1">
        <x:v>30.104635765844598</x:v>
      </x:c>
      <x:c r="AH26" s="1">
        <x:v>1.0448291168202201E-2</x:v>
      </x:c>
      <x:c r="AI26" s="1">
        <x:v>1.0448291168202201E-2</x:v>
      </x:c>
      <x:c r="AJ26" s="1">
        <x:v>7.5994708105789205E-2</x:v>
      </x:c>
      <x:c r="AK26" s="1">
        <x:v>6.8636420879490498E-2</x:v>
      </x:c>
      <x:c r="AL26" s="1">
        <x:v>1.2</x:v>
      </x:c>
      <x:c r="AM26" s="1">
        <x:v>7.3582872262986602E-3</x:v>
      </x:c>
      <x:c r="AN26" s="1">
        <x:v>4.2483091108781101E-3</x:v>
      </x:c>
      <x:c r="AO26" s="1">
        <x:v>11</x:v>
      </x:c>
      <x:c r="AP26" s="1" t="b">
        <x:v>1</x:v>
      </x:c>
      <x:c r="AQ26" s="1">
        <x:v>-22.354986657370901</x:v>
      </x:c>
      <x:c r="AR26" s="1">
        <x:v>10.067496901534501</x:v>
      </x:c>
      <x:c r="AS26">
        <x:f t="shared" si="12"/>
        <x:v>8.0990647554747969E-2</x:v>
      </x:c>
      <x:c r="AT26">
        <x:f t="shared" si="13"/>
        <x:v>2.6692913385826779E-2</x:v>
      </x:c>
    </x:row>
    <x:row r="27">
      <x:c r="A27" t="s">
        <x:v>28</x:v>
      </x:c>
      <x:c r="B27" t="n">
        <x:f>COS(RADIANS(15))</x:f>
        <x:v>0.9659258262890683</x:v>
      </x:c>
      <x:c r="AC27" s="1">
        <x:v>5000</x:v>
      </x:c>
      <x:c r="AD27" s="1">
        <x:v>1.3560000000000001</x:v>
      </x:c>
      <x:c r="AE27" s="1">
        <x:v>30</x:v>
      </x:c>
      <x:c r="AF27" s="1">
        <x:v>523.59877559829795</x:v>
      </x:c>
      <x:c r="AG27" s="1">
        <x:v>29.1511668060676</x:v>
      </x:c>
      <x:c r="AH27" s="1">
        <x:v>1.01173746479334E-2</x:v>
      </x:c>
      <x:c r="AI27" s="1">
        <x:v>1.01173746479334E-2</x:v>
      </x:c>
      <x:c r="AJ27" s="1">
        <x:v>7.8657441501360906E-2</x:v>
      </x:c>
      <x:c r="AK27" s="1">
        <x:v>6.3940867048763603E-2</x:v>
      </x:c>
      <x:c r="AL27" s="1">
        <x:v>1.2</x:v>
      </x:c>
      <x:c r="AM27" s="1">
        <x:v>1.47165744525973E-2</x:v>
      </x:c>
      <x:c r="AN27" s="1">
        <x:v>8.4966182217562306E-3</x:v>
      </x:c>
      <x:c r="AO27" s="1">
        <x:v>10</x:v>
      </x:c>
      <x:c r="AP27" s="1" t="b">
        <x:v>1</x:v>
      </x:c>
      <x:c r="AQ27" s="1">
        <x:v>-23.069584705419398</x:v>
      </x:c>
      <x:c r="AR27" s="1">
        <x:v>9.2754696302302406</x:v>
      </x:c>
      <x:c r="AS27">
        <x:f t="shared" si="12"/>
        <x:v>7.8425525389632655E-2</x:v>
      </x:c>
      <x:c r="AT27">
        <x:f t="shared" si="13"/>
        <x:v>5.3385826771653558E-2</x:v>
      </x:c>
    </x:row>
    <x:row r="28">
      <x:c r="A28" s="3" t="s">
        <x:v>64</x:v>
      </x:c>
      <x:c r="B28" s="3"/>
      <x:c r="C28" s="3"/>
      <x:c r="D28" s="3"/>
      <x:c r="L28" s="3" t="s">
        <x:v>65</x:v>
      </x:c>
      <x:c r="M28" s="3"/>
      <x:c r="N28" s="3"/>
      <x:c r="AC28" s="1">
        <x:v>5000</x:v>
      </x:c>
      <x:c r="AD28" s="1">
        <x:v>2.0339999999999998</x:v>
      </x:c>
      <x:c r="AE28" s="1">
        <x:v>30</x:v>
      </x:c>
      <x:c r="AF28" s="1">
        <x:v>523.59877559829795</x:v>
      </x:c>
      <x:c r="AG28" s="1">
        <x:v>28.1695121300334</x:v>
      </x:c>
      <x:c r="AH28" s="1">
        <x:v>9.7766758279374498E-3</x:v>
      </x:c>
      <x:c r="AI28" s="1">
        <x:v>9.7766758279374498E-3</x:v>
      </x:c>
      <x:c r="AJ28" s="1">
        <x:v>8.1403139370350305E-2</x:v>
      </x:c>
      <x:c r="AK28" s="1">
        <x:v>5.9328277691454302E-2</x:v>
      </x:c>
      <x:c r="AL28" s="1">
        <x:v>1.2</x:v>
      </x:c>
      <x:c r="AM28" s="1">
        <x:v>2.2074861678895899E-2</x:v>
      </x:c>
      <x:c r="AN28" s="1">
        <x:v>1.27449273326343E-2</x:v>
      </x:c>
      <x:c r="AO28" s="1">
        <x:v>9</x:v>
      </x:c>
      <x:c r="AP28" s="1" t="b">
        <x:v>1</x:v>
      </x:c>
      <x:c r="AQ28" s="1">
        <x:v>-23.9796137313208</x:v>
      </x:c>
      <x:c r="AR28" s="1">
        <x:v>8.5945765116745996</x:v>
      </x:c>
      <x:c r="AS28">
        <x:f t="shared" si="12"/>
        <x:v>7.5784575055420397E-2</x:v>
      </x:c>
      <x:c r="AT28">
        <x:f t="shared" si="13"/>
        <x:v>8.0078740157480316E-2</x:v>
      </x:c>
    </x:row>
    <x:row r="29">
      <x:c r="A29" s="1" t="s">
        <x:v>3</x:v>
      </x:c>
      <x:c r="B29" s="1" t="s">
        <x:v>31</x:v>
      </x:c>
      <x:c r="C29" s="1" t="s">
        <x:v>4</x:v>
      </x:c>
      <x:c r="D29" s="1" t="s">
        <x:v>5</x:v>
      </x:c>
      <x:c r="E29" s="1" t="s">
        <x:v>6</x:v>
      </x:c>
      <x:c r="F29" s="1" t="s">
        <x:v>7</x:v>
      </x:c>
      <x:c r="G29" s="1" t="s">
        <x:v>8</x:v>
      </x:c>
      <x:c r="H29" s="1" t="s">
        <x:v>9</x:v>
      </x:c>
      <x:c r="I29" s="1" t="s">
        <x:v>10</x:v>
      </x:c>
      <x:c r="J29" s="1" t="s">
        <x:v>11</x:v>
      </x:c>
      <x:c r="L29" s="1" t="s">
        <x:v>3</x:v>
      </x:c>
      <x:c r="M29" s="1" t="s">
        <x:v>31</x:v>
      </x:c>
      <x:c r="N29" s="1" t="s">
        <x:v>4</x:v>
      </x:c>
      <x:c r="O29" s="1" t="s">
        <x:v>5</x:v>
      </x:c>
      <x:c r="P29" s="1" t="s">
        <x:v>6</x:v>
      </x:c>
      <x:c r="Q29" s="1" t="s">
        <x:v>7</x:v>
      </x:c>
      <x:c r="R29" s="1" t="s">
        <x:v>8</x:v>
      </x:c>
      <x:c r="S29" s="1" t="s">
        <x:v>9</x:v>
      </x:c>
      <x:c r="T29" s="1" t="s">
        <x:v>10</x:v>
      </x:c>
      <x:c r="U29" s="1" t="s">
        <x:v>11</x:v>
      </x:c>
      <x:c r="AC29" s="1">
        <x:v>5000</x:v>
      </x:c>
      <x:c r="AD29" s="1">
        <x:v>2.7120000000000002</x:v>
      </x:c>
      <x:c r="AE29" s="1">
        <x:v>30</x:v>
      </x:c>
      <x:c r="AF29" s="1">
        <x:v>523.59877559829795</x:v>
      </x:c>
      <x:c r="AG29" s="1">
        <x:v>27.147921392807099</x:v>
      </x:c>
      <x:c r="AH29" s="1">
        <x:v>9.4221165646963603E-3</x:v>
      </x:c>
      <x:c r="AI29" s="1">
        <x:v>9.4221165646963603E-3</x:v>
      </x:c>
      <x:c r="AJ29" s="1">
        <x:v>8.4248176175034106E-2</x:v>
      </x:c>
      <x:c r="AK29" s="1">
        <x:v>5.4815027269839403E-2</x:v>
      </x:c>
      <x:c r="AL29" s="1">
        <x:v>1.2</x:v>
      </x:c>
      <x:c r="AM29" s="1">
        <x:v>2.9433148905194599E-2</x:v>
      </x:c>
      <x:c r="AN29" s="1">
        <x:v>1.6993236443512399E-2</x:v>
      </x:c>
      <x:c r="AO29" s="1">
        <x:v>7</x:v>
      </x:c>
      <x:c r="AP29" s="1" t="b">
        <x:v>1</x:v>
      </x:c>
      <x:c r="AQ29" s="1">
        <x:v>-25.0907321560634</x:v>
      </x:c>
      <x:c r="AR29" s="1">
        <x:v>7.9919482321135504</x:v>
      </x:c>
      <x:c r="AS29">
        <x:f t="shared" si="12"/>
        <x:v>7.3036184542163748E-2</x:v>
      </x:c>
      <x:c r="AT29">
        <x:f t="shared" si="13"/>
        <x:v>0.10677165354330712</x:v>
      </x:c>
    </x:row>
    <x:row r="30">
      <x:c r="A30" s="1">
        <x:v>1.2628020936201601E-2</x:v>
      </x:c>
      <x:c r="B30" s="1" t="n">
        <x:f>A30/$B$27</x:f>
        <x:v>0.013073489280969354</x:v>
      </x:c>
      <x:c r="C30" s="1">
        <x:v>0</x:v>
      </x:c>
      <x:c r="D30" s="1">
        <x:v>53.9550922213311</x:v>
      </x:c>
      <x:c r="E30" s="1" t="n">
        <x:f>B30*1.5</x:f>
        <x:v>0.019610233921454032</x:v>
      </x:c>
      <x:c r="F30" s="1" t="n">
        <x:f>B30*B30*1.5</x:f>
        <x:v>0.0002563741829694309</x:v>
      </x:c>
      <x:c r="G30" s="1" t="e">
        <x:f>E30/(C30/60)/0.4572</x:f>
        <x:v>#DIV/0!</x:v>
      </x:c>
      <x:c r="H30" s="1" t="e">
        <x:f>E30*SIN(RADIANS(15))/(C30/60)/0.4572</x:f>
        <x:v>#DIV/0!</x:v>
      </x:c>
      <x:c r="I30" s="1" t="e">
        <x:f>(D30-$D$30)*9.8/1.205/(C30/60)^2/0.4572^4/1000</x:f>
        <x:v>#DIV/0!</x:v>
      </x:c>
      <x:c r="J30" t="e">
        <x:f>I30*4/(3.14^3)</x:f>
        <x:v>#DIV/0!</x:v>
      </x:c>
      <x:c r="L30" s="1">
        <x:v>8.9322831091091098E-3</x:v>
      </x:c>
      <x:c r="M30" s="1" t="n">
        <x:f>L30/$B$27</x:f>
        <x:v>0.00924737993953998</x:v>
      </x:c>
      <x:c r="N30" s="1">
        <x:v>0</x:v>
      </x:c>
      <x:c r="O30" s="1">
        <x:v>111.314410480349</x:v>
      </x:c>
      <x:c r="P30" s="1" t="n">
        <x:f>M30*1.5</x:f>
        <x:v>0.01387106990930997</x:v>
      </x:c>
      <x:c r="Q30" s="1" t="n">
        <x:f>M30*M30*1.5</x:f>
        <x:v>0.00012827105361930968</x:v>
      </x:c>
      <x:c r="R30" s="1" t="e">
        <x:f>P30/(N30/60)/0.4572</x:f>
        <x:v>#DIV/0!</x:v>
      </x:c>
      <x:c r="S30" s="1" t="e">
        <x:f>P30*SIN(RADIANS(15))/(N30/60)/0.4572</x:f>
        <x:v>#DIV/0!</x:v>
      </x:c>
      <x:c r="T30" s="1" t="e">
        <x:f>(O30-$O$30)*9.8/1.205/(N30/60)^2/0.4572^4/1000</x:f>
        <x:v>#DIV/0!</x:v>
      </x:c>
      <x:c r="U30" t="e">
        <x:f>T30*4/(3.14^3)</x:f>
        <x:v>#DIV/0!</x:v>
      </x:c>
      <x:c r="AC30" s="1">
        <x:v>5000</x:v>
      </x:c>
      <x:c r="AD30" s="1">
        <x:v>3.39</x:v>
      </x:c>
      <x:c r="AE30" s="1">
        <x:v>30</x:v>
      </x:c>
      <x:c r="AF30" s="1">
        <x:v>523.59877559829795</x:v>
      </x:c>
      <x:c r="AG30" s="1">
        <x:v>26.081003790355702</x:v>
      </x:c>
      <x:c r="AH30" s="1">
        <x:v>9.0518258941964004E-3</x:v>
      </x:c>
      <x:c r="AI30" s="1">
        <x:v>9.0518258941964004E-3</x:v>
      </x:c>
      <x:c r="AJ30" s="1">
        <x:v>8.7212707408762996E-2</x:v>
      </x:c>
      <x:c r="AK30" s="1">
        <x:v>5.0421271277269697E-2</x:v>
      </x:c>
      <x:c r="AL30" s="1">
        <x:v>1.2</x:v>
      </x:c>
      <x:c r="AM30" s="1">
        <x:v>3.6791436131493299E-2</x:v>
      </x:c>
      <x:c r="AN30" s="1">
        <x:v>2.1241545554390499E-2</x:v>
      </x:c>
      <x:c r="AO30" s="1">
        <x:v>5</x:v>
      </x:c>
      <x:c r="AP30" s="1" t="b">
        <x:v>1</x:v>
      </x:c>
      <x:c r="AQ30" s="1">
        <x:v>-26.4043796639485</x:v>
      </x:c>
      <x:c r="AR30" s="1">
        <x:v>7.3862458303142704</x:v>
      </x:c>
      <x:c r="AS30">
        <x:f t="shared" si="12"/>
        <x:v>7.0165850943637725E-2</x:v>
      </x:c>
      <x:c r="AT30">
        <x:f t="shared" si="13"/>
        <x:v>0.13346456692913383</x:v>
      </x:c>
    </x:row>
    <x:row r="31">
      <x:c r="A31" s="1">
        <x:v>5.46612710784894E-2</x:v>
      </x:c>
      <x:c r="B31" s="1" t="n">
        <x:f t="shared" ref="B31:B52" si="19">A31/$B$27</x:f>
        <x:v>0.05658951193849864</x:v>
      </x:c>
      <x:c r="C31" s="1">
        <x:v>5017.6145198170698</x:v>
      </x:c>
      <x:c r="D31" s="1">
        <x:v>3245.3390036452001</x:v>
      </x:c>
      <x:c r="E31" s="1" t="n">
        <x:f t="shared" ref="E31:E51" si="20">B31*1.5</x:f>
        <x:v>0.08488426790774796</x:v>
      </x:c>
      <x:c r="F31" s="1" t="n">
        <x:f t="shared" ref="F31:F51" si="21">B31*B31*1.5</x:f>
        <x:v>0.00480355929215622</x:v>
      </x:c>
      <x:c r="G31" s="1" t="n">
        <x:f t="shared" ref="G31:G51" si="22">E31/(C31/60)/0.4572</x:f>
        <x:v>0.0022201122984702682</x:v>
      </x:c>
      <x:c r="H31" s="1" t="n">
        <x:f t="shared" ref="H31:H51" si="23">E31*SIN(RADIANS(15))/(C31/60)/0.4572</x:f>
        <x:v>0.0005746073451104374</x:v>
      </x:c>
      <x:c r="I31" s="1" t="n">
        <x:f t="shared" ref="I31:I51" si="24">(D31-$D$30)*9.8/1.205/(C31/60)^2/0.4572^4/1000</x:f>
        <x:v>0.08493781938850141</x:v>
      </x:c>
      <x:c r="J31" t="n">
        <x:f t="shared" ref="J31:J52" si="25">I31*4/(3.14^3)</x:f>
        <x:v>0.01097418189449959</x:v>
      </x:c>
      <x:c r="L31" s="1">
        <x:v>7.1523469671899195E-2</x:v>
      </x:c>
      <x:c r="M31" s="1" t="n">
        <x:f t="shared" ref="M31:M51" si="26">L31/$B$27</x:f>
        <x:v>0.07404654449160021</x:v>
      </x:c>
      <x:c r="N31" s="1">
        <x:v>5038.1015148628003</x:v>
      </x:c>
      <x:c r="O31" s="1">
        <x:v>3167.50490196078</x:v>
      </x:c>
      <x:c r="P31" s="1" t="n">
        <x:f t="shared" ref="P31:P51" si="27">M31*1.5</x:f>
        <x:v>0.11106981673740032</x:v>
      </x:c>
      <x:c r="Q31" s="1" t="n">
        <x:f t="shared" ref="Q31:Q51" si="28">M31*M31*1.5</x:f>
        <x:v>0.008224336126719793</x:v>
      </x:c>
      <x:c r="R31" s="1" t="n">
        <x:f t="shared" ref="R31:R51" si="29">P31/(N31/60)/0.4572</x:f>
        <x:v>0.002893171444115158</x:v>
      </x:c>
      <x:c r="S31" s="1" t="n">
        <x:f t="shared" ref="S31:S51" si="30">P31*SIN(RADIANS(15))/(N31/60)/0.4572</x:f>
        <x:v>0.0007488078704837661</x:v>
      </x:c>
      <x:c r="T31" s="1" t="n">
        <x:f t="shared" ref="T31:T51" si="31">(O31-$D$30)*9.8/1.205/(N31/60)^2/0.4572^4/1000</x:f>
        <x:v>0.08219371921046659</x:v>
      </x:c>
      <x:c r="U31" t="n">
        <x:f t="shared" ref="U31:U51" si="32">T31*4/(3.14^3)</x:f>
        <x:v>0.010619637185119405</x:v>
      </x:c>
      <x:c r="AC31" s="1">
        <x:v>5000</x:v>
      </x:c>
      <x:c r="AD31" s="1">
        <x:v>4.0679999999999996</x:v>
      </x:c>
      <x:c r="AE31" s="1">
        <x:v>30</x:v>
      </x:c>
      <x:c r="AF31" s="1">
        <x:v>523.59877559829795</x:v>
      </x:c>
      <x:c r="AG31" s="1">
        <x:v>24.962165617181199</x:v>
      </x:c>
      <x:c r="AH31" s="1">
        <x:v>8.66351536639756E-3</x:v>
      </x:c>
      <x:c r="AI31" s="1">
        <x:v>8.66351536639756E-3</x:v>
      </x:c>
      <x:c r="AJ31" s="1">
        <x:v>9.0311148931515997E-2</x:v>
      </x:c>
      <x:c r="AK31" s="1">
        <x:v>4.6161425573723998E-2</x:v>
      </x:c>
      <x:c r="AL31" s="1">
        <x:v>1.2</x:v>
      </x:c>
      <x:c r="AM31" s="1">
        <x:v>4.4149723357791902E-2</x:v>
      </x:c>
      <x:c r="AN31" s="1">
        <x:v>2.54898546652686E-2</x:v>
      </x:c>
      <x:c r="AO31" s="1">
        <x:v>6</x:v>
      </x:c>
      <x:c r="AP31" s="1" t="b">
        <x:v>1</x:v>
      </x:c>
      <x:c r="AQ31" s="1">
        <x:v>-27.902300225001699</x:v>
      </x:c>
      <x:c r="AR31" s="1">
        <x:v>6.7771145452868904</x:v>
      </x:c>
      <x:c r="AS31">
        <x:f t="shared" si="12"/>
        <x:v>6.7155835181972698E-2</x:v>
      </x:c>
      <x:c r="AT31">
        <x:f t="shared" si="13"/>
        <x:v>0.16015748031496063</x:v>
      </x:c>
    </x:row>
    <x:row r="32">
      <x:c r="A32" s="1">
        <x:v>0.64614621851356502</x:v>
      </x:c>
      <x:c r="B32" s="1">
        <x:f t="shared" si="19"/>
        <x:v>0.66893978908914242</x:v>
      </x:c>
      <x:c r="C32" s="1">
        <x:v>5003.9060311152998</x:v>
      </x:c>
      <x:c r="D32" s="1">
        <x:v>3200.5301003344398</x:v>
      </x:c>
      <x:c r="E32" s="1">
        <x:f t="shared" si="20"/>
        <x:v>1.0034096836337136</x:v>
      </x:c>
      <x:c r="F32" s="1">
        <x:f t="shared" si="21"/>
        <x:v>0.67122066213993947</x:v>
      </x:c>
      <x:c r="G32" s="1">
        <x:f t="shared" si="22"/>
        <x:v>2.6315654216026423E-2</x:v>
      </x:c>
      <x:c r="H32" s="1">
        <x:f t="shared" si="23"/>
        <x:v>6.8109924954400823E-3</x:v>
      </x:c>
      <x:c r="I32" s="1">
        <x:f t="shared" si="24"/>
        <x:v>8.4204720900674865E-2</x:v>
      </x:c>
      <x:c r="J32">
        <x:f t="shared" si="25"/>
        <x:v>1.0879463708773712E-2</x:v>
      </x:c>
      <x:c r="L32" s="1">
        <x:v>0.663620157658107</x:v>
      </x:c>
      <x:c r="M32" s="1">
        <x:f t="shared" si="26"/>
        <x:v>0.68703014206342217</x:v>
      </x:c>
      <x:c r="N32" s="1">
        <x:v>5029.90256426411</x:v>
      </x:c>
      <x:c r="O32" s="1">
        <x:v>3168.7274167987298</x:v>
      </x:c>
      <x:c r="P32" s="1">
        <x:f t="shared" si="27"/>
        <x:v>1.0305452130951331</x:v>
      </x:c>
      <x:c r="Q32" s="1">
        <x:f t="shared" si="28"/>
        <x:v>0.7080156241555291</x:v>
      </x:c>
      <x:c r="R32" s="1">
        <x:f t="shared" si="29"/>
        <x:v>2.6887628979206456E-2</x:v>
      </x:c>
      <x:c r="S32" s="1">
        <x:f t="shared" si="30"/>
        <x:v>6.959030457469078E-3</x:v>
      </x:c>
      <x:c r="T32" s="1">
        <x:f t="shared" si="31"/>
        <x:v>8.2494274091628239E-2</x:v>
      </x:c>
      <x:c r="U32">
        <x:f t="shared" si="32"/>
        <x:v>1.0658469638776607E-2</x:v>
      </x:c>
      <x:c r="AC32" s="1">
        <x:v>5000</x:v>
      </x:c>
      <x:c r="AD32" s="1">
        <x:v>4.7460000000000004</x:v>
      </x:c>
      <x:c r="AE32" s="1">
        <x:v>30</x:v>
      </x:c>
      <x:c r="AF32" s="1">
        <x:v>523.59877559829795</x:v>
      </x:c>
      <x:c r="AG32" s="1">
        <x:v>23.787497317253401</x:v>
      </x:c>
      <x:c r="AH32" s="1">
        <x:v>8.2558281078914508E-3</x:v>
      </x:c>
      <x:c r="AI32" s="1">
        <x:v>8.2558281078914508E-3</x:v>
      </x:c>
      <x:c r="AJ32" s="1">
        <x:v>9.3556827126361694E-2</x:v>
      </x:c>
      <x:c r="AK32" s="1">
        <x:v>4.2048816542271099E-2</x:v>
      </x:c>
      <x:c r="AL32" s="1">
        <x:v>1.2</x:v>
      </x:c>
      <x:c r="AM32" s="1">
        <x:v>5.1508010584090602E-2</x:v>
      </x:c>
      <x:c r="AN32" s="1">
        <x:v>2.9738163776146801E-2</x:v>
      </x:c>
      <x:c r="AO32" s="1">
        <x:v>5</x:v>
      </x:c>
      <x:c r="AP32" s="1" t="b">
        <x:v>1</x:v>
      </x:c>
      <x:c r="AQ32" s="1">
        <x:v>-29.565593543043398</x:v>
      </x:c>
      <x:c r="AR32" s="1">
        <x:v>6.1642447559163198</x:v>
      </x:c>
      <x:c r="AS32">
        <x:f t="shared" si="12"/>
        <x:v>6.3995619359626776E-2</x:v>
      </x:c>
      <x:c r="AT32">
        <x:f t="shared" si="13"/>
        <x:v>0.18685039370078743</x:v>
      </x:c>
    </x:row>
    <x:row r="33">
      <x:c r="A33" s="1">
        <x:v>1.30837177236874</x:v>
      </x:c>
      <x:c r="B33" s="1">
        <x:f t="shared" si="19"/>
        <x:v>1.3545261310542798</x:v>
      </x:c>
      <x:c r="C33" s="1">
        <x:v>4990.2540234375001</x:v>
      </x:c>
      <x:c r="D33" s="1">
        <x:v>3183.1369047619</x:v>
      </x:c>
      <x:c r="E33" s="1">
        <x:f t="shared" si="20"/>
        <x:v>2.0317891965814194</x:v>
      </x:c>
      <x:c r="F33" s="1">
        <x:f t="shared" si="21"/>
        <x:v>2.7521115595633141</x:v>
      </x:c>
      <x:c r="G33" s="1">
        <x:f t="shared" si="22"/>
        <x:v>5.3431949741181095E-2</x:v>
      </x:c>
      <x:c r="H33" s="1">
        <x:f t="shared" si="23"/>
        <x:v>1.3829206209978372E-2</x:v>
      </x:c>
      <x:c r="I33" s="1">
        <x:f t="shared" si="24"/>
        <x:v>8.4198069307175674E-2</x:v>
      </x:c>
      <x:c r="J33">
        <x:f t="shared" si="25"/>
        <x:v>1.0878604306007384E-2</x:v>
      </x:c>
      <x:c r="L33" s="1">
        <x:v>1.3255374455839599</x:v>
      </x:c>
      <x:c r="M33" s="1">
        <x:f t="shared" si="26"/>
        <x:v>1.3722973436547004</x:v>
      </x:c>
      <x:c r="N33" s="1">
        <x:v>5005.8375447591097</x:v>
      </x:c>
      <x:c r="O33" s="1">
        <x:v>3083.83910386965</x:v>
      </x:c>
      <x:c r="P33" s="1">
        <x:f t="shared" si="27"/>
        <x:v>2.0584460154820503</x:v>
      </x:c>
      <x:c r="Q33" s="1">
        <x:f t="shared" si="28"/>
        <x:v>2.8247999991026203</x:v>
      </x:c>
      <x:c r="R33" s="1">
        <x:f t="shared" si="29"/>
        <x:v>5.3964450495560777E-2</x:v>
      </x:c>
      <x:c r="S33" s="1">
        <x:f t="shared" si="30"/>
        <x:v>1.3967027546743291E-2</x:v>
      </x:c>
      <x:c r="T33" s="1">
        <x:f t="shared" si="31"/>
        <x:v>8.1019422549603787E-2</x:v>
      </x:c>
      <x:c r="U33">
        <x:f t="shared" si="32"/>
        <x:v>1.0467915075378541E-2</x:v>
      </x:c>
      <x:c r="AC33" s="1">
        <x:v>5000</x:v>
      </x:c>
      <x:c r="AD33" s="1">
        <x:v>5.4240000000000004</x:v>
      </x:c>
      <x:c r="AE33" s="1">
        <x:v>30</x:v>
      </x:c>
      <x:c r="AF33" s="1">
        <x:v>523.59877559829795</x:v>
      </x:c>
      <x:c r="AG33" s="1">
        <x:v>22.555675412386599</x:v>
      </x:c>
      <x:c r="AH33" s="1">
        <x:v>7.8283047845891605E-3</x:v>
      </x:c>
      <x:c r="AI33" s="1">
        <x:v>7.8283047845891605E-3</x:v>
      </x:c>
      <x:c r="AJ33" s="1">
        <x:v>9.6961838388964397E-2</x:v>
      </x:c>
      <x:c r="AK33" s="1">
        <x:v>3.8095540578575102E-2</x:v>
      </x:c>
      <x:c r="AL33" s="1">
        <x:v>1.2</x:v>
      </x:c>
      <x:c r="AM33" s="1">
        <x:v>5.8866297810389198E-2</x:v>
      </x:c>
      <x:c r="AN33" s="1">
        <x:v>3.3986472887024902E-2</x:v>
      </x:c>
      <x:c r="AO33" s="1">
        <x:v>5</x:v>
      </x:c>
      <x:c r="AP33" s="1" t="b">
        <x:v>1</x:v>
      </x:c>
      <x:c r="AQ33" s="1">
        <x:v>-31.367877889346399</x:v>
      </x:c>
      <x:c r="AR33" s="1">
        <x:v>5.5473813692276996</x:v>
      </x:c>
      <x:c r="AS33">
        <x:f t="shared" si="12"/>
        <x:v>6.0681642916819802E-2</x:v>
      </x:c>
      <x:c r="AT33">
        <x:f t="shared" si="13"/>
        <x:v>0.21354330708661423</x:v>
      </x:c>
    </x:row>
    <x:row r="34">
      <x:c r="A34" s="1">
        <x:v>1.96820351585803</x:v>
      </x:c>
      <x:c r="B34" s="1">
        <x:f t="shared" si="19"/>
        <x:v>2.0376342181671974</x:v>
      </x:c>
      <x:c r="C34" s="1">
        <x:v>5002.6492638221098</x:v>
      </x:c>
      <x:c r="D34" s="1">
        <x:v>3157.6284046692599</x:v>
      </x:c>
      <x:c r="E34" s="1">
        <x:f t="shared" si="20"/>
        <x:v>3.0564513272507963</x:v>
      </x:c>
      <x:c r="F34" s="1">
        <x:f t="shared" si="21"/>
        <x:v>6.227929810568769</x:v>
      </x:c>
      <x:c r="G34" s="1">
        <x:f t="shared" si="22"/>
        <x:v>8.0179336369856705E-2</x:v>
      </x:c>
      <x:c r="H34" s="1">
        <x:f t="shared" si="23"/>
        <x:v>2.0751939276200126E-2</x:v>
      </x:c>
      <x:c r="I34" s="1">
        <x:f t="shared" si="24"/>
        <x:v>8.3098375438468153E-2</x:v>
      </x:c>
      <x:c r="J34">
        <x:f t="shared" si="25"/>
        <x:v>1.0736521066405214E-2</x:v>
      </x:c>
      <x:c r="L34" s="1">
        <x:v>1.98597051126683</x:v>
      </x:c>
      <x:c r="M34" s="1">
        <x:f t="shared" si="26"/>
        <x:v>2.0560279653113835</x:v>
      </x:c>
      <x:c r="N34" s="1">
        <x:v>5032.1534705528802</x:v>
      </x:c>
      <x:c r="O34" s="1">
        <x:v>3005.53359683794</x:v>
      </x:c>
      <x:c r="P34" s="1">
        <x:f t="shared" si="27"/>
        <x:v>3.0840419479670755</x:v>
      </x:c>
      <x:c r="Q34" s="1">
        <x:f t="shared" si="28"/>
        <x:v>6.3408764912137014</x:v>
      </x:c>
      <x:c r="R34" s="1">
        <x:f t="shared" si="29"/>
        <x:v>8.0428770068276006E-2</x:v>
      </x:c>
      <x:c r="S34" s="1">
        <x:f t="shared" si="30"/>
        <x:v>2.0816497467841397E-2</x:v>
      </x:c>
      <x:c r="T34" s="1">
        <x:f t="shared" si="31"/>
        <x:v>7.8102192567217177E-2</x:v>
      </x:c>
      <x:c r="U34">
        <x:f t="shared" si="32"/>
        <x:v>1.0091001555755827E-2</x:v>
      </x:c>
      <x:c r="AC34" s="1">
        <x:v>5000</x:v>
      </x:c>
      <x:c r="AD34" s="1">
        <x:v>6.1020000000000003</x:v>
      </x:c>
      <x:c r="AE34" s="1">
        <x:v>30</x:v>
      </x:c>
      <x:c r="AF34" s="1">
        <x:v>523.59877559829795</x:v>
      </x:c>
      <x:c r="AG34" s="1">
        <x:v>21.2625669488176</x:v>
      </x:c>
      <x:c r="AH34" s="1">
        <x:v>7.3795109893569997E-3</x:v>
      </x:c>
      <x:c r="AI34" s="1">
        <x:v>7.3795109893569997E-3</x:v>
      </x:c>
      <x:c r="AJ34" s="1">
        <x:v>0.100530173706932</x:v>
      </x:c>
      <x:c r="AK34" s="1">
        <x:v>3.4305588670244601E-2</x:v>
      </x:c>
      <x:c r="AL34" s="1">
        <x:v>1.2</x:v>
      </x:c>
      <x:c r="AM34" s="1">
        <x:v>6.6224585036687905E-2</x:v>
      </x:c>
      <x:c r="AN34" s="1">
        <x:v>3.8234781997902999E-2</x:v>
      </x:c>
      <x:c r="AO34" s="1">
        <x:v>6</x:v>
      </x:c>
      <x:c r="AP34" s="1" t="b">
        <x:v>1</x:v>
      </x:c>
      <x:c r="AQ34" s="1">
        <x:v>-33.285893179664001</x:v>
      </x:c>
      <x:c r="AR34" s="1">
        <x:v>4.9265783512330596</x:v>
      </x:c>
      <x:c r="AS34">
        <x:f t="shared" si="12"/>
        <x:v>5.7202786948005908E-2</x:v>
      </x:c>
      <x:c r="AT34">
        <x:f t="shared" si="13"/>
        <x:v>0.24023622047244095</x:v>
      </x:c>
    </x:row>
    <x:row r="35">
      <x:c r="A35" s="1">
        <x:v>2.63618214845657</x:v>
      </x:c>
      <x:c r="B35" s="1">
        <x:f t="shared" si="19"/>
        <x:v>2.7291765855193644</x:v>
      </x:c>
      <x:c r="C35" s="1">
        <x:v>4970.1868652343701</x:v>
      </x:c>
      <x:c r="D35" s="1">
        <x:v>3138.9625000000001</x:v>
      </x:c>
      <x:c r="E35" s="1">
        <x:f t="shared" si="20"/>
        <x:v>4.0937648782790461</x:v>
      </x:c>
      <x:c r="F35" s="1">
        <x:f t="shared" si="21"/>
        <x:v>11.172607252420704</x:v>
      </x:c>
      <x:c r="G35" s="1">
        <x:f t="shared" si="22"/>
        <x:v>0.10809241179569289</x:v>
      </x:c>
      <x:c r="H35" s="1">
        <x:f t="shared" si="23"/>
        <x:v>2.7976374803789679E-2</x:v>
      </x:c>
      <x:c r="I35" s="1">
        <x:f t="shared" si="24"/>
        <x:v>8.3681107480643155E-2</x:v>
      </x:c>
      <x:c r="J35">
        <x:f t="shared" si="25"/>
        <x:v>1.08118115256214E-2</x:v>
      </x:c>
      <x:c r="L35" s="1">
        <x:v>2.65052645108134</x:v>
      </x:c>
      <x:c r="M35" s="1">
        <x:f t="shared" si="26"/>
        <x:v>2.7440269003513826</x:v>
      </x:c>
      <x:c r="N35" s="1">
        <x:v>5025.4612304687498</x:v>
      </x:c>
      <x:c r="O35" s="1">
        <x:v>3009.5984654731401</x:v>
      </x:c>
      <x:c r="P35" s="1">
        <x:f t="shared" si="27"/>
        <x:v>4.116040350527074</x:v>
      </x:c>
      <x:c r="Q35" s="1">
        <x:f t="shared" si="28"/>
        <x:v>11.294525444778026</x:v>
      </x:c>
      <x:c r="R35" s="1">
        <x:f t="shared" si="29"/>
        <x:v>0.10748521397096468</x:v>
      </x:c>
      <x:c r="S35" s="1">
        <x:f t="shared" si="30"/>
        <x:v>2.7819220442605201E-2</x:v>
      </x:c>
      <x:c r="T35" s="1">
        <x:f t="shared" si="31"/>
        <x:v>7.8418191072240157E-2</x:v>
      </x:c>
      <x:c r="U35">
        <x:f t="shared" si="32"/>
        <x:v>1.0131829364822251E-2</x:v>
      </x:c>
      <x:c r="AC35" s="1">
        <x:v>5000</x:v>
      </x:c>
      <x:c r="AD35" s="1">
        <x:v>6.78</x:v>
      </x:c>
      <x:c r="AE35" s="1">
        <x:v>30</x:v>
      </x:c>
      <x:c r="AF35" s="1">
        <x:v>523.59877559829795</x:v>
      </x:c>
      <x:c r="AG35" s="1">
        <x:v>19.901601500781599</x:v>
      </x:c>
      <x:c r="AH35" s="1">
        <x:v>6.9071663517554904E-3</x:v>
      </x:c>
      <x:c r="AI35" s="1">
        <x:v>6.9071663517554904E-3</x:v>
      </x:c>
      <x:c r="AJ35" s="1">
        <x:v>0.104259006124821</x:v>
      </x:c>
      <x:c r="AK35" s="1">
        <x:v>3.0676133861835E-2</x:v>
      </x:c>
      <x:c r="AL35" s="1">
        <x:v>1.2</x:v>
      </x:c>
      <x:c r="AM35" s="1">
        <x:v>7.3582872262986598E-2</x:v>
      </x:c>
      <x:c r="AN35" s="1">
        <x:v>4.2483091108781103E-2</x:v>
      </x:c>
      <x:c r="AO35" s="1">
        <x:v>7</x:v>
      </x:c>
      <x:c r="AP35" s="1" t="b">
        <x:v>1</x:v>
      </x:c>
      <x:c r="AQ35" s="1">
        <x:v>-35.302481970808003</x:v>
      </x:c>
      <x:c r="AR35" s="1">
        <x:v>4.3781033441334802</x:v>
      </x:c>
      <x:c r="AS35">
        <x:f t="shared" si="12"/>
        <x:v>5.3541375004894691E-2</x:v>
      </x:c>
      <x:c r="AT35">
        <x:f t="shared" si="13"/>
        <x:v>0.26692913385826766</x:v>
      </x:c>
    </x:row>
    <x:row r="36">
      <x:c r="A36" s="1">
        <x:v>3.2957203241361999</x:v>
      </x:c>
      <x:c r="B36" s="1">
        <x:f t="shared" si="19"/>
        <x:v>3.4119807488716059</x:v>
      </x:c>
      <x:c r="C36" s="1">
        <x:v>4989.3801792689701</x:v>
      </x:c>
      <x:c r="D36" s="1">
        <x:v>3108.7681159420199</x:v>
      </x:c>
      <x:c r="E36" s="1">
        <x:f t="shared" si="20"/>
        <x:v>5.1179711233074086</x:v>
      </x:c>
      <x:c r="F36" s="1">
        <x:f t="shared" si="21"/>
        <x:v>17.462418946005666</x:v>
      </x:c>
      <x:c r="G36" s="1">
        <x:f t="shared" si="22"/>
        <x:v>0.1346158700244188</x:v>
      </x:c>
      <x:c r="H36" s="1">
        <x:f t="shared" si="23"/>
        <x:v>3.484115093536512E-2</x:v>
      </x:c>
      <x:c r="I36" s="1">
        <x:f t="shared" si="24"/>
        <x:v>8.222579502079741E-2</x:v>
      </x:c>
      <x:c r="J36">
        <x:f t="shared" si="25"/>
        <x:v>1.06237814612442E-2</x:v>
      </x:c>
      <x:c r="L36" s="1">
        <x:v>3.31122582790463</x:v>
      </x:c>
      <x:c r="M36" s="1">
        <x:f t="shared" si="26"/>
        <x:v>3.4280332275883203</x:v>
      </x:c>
      <x:c r="N36" s="1">
        <x:v>5035.7780095880598</x:v>
      </x:c>
      <x:c r="O36" s="1">
        <x:v>2998.2121212121201</x:v>
      </x:c>
      <x:c r="P36" s="1">
        <x:f t="shared" si="27"/>
        <x:v>5.1420498413824802</x:v>
      </x:c>
      <x:c r="Q36" s="1">
        <x:f t="shared" si="28"/>
        <x:v>17.627117714174396</x:v>
      </x:c>
      <x:c r="R36" s="1">
        <x:f t="shared" si="29"/>
        <x:v>0.13400306550155952</x:v>
      </x:c>
      <x:c r="S36" s="1">
        <x:f t="shared" si="30"/>
        <x:v>3.4682545453924171E-2</x:v>
      </x:c>
      <x:c r="T36" s="1">
        <x:f t="shared" si="31"/>
        <x:v>7.7796347791018156E-2</x:v>
      </x:c>
      <x:c r="U36">
        <x:f t="shared" si="32"/>
        <x:v>1.0051485634230474E-2</x:v>
      </x:c>
      <x:c r="AC36" s="1">
        <x:v>5000</x:v>
      </x:c>
      <x:c r="AD36" s="1">
        <x:v>0</x:v>
      </x:c>
      <x:c r="AE36" s="1">
        <x:v>45</x:v>
      </x:c>
      <x:c r="AF36" s="1">
        <x:v>523.59877559829795</x:v>
      </x:c>
      <x:c r="AG36" s="1">
        <x:v>31.092246169528199</x:v>
      </x:c>
      <x:c r="AH36" s="1">
        <x:v>1.07910570179103E-2</x:v>
      </x:c>
      <x:c r="AI36" s="1">
        <x:v>1.07910570179103E-2</x:v>
      </x:c>
      <x:c r="AJ36" s="1">
        <x:v>7.3454261340129903E-2</x:v>
      </x:c>
      <x:c r="AK36" s="1">
        <x:v>7.3454261340129903E-2</x:v>
      </x:c>
      <x:c r="AL36" s="1">
        <x:v>0</x:v>
      </x:c>
      <x:c r="AM36" s="1">
        <x:v>0</x:v>
      </x:c>
      <x:c r="AN36" s="1">
        <x:v>0</x:v>
      </x:c>
      <x:c r="AO36" s="1">
        <x:v>11</x:v>
      </x:c>
      <x:c r="AP36" s="1" t="b">
        <x:v>1</x:v>
      </x:c>
      <x:c r="AQ36" s="1">
        <x:v>-17.886333046690499</x:v>
      </x:c>
      <x:c r="AR36" s="1">
        <x:v>5.9826990104032403</x:v>
      </x:c>
      <x:c r="AS36">
        <x:f t="shared" si="12"/>
        <x:v>8.3647620611930595E-2</x:v>
      </x:c>
      <x:c r="AT36">
        <x:f t="shared" si="13"/>
        <x:v>0</x:v>
      </x:c>
    </x:row>
    <x:row r="37">
      <x:c r="A37" s="1">
        <x:v>3.9610563422396399</x:v>
      </x:c>
      <x:c r="B37" s="1">
        <x:f t="shared" si="19"/>
        <x:v>4.1007872803829892</x:v>
      </x:c>
      <x:c r="C37" s="1">
        <x:v>4997.8532799030099</x:v>
      </x:c>
      <x:c r="D37" s="1">
        <x:v>3077.8967297762401</x:v>
      </x:c>
      <x:c r="E37" s="1">
        <x:f t="shared" si="20"/>
        <x:v>6.1511809205744843</x:v>
      </x:c>
      <x:c r="F37" s="1">
        <x:f t="shared" si="21"/>
        <x:v>25.224684478426369</x:v>
      </x:c>
      <x:c r="G37" s="1">
        <x:f t="shared" si="22"/>
        <x:v>0.16151766476871013</x:v>
      </x:c>
      <x:c r="H37" s="1">
        <x:f t="shared" si="23"/>
        <x:v>4.1803847762626613E-2</x:v>
      </x:c>
      <x:c r="I37" s="1">
        <x:f t="shared" si="24"/>
        <x:v>8.1119084853075785E-2</x:v>
      </x:c>
      <x:c r="J37">
        <x:f t="shared" si="25"/>
        <x:v>1.0480791697997306E-2</x:v>
      </x:c>
      <x:c r="L37" s="1">
        <x:v>3.9704383924753901</x:v>
      </x:c>
      <x:c r="M37" s="1">
        <x:f t="shared" si="26"/>
        <x:v>4.1105002935154724</x:v>
      </x:c>
      <x:c r="N37" s="1">
        <x:v>4999.8195800781205</x:v>
      </x:c>
      <x:c r="O37" s="1">
        <x:v>2971.86146095717</x:v>
      </x:c>
      <x:c r="P37" s="1">
        <x:f t="shared" si="27"/>
        <x:v>6.1657504402732091</x:v>
      </x:c>
      <x:c r="Q37" s="1">
        <x:f t="shared" si="28"/>
        <x:v>25.344318994486176</x:v>
      </x:c>
      <x:c r="R37" s="1">
        <x:f t="shared" si="29"/>
        <x:v>0.16183655992504437</x:v>
      </x:c>
      <x:c r="S37" s="1">
        <x:f t="shared" si="30"/>
        <x:v>4.1886383902476863E-2</x:v>
      </x:c>
      <x:c r="T37" s="1">
        <x:f t="shared" si="31"/>
        <x:v>7.821306920344806E-2</x:v>
      </x:c>
      <x:c r="U37">
        <x:f t="shared" si="32"/>
        <x:v>1.0105327098636584E-2</x:v>
      </x:c>
      <x:c r="AC37" s="1">
        <x:v>5000</x:v>
      </x:c>
      <x:c r="AD37" s="1">
        <x:v>0.67800000000000005</x:v>
      </x:c>
      <x:c r="AE37" s="1">
        <x:v>45</x:v>
      </x:c>
      <x:c r="AF37" s="1">
        <x:v>523.59877559829795</x:v>
      </x:c>
      <x:c r="AG37" s="1">
        <x:v>30.310218867677499</x:v>
      </x:c>
      <x:c r="AH37" s="1">
        <x:v>1.05196420433272E-2</x:v>
      </x:c>
      <x:c r="AI37" s="1">
        <x:v>1.05196420433272E-2</x:v>
      </x:c>
      <x:c r="AJ37" s="1">
        <x:v>7.5476505246100098E-2</x:v>
      </x:c>
      <x:c r="AK37" s="1">
        <x:v>6.9468488884343094E-2</x:v>
      </x:c>
      <x:c r="AL37" s="1">
        <x:v>1.2</x:v>
      </x:c>
      <x:c r="AM37" s="1">
        <x:v>6.0080163617570103E-3</x:v>
      </x:c>
      <x:c r="AN37" s="1">
        <x:v>6.0080163617570103E-3</x:v>
      </x:c>
      <x:c r="AO37" s="1">
        <x:v>11</x:v>
      </x:c>
      <x:c r="AP37" s="1" t="b">
        <x:v>1</x:v>
      </x:c>
      <x:c r="AQ37" s="1">
        <x:v>-22.316555400143699</x:v>
      </x:c>
      <x:c r="AR37" s="1">
        <x:v>10.216590533077801</x:v>
      </x:c>
      <x:c r="AS37">
        <x:f t="shared" si="12"/>
        <x:v>8.1543728770321136E-2</x:v>
      </x:c>
      <x:c r="AT37">
        <x:f t="shared" si="13"/>
        <x:v>2.6692913385826779E-2</x:v>
      </x:c>
    </x:row>
    <x:row r="38">
      <x:c r="A38" s="1">
        <x:v>4.6198460273591797</x:v>
      </x:c>
      <x:c r="B38" s="1">
        <x:f t="shared" si="19"/>
        <x:v>4.7828165492871078</x:v>
      </x:c>
      <x:c r="C38" s="1">
        <x:v>4995.6484570312496</x:v>
      </x:c>
      <x:c r="D38" s="1">
        <x:v>3111.5357142857101</x:v>
      </x:c>
      <x:c r="E38" s="1">
        <x:f t="shared" si="20"/>
        <x:v>7.1742248239306612</x:v>
      </x:c>
      <x:c r="F38" s="1">
        <x:f t="shared" si="21"/>
        <x:v>34.313001216201954</x:v>
      </x:c>
      <x:c r="G38" s="1">
        <x:f t="shared" si="22"/>
        <x:v>0.18846388588465865</x:v>
      </x:c>
      <x:c r="H38" s="1">
        <x:f t="shared" si="23"/>
        <x:v>4.8778042980977786E-2</x:v>
      </x:c>
      <x:c r="I38" s="1">
        <x:f t="shared" si="24"/>
        <x:v>8.2093887310661945E-2</x:v>
      </x:c>
      <x:c r="J38">
        <x:f t="shared" si="25"/>
        <x:v>1.0606738650223914E-2</x:v>
      </x:c>
      <x:c r="L38" s="1">
        <x:v>4.6310718155870498</x:v>
      </x:c>
      <x:c r="M38" s="1">
        <x:f t="shared" si="26"/>
        <x:v>4.7944383404457493</x:v>
      </x:c>
      <x:c r="N38" s="1">
        <x:v>5020.56135253906</x:v>
      </x:c>
      <x:c r="O38" s="1">
        <x:v>2955.8987341772099</x:v>
      </x:c>
      <x:c r="P38" s="1">
        <x:f t="shared" si="27"/>
        <x:v>7.191657510668624</x:v>
      </x:c>
      <x:c r="Q38" s="1">
        <x:f t="shared" si="28"/>
        <x:v>34.479958500504281</x:v>
      </x:c>
      <x:c r="R38" s="1">
        <x:f t="shared" si="29"/>
        <x:v>0.1879843723876797</x:v>
      </x:c>
      <x:c r="S38" s="1">
        <x:f t="shared" si="30"/>
        <x:v>4.8653935755575931E-2</x:v>
      </x:c>
      <x:c r="T38" s="1">
        <x:f t="shared" si="31"/>
        <x:v>7.7143805578744215E-2</x:v>
      </x:c>
      <x:c r="U38">
        <x:f t="shared" si="32"/>
        <x:v>9.9671755238121846E-3</x:v>
      </x:c>
      <x:c r="AC38" s="1">
        <x:v>5000</x:v>
      </x:c>
      <x:c r="AD38" s="1">
        <x:v>1.3560000000000001</x:v>
      </x:c>
      <x:c r="AE38" s="1">
        <x:v>45</x:v>
      </x:c>
      <x:c r="AF38" s="1">
        <x:v>523.59877559829795</x:v>
      </x:c>
      <x:c r="AG38" s="1">
        <x:v>29.608043571775902</x:v>
      </x:c>
      <x:c r="AH38" s="1">
        <x:v>1.02759409735065E-2</x:v>
      </x:c>
      <x:c r="AI38" s="1">
        <x:v>1.02759409735065E-2</x:v>
      </x:c>
      <x:c r="AJ38" s="1">
        <x:v>7.7516208171780607E-2</x:v>
      </x:c>
      <x:c r="AK38" s="1">
        <x:v>6.5500175448266501E-2</x:v>
      </x:c>
      <x:c r="AL38" s="1">
        <x:v>1.2</x:v>
      </x:c>
      <x:c r="AM38" s="1">
        <x:v>1.2016032723514E-2</x:v>
      </x:c>
      <x:c r="AN38" s="1">
        <x:v>1.2016032723514E-2</x:v>
      </x:c>
      <x:c r="AO38" s="1">
        <x:v>10</x:v>
      </x:c>
      <x:c r="AP38" s="1" t="b">
        <x:v>1</x:v>
      </x:c>
      <x:c r="AQ38" s="1">
        <x:v>-23.0950831381627</x:v>
      </x:c>
      <x:c r="AR38" s="1">
        <x:v>9.5910648879915907</x:v>
      </x:c>
      <x:c r="AS38">
        <x:f t="shared" si="12"/>
        <x:v>7.9654663167456674E-2</x:v>
      </x:c>
      <x:c r="AT38">
        <x:f t="shared" si="13"/>
        <x:v>5.3385826771653558E-2</x:v>
      </x:c>
    </x:row>
    <x:row r="39">
      <x:c r="A39" s="1">
        <x:v>5.2842247099744402</x:v>
      </x:c>
      <x:c r="B39" s="1">
        <x:f t="shared" si="19"/>
        <x:v>5.4706319741709173</x:v>
      </x:c>
      <x:c r="C39" s="1">
        <x:v>4991.2511643629796</x:v>
      </x:c>
      <x:c r="D39" s="1">
        <x:v>3170.8695652173901</x:v>
      </x:c>
      <x:c r="E39" s="1">
        <x:f t="shared" si="20"/>
        <x:v>8.2059479612563759</x:v>
      </x:c>
      <x:c r="F39" s="1">
        <x:f t="shared" si="21"/>
        <x:v>44.891721295231783</x:v>
      </x:c>
      <x:c r="G39" s="1">
        <x:f t="shared" si="22"/>
        <x:v>0.21575673562504491</x:v>
      </x:c>
      <x:c r="H39" s="1">
        <x:f t="shared" si="23"/>
        <x:v>5.5841952288911138E-2</x:v>
      </x:c>
      <x:c r="I39" s="1">
        <x:f t="shared" si="24"/>
        <x:v>8.3834480830219785E-2</x:v>
      </x:c>
      <x:c r="J39">
        <x:f t="shared" si="25"/>
        <x:v>1.0831627751751765E-2</x:v>
      </x:c>
      <x:c r="L39" s="1">
        <x:v>5.2866070221481003</x:v>
      </x:c>
      <x:c r="M39" s="1">
        <x:f t="shared" si="26"/>
        <x:v>5.4730983252186087</x:v>
      </x:c>
      <x:c r="N39" s="1">
        <x:v>4992.2918090820303</x:v>
      </x:c>
      <x:c r="O39" s="1">
        <x:v>2873.12320328542</x:v>
      </x:c>
      <x:c r="P39" s="1">
        <x:f t="shared" si="27"/>
        <x:v>8.2096474878279135</x:v>
      </x:c>
      <x:c r="Q39" s="1">
        <x:f t="shared" si="28"/>
        <x:v>44.932207916266108</x:v>
      </x:c>
      <x:c r="R39" s="1">
        <x:f t="shared" si="29"/>
        <x:v>0.21580901142886305</x:v>
      </x:c>
      <x:c r="S39" s="1">
        <x:f t="shared" si="30"/>
        <x:v>5.5855482262537323E-2</x:v>
      </x:c>
      <x:c r="T39" s="1">
        <x:f t="shared" si="31"/>
        <x:v>7.579449982864124E-2</x:v>
      </x:c>
      <x:c r="U39">
        <x:f t="shared" si="32"/>
        <x:v>9.7928417954503185E-3</x:v>
      </x:c>
      <x:c r="AC39" s="1">
        <x:v>5000</x:v>
      </x:c>
      <x:c r="AD39" s="1">
        <x:v>2.0339999999999998</x:v>
      </x:c>
      <x:c r="AE39" s="1">
        <x:v>45</x:v>
      </x:c>
      <x:c r="AF39" s="1">
        <x:v>523.59877559829795</x:v>
      </x:c>
      <x:c r="AG39" s="1">
        <x:v>28.913233037404598</x:v>
      </x:c>
      <x:c r="AH39" s="1">
        <x:v>1.00347959609473E-2</x:v>
      </x:c>
      <x:c r="AI39" s="1">
        <x:v>1.00347959609473E-2</x:v>
      </x:c>
      <x:c r="AJ39" s="1">
        <x:v>7.9542632857812004E-2</x:v>
      </x:c>
      <x:c r="AK39" s="1">
        <x:v>6.1518583772540998E-2</x:v>
      </x:c>
      <x:c r="AL39" s="1">
        <x:v>1.2</x:v>
      </x:c>
      <x:c r="AM39" s="1">
        <x:v>1.8024049085270999E-2</x:v>
      </x:c>
      <x:c r="AN39" s="1">
        <x:v>1.8024049085270999E-2</x:v>
      </x:c>
      <x:c r="AO39" s="1">
        <x:v>9</x:v>
      </x:c>
      <x:c r="AP39" s="1" t="b">
        <x:v>1</x:v>
      </x:c>
      <x:c r="AQ39" s="1">
        <x:v>-24.149759099232099</x:v>
      </x:c>
      <x:c r="AR39" s="1">
        <x:v>8.97820286472923</x:v>
      </x:c>
      <x:c r="AS39">
        <x:f t="shared" si="12"/>
        <x:v>7.7785411018243461E-2</x:v>
      </x:c>
      <x:c r="AT39">
        <x:f t="shared" si="13"/>
        <x:v>8.0078740157480316E-2</x:v>
      </x:c>
    </x:row>
    <x:row r="40">
      <x:c r="A40" s="1">
        <x:v>5.93992016712824</x:v>
      </x:c>
      <x:c r="B40" s="1">
        <x:f t="shared" si="19"/>
        <x:v>6.1494578625653462</x:v>
      </x:c>
      <x:c r="C40" s="1">
        <x:v>4952.1831868489498</x:v>
      </x:c>
      <x:c r="D40" s="1">
        <x:v>3184.4375</x:v>
      </x:c>
      <x:c r="E40" s="1">
        <x:f t="shared" si="20"/>
        <x:v>9.2241867938480198</x:v>
      </x:c>
      <x:c r="F40" s="1">
        <x:f t="shared" si="21"/>
        <x:v>56.723748005200136</x:v>
      </x:c>
      <x:c r="G40" s="1">
        <x:f t="shared" si="22"/>
        <x:v>0.24444233091115539</x:v>
      </x:c>
      <x:c r="H40" s="1">
        <x:f t="shared" si="23"/>
        <x:v>6.3266330669059623E-2</x:v>
      </x:c>
      <x:c r="I40" s="1">
        <x:f t="shared" si="24"/>
        <x:v>8.5533158084599728E-2</x:v>
      </x:c>
      <x:c r="J40">
        <x:f t="shared" si="25"/>
        <x:v>1.1051101165406862E-2</x:v>
      </x:c>
      <x:c r="L40" s="1">
        <x:v>5.9464879808602502</x:v>
      </x:c>
      <x:c r="M40" s="1">
        <x:f t="shared" si="26"/>
        <x:v>6.1562573636794671</x:v>
      </x:c>
      <x:c r="N40" s="1">
        <x:v>4998.48652787642</x:v>
      </x:c>
      <x:c r="O40" s="1">
        <x:v>2967.5870069605498</x:v>
      </x:c>
      <x:c r="P40" s="1">
        <x:f t="shared" si="27"/>
        <x:v>9.2343860455192015</x:v>
      </x:c>
      <x:c r="Q40" s="1">
        <x:f t="shared" si="28"/>
        <x:v>56.849257091786491</x:v>
      </x:c>
      <x:c r="R40" s="1">
        <x:f t="shared" si="29"/>
        <x:v>0.24244572412172283</x:v>
      </x:c>
      <x:c r="S40" s="1">
        <x:f t="shared" si="30"/>
        <x:v>6.2749570806373486E-2</x:v>
      </x:c>
      <x:c r="T40" s="1">
        <x:f t="shared" si="31"/>
        <x:v>7.814015644293619E-2</x:v>
      </x:c>
      <x:c r="U40">
        <x:f t="shared" si="32"/>
        <x:v>1.0095906584876659E-2</x:v>
      </x:c>
      <x:c r="AC40" s="1">
        <x:v>5000</x:v>
      </x:c>
      <x:c r="AD40" s="1">
        <x:v>2.7120000000000002</x:v>
      </x:c>
      <x:c r="AE40" s="1">
        <x:v>45</x:v>
      </x:c>
      <x:c r="AF40" s="1">
        <x:v>523.59877559829795</x:v>
      </x:c>
      <x:c r="AG40" s="1">
        <x:v>28.2130577849844</x:v>
      </x:c>
      <x:c r="AH40" s="1">
        <x:v>9.7917890379286797E-3</x:v>
      </x:c>
      <x:c r="AI40" s="1">
        <x:v>9.7917890379286797E-3</x:v>
      </x:c>
      <x:c r="AJ40" s="1">
        <x:v>8.15918562462222E-2</x:v>
      </x:c>
      <x:c r="AK40" s="1">
        <x:v>5.7559790799194099E-2</x:v>
      </x:c>
      <x:c r="AL40" s="1">
        <x:v>1.2</x:v>
      </x:c>
      <x:c r="AM40" s="1">
        <x:v>2.4032065447028E-2</x:v>
      </x:c>
      <x:c r="AN40" s="1">
        <x:v>2.4032065447028E-2</x:v>
      </x:c>
      <x:c r="AO40" s="1">
        <x:v>8</x:v>
      </x:c>
      <x:c r="AP40" s="1" t="b">
        <x:v>1</x:v>
      </x:c>
      <x:c r="AQ40" s="1">
        <x:v>-25.4741798215186</x:v>
      </x:c>
      <x:c r="AR40" s="1">
        <x:v>8.4541920954534202</x:v>
      </x:c>
      <x:c r="AS40">
        <x:f t="shared" si="12"/>
        <x:v>7.5901726142054149E-2</x:v>
      </x:c>
      <x:c r="AT40">
        <x:f t="shared" si="13"/>
        <x:v>0.10677165354330712</x:v>
      </x:c>
    </x:row>
    <x:row r="41">
      <x:c r="A41" s="1">
        <x:v>6.5501778484771602</x:v>
      </x:c>
      <x:c r="B41" s="1">
        <x:f t="shared" si="19"/>
        <x:v>6.78124310397817</x:v>
      </x:c>
      <x:c r="C41" s="1">
        <x:v>4936.3358623798003</x:v>
      </x:c>
      <x:c r="D41" s="1">
        <x:v>3181.86293436293</x:v>
      </x:c>
      <x:c r="E41" s="1">
        <x:f t="shared" si="20"/>
        <x:v>10.171864655967255</x:v>
      </x:c>
      <x:c r="F41" s="1">
        <x:f t="shared" si="21"/>
        <x:v>68.977887052877222</x:v>
      </x:c>
      <x:c r="G41" s="1">
        <x:f t="shared" si="22"/>
        <x:v>0.27042130276672538</x:v>
      </x:c>
      <x:c r="H41" s="1">
        <x:f t="shared" si="23"/>
        <x:v>6.9990183357463515E-2</x:v>
      </x:c>
      <x:c r="I41" s="1">
        <x:f t="shared" si="24"/>
        <x:v>8.6012424523302849E-2</x:v>
      </x:c>
      <x:c r="J41">
        <x:f t="shared" si="25"/>
        <x:v>1.1113023605988957E-2</x:v>
      </x:c>
      <x:c r="L41" s="1">
        <x:v>6.5494782444188804</x:v>
      </x:c>
      <x:c r="M41" s="1">
        <x:f t="shared" si="26"/>
        <x:v>6.780518820560915</x:v>
      </x:c>
      <x:c r="N41" s="1">
        <x:v>5020.4631911057604</x:v>
      </x:c>
      <x:c r="O41" s="1">
        <x:v>3023.2152380952298</x:v>
      </x:c>
      <x:c r="P41" s="1">
        <x:f t="shared" si="27"/>
        <x:v>10.170778230841373</x:v>
      </x:c>
      <x:c r="Q41" s="1">
        <x:f t="shared" si="28"/>
        <x:v>68.963153213971168</x:v>
      </x:c>
      <x:c r="R41" s="1">
        <x:f t="shared" si="29"/>
        <x:v>0.26586148498960227</x:v>
      </x:c>
      <x:c r="S41" s="1">
        <x:f t="shared" si="30"/>
        <x:v>6.8810015674547004E-2</x:v>
      </x:c>
      <x:c r="T41" s="1">
        <x:f t="shared" si="31"/>
        <x:v>7.8936400234327034E-2</x:v>
      </x:c>
      <x:c r="U41">
        <x:f t="shared" si="32"/>
        <x:v>1.0198783304128439E-2</x:v>
      </x:c>
      <x:c r="AC41" s="1">
        <x:v>5000</x:v>
      </x:c>
      <x:c r="AD41" s="1">
        <x:v>3.39</x:v>
      </x:c>
      <x:c r="AE41" s="1">
        <x:v>45</x:v>
      </x:c>
      <x:c r="AF41" s="1">
        <x:v>523.59877559829795</x:v>
      </x:c>
      <x:c r="AG41" s="1">
        <x:v>27.4964857873378</x:v>
      </x:c>
      <x:c r="AH41" s="1">
        <x:v>9.5430913644996805E-3</x:v>
      </x:c>
      <x:c r="AI41" s="1">
        <x:v>9.5430913644996805E-3</x:v>
      </x:c>
      <x:c r="AJ41" s="1">
        <x:v>8.3697758697420604E-2</x:v>
      </x:c>
      <x:c r="AK41" s="1">
        <x:v>5.3657676888635597E-2</x:v>
      </x:c>
      <x:c r="AL41" s="1">
        <x:v>1.2</x:v>
      </x:c>
      <x:c r="AM41" s="1">
        <x:v>3.0040081808785001E-2</x:v>
      </x:c>
      <x:c r="AN41" s="1">
        <x:v>3.0040081808785001E-2</x:v>
      </x:c>
      <x:c r="AO41" s="1">
        <x:v>6</x:v>
      </x:c>
      <x:c r="AP41" s="1" t="b">
        <x:v>1</x:v>
      </x:c>
      <x:c r="AQ41" s="1">
        <x:v>-27.042290672186599</x:v>
      </x:c>
      <x:c r="AR41" s="1">
        <x:v>7.9699135648756601</x:v>
      </x:c>
      <x:c r="AS41">
        <x:f t="shared" si="12"/>
        <x:v>7.3973929022686569E-2</x:v>
      </x:c>
      <x:c r="AT41">
        <x:f t="shared" si="13"/>
        <x:v>0.13346456692913383</x:v>
      </x:c>
    </x:row>
    <x:row r="42">
      <x:c r="A42" s="1">
        <x:v>5.9473408544906397</x:v>
      </x:c>
      <x:c r="B42" s="1">
        <x:f t="shared" si="19"/>
        <x:v>6.157140323433909</x:v>
      </x:c>
      <x:c r="C42" s="1">
        <x:v>4989.7624640213799</x:v>
      </x:c>
      <x:c r="D42" s="1">
        <x:v>3162.5264483627202</x:v>
      </x:c>
      <x:c r="E42" s="1">
        <x:f t="shared" si="20"/>
        <x:v>9.2357104851508645</x:v>
      </x:c>
      <x:c r="F42" s="1">
        <x:f t="shared" si="21"/>
        <x:v>56.865565443683735</x:v>
      </x:c>
      <x:c r="G42" s="1">
        <x:f t="shared" si="22"/>
        <x:v>0.24290444795284857</x:v>
      </x:c>
      <x:c r="H42" s="1">
        <x:f t="shared" si="23"/>
        <x:v>6.2868297270311208E-2</x:v>
      </x:c>
      <x:c r="I42" s="1">
        <x:f t="shared" si="24"/>
        <x:v>8.3659976876414799E-2</x:v>
      </x:c>
      <x:c r="J42">
        <x:f t="shared" si="25"/>
        <x:v>1.0809081397911362E-2</x:v>
      </x:c>
      <x:c r="L42" s="1">
        <x:v>5.9500572408140799</x:v>
      </x:c>
      <x:c r="M42" s="1">
        <x:f t="shared" si="26"/>
        <x:v>6.1599525334913583</x:v>
      </x:c>
      <x:c r="N42" s="1">
        <x:v>5038.3856295072101</x:v>
      </x:c>
      <x:c r="O42" s="1">
        <x:v>3171.51581027668</x:v>
      </x:c>
      <x:c r="P42" s="1">
        <x:f t="shared" si="27"/>
        <x:v>9.2399288002370383</x:v>
      </x:c>
      <x:c r="Q42" s="1">
        <x:f t="shared" si="28"/>
        <x:v>56.917522822299901</x:v>
      </x:c>
      <x:c r="R42" s="1">
        <x:f t="shared" si="29"/>
        <x:v>0.2406701611513084</x:v>
      </x:c>
      <x:c r="S42" s="1">
        <x:f t="shared" si="30"/>
        <x:v>6.2290021293851423E-2</x:v>
      </x:c>
      <x:c r="T42" s="1">
        <x:f t="shared" si="31"/>
        <x:v>8.2290320552624419E-2</x:v>
      </x:c>
      <x:c r="U42">
        <x:f t="shared" si="32"/>
        <x:v>1.0632118323765594E-2</x:v>
      </x:c>
      <x:c r="AC42" s="1">
        <x:v>5000</x:v>
      </x:c>
      <x:c r="AD42" s="1">
        <x:v>4.0679999999999996</x:v>
      </x:c>
      <x:c r="AE42" s="1">
        <x:v>45</x:v>
      </x:c>
      <x:c r="AF42" s="1">
        <x:v>523.59877559829795</x:v>
      </x:c>
      <x:c r="AG42" s="1">
        <x:v>26.751289930779699</x:v>
      </x:c>
      <x:c r="AH42" s="1">
        <x:v>9.2844593269883792E-3</x:v>
      </x:c>
      <x:c r="AI42" s="1">
        <x:v>9.2844593269883792E-3</x:v>
      </x:c>
      <x:c r="AJ42" s="1">
        <x:v>8.58866349383198E-2</x:v>
      </x:c>
      <x:c r="AK42" s="1">
        <x:v>4.9838536767777698E-2</x:v>
      </x:c>
      <x:c r="AL42" s="1">
        <x:v>1.2</x:v>
      </x:c>
      <x:c r="AM42" s="1">
        <x:v>3.6048098170542102E-2</x:v>
      </x:c>
      <x:c r="AN42" s="1">
        <x:v>3.6048098170542102E-2</x:v>
      </x:c>
      <x:c r="AO42" s="1">
        <x:v>5</x:v>
      </x:c>
      <x:c r="AP42" s="1" t="b">
        <x:v>1</x:v>
      </x:c>
      <x:c r="AQ42" s="1">
        <x:v>-28.8344229227875</x:v>
      </x:c>
      <x:c r="AR42" s="1">
        <x:v>7.4834322917954701</x:v>
      </x:c>
      <x:c r="AS42">
        <x:f t="shared" si="12"/>
        <x:v>7.1969124996915115E-2</x:v>
      </x:c>
      <x:c r="AT42">
        <x:f t="shared" si="13"/>
        <x:v>0.16015748031496063</x:v>
      </x:c>
    </x:row>
    <x:row r="43">
      <x:c r="A43" s="1">
        <x:v>5.29029589713888</x:v>
      </x:c>
      <x:c r="B43" s="1">
        <x:f t="shared" si="19"/>
        <x:v>5.4769173296290736</x:v>
      </x:c>
      <x:c r="C43" s="1">
        <x:v>4953.0008067255403</x:v>
      </x:c>
      <x:c r="D43" s="1">
        <x:v>3093.88085106382</x:v>
      </x:c>
      <x:c r="E43" s="1">
        <x:f t="shared" si="20"/>
        <x:v>8.21537599444361</x:v>
      </x:c>
      <x:c r="F43" s="1">
        <x:f t="shared" si="21"/>
        <x:v>44.994935153386898</x:v>
      </x:c>
      <x:c r="G43" s="1">
        <x:f t="shared" si="22"/>
        <x:v>0.21767275530021749</x:v>
      </x:c>
      <x:c r="H43" s="1">
        <x:f t="shared" si="23"/>
        <x:v>5.6337854671636933E-2</x:v>
      </x:c>
      <x:c r="I43" s="1">
        <x:f t="shared" si="24"/>
        <x:v>8.3031488316957849E-2</x:v>
      </x:c>
      <x:c r="J43">
        <x:f t="shared" si="25"/>
        <x:v>1.0727879080501431E-2</x:v>
      </x:c>
      <x:c r="L43" s="1">
        <x:v>5.2963935675570104</x:v>
      </x:c>
      <x:c r="M43" s="1">
        <x:f t="shared" si="26"/>
        <x:v>5.4832301025689549</x:v>
      </x:c>
      <x:c r="N43" s="1">
        <x:v>5022.1051488415897</x:v>
      </x:c>
      <x:c r="O43" s="1">
        <x:v>3209.8861209964398</x:v>
      </x:c>
      <x:c r="P43" s="1">
        <x:f t="shared" si="27"/>
        <x:v>8.2248451538534333</x:v>
      </x:c>
      <x:c r="Q43" s="1">
        <x:f t="shared" si="28"/>
        <x:v>45.098718536577529</x:v>
      </x:c>
      <x:c r="R43" s="1">
        <x:f t="shared" si="29"/>
        <x:v>0.21492501101687989</x:v>
      </x:c>
      <x:c r="S43" s="1">
        <x:f t="shared" si="30"/>
        <x:v>5.5626686120037606E-2</x:v>
      </x:c>
      <x:c r="T43" s="1">
        <x:f t="shared" si="31"/>
        <x:v>8.3844106943957095E-2</x:v>
      </x:c>
      <x:c r="U43">
        <x:f t="shared" si="32"/>
        <x:v>1.0832871470084198E-2</x:v>
      </x:c>
      <x:c r="AC43" s="1">
        <x:v>5000</x:v>
      </x:c>
      <x:c r="AD43" s="1">
        <x:v>4.7460000000000004</x:v>
      </x:c>
      <x:c r="AE43" s="1">
        <x:v>45</x:v>
      </x:c>
      <x:c r="AF43" s="1">
        <x:v>523.59877559829795</x:v>
      </x:c>
      <x:c r="AG43" s="1">
        <x:v>25.967263826057401</x:v>
      </x:c>
      <x:c r="AH43" s="1">
        <x:v>9.0123506361765495E-3</x:v>
      </x:c>
      <x:c r="AI43" s="1">
        <x:v>9.0123506361765495E-3</x:v>
      </x:c>
      <x:c r="AJ43" s="1">
        <x:v>8.8180465368973296E-2</x:v>
      </x:c>
      <x:c r="AK43" s="1">
        <x:v>4.6124350836674197E-2</x:v>
      </x:c>
      <x:c r="AL43" s="1">
        <x:v>1.2</x:v>
      </x:c>
      <x:c r="AM43" s="1">
        <x:v>4.2056114532299099E-2</x:v>
      </x:c>
      <x:c r="AN43" s="1">
        <x:v>4.2056114532299099E-2</x:v>
      </x:c>
      <x:c r="AO43" s="1">
        <x:v>5</x:v>
      </x:c>
      <x:c r="AP43" s="1" t="b">
        <x:v>1</x:v>
      </x:c>
      <x:c r="AQ43" s="1">
        <x:v>-30.8276048546455</x:v>
      </x:c>
      <x:c r="AR43" s="1">
        <x:v>6.9940574680780099</x:v>
      </x:c>
      <x:c r="AS43">
        <x:f t="shared" si="12"/>
        <x:v>6.9859855766249437E-2</x:v>
      </x:c>
      <x:c r="AT43">
        <x:f t="shared" si="13"/>
        <x:v>0.18685039370078743</x:v>
      </x:c>
    </x:row>
    <x:row r="44">
      <x:c r="A44" s="1">
        <x:v>4.6347482410266201</x:v>
      </x:c>
      <x:c r="B44" s="1">
        <x:f t="shared" si="19"/>
        <x:v>4.79824445613239</x:v>
      </x:c>
      <x:c r="C44" s="1">
        <x:v>4981.7688685825897</x:v>
      </x:c>
      <x:c r="D44" s="1">
        <x:v>3022.0989208633</x:v>
      </x:c>
      <x:c r="E44" s="1">
        <x:f t="shared" si="20"/>
        <x:v>7.1973666841985846</x:v>
      </x:c>
      <x:c r="F44" s="1">
        <x:f t="shared" si="21"/>
        <x:v>34.534724791207822</x:v>
      </x:c>
      <x:c r="G44" s="1">
        <x:f t="shared" si="22"/>
        <x:v>0.18959858138320668</x:v>
      </x:c>
      <x:c r="H44" s="1">
        <x:f t="shared" si="23"/>
        <x:v>4.9071723786394114E-2</x:v>
      </x:c>
      <x:c r="I44" s="1">
        <x:f t="shared" si="24"/>
        <x:v>8.0137250140936103E-2</x:v>
      </x:c>
      <x:c r="J44">
        <x:f t="shared" si="25"/>
        <x:v>1.0353936160629776E-2</x:v>
      </x:c>
      <x:c r="L44" s="1">
        <x:v>4.6224880061522402</x:v>
      </x:c>
      <x:c r="M44" s="1">
        <x:f t="shared" si="26"/>
        <x:v>4.785551727000712</x:v>
      </x:c>
      <x:c r="N44" s="1">
        <x:v>5007.3013867187501</x:v>
      </x:c>
      <x:c r="O44" s="1">
        <x:v>3188.7268993839798</x:v>
      </x:c>
      <x:c r="P44" s="1">
        <x:f t="shared" si="27"/>
        <x:v>7.1783275905010679</x:v>
      </x:c>
      <x:c r="Q44" s="1">
        <x:f t="shared" si="28"/>
        <x:v>34.352257997699247</x:v>
      </x:c>
      <x:c r="R44" s="1">
        <x:f t="shared" si="29"/>
        <x:v>0.18813282220922675</x:v>
      </x:c>
      <x:c r="S44" s="1">
        <x:f t="shared" si="30"/>
        <x:v>4.8692357396634377E-2</x:v>
      </x:c>
      <x:c r="T44" s="1">
        <x:f t="shared" si="31"/>
        <x:v>8.3775130039918627E-2</x:v>
      </x:c>
      <x:c r="U44">
        <x:f t="shared" si="32"/>
        <x:v>1.0823959478972496E-2</x:v>
      </x:c>
      <x:c r="AC44" s="1">
        <x:v>5000</x:v>
      </x:c>
      <x:c r="AD44" s="1">
        <x:v>5.4240000000000004</x:v>
      </x:c>
      <x:c r="AE44" s="1">
        <x:v>45</x:v>
      </x:c>
      <x:c r="AF44" s="1">
        <x:v>523.59877559829795</x:v>
      </x:c>
      <x:c r="AG44" s="1">
        <x:v>25.1404237368188</x:v>
      </x:c>
      <x:c r="AH44" s="1">
        <x:v>8.7253826731989604E-3</x:v>
      </x:c>
      <x:c r="AI44" s="1">
        <x:v>8.7253826731989604E-3</x:v>
      </x:c>
      <x:c r="AJ44" s="1">
        <x:v>9.0601530704954095E-2</x:v>
      </x:c>
      <x:c r="AK44" s="1">
        <x:v>4.2537399810897901E-2</x:v>
      </x:c>
      <x:c r="AL44" s="1">
        <x:v>1.2</x:v>
      </x:c>
      <x:c r="AM44" s="1">
        <x:v>4.8064130894056097E-2</x:v>
      </x:c>
      <x:c r="AN44" s="1">
        <x:v>4.8064130894056097E-2</x:v>
      </x:c>
      <x:c r="AO44" s="1">
        <x:v>4</x:v>
      </x:c>
      <x:c r="AP44" s="1" t="b">
        <x:v>1</x:v>
      </x:c>
      <x:c r="AQ44" s="1">
        <x:v>-33.007602984908097</x:v>
      </x:c>
      <x:c r="AR44" s="1">
        <x:v>6.5033363428662199</x:v>
      </x:c>
      <x:c r="AS44">
        <x:f t="shared" si="12"/>
        <x:v>6.7635403865468319E-2</x:v>
      </x:c>
      <x:c r="AT44">
        <x:f t="shared" si="13"/>
        <x:v>0.21354330708661423</x:v>
      </x:c>
    </x:row>
    <x:row r="45">
      <x:c r="A45" s="1">
        <x:v>3.9150052464853098</x:v>
      </x:c>
      <x:c r="B45" s="1">
        <x:f t="shared" si="19"/>
        <x:v>4.0531116778667471</x:v>
      </x:c>
      <x:c r="C45" s="1">
        <x:v>4969.5638333834104</x:v>
      </x:c>
      <x:c r="D45" s="1">
        <x:v>2939.67519685039</x:v>
      </x:c>
      <x:c r="E45" s="1">
        <x:f t="shared" si="20"/>
        <x:v>6.0796675168001206</x:v>
      </x:c>
      <x:c r="F45" s="1">
        <x:f t="shared" si="21"/>
        <x:v>24.6415714098897</x:v>
      </x:c>
      <x:c r="G45" s="1">
        <x:f t="shared" si="22"/>
        <x:v>0.16054862282715188</x:v>
      </x:c>
      <x:c r="H45" s="1">
        <x:f t="shared" si="23"/>
        <x:v>4.1553041252648214E-2</x:v>
      </x:c>
      <x:c r="I45" s="1">
        <x:f t="shared" si="24"/>
        <x:v>7.8295049130152908E-2</x:v>
      </x:c>
      <x:c r="J45">
        <x:f t="shared" si="25"/>
        <x:v>1.0115919113287228E-2</x:v>
      </x:c>
      <x:c r="L45" s="1">
        <x:v>3.9804012787462399</x:v>
      </x:c>
      <x:c r="M45" s="1">
        <x:f t="shared" si="26"/>
        <x:v>4.1208146323598172</x:v>
      </x:c>
      <x:c r="N45" s="1">
        <x:v>5016.6726074218705</x:v>
      </x:c>
      <x:c r="O45" s="1">
        <x:v>3181.2443324936999</x:v>
      </x:c>
      <x:c r="P45" s="1">
        <x:f t="shared" si="27"/>
        <x:v>6.1812219485397257</x:v>
      </x:c>
      <x:c r="Q45" s="1">
        <x:f t="shared" si="28"/>
        <x:v>25.471669851406162</x:v>
      </x:c>
      <x:c r="R45" s="1">
        <x:f t="shared" si="29"/>
        <x:v>0.16169761238712224</x:v>
      </x:c>
      <x:c r="S45" s="1">
        <x:f t="shared" si="30"/>
        <x:v>4.1850421633392511E-2</x:v>
      </x:c>
      <x:c r="T45" s="1">
        <x:f t="shared" si="31"/>
        <x:v>8.326321465590833E-2</x:v>
      </x:c>
      <x:c r="U45">
        <x:f t="shared" si="32"/>
        <x:v>1.075781871177166E-2</x:v>
      </x:c>
      <x:c r="AC45" s="1">
        <x:v>5000</x:v>
      </x:c>
      <x:c r="AD45" s="1">
        <x:v>6.1020000000000003</x:v>
      </x:c>
      <x:c r="AE45" s="1">
        <x:v>45</x:v>
      </x:c>
      <x:c r="AF45" s="1">
        <x:v>523.59877559829795</x:v>
      </x:c>
      <x:c r="AG45" s="1">
        <x:v>24.2656189342696</x:v>
      </x:c>
      <x:c r="AH45" s="1">
        <x:v>8.4217677959598398E-3</x:v>
      </x:c>
      <x:c r="AI45" s="1">
        <x:v>8.4217677959598398E-3</x:v>
      </x:c>
      <x:c r="AJ45" s="1">
        <x:v>9.3163931293143404E-2</x:v>
      </x:c>
      <x:c r="AK45" s="1">
        <x:v>3.9091784037330303E-2</x:v>
      </x:c>
      <x:c r="AL45" s="1">
        <x:v>1.2</x:v>
      </x:c>
      <x:c r="AM45" s="1">
        <x:v>5.4072147255813101E-2</x:v>
      </x:c>
      <x:c r="AN45" s="1">
        <x:v>5.4072147255813101E-2</x:v>
      </x:c>
      <x:c r="AO45" s="1">
        <x:v>5</x:v>
      </x:c>
      <x:c r="AP45" s="1" t="b">
        <x:v>1</x:v>
      </x:c>
      <x:c r="AQ45" s="1">
        <x:v>-35.363009245301903</x:v>
      </x:c>
      <x:c r="AR45" s="1">
        <x:v>6.0131687597279004</x:v>
      </x:c>
      <x:c r="AS45">
        <x:f t="shared" si="12"/>
        <x:v>6.5281912263924186E-2</x:v>
      </x:c>
      <x:c r="AT45">
        <x:f t="shared" si="13"/>
        <x:v>0.24023622047244095</x:v>
      </x:c>
    </x:row>
    <x:row r="46">
      <x:c r="A46" s="1">
        <x:v>3.3208072881229498</x:v>
      </x:c>
      <x:c r="B46" s="1">
        <x:f t="shared" si="19"/>
        <x:v>3.4379526851258935</x:v>
      </x:c>
      <x:c r="C46" s="1">
        <x:v>4964.1867282005996</x:v>
      </x:c>
      <x:c r="D46" s="1">
        <x:v>2946.7557377049102</x:v>
      </x:c>
      <x:c r="E46" s="1">
        <x:f t="shared" si="20"/>
        <x:v>5.1569290276888404</x:v>
      </x:c>
      <x:c r="F46" s="1">
        <x:f t="shared" si="21"/>
        <x:v>17.729277997746511</x:v>
      </x:c>
      <x:c r="G46" s="1">
        <x:f t="shared" si="22"/>
        <x:v>0.13632894503084531</x:v>
      </x:c>
      <x:c r="H46" s="1">
        <x:f t="shared" si="23"/>
        <x:v>3.5284527372717422E-2</x:v>
      </x:c>
      <x:c r="I46" s="1">
        <x:f t="shared" si="24"/>
        <x:v>7.8657281050914254E-2</x:v>
      </x:c>
      <x:c r="J46">
        <x:f t="shared" si="25"/>
        <x:v>1.0162720397038659E-2</x:v>
      </x:c>
      <x:c r="L46" s="1">
        <x:v>3.320918424821</x:v>
      </x:c>
      <x:c r="M46" s="1">
        <x:f t="shared" si="26"/>
        <x:v>3.4380677423021542</x:v>
      </x:c>
      <x:c r="N46" s="1">
        <x:v>5007.7269021739103</x:v>
      </x:c>
      <x:c r="O46" s="1">
        <x:v>3162.5956521739099</x:v>
      </x:c>
      <x:c r="P46" s="1">
        <x:f t="shared" si="27"/>
        <x:v>5.1571016134532313</x:v>
      </x:c>
      <x:c r="Q46" s="1">
        <x:f t="shared" si="28"/>
        <x:v>17.730464700987945</x:v>
      </x:c>
      <x:c r="R46" s="1">
        <x:f t="shared" si="29"/>
        <x:v>0.13514814243331769</x:v>
      </x:c>
      <x:c r="S46" s="1">
        <x:f t="shared" si="30"/>
        <x:v>3.4978913171970744E-2</x:v>
      </x:c>
      <x:c r="T46" s="1">
        <x:f t="shared" si="31"/>
        <x:v>8.306266841887798E-2</x:v>
      </x:c>
      <x:c r="U46">
        <x:f t="shared" si="32"/>
        <x:v>1.0731907628825652E-2</x:v>
      </x:c>
      <x:c r="AC46" s="1">
        <x:v>5000</x:v>
      </x:c>
      <x:c r="AD46" s="1">
        <x:v>6.78</x:v>
      </x:c>
      <x:c r="AE46" s="1">
        <x:v>45</x:v>
      </x:c>
      <x:c r="AF46" s="1">
        <x:v>523.59877559829795</x:v>
      </x:c>
      <x:c r="AG46" s="1">
        <x:v>23.3373747845827</x:v>
      </x:c>
      <x:c r="AH46" s="1">
        <x:v>8.0996059459861203E-3</x:v>
      </x:c>
      <x:c r="AI46" s="1">
        <x:v>8.0996059459861203E-3</x:v>
      </x:c>
      <x:c r="AJ46" s="1">
        <x:v>9.5873899598764606E-2</x:v>
      </x:c>
      <x:c r="AK46" s="1">
        <x:v>3.5793735981194501E-2</x:v>
      </x:c>
      <x:c r="AL46" s="1">
        <x:v>1.2</x:v>
      </x:c>
      <x:c r="AM46" s="1">
        <x:v>6.0080163617570098E-2</x:v>
      </x:c>
      <x:c r="AN46" s="1">
        <x:v>6.0080163617570098E-2</x:v>
      </x:c>
      <x:c r="AO46" s="1">
        <x:v>6</x:v>
      </x:c>
      <x:c r="AP46" s="1" t="b">
        <x:v>1</x:v>
      </x:c>
      <x:c r="AQ46" s="1">
        <x:v>-37.887366125025999</x:v>
      </x:c>
      <x:c r="AR46" s="1">
        <x:v>5.5198489239914004</x:v>
      </x:c>
      <x:c r="AS46">
        <x:f t="shared" si="12"/>
        <x:v>6.2784652527689569E-2</x:v>
      </x:c>
      <x:c r="AT46">
        <x:f t="shared" si="13"/>
        <x:v>0.26692913385826766</x:v>
      </x:c>
    </x:row>
    <x:row r="47">
      <x:c r="A47" s="1">
        <x:v>2.6588005343616201</x:v>
      </x:c>
      <x:c r="B47" s="1">
        <x:f t="shared" si="19"/>
        <x:v>2.7525928616861859</x:v>
      </x:c>
      <x:c r="C47" s="1">
        <x:v>4955.5404522235503</x:v>
      </x:c>
      <x:c r="D47" s="1">
        <x:v>2974.7705544933001</x:v>
      </x:c>
      <x:c r="E47" s="1">
        <x:f t="shared" si="20"/>
        <x:v>4.1288892925292791</x:v>
      </x:c>
      <x:c r="F47" s="1">
        <x:f t="shared" si="21"/>
        <x:v>11.36515119330862</x:v>
      </x:c>
      <x:c r="G47" s="1">
        <x:f t="shared" si="22"/>
        <x:v>0.10934205738907352</x:v>
      </x:c>
      <x:c r="H47" s="1">
        <x:f t="shared" si="23"/>
        <x:v>2.8299806882985033E-2</x:v>
      </x:c>
      <x:c r="I47" s="1">
        <x:f t="shared" si="24"/>
        <x:v>7.9696401146788845E-2</x:v>
      </x:c>
      <x:c r="J47">
        <x:f t="shared" si="25"/>
        <x:v>1.0296977351413701E-2</x:v>
      </x:c>
      <x:c r="L47" s="1">
        <x:v>2.6608601808547898</x:v>
      </x:c>
      <x:c r="M47" s="1">
        <x:f t="shared" si="26"/>
        <x:v>2.7547251646406297</x:v>
      </x:c>
      <x:c r="N47" s="1">
        <x:v>5011.6045410156203</x:v>
      </x:c>
      <x:c r="O47" s="1">
        <x:v>3172.7087378640699</x:v>
      </x:c>
      <x:c r="P47" s="1">
        <x:f t="shared" si="27"/>
        <x:v>4.1320877469609449</x:v>
      </x:c>
      <x:c r="Q47" s="1">
        <x:f t="shared" si="28"/>
        <x:v>11.382766099056518</x:v>
      </x:c>
      <x:c r="R47" s="1">
        <x:f t="shared" si="29"/>
        <x:v>0.10820261829499453</x:v>
      </x:c>
      <x:c r="S47" s="1">
        <x:f t="shared" si="30"/>
        <x:v>2.8004898344703027E-2</x:v>
      </x:c>
      <x:c r="T47" s="1">
        <x:f t="shared" si="31"/>
        <x:v>8.3203984634573042E-2</x:v>
      </x:c>
      <x:c r="U47">
        <x:f t="shared" si="32"/>
        <x:v>1.0750166042649376E-2</x:v>
      </x:c>
      <x:c r="AC47" s="1">
        <x:v>5000</x:v>
      </x:c>
      <x:c r="AD47" s="1">
        <x:v>0</x:v>
      </x:c>
      <x:c r="AE47" s="1">
        <x:v>60</x:v>
      </x:c>
      <x:c r="AF47" s="1">
        <x:v>523.59877559829795</x:v>
      </x:c>
      <x:c r="AG47" s="1">
        <x:v>31.092246169528199</x:v>
      </x:c>
      <x:c r="AH47" s="1">
        <x:v>1.07910570179103E-2</x:v>
      </x:c>
      <x:c r="AI47" s="1">
        <x:v>1.07910570179103E-2</x:v>
      </x:c>
      <x:c r="AJ47" s="1">
        <x:v>7.3454261340129903E-2</x:v>
      </x:c>
      <x:c r="AK47" s="1">
        <x:v>7.3454261340129903E-2</x:v>
      </x:c>
      <x:c r="AL47" s="1">
        <x:v>0</x:v>
      </x:c>
      <x:c r="AM47" s="1">
        <x:v>0</x:v>
      </x:c>
      <x:c r="AN47" s="1">
        <x:v>0</x:v>
      </x:c>
      <x:c r="AO47" s="1">
        <x:v>11</x:v>
      </x:c>
      <x:c r="AP47" s="1" t="b">
        <x:v>1</x:v>
      </x:c>
      <x:c r="AQ47" s="1">
        <x:v>-17.886333046690499</x:v>
      </x:c>
      <x:c r="AR47" s="1">
        <x:v>5.9826990104032403</x:v>
      </x:c>
      <x:c r="AS47">
        <x:f t="shared" si="12"/>
        <x:v>8.3647620611930595E-2</x:v>
      </x:c>
      <x:c r="AT47">
        <x:f t="shared" si="13"/>
        <x:v>0</x:v>
      </x:c>
    </x:row>
    <x:row r="48">
      <x:c r="A48" s="1">
        <x:v>1.9970167909718499</x:v>
      </x:c>
      <x:c r="B48" s="1">
        <x:f t="shared" si="19"/>
        <x:v>2.0674639155721382</x:v>
      </x:c>
      <x:c r="C48" s="1">
        <x:v>4964.7682233537898</x:v>
      </x:c>
      <x:c r="D48" s="1">
        <x:v>2954.56137184115</x:v>
      </x:c>
      <x:c r="E48" s="1">
        <x:f t="shared" si="20"/>
        <x:v>3.1011958733582072</x:v>
      </x:c>
      <x:c r="F48" s="1">
        <x:f t="shared" si="21"/>
        <x:v>6.4116105632893152</x:v>
      </x:c>
      <x:c r="G48" s="1">
        <x:f t="shared" si="22"/>
        <x:v>8.1973833909939078E-2</x:v>
      </x:c>
      <x:c r="H48" s="1">
        <x:f t="shared" si="23"/>
        <x:v>2.1216389415963068E-2</x:v>
      </x:c>
      <x:c r="I48" s="1">
        <x:f t="shared" si="24"/>
        <x:v>7.8851047726785306E-2</x:v>
      </x:c>
      <x:c r="J48">
        <x:f t="shared" si="25"/>
        <x:v>1.0187755543471783E-2</x:v>
      </x:c>
      <x:c r="L48" s="1">
        <x:v>1.99978110488031</x:v>
      </x:c>
      <x:c r="M48" s="1">
        <x:f t="shared" si="26"/>
        <x:v>2.0703257439167428</x:v>
      </x:c>
      <x:c r="N48" s="1">
        <x:v>5020.03369140625</x:v>
      </x:c>
      <x:c r="O48" s="1">
        <x:v>3178.0258823529398</x:v>
      </x:c>
      <x:c r="P48" s="1">
        <x:f t="shared" si="27"/>
        <x:v>3.1054886158751143</x:v>
      </x:c>
      <x:c r="Q48" s="1">
        <x:f t="shared" si="28"/>
        <x:v>6.429373028886622</x:v>
      </x:c>
      <x:c r="R48" s="1">
        <x:f t="shared" si="29"/>
        <x:v>8.1183606093432795E-2</x:v>
      </x:c>
      <x:c r="S48" s="1">
        <x:f t="shared" si="30"/>
        <x:v>2.1011863407081464E-2</x:v>
      </x:c>
      <x:c r="T48" s="1">
        <x:f t="shared" si="31"/>
        <x:v>8.3066181208003687E-2</x:v>
      </x:c>
      <x:c r="U48">
        <x:f t="shared" si="32"/>
        <x:v>1.0732361490098522E-2</x:v>
      </x:c>
      <x:c r="AC48" s="1">
        <x:v>5000</x:v>
      </x:c>
      <x:c r="AD48" s="1">
        <x:v>0.67800000000000005</x:v>
      </x:c>
      <x:c r="AE48" s="1">
        <x:v>60</x:v>
      </x:c>
      <x:c r="AF48" s="1">
        <x:v>523.59877559829795</x:v>
      </x:c>
      <x:c r="AG48" s="1">
        <x:v>30.567598635806601</x:v>
      </x:c>
      <x:c r="AH48" s="1">
        <x:v>1.0608969772755101E-2</x:v>
      </x:c>
      <x:c r="AI48" s="1">
        <x:v>1.0608969772755101E-2</x:v>
      </x:c>
      <x:c r="AJ48" s="1">
        <x:v>7.4811997487292697E-2</x:v>
      </x:c>
      <x:c r="AK48" s="1">
        <x:v>7.0563688376414593E-2</x:v>
      </x:c>
      <x:c r="AL48" s="1">
        <x:v>1.2</x:v>
      </x:c>
      <x:c r="AM48" s="1">
        <x:v>4.2483091108781101E-3</x:v>
      </x:c>
      <x:c r="AN48" s="1">
        <x:v>7.3582872262986602E-3</x:v>
      </x:c>
      <x:c r="AO48" s="1">
        <x:v>12</x:v>
      </x:c>
      <x:c r="AP48" s="1" t="b">
        <x:v>1</x:v>
      </x:c>
      <x:c r="AQ48" s="1">
        <x:v>-22.245894031487001</x:v>
      </x:c>
      <x:c r="AR48" s="1">
        <x:v>10.409935751006699</x:v>
      </x:c>
      <x:c r="AS48">
        <x:f t="shared" si="12"/>
        <x:v>8.22361588083525E-2</x:v>
      </x:c>
      <x:c r="AT48">
        <x:f t="shared" si="13"/>
        <x:v>2.6692913385826779E-2</x:v>
      </x:c>
    </x:row>
    <x:row r="49">
      <x:c r="A49" s="1">
        <x:v>1.3386402493382701</x:v>
      </x:c>
      <x:c r="B49" s="1">
        <x:f t="shared" si="19"/>
        <x:v>1.3858623642781254</x:v>
      </x:c>
      <x:c r="C49" s="1">
        <x:v>4957.9690348307204</x:v>
      </x:c>
      <x:c r="D49" s="1">
        <x:v>3004.9120171673799</x:v>
      </x:c>
      <x:c r="E49" s="1">
        <x:f t="shared" si="20"/>
        <x:v>2.0787935464171881</x:v>
      </x:c>
      <x:c r="F49" s="1">
        <x:f t="shared" si="21"/>
        <x:v>2.8809217390838331</x:v>
      </x:c>
      <x:c r="G49" s="1">
        <x:f t="shared" si="22"/>
        <x:v>5.5024053217502082E-2</x:v>
      </x:c>
      <x:c r="H49" s="1">
        <x:f t="shared" si="23"/>
        <x:v>1.4241272911424175E-2</x:v>
      </x:c>
      <x:c r="I49" s="1">
        <x:f t="shared" si="24"/>
        <x:v>8.0439968663125722E-2</x:v>
      </x:c>
      <x:c r="J49">
        <x:f t="shared" si="25"/>
        <x:v>1.0393048162200573E-2</x:v>
      </x:c>
      <x:c r="L49" s="1">
        <x:v>1.2667825268948101</x:v>
      </x:c>
      <x:c r="M49" s="1">
        <x:f t="shared" si="26"/>
        <x:v>1.3114697758538922</x:v>
      </x:c>
      <x:c r="N49" s="1">
        <x:v>5014.4891015624999</x:v>
      </x:c>
      <x:c r="O49" s="1">
        <x:v>3181.30374753451</x:v>
      </x:c>
      <x:c r="P49" s="1">
        <x:f t="shared" si="27"/>
        <x:v>1.9672046637808385</x:v>
      </x:c>
      <x:c r="Q49" s="1">
        <x:f t="shared" si="28"/>
        <x:v>2.5799294594673876</x:v>
      </x:c>
      <x:c r="R49" s="1">
        <x:f t="shared" si="29"/>
        <x:v>5.1483478471032906E-2</x:v>
      </x:c>
      <x:c r="S49" s="1">
        <x:f t="shared" si="30"/>
        <x:v>1.3324904736428923E-2</x:v>
      </x:c>
      <x:c r="T49" s="1">
        <x:f t="shared" si="31"/>
        <x:v>8.3337325889898908E-2</x:v>
      </x:c>
      <x:c r="U49">
        <x:f t="shared" si="32"/>
        <x:v>1.0767394071347568E-2</x:v>
      </x:c>
      <x:c r="AC49" s="1">
        <x:v>5000</x:v>
      </x:c>
      <x:c r="AD49" s="1">
        <x:v>1.3560000000000001</x:v>
      </x:c>
      <x:c r="AE49" s="1">
        <x:v>60</x:v>
      </x:c>
      <x:c r="AF49" s="1">
        <x:v>523.59877559829795</x:v>
      </x:c>
      <x:c r="AG49" s="1">
        <x:v>30.171566468769601</x:v>
      </x:c>
      <x:c r="AH49" s="1">
        <x:v>1.04715205298757E-2</x:v>
      </x:c>
      <x:c r="AI49" s="1">
        <x:v>1.04715205298757E-2</x:v>
      </x:c>
      <x:c r="AJ49" s="1">
        <x:v>7.6071012004495203E-2</x:v>
      </x:c>
      <x:c r="AK49" s="1">
        <x:v>6.7574393782738995E-2</x:v>
      </x:c>
      <x:c r="AL49" s="1">
        <x:v>1.2</x:v>
      </x:c>
      <x:c r="AM49" s="1">
        <x:v>8.4966182217562306E-3</x:v>
      </x:c>
      <x:c r="AN49" s="1">
        <x:v>1.47165744525973E-2</x:v>
      </x:c>
      <x:c r="AO49" s="1">
        <x:v>11</x:v>
      </x:c>
      <x:c r="AP49" s="1" t="b">
        <x:v>1</x:v>
      </x:c>
      <x:c r="AQ49" s="1">
        <x:v>-23.032565708139298</x:v>
      </x:c>
      <x:c r="AR49" s="1">
        <x:v>9.9971780216239292</x:v>
      </x:c>
      <x:c r="AS49">
        <x:f t="shared" si="12"/>
        <x:v>8.1170711549322108E-2</x:v>
      </x:c>
      <x:c r="AT49">
        <x:f t="shared" si="13"/>
        <x:v>5.3385826771653558E-2</x:v>
      </x:c>
    </x:row>
    <x:row r="50">
      <x:c r="A50" s="1">
        <x:v>0.67472872104284898</x:v>
      </x:c>
      <x:c r="B50" s="1">
        <x:f t="shared" si="19"/>
        <x:v>0.69853057313422107</x:v>
      </x:c>
      <x:c r="C50" s="1">
        <x:v>4969.1310659555202</x:v>
      </x:c>
      <x:c r="D50" s="1">
        <x:v>3044.3560606060601</x:v>
      </x:c>
      <x:c r="E50" s="1">
        <x:f t="shared" si="20"/>
        <x:v>1.0477958597013317</x:v>
      </x:c>
      <x:c r="F50" s="1">
        <x:f t="shared" si="21"/>
        <x:v>0.73191744240483503</x:v>
      </x:c>
      <x:c r="G50" s="1">
        <x:f t="shared" si="22"/>
        <x:v>2.7672044972930677E-2</x:v>
      </x:c>
      <x:c r="H50" s="1">
        <x:f t="shared" si="23"/>
        <x:v>7.1620522559279268E-3</x:v>
      </x:c>
      <x:c r="I50" s="1">
        <x:f t="shared" si="24"/>
        <x:v>8.114937206643244E-2</x:v>
      </x:c>
      <x:c r="J50">
        <x:f t="shared" si="25"/>
        <x:v>1.0484704882852372E-2</x:v>
      </x:c>
      <x:c r="L50" s="1">
        <x:v>0.67656871250697503</x:v>
      </x:c>
      <x:c r="M50" s="1">
        <x:f t="shared" si="26"/>
        <x:v>0.70043547246918869</x:v>
      </x:c>
      <x:c r="N50" s="1">
        <x:v>4979.1466190732699</x:v>
      </x:c>
      <x:c r="O50" s="1">
        <x:v>3186.9703315881302</x:v>
      </x:c>
      <x:c r="P50" s="1">
        <x:f t="shared" si="27"/>
        <x:v>1.050653208703783</x:v>
      </x:c>
      <x:c r="Q50" s="1">
        <x:f t="shared" si="28"/>
        <x:v>0.73591477663970339</x:v>
      </x:c>
      <x:c r="R50" s="1">
        <x:f t="shared" si="29"/>
        <x:v>2.7691692787150647E-2</x:v>
      </x:c>
      <x:c r="S50" s="1">
        <x:f t="shared" si="30"/>
        <x:v>7.1671374844426922E-3</x:v>
      </x:c>
      <x:c r="T50" s="1">
        <x:f t="shared" si="31"/>
        <x:v>8.4677752016110816E-2</x:v>
      </x:c>
      <x:c r="U50">
        <x:f t="shared" si="32"/>
        <x:v>1.0940580529760231E-2</x:v>
      </x:c>
      <x:c r="AC50" s="1">
        <x:v>5000</x:v>
      </x:c>
      <x:c r="AD50" s="1">
        <x:v>2.0339999999999998</x:v>
      </x:c>
      <x:c r="AE50" s="1">
        <x:v>60</x:v>
      </x:c>
      <x:c r="AF50" s="1">
        <x:v>523.59877559829795</x:v>
      </x:c>
      <x:c r="AG50" s="1">
        <x:v>29.8278891832665</x:v>
      </x:c>
      <x:c r="AH50" s="1">
        <x:v>1.0352241878748201E-2</x:v>
      </x:c>
      <x:c r="AI50" s="1">
        <x:v>1.0352241878748201E-2</x:v>
      </x:c>
      <x:c r="AJ50" s="1">
        <x:v>7.7205323122040204E-2</x:v>
      </x:c>
      <x:c r="AK50" s="1">
        <x:v>6.4460395789405794E-2</x:v>
      </x:c>
      <x:c r="AL50" s="1">
        <x:v>1.2</x:v>
      </x:c>
      <x:c r="AM50" s="1">
        <x:v>1.27449273326343E-2</x:v>
      </x:c>
      <x:c r="AN50" s="1">
        <x:v>2.2074861678895899E-2</x:v>
      </x:c>
      <x:c r="AO50" s="1">
        <x:v>10</x:v>
      </x:c>
      <x:c r="AP50" s="1" t="b">
        <x:v>1</x:v>
      </x:c>
      <x:c r="AQ50" s="1">
        <x:v>-24.131425629375101</x:v>
      </x:c>
      <x:c r="AR50" s="1">
        <x:v>9.6051172282994397</x:v>
      </x:c>
      <x:c r="AS50">
        <x:f t="shared" si="12"/>
        <x:v>8.0246114881909816E-2</x:v>
      </x:c>
      <x:c r="AT50">
        <x:f t="shared" si="13"/>
        <x:v>8.0078740157480316E-2</x:v>
      </x:c>
    </x:row>
    <x:row r="51">
      <x:c r="A51" s="1">
        <x:v>8.9110242219074903E-2</x:v>
      </x:c>
      <x:c r="B51" s="1">
        <x:f t="shared" si="19"/>
        <x:v>9.2253711199981187E-2</x:v>
      </x:c>
      <x:c r="C51" s="1">
        <x:v>4972.8015950520803</x:v>
      </x:c>
      <x:c r="D51" s="1">
        <x:v>3048.3333333333298</x:v>
      </x:c>
      <x:c r="E51" s="1">
        <x:f t="shared" si="20"/>
        <x:v>0.13838056679997179</x:v>
      </x:c>
      <x:c r="F51" s="1">
        <x:f t="shared" si="21"/>
        <x:v>1.2766120845254299E-2</x:v>
      </x:c>
      <x:c r="G51" s="1">
        <x:f t="shared" si="22"/>
        <x:v>3.6519010507365412E-3</x:v>
      </x:c>
      <x:c r="H51" s="1">
        <x:f t="shared" si="23"/>
        <x:v>9.4518154276052372E-4</x:v>
      </x:c>
      <x:c r="I51" s="1">
        <x:f t="shared" si="24"/>
        <x:v>8.113739063681083E-2</x:v>
      </x:c>
      <x:c r="J51">
        <x:f t="shared" si="25"/>
        <x:v>1.0483156851728306E-2</x:v>
      </x:c>
      <x:c r="L51" s="1">
        <x:v>8.3632561499657795E-2</x:v>
      </x:c>
      <x:c r="M51" s="1">
        <x:f t="shared" si="26"/>
        <x:v>8.6582798827277083E-2</x:v>
      </x:c>
      <x:c r="N51" s="1">
        <x:v>0</x:v>
      </x:c>
      <x:c r="O51" s="1">
        <x:v>51.870370370370303</x:v>
      </x:c>
      <x:c r="P51" s="1">
        <x:f t="shared" si="27"/>
        <x:v>0.12987419824091562</x:v>
      </x:c>
      <x:c r="Q51" s="1">
        <x:f t="shared" si="28"/>
        <x:v>1.1244871579147102E-2</x:v>
      </x:c>
      <x:c r="R51" s="1" t="e">
        <x:f t="shared" si="29"/>
        <x:v>#DIV/0!</x:v>
      </x:c>
      <x:c r="S51" s="1" t="e">
        <x:f t="shared" si="30"/>
        <x:v>#DIV/0!</x:v>
      </x:c>
      <x:c r="T51" s="1" t="e">
        <x:f t="shared" si="31"/>
        <x:v>#DIV/0!</x:v>
      </x:c>
      <x:c r="U51" t="e">
        <x:f t="shared" si="32"/>
        <x:v>#DIV/0!</x:v>
      </x:c>
      <x:c r="AC51" s="1">
        <x:v>5000</x:v>
      </x:c>
      <x:c r="AD51" s="1">
        <x:v>2.7120000000000002</x:v>
      </x:c>
      <x:c r="AE51" s="1">
        <x:v>60</x:v>
      </x:c>
      <x:c r="AF51" s="1">
        <x:v>523.59877559829795</x:v>
      </x:c>
      <x:c r="AG51" s="1">
        <x:v>29.520975631975698</x:v>
      </x:c>
      <x:c r="AH51" s="1">
        <x:v>1.0245722664488499E-2</x:v>
      </x:c>
      <x:c r="AI51" s="1">
        <x:v>1.0245722664488499E-2</x:v>
      </x:c>
      <x:c r="AJ51" s="1">
        <x:v>7.8261596203595296E-2</x:v>
      </x:c>
      <x:c r="AK51" s="1">
        <x:v>6.1268359760082901E-2</x:v>
      </x:c>
      <x:c r="AL51" s="1">
        <x:v>1.2</x:v>
      </x:c>
      <x:c r="AM51" s="1">
        <x:v>1.6993236443512399E-2</x:v>
      </x:c>
      <x:c r="AN51" s="1">
        <x:v>2.9433148905194599E-2</x:v>
      </x:c>
      <x:c r="AO51" s="1">
        <x:v>8</x:v>
      </x:c>
      <x:c r="AP51" s="1" t="b">
        <x:v>1</x:v>
      </x:c>
      <x:c r="AQ51" s="1">
        <x:v>-25.5159160514227</x:v>
      </x:c>
      <x:c r="AR51" s="1">
        <x:v>9.24517934648423</x:v>
      </x:c>
      <x:c r="AS51">
        <x:f t="shared" si="12"/>
        <x:v>7.9420423866888024E-2</x:v>
      </x:c>
      <x:c r="AT51">
        <x:f t="shared" si="13"/>
        <x:v>0.10677165354330712</x:v>
      </x:c>
    </x:row>
    <x:row r="52">
      <x:c r="A52" s="1">
        <x:v>3.5106079908191798E-2</x:v>
      </x:c>
      <x:c r="B52" s="1">
        <x:f t="shared" si="19"/>
        <x:v>3.6344488316523961E-2</x:v>
      </x:c>
      <x:c r="C52" s="1">
        <x:v>0</x:v>
      </x:c>
      <x:c r="D52" s="1">
        <x:v>111.661616161616</x:v>
      </x:c>
      <x:c r="E52" s="1" t="n">
        <x:f t="shared" ref="E52" si="33">B52*1.5</x:f>
        <x:v>0.054516732474785945</x:v>
      </x:c>
      <x:c r="F52" s="1" t="n">
        <x:f t="shared" ref="F52" si="34">B52*B52*1.5</x:f>
        <x:v>0.00198138274648492</x:v>
      </x:c>
      <x:c r="G52" s="1" t="e">
        <x:f t="shared" ref="G52" si="35">E52/(C52/60)/0.4572</x:f>
        <x:v>#DIV/0!</x:v>
      </x:c>
      <x:c r="H52" s="1" t="e">
        <x:f t="shared" ref="H52" si="36">E52*SIN(RADIANS(15))/(C52/60)/0.4572</x:f>
        <x:v>#DIV/0!</x:v>
      </x:c>
      <x:c r="I52" s="1" t="e">
        <x:f t="shared" ref="I52" si="37">(D52-$D$30)*9.8/1.205/(C52/60)^2/0.4572^4/1000</x:f>
        <x:v>#DIV/0!</x:v>
      </x:c>
      <x:c r="J52" t="e">
        <x:f t="shared" si="25"/>
        <x:v>#DIV/0!</x:v>
      </x:c>
      <x:c r="P52" s="1"/>
      <x:c r="Q52" s="1"/>
      <x:c r="R52" s="1"/>
      <x:c r="S52" s="1"/>
      <x:c r="T52" s="1"/>
      <x:c r="AC52" s="1">
        <x:v>5000</x:v>
      </x:c>
      <x:c r="AD52" s="1">
        <x:v>3.39</x:v>
      </x:c>
      <x:c r="AE52" s="1">
        <x:v>60</x:v>
      </x:c>
      <x:c r="AF52" s="1">
        <x:v>523.59877559829795</x:v>
      </x:c>
      <x:c r="AG52" s="1">
        <x:v>29.235645738177499</x:v>
      </x:c>
      <x:c r="AH52" s="1">
        <x:v>1.01466944007824E-2</x:v>
      </x:c>
      <x:c r="AI52" s="1">
        <x:v>1.01466944007824E-2</x:v>
      </x:c>
      <x:c r="AJ52" s="1">
        <x:v>7.9285278634523601E-2</x:v>
      </x:c>
      <x:c r="AK52" s="1">
        <x:v>5.8043733080132998E-2</x:v>
      </x:c>
      <x:c r="AL52" s="1">
        <x:v>1.2</x:v>
      </x:c>
      <x:c r="AM52" s="1">
        <x:v>2.1241545554390499E-2</x:v>
      </x:c>
      <x:c r="AN52" s="1">
        <x:v>3.6791436131493299E-2</x:v>
      </x:c>
      <x:c r="AO52" s="1">
        <x:v>7</x:v>
      </x:c>
      <x:c r="AP52" s="1" t="b">
        <x:v>1</x:v>
      </x:c>
      <x:c r="AQ52" s="1">
        <x:v>-27.152360306818299</x:v>
      </x:c>
      <x:c r="AR52" s="1">
        <x:v>8.9089338236758202</x:v>
      </x:c>
      <x:c r="AS52">
        <x:f t="shared" si="12"/>
        <x:v>7.8652799470260548E-2</x:v>
      </x:c>
      <x:c r="AT52">
        <x:f t="shared" si="13"/>
        <x:v>0.13346456692913383</x:v>
      </x:c>
    </x:row>
    <x:row r="53">
      <x:c r="AC53" s="1">
        <x:v>5000</x:v>
      </x:c>
      <x:c r="AD53" s="1">
        <x:v>4.0679999999999996</x:v>
      </x:c>
      <x:c r="AE53" s="1">
        <x:v>60</x:v>
      </x:c>
      <x:c r="AF53" s="1">
        <x:v>523.59877559829795</x:v>
      </x:c>
      <x:c r="AG53" s="1">
        <x:v>28.956553392142101</x:v>
      </x:c>
      <x:c r="AH53" s="1">
        <x:v>1.0049830976927099E-2</x:v>
      </x:c>
      <x:c r="AI53" s="1">
        <x:v>1.0049830976927099E-2</x:v>
      </x:c>
      <x:c r="AJ53" s="1">
        <x:v>8.0316386671517706E-2</x:v>
      </x:c>
      <x:c r="AK53" s="1">
        <x:v>5.4826532006248999E-2</x:v>
      </x:c>
      <x:c r="AL53" s="1">
        <x:v>1.2</x:v>
      </x:c>
      <x:c r="AM53" s="1">
        <x:v>2.5489854665268701E-2</x:v>
      </x:c>
      <x:c r="AN53" s="1">
        <x:v>4.4149723357791902E-2</x:v>
      </x:c>
      <x:c r="AO53" s="1">
        <x:v>6</x:v>
      </x:c>
      <x:c r="AP53" s="1" t="b">
        <x:v>1</x:v>
      </x:c>
      <x:c r="AQ53" s="1">
        <x:v>-29.0311508270965</x:v>
      </x:c>
      <x:c r="AR53" s="1">
        <x:v>8.5980717722070406</x:v>
      </x:c>
      <x:c r="AS53">
        <x:f t="shared" si="12"/>
        <x:v>7.790195597861993E-2</x:v>
      </x:c>
      <x:c r="AT53">
        <x:f t="shared" si="13"/>
        <x:v>0.16015748031496063</x:v>
      </x:c>
    </x:row>
    <x:row r="54">
      <x:c r="AC54" s="1">
        <x:v>5000</x:v>
      </x:c>
      <x:c r="AD54" s="1">
        <x:v>4.7460000000000004</x:v>
      </x:c>
      <x:c r="AE54" s="1">
        <x:v>60</x:v>
      </x:c>
      <x:c r="AF54" s="1">
        <x:v>523.59877559829795</x:v>
      </x:c>
      <x:c r="AG54" s="1">
        <x:v>28.666065837609501</x:v>
      </x:c>
      <x:c r="AH54" s="1">
        <x:v>9.94901266528566E-3</x:v>
      </x:c>
      <x:c r="AI54" s="1">
        <x:v>9.94901266528566E-3</x:v>
      </x:c>
      <x:c r="AJ54" s="1">
        <x:v>8.1385914986623994E-2</x:v>
      </x:c>
      <x:c r="AK54" s="1">
        <x:v>5.1647751210477197E-2</x:v>
      </x:c>
      <x:c r="AL54" s="1">
        <x:v>1.2</x:v>
      </x:c>
      <x:c r="AM54" s="1">
        <x:v>2.9738163776146801E-2</x:v>
      </x:c>
      <x:c r="AN54" s="1">
        <x:v>5.1508010584090602E-2</x:v>
      </x:c>
      <x:c r="AO54" s="1">
        <x:v>5</x:v>
      </x:c>
      <x:c r="AP54" s="1" t="b">
        <x:v>1</x:v>
      </x:c>
      <x:c r="AQ54" s="1">
        <x:v>-31.1579739548608</x:v>
      </x:c>
      <x:c r="AR54" s="1">
        <x:v>8.3148376556356407</x:v>
      </x:c>
      <x:c r="AS54">
        <x:f t="shared" si="12"/>
        <x:v>7.7120455902313992E-2</x:v>
      </x:c>
      <x:c r="AT54">
        <x:f t="shared" si="13"/>
        <x:v>0.18685039370078743</x:v>
      </x:c>
    </x:row>
    <x:row r="55">
      <x:c r="AC55" s="1">
        <x:v>5000</x:v>
      </x:c>
      <x:c r="AD55" s="1">
        <x:v>5.4240000000000004</x:v>
      </x:c>
      <x:c r="AE55" s="1">
        <x:v>60</x:v>
      </x:c>
      <x:c r="AF55" s="1">
        <x:v>523.59877559829795</x:v>
      </x:c>
      <x:c r="AG55" s="1">
        <x:v>28.357332248979201</x:v>
      </x:c>
      <x:c r="AH55" s="1">
        <x:v>9.8418617782095597E-3</x:v>
      </x:c>
      <x:c r="AI55" s="1">
        <x:v>9.8418617782095597E-3</x:v>
      </x:c>
      <x:c r="AJ55" s="1">
        <x:v>8.2529719608580202E-2</x:v>
      </x:c>
      <x:c r="AK55" s="1">
        <x:v>4.85432467215553E-2</x:v>
      </x:c>
      <x:c r="AL55" s="1">
        <x:v>1.2</x:v>
      </x:c>
      <x:c r="AM55" s="1">
        <x:v>3.3986472887024902E-2</x:v>
      </x:c>
      <x:c r="AN55" s="1">
        <x:v>5.8866297810389198E-2</x:v>
      </x:c>
      <x:c r="AO55" s="1">
        <x:v>4</x:v>
      </x:c>
      <x:c r="AP55" s="1" t="b">
        <x:v>1</x:v>
      </x:c>
      <x:c r="AQ55" s="1">
        <x:v>-33.5384037375037</x:v>
      </x:c>
      <x:c r="AR55" s="1">
        <x:v>8.0718134484569095</x:v>
      </x:c>
      <x:c r="AS55">
        <x:f t="shared" si="12"/>
        <x:v>7.6289868432013602E-2</x:v>
      </x:c>
      <x:c r="AT55">
        <x:f t="shared" si="13"/>
        <x:v>0.21354330708661423</x:v>
      </x:c>
    </x:row>
    <x:row r="56">
      <x:c r="A56" s="3" t="s">
        <x:v>66</x:v>
      </x:c>
      <x:c r="B56" s="3"/>
      <x:c r="C56" s="3"/>
      <x:c r="K56" s="3" t="s">
        <x:v>67</x:v>
      </x:c>
      <x:c r="L56" s="3"/>
      <x:c r="M56" s="3"/>
      <x:c r="AC56" s="1">
        <x:v>5000</x:v>
      </x:c>
      <x:c r="AD56" s="1">
        <x:v>6.1020000000000003</x:v>
      </x:c>
      <x:c r="AE56" s="1">
        <x:v>60</x:v>
      </x:c>
      <x:c r="AF56" s="1">
        <x:v>523.59877559829795</x:v>
      </x:c>
      <x:c r="AG56" s="1">
        <x:v>28.0236060460266</x:v>
      </x:c>
      <x:c r="AH56" s="1">
        <x:v>9.7260368080611601E-3</x:v>
      </x:c>
      <x:c r="AI56" s="1">
        <x:v>9.7260368080611601E-3</x:v>
      </x:c>
      <x:c r="AJ56" s="1">
        <x:v>8.3773720789438802E-2</x:v>
      </x:c>
      <x:c r="AK56" s="1">
        <x:v>4.5538938791535699E-2</x:v>
      </x:c>
      <x:c r="AL56" s="1">
        <x:v>1.2</x:v>
      </x:c>
      <x:c r="AM56" s="1">
        <x:v>3.8234781997902999E-2</x:v>
      </x:c>
      <x:c r="AN56" s="1">
        <x:v>6.6224585036687905E-2</x:v>
      </x:c>
      <x:c r="AO56" s="1">
        <x:v>5</x:v>
      </x:c>
      <x:c r="AP56" s="1" t="b">
        <x:v>1</x:v>
      </x:c>
      <x:c r="AQ56" s="1">
        <x:v>-36.152873233588402</x:v>
      </x:c>
      <x:c r="AR56" s="1">
        <x:v>7.8579274134530301</x:v>
      </x:c>
      <x:c r="AS56">
        <x:f t="shared" si="12"/>
        <x:v>7.5392043210232157E-2</x:v>
      </x:c>
      <x:c r="AT56">
        <x:f t="shared" si="13"/>
        <x:v>0.24023622047244095</x:v>
      </x:c>
    </x:row>
    <x:row r="57">
      <x:c r="A57" s="1" t="s">
        <x:v>3</x:v>
      </x:c>
      <x:c r="B57" s="1" t="s">
        <x:v>4</x:v>
      </x:c>
      <x:c r="C57" s="1" t="s">
        <x:v>5</x:v>
      </x:c>
      <x:c r="D57" s="1" t="s">
        <x:v>6</x:v>
      </x:c>
      <x:c r="E57" s="1" t="s">
        <x:v>7</x:v>
      </x:c>
      <x:c r="F57" s="1" t="s">
        <x:v>8</x:v>
      </x:c>
      <x:c r="G57" s="1" t="s">
        <x:v>9</x:v>
      </x:c>
      <x:c r="H57" s="1" t="s">
        <x:v>10</x:v>
      </x:c>
      <x:c r="I57" s="1" t="s">
        <x:v>11</x:v>
      </x:c>
      <x:c r="K57" s="1" t="s">
        <x:v>3</x:v>
      </x:c>
      <x:c r="L57" s="1" t="s">
        <x:v>4</x:v>
      </x:c>
      <x:c r="M57" s="1" t="s">
        <x:v>5</x:v>
      </x:c>
      <x:c r="N57" s="1" t="s">
        <x:v>6</x:v>
      </x:c>
      <x:c r="O57" s="1" t="s">
        <x:v>7</x:v>
      </x:c>
      <x:c r="P57" s="1" t="s">
        <x:v>8</x:v>
      </x:c>
      <x:c r="Q57" s="1" t="s">
        <x:v>9</x:v>
      </x:c>
      <x:c r="R57" s="1" t="s">
        <x:v>10</x:v>
      </x:c>
      <x:c r="S57" s="1" t="s">
        <x:v>11</x:v>
      </x:c>
      <x:c r="AC57" s="1">
        <x:v>5000</x:v>
      </x:c>
      <x:c r="AD57" s="1">
        <x:v>6.78</x:v>
      </x:c>
      <x:c r="AE57" s="1">
        <x:v>60</x:v>
      </x:c>
      <x:c r="AF57" s="1">
        <x:v>523.59877559829795</x:v>
      </x:c>
      <x:c r="AG57" s="1">
        <x:v>27.6558197067672</x:v>
      </x:c>
      <x:c r="AH57" s="1">
        <x:v>9.5983907275651592E-3</x:v>
      </x:c>
      <x:c r="AI57" s="1">
        <x:v>9.5983907275651592E-3</x:v>
      </x:c>
      <x:c r="AJ57" s="1">
        <x:v>8.5132899642423196E-2</x:v>
      </x:c>
      <x:c r="AK57" s="1">
        <x:v>4.2649808533642003E-2</x:v>
      </x:c>
      <x:c r="AL57" s="1">
        <x:v>1.2</x:v>
      </x:c>
      <x:c r="AM57" s="1">
        <x:v>4.2483091108781103E-2</x:v>
      </x:c>
      <x:c r="AN57" s="1">
        <x:v>7.3582872262986598E-2</x:v>
      </x:c>
      <x:c r="AO57" s="1">
        <x:v>6</x:v>
      </x:c>
      <x:c r="AP57" s="1" t="b">
        <x:v>1</x:v>
      </x:c>
      <x:c r="AQ57" s="1">
        <x:v>-39.065106747136603</x:v>
      </x:c>
      <x:c r="AR57" s="1">
        <x:v>7.6674173337894702</x:v>
      </x:c>
      <x:c r="AS57">
        <x:f t="shared" si="12"/>
        <x:v>7.4402585838613422E-2</x:v>
      </x:c>
      <x:c r="AT57">
        <x:f t="shared" si="13"/>
        <x:v>0.26692913385826766</x:v>
      </x:c>
    </x:row>
    <x:row r="58">
      <x:c r="A58" s="1">
        <x:v>-2.7330115088261601E-2</x:v>
      </x:c>
      <x:c r="B58" s="1">
        <x:v>0</x:v>
      </x:c>
      <x:c r="C58" s="1">
        <x:v>89.765093304061395</x:v>
      </x:c>
      <x:c r="D58" s="1" t="n">
        <x:f>-A58*1.5</x:f>
        <x:v>0.0409951726323924</x:v>
      </x:c>
      <x:c r="E58" s="1" t="n">
        <x:f>A58*A58*1.5</x:f>
        <x:v>0.0011204027861064368</x:v>
      </x:c>
      <x:c r="F58" s="1" t="e">
        <x:f>D58/(B58/60)/0.4572</x:f>
        <x:v>#DIV/0!</x:v>
      </x:c>
      <x:c r="G58" s="1" t="e">
        <x:f>D58*SIN(RADIANS(30))/(B58/60)/0.4572</x:f>
        <x:v>#DIV/0!</x:v>
      </x:c>
      <x:c r="H58" s="1" t="e">
        <x:f>(C58-$C$58)*9.8/1.205/(B58/60)^2/0.4572^4/1000</x:f>
        <x:v>#DIV/0!</x:v>
      </x:c>
      <x:c r="I58" t="e">
        <x:f>H58*4/(3.14^3)</x:f>
        <x:v>#DIV/0!</x:v>
      </x:c>
      <x:c r="K58" s="1">
        <x:v>-1.80532546816011E-2</x:v>
      </x:c>
      <x:c r="L58" s="1">
        <x:v>0</x:v>
      </x:c>
      <x:c r="M58" s="1">
        <x:v>89.504098360655703</x:v>
      </x:c>
      <x:c r="N58" s="1" t="n">
        <x:f>-K58*1.5</x:f>
        <x:v>0.02707988202240165</x:v>
      </x:c>
      <x:c r="O58" s="1" t="n">
        <x:f>K58*K58*1.5</x:f>
        <x:v>0.000488880006898128</x:v>
      </x:c>
      <x:c r="P58" s="1" t="e">
        <x:f>N58/(L58/60)/0.4572</x:f>
        <x:v>#DIV/0!</x:v>
      </x:c>
      <x:c r="Q58" s="1" t="e">
        <x:f>N58*SIN(RADIANS(30))/(L58/60)/0.4572</x:f>
        <x:v>#DIV/0!</x:v>
      </x:c>
      <x:c r="R58" s="1" t="e">
        <x:f>(M58-$M$58)*9.8/1.205/(L58/60)^2/0.4572^4/1000</x:f>
        <x:v>#DIV/0!</x:v>
      </x:c>
      <x:c r="S58" t="e">
        <x:f>R58*4/(3.14^3)</x:f>
        <x:v>#DIV/0!</x:v>
      </x:c>
      <x:c r="AC58" s="1">
        <x:v>5000</x:v>
      </x:c>
      <x:c r="AD58" s="1">
        <x:v>0</x:v>
      </x:c>
      <x:c r="AE58" s="1">
        <x:v>75</x:v>
      </x:c>
      <x:c r="AF58" s="1">
        <x:v>523.59877559829795</x:v>
      </x:c>
      <x:c r="AG58" s="1">
        <x:v>31.092246169528199</x:v>
      </x:c>
      <x:c r="AH58" s="1">
        <x:v>1.07910570179103E-2</x:v>
      </x:c>
      <x:c r="AI58" s="1">
        <x:v>1.07910570179103E-2</x:v>
      </x:c>
      <x:c r="AJ58" s="1">
        <x:v>7.3454261340129903E-2</x:v>
      </x:c>
      <x:c r="AK58" s="1">
        <x:v>7.3454261340129903E-2</x:v>
      </x:c>
      <x:c r="AL58" s="1">
        <x:v>0</x:v>
      </x:c>
      <x:c r="AM58" s="1">
        <x:v>0</x:v>
      </x:c>
      <x:c r="AN58" s="1">
        <x:v>0</x:v>
      </x:c>
      <x:c r="AO58" s="1">
        <x:v>11</x:v>
      </x:c>
      <x:c r="AP58" s="1" t="b">
        <x:v>1</x:v>
      </x:c>
      <x:c r="AQ58" s="1">
        <x:v>-17.886333046690499</x:v>
      </x:c>
      <x:c r="AR58" s="1">
        <x:v>5.9826990104032403</x:v>
      </x:c>
      <x:c r="AS58">
        <x:f t="shared" si="12"/>
        <x:v>8.3647620611930595E-2</x:v>
      </x:c>
      <x:c r="AT58">
        <x:f t="shared" si="13"/>
        <x:v>0</x:v>
      </x:c>
    </x:row>
    <x:row r="59">
      <x:c r="A59" s="1">
        <x:v>-9.4074858164904407E-2</x:v>
      </x:c>
      <x:c r="B59" s="1">
        <x:v>5028.0642578124998</x:v>
      </x:c>
      <x:c r="C59" s="1">
        <x:v>3276.4809815950898</x:v>
      </x:c>
      <x:c r="D59" s="1" t="n">
        <x:f t="shared" ref="D59:D80" si="38">-A59*1.5</x:f>
        <x:v>0.1411122872473566</x:v>
      </x:c>
      <x:c r="E59" s="1" t="n">
        <x:f t="shared" ref="E59:E80" si="39">A59*A59*1.5</x:f>
        <x:v>0.013275118408120321</x:v>
      </x:c>
      <x:c r="F59" s="1" t="n">
        <x:f t="shared" ref="F59:F80" si="40">D59/(B59/60)/0.4572</x:f>
        <x:v>0.003683062092600198</x:v>
      </x:c>
      <x:c r="G59" s="1" t="n">
        <x:f t="shared" ref="G59:G80" si="41">D59*SIN(RADIANS(30))/(B59/60)/0.4572</x:f>
        <x:v>0.0018415310463000987</x:v>
      </x:c>
      <x:c r="H59" s="1" t="n">
        <x:f t="shared" ref="H59:H80" si="42">(C59-$C$58)*9.8/1.205/(B59/60)^2/0.4572^4/1000</x:f>
        <x:v>0.08446141438294741</x:v>
      </x:c>
      <x:c r="I59" t="n">
        <x:f t="shared" ref="I59:I80" si="43">H59*4/(3.14^3)</x:f>
        <x:v>0.010912629158344612</x:v>
      </x:c>
      <x:c r="K59" s="1">
        <x:v>-5.9115845596210803E-2</x:v>
      </x:c>
      <x:c r="L59" s="1">
        <x:v>5044.8035888671802</x:v>
      </x:c>
      <x:c r="M59" s="1">
        <x:v>3296.2236111111101</x:v>
      </x:c>
      <x:c r="N59" s="1" t="n">
        <x:f t="shared" ref="N59:N80" si="44">-K59*1.5</x:f>
        <x:v>0.0886737683943162</x:v>
      </x:c>
      <x:c r="O59" s="1" t="n">
        <x:f t="shared" ref="O59:O80" si="45">K59*K59*1.5</x:f>
        <x:v>0.005242024800832554</x:v>
      </x:c>
      <x:c r="P59" s="1" t="n">
        <x:f t="shared" ref="P59:P80" si="46">N59/(L59/60)/0.4572</x:f>
        <x:v>0.0023067255790194517</x:v>
      </x:c>
      <x:c r="Q59" s="1" t="n">
        <x:f t="shared" ref="Q59:Q80" si="47">N59*SIN(RADIANS(30))/(L59/60)/0.4572</x:f>
        <x:v>0.0011533627895097258</x:v>
      </x:c>
      <x:c r="R59" s="1" t="n">
        <x:f t="shared" ref="R59:R80" si="48">(M59-$M$58)*9.8/1.205/(L59/60)^2/0.4572^4/1000</x:f>
        <x:v>0.08442850368455863</x:v>
      </x:c>
      <x:c r="S59" t="n">
        <x:f t="shared" ref="S59:S80" si="49">R59*4/(3.14^3)</x:f>
        <x:v>0.01090837701256322</x:v>
      </x:c>
      <x:c r="AC59" s="1">
        <x:v>5000</x:v>
      </x:c>
      <x:c r="AD59" s="1">
        <x:v>0.67800000000000005</x:v>
      </x:c>
      <x:c r="AE59" s="1">
        <x:v>75</x:v>
      </x:c>
      <x:c r="AF59" s="1">
        <x:v>523.59877559829795</x:v>
      </x:c>
      <x:c r="AG59" s="1">
        <x:v>30.854235605306901</x:v>
      </x:c>
      <x:c r="AH59" s="1">
        <x:v>1.0708451677808E-2</x:v>
      </x:c>
      <x:c r="AI59" s="1">
        <x:v>1.0708451677808E-2</x:v>
      </x:c>
      <x:c r="AJ59" s="1">
        <x:v>7.4057446877523594E-2</x:v>
      </x:c>
      <x:c r="AK59" s="1">
        <x:v>7.1858360262767998E-2</x:v>
      </x:c>
      <x:c r="AL59" s="1">
        <x:v>1.2</x:v>
      </x:c>
      <x:c r="AM59" s="1">
        <x:v>2.1990866147556199E-3</x:v>
      </x:c>
      <x:c r="AN59" s="1">
        <x:v>8.2071029765126407E-3</x:v>
      </x:c>
      <x:c r="AO59" s="1">
        <x:v>12</x:v>
      </x:c>
      <x:c r="AP59" s="1" t="b">
        <x:v>1</x:v>
      </x:c>
      <x:c r="AQ59" s="1">
        <x:v>-22.144493899174702</x:v>
      </x:c>
      <x:c r="AR59" s="1">
        <x:v>10.633073803558201</x:v>
      </x:c>
      <x:c r="AS59">
        <x:f t="shared" si="12"/>
        <x:v>8.3007299637078147E-2</x:v>
      </x:c>
      <x:c r="AT59">
        <x:f t="shared" si="13"/>
        <x:v>2.6692913385826779E-2</x:v>
      </x:c>
    </x:row>
    <x:row r="60">
      <x:c r="A60" s="1">
        <x:v>-0.69262116883374403</x:v>
      </x:c>
      <x:c r="B60" s="1">
        <x:v>4971.8909759521403</x:v>
      </x:c>
      <x:c r="C60" s="1">
        <x:v>3245.1153238546599</x:v>
      </x:c>
      <x:c r="D60" s="1">
        <x:f t="shared" si="38"/>
        <x:v>1.0389317532506159</x:v>
      </x:c>
      <x:c r="E60" s="1">
        <x:f t="shared" si="39"/>
        <x:v>0.71958612527493271</x:v>
      </x:c>
      <x:c r="F60" s="1">
        <x:f t="shared" si="40"/>
        <x:v>2.7422715105757473E-2</x:v>
      </x:c>
      <x:c r="G60" s="1">
        <x:f t="shared" si="41"/>
        <x:v>1.3711357552878735E-2</x:v>
      </x:c>
      <x:c r="H60" s="1">
        <x:f t="shared" si="42"/>
        <x:v>8.553050182070146E-2</x:v>
      </x:c>
      <x:c r="I60">
        <x:f t="shared" si="43"/>
        <x:v>1.1050757969367817E-2</x:v>
      </x:c>
      <x:c r="K60" s="1">
        <x:v>-0.60278961136937104</x:v>
      </x:c>
      <x:c r="L60" s="1">
        <x:v>5066.0203653971303</x:v>
      </x:c>
      <x:c r="M60" s="1">
        <x:v>3290.2379958246302</x:v>
      </x:c>
      <x:c r="N60" s="1">
        <x:f t="shared" si="44"/>
        <x:v>0.9041844170540565</x:v>
      </x:c>
      <x:c r="O60" s="1">
        <x:f t="shared" si="45"/>
        <x:v>0.54503297336225609</x:v>
      </x:c>
      <x:c r="P60" s="1">
        <x:f t="shared" si="46"/>
        <x:v>2.3422600731590922E-2</x:v>
      </x:c>
      <x:c r="Q60" s="1">
        <x:f t="shared" si="47"/>
        <x:v>1.1711300365795457E-2</x:v>
      </x:c>
      <x:c r="R60" s="1">
        <x:f t="shared" si="48"/>
        <x:v>8.356652621132421E-2</x:v>
      </x:c>
      <x:c r="S60">
        <x:f t="shared" si="49"/>
        <x:v>1.0797007334740805E-2</x:v>
      </x:c>
      <x:c r="AC60" s="1">
        <x:v>5000</x:v>
      </x:c>
      <x:c r="AD60" s="1">
        <x:v>1.3560000000000001</x:v>
      </x:c>
      <x:c r="AE60" s="1">
        <x:v>75</x:v>
      </x:c>
      <x:c r="AF60" s="1">
        <x:v>523.59877559829795</x:v>
      </x:c>
      <x:c r="AG60" s="1">
        <x:v>30.786680833985098</x:v>
      </x:c>
      <x:c r="AH60" s="1">
        <x:v>1.06850057233025E-2</x:v>
      </x:c>
      <x:c r="AI60" s="1">
        <x:v>1.06850057233025E-2</x:v>
      </x:c>
      <x:c r="AJ60" s="1">
        <x:v>7.4463105893447207E-2</x:v>
      </x:c>
      <x:c r="AK60" s="1">
        <x:v>7.0064932663936E-2</x:v>
      </x:c>
      <x:c r="AL60" s="1">
        <x:v>1.2</x:v>
      </x:c>
      <x:c r="AM60" s="1">
        <x:v>4.3981732295112503E-3</x:v>
      </x:c>
      <x:c r="AN60" s="1">
        <x:v>1.6414205953025202E-2</x:v>
      </x:c>
      <x:c r="AO60" s="1">
        <x:v>11</x:v>
      </x:c>
      <x:c r="AP60" s="1" t="b">
        <x:v>1</x:v>
      </x:c>
      <x:c r="AQ60" s="1">
        <x:v>-22.852415572252799</x:v>
      </x:c>
      <x:c r="AR60" s="1">
        <x:v>10.458563674167801</x:v>
      </x:c>
      <x:c r="AS60">
        <x:f t="shared" si="12"/>
        <x:v>8.2825556708270937E-2</x:v>
      </x:c>
      <x:c r="AT60">
        <x:f t="shared" si="13"/>
        <x:v>5.3385826771653558E-2</x:v>
      </x:c>
    </x:row>
    <x:row r="61">
      <x:c r="A61" s="1">
        <x:v>-1.380537521508</x:v>
      </x:c>
      <x:c r="B61" s="1">
        <x:v>4995.06718306108</x:v>
      </x:c>
      <x:c r="C61" s="1">
        <x:v>3186.2355658198599</x:v>
      </x:c>
      <x:c r="D61" s="1">
        <x:f t="shared" si="38"/>
        <x:v>2.0708062822620001</x:v>
      </x:c>
      <x:c r="E61" s="1">
        <x:f t="shared" si="39"/>
        <x:v>2.8588257724371773</x:v>
      </x:c>
      <x:c r="F61" s="1">
        <x:f t="shared" si="40"/>
        <x:v>5.4405545444740022E-2</x:v>
      </x:c>
      <x:c r="G61" s="1">
        <x:f t="shared" si="41"/>
        <x:v>2.7202772722370004E-2</x:v>
      </x:c>
      <x:c r="H61" s="1">
        <x:f t="shared" si="42"/>
        <x:v>8.3157403028330787E-2</x:v>
      </x:c>
      <x:c r="I61">
        <x:f t="shared" si="43"/>
        <x:v>1.0744147580867324E-2</x:v>
      </x:c>
      <x:c r="K61" s="1">
        <x:v>-1.2896389205759899</x:v>
      </x:c>
      <x:c r="L61" s="1">
        <x:v>5031.2867635091097</x:v>
      </x:c>
      <x:c r="M61" s="1">
        <x:v>3226.0884773662501</x:v>
      </x:c>
      <x:c r="N61" s="1">
        <x:f t="shared" si="44"/>
        <x:v>1.934458380863985</x:v>
      </x:c>
      <x:c r="O61" s="1">
        <x:f t="shared" si="45"/>
        <x:v>2.4947528181966065</x:v>
      </x:c>
      <x:c r="P61" s="1">
        <x:f t="shared" si="46"/>
        <x:v>5.0457455752369283E-2</x:v>
      </x:c>
      <x:c r="Q61" s="1">
        <x:f t="shared" si="47"/>
        <x:v>2.5228727876184635E-2</x:v>
      </x:c>
      <x:c r="R61" s="1">
        <x:f t="shared" si="48"/>
        <x:v>8.3026260102526228E-2</x:v>
      </x:c>
      <x:c r="S61">
        <x:f t="shared" si="49"/>
        <x:v>1.0727203581924128E-2</x:v>
      </x:c>
      <x:c r="AC61" s="1">
        <x:v>5000</x:v>
      </x:c>
      <x:c r="AD61" s="1">
        <x:v>2.0339999999999998</x:v>
      </x:c>
      <x:c r="AE61" s="1">
        <x:v>75</x:v>
      </x:c>
      <x:c r="AF61" s="1">
        <x:v>523.59877559829795</x:v>
      </x:c>
      <x:c r="AG61" s="1">
        <x:v>30.8151545214929</x:v>
      </x:c>
      <x:c r="AH61" s="1">
        <x:v>1.06948879680182E-2</x:v>
      </x:c>
      <x:c r="AI61" s="1">
        <x:v>1.06948879680182E-2</x:v>
      </x:c>
      <x:c r="AJ61" s="1">
        <x:v>7.4636854103038899E-2</x:v>
      </x:c>
      <x:c r="AK61" s="1">
        <x:v>6.8039594258772096E-2</x:v>
      </x:c>
      <x:c r="AL61" s="1">
        <x:v>1.2</x:v>
      </x:c>
      <x:c r="AM61" s="1">
        <x:v>6.5972598442668702E-3</x:v>
      </x:c>
      <x:c r="AN61" s="1">
        <x:v>2.46213089295379E-2</x:v>
      </x:c>
      <x:c r="AO61" s="1">
        <x:v>10</x:v>
      </x:c>
      <x:c r="AP61" s="1" t="b">
        <x:v>1</x:v>
      </x:c>
      <x:c r="AQ61" s="1">
        <x:v>-23.871329485797698</x:v>
      </x:c>
      <x:c r="AR61" s="1">
        <x:v>10.316166183649001</x:v>
      </x:c>
      <x:c r="AS61">
        <x:f t="shared" si="12"/>
        <x:v>8.2902159607820172E-2</x:v>
      </x:c>
      <x:c r="AT61">
        <x:f t="shared" si="13"/>
        <x:v>8.0078740157480316E-2</x:v>
      </x:c>
    </x:row>
    <x:row r="62">
      <x:c r="A62" s="1">
        <x:v>-2.0659815547642801</x:v>
      </x:c>
      <x:c r="B62" s="1">
        <x:v>4949.7537508877804</x:v>
      </x:c>
      <x:c r="C62" s="1">
        <x:v>3143.3617511520702</x:v>
      </x:c>
      <x:c r="D62" s="1">
        <x:f t="shared" si="38"/>
        <x:v>3.0989723321464204</x:v>
      </x:c>
      <x:c r="E62" s="1">
        <x:f t="shared" si="39"/>
        <x:v>6.4024196769393482</x:v>
      </x:c>
      <x:c r="F62" s="1">
        <x:f t="shared" si="40"/>
        <x:v>8.2163538410566436E-2</x:v>
      </x:c>
      <x:c r="G62" s="1">
        <x:f t="shared" si="41"/>
        <x:v>4.1081769205283211E-2</x:v>
      </x:c>
      <x:c r="H62" s="1">
        <x:f t="shared" si="42"/>
        <x:v>8.351435425257972E-2</x:v>
      </x:c>
      <x:c r="I62">
        <x:f t="shared" si="43"/>
        <x:v>1.0790266585223378E-2</x:v>
      </x:c>
      <x:c r="K62" s="1">
        <x:v>-1.97834573213355</x:v>
      </x:c>
      <x:c r="L62" s="1">
        <x:v>5041.2918359374999</x:v>
      </x:c>
      <x:c r="M62" s="1">
        <x:v>3189.9278557114199</x:v>
      </x:c>
      <x:c r="N62" s="1">
        <x:f t="shared" si="44"/>
        <x:v>2.9675185982003249</x:v>
      </x:c>
      <x:c r="O62" s="1">
        <x:f t="shared" si="45"/>
        <x:v>5.8707777537765482</x:v>
      </x:c>
      <x:c r="P62" s="1">
        <x:f t="shared" si="46"/>
        <x:v>7.724967110029253E-2</x:v>
      </x:c>
      <x:c r="Q62" s="1">
        <x:f t="shared" si="47"/>
        <x:v>3.8624835550146258E-2</x:v>
      </x:c>
      <x:c r="R62" s="1">
        <x:f t="shared" si="48"/>
        <x:v>8.1743649002974428E-2</x:v>
      </x:c>
      <x:c r="S62">
        <x:f t="shared" si="49"/>
        <x:v>1.0561486971729506E-2</x:v>
      </x:c>
      <x:c r="AC62" s="1">
        <x:v>5000</x:v>
      </x:c>
      <x:c r="AD62" s="1">
        <x:v>2.7120000000000002</x:v>
      </x:c>
      <x:c r="AE62" s="1">
        <x:v>75</x:v>
      </x:c>
      <x:c r="AF62" s="1">
        <x:v>523.59877559829795</x:v>
      </x:c>
      <x:c r="AG62" s="1">
        <x:v>30.924138801438499</x:v>
      </x:c>
      <x:c r="AH62" s="1">
        <x:v>1.07327126903794E-2</x:v>
      </x:c>
      <x:c r="AI62" s="1">
        <x:v>1.07327126903794E-2</x:v>
      </x:c>
      <x:c r="AJ62" s="1">
        <x:v>7.4621977648454699E-2</x:v>
      </x:c>
      <x:c r="AK62" s="1">
        <x:v>6.5825631189432202E-2</x:v>
      </x:c>
      <x:c r="AL62" s="1">
        <x:v>1.2</x:v>
      </x:c>
      <x:c r="AM62" s="1">
        <x:v>8.7963464590225006E-3</x:v>
      </x:c>
      <x:c r="AN62" s="1">
        <x:v>3.28284119060505E-2</x:v>
      </x:c>
      <x:c r="AO62" s="1">
        <x:v>9</x:v>
      </x:c>
      <x:c r="AP62" s="1" t="b">
        <x:v>1</x:v>
      </x:c>
      <x:c r="AQ62" s="1">
        <x:v>-25.143397302618698</x:v>
      </x:c>
      <x:c r="AR62" s="1">
        <x:v>10.2122675764259</x:v>
      </x:c>
      <x:c r="AS62">
        <x:f t="shared" si="12"/>
        <x:v>8.3195360544537481E-2</x:v>
      </x:c>
      <x:c r="AT62">
        <x:f t="shared" si="13"/>
        <x:v>0.10677165354330712</x:v>
      </x:c>
    </x:row>
    <x:row r="63">
      <x:c r="A63" s="1">
        <x:v>-2.7545131824712801</x:v>
      </x:c>
      <x:c r="B63" s="1">
        <x:v>4930.3995694247096</x:v>
      </x:c>
      <x:c r="C63" s="1">
        <x:v>3125.7130242825601</x:v>
      </x:c>
      <x:c r="D63" s="1">
        <x:f t="shared" si="38"/>
        <x:v>4.1317697737069201</x:v>
      </x:c>
      <x:c r="E63" s="1">
        <x:f t="shared" si="39"/>
        <x:v>11.381014308612089</x:v>
      </x:c>
      <x:c r="F63" s="1">
        <x:f t="shared" si="40"/>
        <x:v>0.1099762801753507</x:v>
      </x:c>
      <x:c r="G63" s="1">
        <x:f t="shared" si="41"/>
        <x:v>5.4988140087675344E-2</x:v>
      </x:c>
      <x:c r="H63" s="1">
        <x:f t="shared" si="42"/>
        <x:v>8.3684827998892777E-2</x:v>
      </x:c>
      <x:c r="I63">
        <x:f t="shared" si="43"/>
        <x:v>1.0812292226024436E-2</x:v>
      </x:c>
      <x:c r="K63" s="1">
        <x:v>-2.6768518000841102</x:v>
      </x:c>
      <x:c r="L63" s="1">
        <x:v>5012.6163330078098</x:v>
      </x:c>
      <x:c r="M63" s="1">
        <x:v>3172.38284518828</x:v>
      </x:c>
      <x:c r="N63" s="1">
        <x:f t="shared" si="44"/>
        <x:v>4.0152777001261653</x:v>
      </x:c>
      <x:c r="O63" s="1">
        <x:f t="shared" si="45"/>
        <x:v>10.74830333942031</x:v>
      </x:c>
      <x:c r="P63" s="1">
        <x:f t="shared" si="46"/>
        <x:v>0.10512261376466243</x:v>
      </x:c>
      <x:c r="Q63" s="1">
        <x:f t="shared" si="47"/>
        <x:v>5.2561306882331203E-2</x:v>
      </x:c>
      <x:c r="R63" s="1">
        <x:f t="shared" si="48"/>
        <x:v>8.2213692949271694E-2</x:v>
      </x:c>
      <x:c r="S63">
        <x:f t="shared" si="49"/>
        <x:v>1.0622217842879852E-2</x:v>
      </x:c>
      <x:c r="AC63" s="1">
        <x:v>5000</x:v>
      </x:c>
      <x:c r="AD63" s="1">
        <x:v>3.39</x:v>
      </x:c>
      <x:c r="AE63" s="1">
        <x:v>75</x:v>
      </x:c>
      <x:c r="AF63" s="1">
        <x:v>523.59877559829795</x:v>
      </x:c>
      <x:c r="AG63" s="1">
        <x:v>31.0992753202374</x:v>
      </x:c>
      <x:c r="AH63" s="1">
        <x:v>1.0793496596115001E-2</x:v>
      </x:c>
      <x:c r="AI63" s="1">
        <x:v>1.0793496596115001E-2</x:v>
      </x:c>
      <x:c r="AJ63" s="1">
        <x:v>7.4467529354692696E-2</x:v>
      </x:c>
      <x:c r="AK63" s="1">
        <x:v>6.3472096280914603E-2</x:v>
      </x:c>
      <x:c r="AL63" s="1">
        <x:v>1.2</x:v>
      </x:c>
      <x:c r="AM63" s="1">
        <x:v>1.0995433073778101E-2</x:v>
      </x:c>
      <x:c r="AN63" s="1">
        <x:v>4.1035514882563198E-2</x:v>
      </x:c>
      <x:c r="AO63" s="1">
        <x:v>8</x:v>
      </x:c>
      <x:c r="AP63" s="1" t="b">
        <x:v>1</x:v>
      </x:c>
      <x:c r="AQ63" s="1">
        <x:v>-26.6389979524462</x:v>
      </x:c>
      <x:c r="AR63" s="1">
        <x:v>10.145396675134901</x:v>
      </x:c>
      <x:c r="AS63">
        <x:f t="shared" si="12"/>
        <x:v>8.36665311701624E-2</x:v>
      </x:c>
      <x:c r="AT63">
        <x:f t="shared" si="13"/>
        <x:v>0.13346456692913383</x:v>
      </x:c>
    </x:row>
    <x:row r="64">
      <x:c r="A64" s="1">
        <x:v>-3.44891059997419</x:v>
      </x:c>
      <x:c r="B64" s="1">
        <x:v>4951.2282598586298</x:v>
      </x:c>
      <x:c r="C64" s="1">
        <x:v>3092.16210045662</x:v>
      </x:c>
      <x:c r="D64" s="1">
        <x:f t="shared" si="38"/>
        <x:v>5.1733658999612846</x:v>
      </x:c>
      <x:c r="E64" s="1">
        <x:f t="shared" si="39"/>
        <x:v>17.842476489921491</x:v>
      </x:c>
      <x:c r="F64" s="1">
        <x:f t="shared" si="40"/>
        <x:v>0.13712141186217963</x:v>
      </x:c>
      <x:c r="G64" s="1">
        <x:f t="shared" si="41"/>
        <x:v>6.8560705931089802E-2</x:v>
      </x:c>
      <x:c r="H64" s="1">
        <x:f t="shared" si="42"/>
        <x:v>8.2065168238922917E-2</x:v>
      </x:c>
      <x:c r="I64">
        <x:f t="shared" si="43"/>
        <x:v>1.0603028073246847E-2</x:v>
      </x:c>
      <x:c r="K64" s="1">
        <x:v>-3.3663350066753299</x:v>
      </x:c>
      <x:c r="L64" s="1">
        <x:v>4999.0191457647998</x:v>
      </x:c>
      <x:c r="M64" s="1">
        <x:v>3130.91939546599</x:v>
      </x:c>
      <x:c r="N64" s="1">
        <x:f t="shared" si="44"/>
        <x:v>5.0495025100129949</x:v>
      </x:c>
      <x:c r="O64" s="1">
        <x:f t="shared" si="45"/>
        <x:v>16.998317065751689</x:v>
      </x:c>
      <x:c r="P64" s="1">
        <x:f t="shared" si="46"/>
        <x:v>0.13255887846602765</x:v>
      </x:c>
      <x:c r="Q64" s="1">
        <x:f t="shared" si="47"/>
        <x:v>6.6279439233013812E-2</x:v>
      </x:c>
      <x:c r="R64" s="1">
        <x:f t="shared" si="48"/>
        <x:v>8.1549775250681467E-2</x:v>
      </x:c>
      <x:c r="S64">
        <x:f t="shared" si="49"/>
        <x:v>1.0536437990750838E-2</x:v>
      </x:c>
      <x:c r="AC64" s="1">
        <x:v>5000</x:v>
      </x:c>
      <x:c r="AD64" s="1">
        <x:v>4.0679999999999996</x:v>
      </x:c>
      <x:c r="AE64" s="1">
        <x:v>75</x:v>
      </x:c>
      <x:c r="AF64" s="1">
        <x:v>523.59877559829795</x:v>
      </x:c>
      <x:c r="AG64" s="1">
        <x:v>31.321830152149001</x:v>
      </x:c>
      <x:c r="AH64" s="1">
        <x:v>1.087073777926E-2</x:v>
      </x:c>
      <x:c r="AI64" s="1">
        <x:v>1.087073777926E-2</x:v>
      </x:c>
      <x:c r="AJ64" s="1">
        <x:v>7.42188615516884E-2</x:v>
      </x:c>
      <x:c r="AK64" s="1">
        <x:v>6.1024341863154599E-2</x:v>
      </x:c>
      <x:c r="AL64" s="1">
        <x:v>1.2</x:v>
      </x:c>
      <x:c r="AM64" s="1">
        <x:v>1.3194519688533701E-2</x:v>
      </x:c>
      <x:c r="AN64" s="1">
        <x:v>4.9242617859075799E-2</x:v>
      </x:c>
      <x:c r="AO64" s="1">
        <x:v>7</x:v>
      </x:c>
      <x:c r="AP64" s="1" t="b">
        <x:v>1</x:v>
      </x:c>
      <x:c r="AQ64" s="1">
        <x:v>-28.367154621041099</x:v>
      </x:c>
      <x:c r="AR64" s="1">
        <x:v>10.113718491546299</x:v>
      </x:c>
      <x:c r="AS64">
        <x:f t="shared" si="12"/>
        <x:v>8.4265271513449064E-2</x:v>
      </x:c>
      <x:c r="AT64">
        <x:f t="shared" si="13"/>
        <x:v>0.16015748031496063</x:v>
      </x:c>
    </x:row>
    <x:row r="65">
      <x:c r="A65" s="1">
        <x:v>-4.1261335664325198</x:v>
      </x:c>
      <x:c r="B65" s="1">
        <x:v>4972.8065049913102</x:v>
      </x:c>
      <x:c r="C65" s="1">
        <x:v>3046.0332409972202</x:v>
      </x:c>
      <x:c r="D65" s="1">
        <x:f t="shared" si="38"/>
        <x:v>6.1892003496487797</x:v>
      </x:c>
      <x:c r="E65" s="1">
        <x:f t="shared" si="39"/>
        <x:v>25.537467312061715</x:v>
      </x:c>
      <x:c r="F65" s="1">
        <x:f t="shared" si="40"/>
        <x:v>0.16333453075220647</x:v>
      </x:c>
      <x:c r="G65" s="1">
        <x:f t="shared" si="41"/>
        <x:v>8.1667265376103221E-2</x:v>
      </x:c>
      <x:c r="H65" s="1">
        <x:f t="shared" si="42"/>
        <x:v>8.0104579498531156E-2</x:v>
      </x:c>
      <x:c r="I65">
        <x:f t="shared" si="43"/>
        <x:v>1.0349715030690919E-2</x:v>
      </x:c>
      <x:c r="K65" s="1">
        <x:v>-4.0481748551857102</x:v>
      </x:c>
      <x:c r="L65" s="1">
        <x:v>4991.0940946691098</x:v>
      </x:c>
      <x:c r="M65" s="1">
        <x:v>3091.99694189602</x:v>
      </x:c>
      <x:c r="N65" s="1">
        <x:f t="shared" si="44"/>
        <x:v>6.0722622827785653</x:v>
      </x:c>
      <x:c r="O65" s="1">
        <x:f t="shared" si="45"/>
        <x:v>24.581579487236766</x:v>
      </x:c>
      <x:c r="P65" s="1">
        <x:f t="shared" si="46"/>
        <x:v>0.1596613485736669</x:v>
      </x:c>
      <x:c r="Q65" s="1">
        <x:f t="shared" si="47"/>
        <x:v>7.9830674286833436E-2</x:v>
      </x:c>
      <x:c r="R65" s="1">
        <x:f t="shared" si="48"/>
        <x:v>8.0762008050243111E-2</x:v>
      </x:c>
      <x:c r="S65">
        <x:f t="shared" si="49"/>
        <x:v>1.0434656468569429E-2</x:v>
      </x:c>
      <x:c r="AC65" s="1">
        <x:v>5000</x:v>
      </x:c>
      <x:c r="AD65" s="1">
        <x:v>4.7460000000000004</x:v>
      </x:c>
      <x:c r="AE65" s="1">
        <x:v>75</x:v>
      </x:c>
      <x:c r="AF65" s="1">
        <x:v>523.59877559829795</x:v>
      </x:c>
      <x:c r="AG65" s="1">
        <x:v>31.574775080798801</x:v>
      </x:c>
      <x:c r="AH65" s="1">
        <x:v>1.09585263273298E-2</x:v>
      </x:c>
      <x:c r="AI65" s="1">
        <x:v>1.09585263273298E-2</x:v>
      </x:c>
      <x:c r="AJ65" s="1">
        <x:v>7.3920477551708205E-2</x:v>
      </x:c>
      <x:c r="AK65" s="1">
        <x:v>5.8526871248418801E-2</x:v>
      </x:c>
      <x:c r="AL65" s="1">
        <x:v>1.2</x:v>
      </x:c>
      <x:c r="AM65" s="1">
        <x:v>1.5393606303289301E-2</x:v>
      </x:c>
      <x:c r="AN65" s="1">
        <x:v>5.7449720835588497E-2</x:v>
      </x:c>
      <x:c r="AO65" s="1">
        <x:v>5</x:v>
      </x:c>
      <x:c r="AP65" s="1" t="b">
        <x:v>1</x:v>
      </x:c>
      <x:c r="AQ65" s="1">
        <x:v>-30.35340002697</x:v>
      </x:c>
      <x:c r="AR65" s="1">
        <x:v>10.1060032958046</x:v>
      </x:c>
      <x:c r="AS65">
        <x:f t="shared" si="12"/>
        <x:v>8.4945770481328384E-2</x:v>
      </x:c>
      <x:c r="AT65">
        <x:f t="shared" si="13"/>
        <x:v>0.18685039370078743</x:v>
      </x:c>
    </x:row>
    <x:row r="66">
      <x:c r="A66" s="1">
        <x:v>-4.8076179931903704</x:v>
      </x:c>
      <x:c r="B66" s="1">
        <x:v>4958.3200577445596</x:v>
      </x:c>
      <x:c r="C66" s="1">
        <x:v>3004.6746203904499</x:v>
      </x:c>
      <x:c r="D66" s="1">
        <x:f t="shared" si="38"/>
        <x:v>7.2114269897855561</x:v>
      </x:c>
      <x:c r="E66" s="1">
        <x:f t="shared" si="39"/>
        <x:v>34.669786152671705</x:v>
      </x:c>
      <x:c r="F66" s="1">
        <x:f t="shared" si="40"/>
        <x:v>0.19086736711244168</x:v>
      </x:c>
      <x:c r="G66" s="1">
        <x:f t="shared" si="41"/>
        <x:v>9.5433683556220825E-2</x:v>
      </x:c>
      <x:c r="H66" s="1">
        <x:f t="shared" si="42"/>
        <x:v>7.9446104749322316E-2</x:v>
      </x:c>
      <x:c r="I66">
        <x:f t="shared" si="43"/>
        <x:v>1.0264638421439858E-2</x:v>
      </x:c>
      <x:c r="K66" s="1">
        <x:v>-4.7292250280794796</x:v>
      </x:c>
      <x:c r="L66" s="1">
        <x:v>5018.5779976222802</x:v>
      </x:c>
      <x:c r="M66" s="1">
        <x:v>3046.2826086956502</x:v>
      </x:c>
      <x:c r="N66" s="1">
        <x:f t="shared" si="44"/>
        <x:v>7.0938375421192195</x:v>
      </x:c>
      <x:c r="O66" s="1">
        <x:f t="shared" si="45"/>
        <x:v>33.548354049320032</x:v>
      </x:c>
      <x:c r="P66" s="1">
        <x:f t="shared" si="46"/>
        <x:v>0.18550071536561386</x:v>
      </x:c>
      <x:c r="Q66" s="1">
        <x:f t="shared" si="47"/>
        <x:v>9.2750357682806914E-2</x:v>
      </x:c>
      <x:c r="R66" s="1">
        <x:f t="shared" si="48"/>
        <x:v>7.866364736454283E-2</x:v>
      </x:c>
      <x:c r="S66">
        <x:f t="shared" si="49"/>
        <x:v>1.016354294092147E-2</x:v>
      </x:c>
      <x:c r="AC66" s="1">
        <x:v>5000</x:v>
      </x:c>
      <x:c r="AD66" s="1">
        <x:v>5.4240000000000004</x:v>
      </x:c>
      <x:c r="AE66" s="1">
        <x:v>75</x:v>
      </x:c>
      <x:c r="AF66" s="1">
        <x:v>523.59877559829795</x:v>
      </x:c>
      <x:c r="AG66" s="1">
        <x:v>31.844063327908</x:v>
      </x:c>
      <x:c r="AH66" s="1">
        <x:v>1.1051987083203299E-2</x:v>
      </x:c>
      <x:c r="AI66" s="1">
        <x:v>1.1051987083203299E-2</x:v>
      </x:c>
      <x:c r="AJ66" s="1">
        <x:v>7.3614378347954201E-2</x:v>
      </x:c>
      <x:c r="AK66" s="1">
        <x:v>5.60216854299092E-2</x:v>
      </x:c>
      <x:c r="AL66" s="1">
        <x:v>1.2</x:v>
      </x:c>
      <x:c r="AM66" s="1">
        <x:v>1.7592692918045001E-2</x:v>
      </x:c>
      <x:c r="AN66" s="1">
        <x:v>6.5656823812101098E-2</x:v>
      </x:c>
      <x:c r="AO66" s="1">
        <x:v>5</x:v>
      </x:c>
      <x:c r="AP66" s="1" t="b">
        <x:v>1</x:v>
      </x:c>
      <x:c r="AQ66" s="1">
        <x:v>-32.613935120892897</x:v>
      </x:c>
      <x:c r="AR66" s="1">
        <x:v>10.117826774379299</x:v>
      </x:c>
      <x:c r="AS66">
        <x:f t="shared" si="12"/>
        <x:v>8.5670237958095044E-2</x:v>
      </x:c>
      <x:c r="AT66">
        <x:f t="shared" si="13"/>
        <x:v>0.21354330708661423</x:v>
      </x:c>
    </x:row>
    <x:row r="67">
      <x:c r="A67" s="1">
        <x:v>-5.4923636820167303</x:v>
      </x:c>
      <x:c r="B67" s="1">
        <x:v>4991.4010854867702</x:v>
      </x:c>
      <x:c r="C67" s="1">
        <x:v>2955.8635477582802</x:v>
      </x:c>
      <x:c r="D67" s="1">
        <x:f t="shared" si="38"/>
        <x:v>8.2385455230250955</x:v>
      </x:c>
      <x:c r="E67" s="1">
        <x:f t="shared" si="39"/>
        <x:v>45.249088223304561</x:v>
      </x:c>
      <x:c r="F67" s="1">
        <x:f t="shared" si="40"/>
        <x:v>0.21660730817576881</x:v>
      </x:c>
      <x:c r="G67" s="1">
        <x:f t="shared" si="41"/>
        <x:v>0.10830365408788438</x:v>
      </x:c>
      <x:c r="H67" s="1">
        <x:f t="shared" si="42"/>
        <x:v>7.7083745582666577E-2</x:v>
      </x:c>
      <x:c r="I67">
        <x:f t="shared" si="43"/>
        <x:v>9.9594156198461528E-3</x:v>
      </x:c>
      <x:c r="K67" s="1">
        <x:v>-5.4200133208202104</x:v>
      </x:c>
      <x:c r="L67" s="1">
        <x:v>5009.2099609375</x:v>
      </x:c>
      <x:c r="M67" s="1">
        <x:v>3017.2062780268998</x:v>
      </x:c>
      <x:c r="N67" s="1">
        <x:f t="shared" si="44"/>
        <x:v>8.1300199812303156</x:v>
      </x:c>
      <x:c r="O67" s="1">
        <x:f t="shared" si="45"/>
        <x:v>44.064816596802785</x:v>
      </x:c>
      <x:c r="P67" s="1">
        <x:f t="shared" si="46"/>
        <x:v>0.21299401789644462</x:v>
      </x:c>
      <x:c r="Q67" s="1">
        <x:f t="shared" si="47"/>
        <x:v>0.1064970089482223</x:v>
      </x:c>
      <x:c r="R67" s="1">
        <x:f t="shared" si="48"/>
        <x:v>7.8181692454211221E-2</x:v>
      </x:c>
      <x:c r="S67">
        <x:f t="shared" si="49"/>
        <x:v>1.0101273142979822E-2</x:v>
      </x:c>
      <x:c r="AC67" s="1">
        <x:v>5000</x:v>
      </x:c>
      <x:c r="AD67" s="1">
        <x:v>6.1020000000000003</x:v>
      </x:c>
      <x:c r="AE67" s="1">
        <x:v>75</x:v>
      </x:c>
      <x:c r="AF67" s="1">
        <x:v>523.59877559829795</x:v>
      </x:c>
      <x:c r="AG67" s="1">
        <x:v>32.116531135395803</x:v>
      </x:c>
      <x:c r="AH67" s="1">
        <x:v>1.11465513559198E-2</x:v>
      </x:c>
      <x:c r="AI67" s="1">
        <x:v>1.11465513559198E-2</x:v>
      </x:c>
      <x:c r="AJ67" s="1">
        <x:v>7.3336244389853894E-2</x:v>
      </x:c>
      <x:c r="AK67" s="1">
        <x:v>5.3544464857053199E-2</x:v>
      </x:c>
      <x:c r="AL67" s="1">
        <x:v>1.2</x:v>
      </x:c>
      <x:c r="AM67" s="1">
        <x:v>1.9791779532800601E-2</x:v>
      </x:c>
      <x:c r="AN67" s="1">
        <x:v>7.3863926788613796E-2</x:v>
      </x:c>
      <x:c r="AO67" s="1">
        <x:v>4</x:v>
      </x:c>
      <x:c r="AP67" s="1" t="b">
        <x:v>1</x:v>
      </x:c>
      <x:c r="AQ67" s="1">
        <x:v>-35.178706602619997</x:v>
      </x:c>
      <x:c r="AR67" s="1">
        <x:v>10.145376451118601</x:v>
      </x:c>
      <x:c r="AS67">
        <x:f t="shared" si="12"/>
        <x:v>8.6403259421562836E-2</x:v>
      </x:c>
      <x:c r="AT67">
        <x:f t="shared" si="13"/>
        <x:v>0.24023622047244095</x:v>
      </x:c>
    </x:row>
    <x:row r="68">
      <x:c r="A68" s="1">
        <x:v>-6.1742845916747999</x:v>
      </x:c>
      <x:c r="B68" s="1">
        <x:v>4933.1574041193098</x:v>
      </x:c>
      <x:c r="C68" s="1">
        <x:v>2925.1814159291998</x:v>
      </x:c>
      <x:c r="D68" s="1">
        <x:f t="shared" si="38"/>
        <x:v>9.2614268875122008</x:v>
      </x:c>
      <x:c r="E68" s="1">
        <x:f t="shared" si="39"/>
        <x:v>57.182685328489271</x:v>
      </x:c>
      <x:c r="F68" s="1">
        <x:f t="shared" si="40"/>
        <x:v>0.24637574946969901</x:v>
      </x:c>
      <x:c r="G68" s="1">
        <x:f t="shared" si="41"/>
        <x:v>0.12318787473484948</x:v>
      </x:c>
      <x:c r="H68" s="1">
        <x:f t="shared" si="42"/>
        <x:v>7.8069883632394824E-2</x:v>
      </x:c>
      <x:c r="I68">
        <x:f t="shared" si="43"/>
        <x:v>1.0086827159354899E-2</x:v>
      </x:c>
      <x:c r="K68" s="1">
        <x:v>-6.1107487154530897</x:v>
      </x:c>
      <x:c r="L68" s="1">
        <x:v>4993.1533203125</x:v>
      </x:c>
      <x:c r="M68" s="1">
        <x:v>2997.2148760330501</x:v>
      </x:c>
      <x:c r="N68" s="1">
        <x:f t="shared" si="44"/>
        <x:v>9.1661230731796337</x:v>
      </x:c>
      <x:c r="O68" s="1">
        <x:f t="shared" si="45"/>
        <x:v>56.011874795117379</x:v>
      </x:c>
      <x:c r="P68" s="1">
        <x:f t="shared" si="46"/>
        <x:v>0.24091054555645749</x:v>
      </x:c>
      <x:c r="Q68" s="1">
        <x:f t="shared" si="47"/>
        <x:v>0.12045527277822871</x:v>
      </x:c>
      <x:c r="R68" s="1">
        <x:f t="shared" si="48"/>
        <x:v>7.8148031944338323E-2</x:v>
      </x:c>
      <x:c r="S68">
        <x:f t="shared" si="49"/>
        <x:v>1.0096924119651152E-2</x:v>
      </x:c>
      <x:c r="AC68" s="1">
        <x:v>5000</x:v>
      </x:c>
      <x:c r="AD68" s="1">
        <x:v>6.78</x:v>
      </x:c>
      <x:c r="AE68" s="1">
        <x:v>75</x:v>
      </x:c>
      <x:c r="AF68" s="1">
        <x:v>523.59877559829795</x:v>
      </x:c>
      <x:c r="AG68" s="1">
        <x:v>32.382100445060203</x:v>
      </x:c>
      <x:c r="AH68" s="1">
        <x:v>1.1238721395587299E-2</x:v>
      </x:c>
      <x:c r="AI68" s="1">
        <x:v>1.1238721395587299E-2</x:v>
      </x:c>
      <x:c r="AJ68" s="1">
        <x:v>7.3115249557704806E-2</x:v>
      </x:c>
      <x:c r="AK68" s="1">
        <x:v>5.1124383410148598E-2</x:v>
      </x:c>
      <x:c r="AL68" s="1">
        <x:v>1.2</x:v>
      </x:c>
      <x:c r="AM68" s="1">
        <x:v>2.1990866147556201E-2</x:v>
      </x:c>
      <x:c r="AN68" s="1">
        <x:v>8.2071029765126396E-2</x:v>
      </x:c>
      <x:c r="AO68" s="1">
        <x:v>5</x:v>
      </x:c>
      <x:c r="AP68" s="1" t="b">
        <x:v>1</x:v>
      </x:c>
      <x:c r="AQ68" s="1">
        <x:v>-38.118095953892997</x:v>
      </x:c>
      <x:c r="AR68" s="1">
        <x:v>10.186912161658601</x:v>
      </x:c>
      <x:c r="AS68" t="n">
        <x:f t="shared" ref="AS68:AS79" si="50">3.1415926^3/4*AI68</x:f>
        <x:v>0.08711772182289176</x:v>
      </x:c>
      <x:c r="AT68" t="n">
        <x:f t="shared" ref="AT68:AT79" si="51">AD68*1.5/AC68*60/0.4572</x:f>
        <x:v>0.26692913385826766</x:v>
      </x:c>
    </x:row>
    <x:row r="69">
      <x:c r="A69" s="1">
        <x:v>-6.8065822382509902</x:v>
      </x:c>
      <x:c r="B69" s="1">
        <x:v>4942.7517832880403</x:v>
      </x:c>
      <x:c r="C69" s="1">
        <x:v>2889.6177105831498</x:v>
      </x:c>
      <x:c r="D69" s="1">
        <x:f t="shared" si="38"/>
        <x:v>10.209873357376486</x:v>
      </x:c>
      <x:c r="E69" s="1">
        <x:f t="shared" si="39"/>
        <x:v>69.494342649110791</x:v>
      </x:c>
      <x:c r="F69" s="1">
        <x:f t="shared" si="40"/>
        <x:v>0.27107944159501657</x:v>
      </x:c>
      <x:c r="G69" s="1">
        <x:f t="shared" si="41"/>
        <x:v>0.13553972079750826</x:v>
      </x:c>
      <x:c r="H69" s="1">
        <x:f t="shared" si="42"/>
        <x:v>7.6791687377914003E-2</x:v>
      </x:c>
      <x:c r="I69">
        <x:f t="shared" si="43"/>
        <x:v>9.9216809583513033E-3</x:v>
      </x:c>
      <x:c r="K69" s="1">
        <x:v>-6.7576766068698797</x:v>
      </x:c>
      <x:c r="L69" s="1">
        <x:v>5004.9750600961497</x:v>
      </x:c>
      <x:c r="M69" s="1">
        <x:v>2973.9466666666599</x:v>
      </x:c>
      <x:c r="N69" s="1">
        <x:f t="shared" si="44"/>
        <x:v>10.13651491030482</x:v>
      </x:c>
      <x:c r="O69" s="1">
        <x:f t="shared" si="45"/>
        <x:v>68.499289684554611</x:v>
      </x:c>
      <x:c r="P69" s="1">
        <x:f t="shared" si="46"/>
        <x:v>0.2657858000473996</x:v>
      </x:c>
      <x:c r="Q69" s="1">
        <x:f t="shared" si="47"/>
        <x:v>0.1328929000236998</x:v>
      </x:c>
      <x:c r="R69" s="1">
        <x:f t="shared" si="48"/>
        <x:v>7.7156888119446834E-2</x:v>
      </x:c>
      <x:c r="S69">
        <x:f t="shared" si="49"/>
        <x:v>9.9688658212832796E-3</x:v>
      </x:c>
      <x:c r="AC69" s="1">
        <x:v>5000</x:v>
      </x:c>
      <x:c r="AD69" s="1">
        <x:v>0</x:v>
      </x:c>
      <x:c r="AE69" s="1">
        <x:v>90</x:v>
      </x:c>
      <x:c r="AF69" s="1">
        <x:v>523.59877559829795</x:v>
      </x:c>
      <x:c r="AG69" s="1">
        <x:v>31.092246169528199</x:v>
      </x:c>
      <x:c r="AH69" s="1">
        <x:v>1.07910570179103E-2</x:v>
      </x:c>
      <x:c r="AI69" s="1">
        <x:v>1.07910570179103E-2</x:v>
      </x:c>
      <x:c r="AJ69" s="1">
        <x:v>7.3454261340129903E-2</x:v>
      </x:c>
      <x:c r="AK69" s="1">
        <x:v>7.3454261340129903E-2</x:v>
      </x:c>
      <x:c r="AL69" s="1">
        <x:v>0</x:v>
      </x:c>
      <x:c r="AM69" s="1">
        <x:v>0</x:v>
      </x:c>
      <x:c r="AN69" s="1">
        <x:v>0</x:v>
      </x:c>
      <x:c r="AO69" s="1">
        <x:v>11</x:v>
      </x:c>
      <x:c r="AP69" s="1" t="b">
        <x:v>1</x:v>
      </x:c>
      <x:c r="AQ69" s="1">
        <x:v>-17.886333046690499</x:v>
      </x:c>
      <x:c r="AR69" s="1">
        <x:v>5.9826990104032403</x:v>
      </x:c>
      <x:c r="AS69">
        <x:f t="shared" si="50"/>
        <x:v>8.3647620611930595E-2</x:v>
      </x:c>
      <x:c r="AT69">
        <x:f t="shared" si="51"/>
        <x:v>0</x:v>
      </x:c>
    </x:row>
    <x:row r="70">
      <x:c r="A70" s="1">
        <x:v>-6.1655023537793197</x:v>
      </x:c>
      <x:c r="B70" s="1">
        <x:v>4951.8195684523798</x:v>
      </x:c>
      <x:c r="C70" s="1">
        <x:v>2925.8004866179999</x:v>
      </x:c>
      <x:c r="D70" s="1">
        <x:f t="shared" si="38"/>
        <x:v>9.248253530668979</x:v>
      </x:c>
      <x:c r="E70" s="1">
        <x:f t="shared" si="39"/>
        <x:v>57.020128911687493</x:v>
      </x:c>
      <x:c r="F70" s="1">
        <x:f t="shared" si="40"/>
        <x:v>0.24509809958279824</x:v>
      </x:c>
      <x:c r="G70" s="1">
        <x:f t="shared" si="41"/>
        <x:v>0.12254904979139909</x:v>
      </x:c>
      <x:c r="H70" s="1">
        <x:f t="shared" si="42"/>
        <x:v>7.749945807862596E-2</x:v>
      </x:c>
      <x:c r="I70">
        <x:f t="shared" si="43"/>
        <x:v>1.0013126729682959E-2</x:v>
      </x:c>
      <x:c r="K70" s="1">
        <x:v>-6.1289571627829798</x:v>
      </x:c>
      <x:c r="L70" s="1">
        <x:v>4959.7534667968703</x:v>
      </x:c>
      <x:c r="M70" s="1">
        <x:v>2969.8349514563101</x:v>
      </x:c>
      <x:c r="N70" s="1">
        <x:f t="shared" si="44"/>
        <x:v>9.1934357441744687</x:v>
      </x:c>
      <x:c r="O70" s="1">
        <x:f t="shared" si="45"/>
        <x:v>56.346173854843194</x:v>
      </x:c>
      <x:c r="P70" s="1">
        <x:f t="shared" si="46"/>
        <x:v>0.24325556472633905</x:v>
      </x:c>
      <x:c r="Q70" s="1">
        <x:f t="shared" si="47"/>
        <x:v>0.12162778236316948</x:v>
      </x:c>
      <x:c r="R70" s="1">
        <x:f t="shared" si="48"/>
        <x:v>7.8458290242151132E-2</x:v>
      </x:c>
      <x:c r="S70">
        <x:f t="shared" si="49"/>
        <x:v>1.0137010279373504E-2</x:v>
      </x:c>
      <x:c r="AC70" s="1">
        <x:v>5000</x:v>
      </x:c>
      <x:c r="AD70" s="1">
        <x:v>0.67800000000000005</x:v>
      </x:c>
      <x:c r="AE70" s="1">
        <x:v>90</x:v>
      </x:c>
      <x:c r="AF70" s="1">
        <x:v>523.59877559829795</x:v>
      </x:c>
      <x:c r="AG70" s="1">
        <x:v>31.1465393552782</x:v>
      </x:c>
      <x:c r="AH70" s="1">
        <x:v>1.0809900328873299E-2</x:v>
      </x:c>
      <x:c r="AI70" s="1">
        <x:v>1.0809900328873299E-2</x:v>
      </x:c>
      <x:c r="AJ70" s="1">
        <x:v>7.32732880332366E-2</x:v>
      </x:c>
      <x:c r="AK70" s="1">
        <x:v>7.32732880332366E-2</x:v>
      </x:c>
      <x:c r="AL70" s="1">
        <x:v>1.2</x:v>
      </x:c>
      <x:c r="AM70" s="2">
        <x:v>5.2026781544254204E-19</x:v>
      </x:c>
      <x:c r="AN70" s="1">
        <x:v>8.4966182217562306E-3</x:v>
      </x:c>
      <x:c r="AO70" s="1">
        <x:v>11</x:v>
      </x:c>
      <x:c r="AP70" s="1" t="b">
        <x:v>1</x:v>
      </x:c>
      <x:c r="AQ70" s="1">
        <x:v>-22.008132615013899</x:v>
      </x:c>
      <x:c r="AR70" s="1">
        <x:v>10.8710615801897</x:v>
      </x:c>
      <x:c r="AS70">
        <x:f t="shared" si="50"/>
        <x:v>8.37936858327787E-2</x:v>
      </x:c>
      <x:c r="AT70">
        <x:f t="shared" si="51"/>
        <x:v>2.6692913385826779E-2</x:v>
      </x:c>
    </x:row>
    <x:row r="71">
      <x:c r="A71" s="1">
        <x:v>-5.5025395115776199</x:v>
      </x:c>
      <x:c r="B71" s="1">
        <x:v>4930.51299758184</x:v>
      </x:c>
      <x:c r="C71" s="1">
        <x:v>2947.0094117647</x:v>
      </x:c>
      <x:c r="D71" s="1">
        <x:f t="shared" si="38"/>
        <x:v>8.2538092673664298</x:v>
      </x:c>
      <x:c r="E71" s="1">
        <x:f t="shared" si="39"/>
        <x:v>45.416911614709306</x:v>
      </x:c>
      <x:c r="F71" s="1">
        <x:f t="shared" si="40"/>
        <x:v>0.21968851308969975</x:v>
      </x:c>
      <x:c r="G71" s="1">
        <x:f t="shared" si="41"/>
        <x:v>0.10984425654484985</x:v>
      </x:c>
      <x:c r="H71" s="1">
        <x:f t="shared" si="42"/>
        <x:v>7.8755302587221021E-2</x:v>
      </x:c>
      <x:c r="I71">
        <x:f t="shared" si="43"/>
        <x:v>1.0175385028374302E-2</x:v>
      </x:c>
      <x:c r="K71" s="1">
        <x:v>-5.4631182120098298</x:v>
      </x:c>
      <x:c r="L71" s="1">
        <x:v>4981.8566601562497</x:v>
      </x:c>
      <x:c r="M71" s="1">
        <x:v>2990.1095334685501</x:v>
      </x:c>
      <x:c r="N71" s="1">
        <x:f t="shared" si="44"/>
        <x:v>8.1946773180147439</x:v>
      </x:c>
      <x:c r="O71" s="1">
        <x:f t="shared" si="45"/>
        <x:v>44.768490897590219</x:v>
      </x:c>
      <x:c r="P71" s="1">
        <x:f t="shared" si="46"/>
        <x:v>0.21586670276345277</x:v>
      </x:c>
      <x:c r="Q71" s="1">
        <x:f t="shared" si="47"/>
        <x:v>0.10793335138172636</x:v>
      </x:c>
      <x:c r="R71" s="1">
        <x:f t="shared" si="48"/>
        <x:v>7.8311013326150022E-2</x:v>
      </x:c>
      <x:c r="S71">
        <x:f t="shared" si="49"/>
        <x:v>1.0117981727937958E-2</x:v>
      </x:c>
      <x:c r="AC71" s="1">
        <x:v>5000</x:v>
      </x:c>
      <x:c r="AD71" s="1">
        <x:v>1.3560000000000001</x:v>
      </x:c>
      <x:c r="AE71" s="1">
        <x:v>90</x:v>
      </x:c>
      <x:c r="AF71" s="1">
        <x:v>523.59877559829795</x:v>
      </x:c>
      <x:c r="AG71" s="1">
        <x:v>31.394363508808201</x:v>
      </x:c>
      <x:c r="AH71" s="1">
        <x:v>1.08959116307451E-2</x:v>
      </x:c>
      <x:c r="AI71" s="1">
        <x:v>1.08959116307451E-2</x:v>
      </x:c>
      <x:c r="AJ71" s="1">
        <x:v>7.2838758022584799E-2</x:v>
      </x:c>
      <x:c r="AK71" s="1">
        <x:v>7.2838758022584799E-2</x:v>
      </x:c>
      <x:c r="AL71" s="1">
        <x:v>1.2</x:v>
      </x:c>
      <x:c r="AM71" s="2">
        <x:v>1.04053563088508E-18</x:v>
      </x:c>
      <x:c r="AN71" s="1">
        <x:v>1.6993236443512399E-2</x:v>
      </x:c>
      <x:c r="AO71" s="1">
        <x:v>11</x:v>
      </x:c>
      <x:c r="AP71" s="1" t="b">
        <x:v>1</x:v>
      </x:c>
      <x:c r="AQ71" s="1">
        <x:v>-22.5638950971687</x:v>
      </x:c>
      <x:c r="AR71" s="1">
        <x:v>10.9401678094068</x:v>
      </x:c>
      <x:c r="AS71">
        <x:f t="shared" si="50"/>
        <x:v>8.4460408354526978E-2</x:v>
      </x:c>
      <x:c r="AT71">
        <x:f t="shared" si="51"/>
        <x:v>5.3385826771653558E-2</x:v>
      </x:c>
    </x:row>
    <x:row r="72">
      <x:c r="A72" s="1">
        <x:v>-4.81484587490558</x:v>
      </x:c>
      <x:c r="B72" s="1">
        <x:v>4930.5607421875002</x:v>
      </x:c>
      <x:c r="C72" s="1">
        <x:v>2970.16103896103</x:v>
      </x:c>
      <x:c r="D72" s="1">
        <x:f t="shared" si="38"/>
        <x:v>7.2222688123583705</x:v>
      </x:c>
      <x:c r="E72" s="1">
        <x:f t="shared" si="39"/>
        <x:v>34.77411119864292</x:v>
      </x:c>
      <x:c r="F72" s="1">
        <x:f t="shared" si="40"/>
        <x:v>0.19223053028716391</x:v>
      </x:c>
      <x:c r="G72" s="1">
        <x:f t="shared" si="41"/>
        <x:v>9.6115265143581943E-2</x:v>
      </x:c>
      <x:c r="H72" s="1">
        <x:f t="shared" si="42"/>
        <x:v>7.9391902028009109E-2</x:v>
      </x:c>
      <x:c r="I72">
        <x:f t="shared" si="43"/>
        <x:v>1.0257635292243106E-2</x:v>
      </x:c>
      <x:c r="K72" s="1">
        <x:v>-4.7780509461296896</x:v>
      </x:c>
      <x:c r="L72" s="1">
        <x:v>4972.1616876775497</x:v>
      </x:c>
      <x:c r="M72" s="1">
        <x:v>3025.9620535714198</x:v>
      </x:c>
      <x:c r="N72" s="1">
        <x:f t="shared" si="44"/>
        <x:v>7.1670764191945349</x:v>
      </x:c>
      <x:c r="O72" s="1">
        <x:f t="shared" si="45"/>
        <x:v>34.244656265716237</x:v>
      </x:c>
      <x:c r="P72" s="1">
        <x:f t="shared" si="46"/>
        <x:v>0.1891654513567069</x:v>
      </x:c>
      <x:c r="Q72" s="1">
        <x:f t="shared" si="47"/>
        <x:v>9.4582725678353435E-2</x:v>
      </x:c>
      <x:c r="R72" s="1">
        <x:f t="shared" si="48"/>
        <x:v>7.9588431135603821E-2</x:v>
      </x:c>
      <x:c r="S72">
        <x:f t="shared" si="49"/>
        <x:v>1.0283027351867844E-2</x:v>
      </x:c>
      <x:c r="AC72" s="1">
        <x:v>5000</x:v>
      </x:c>
      <x:c r="AD72" s="1">
        <x:v>2.0339999999999998</x:v>
      </x:c>
      <x:c r="AE72" s="1">
        <x:v>90</x:v>
      </x:c>
      <x:c r="AF72" s="1">
        <x:v>523.59877559829795</x:v>
      </x:c>
      <x:c r="AG72" s="1">
        <x:v>31.7686429009375</x:v>
      </x:c>
      <x:c r="AH72" s="1">
        <x:v>1.1025811228190499E-2</x:v>
      </x:c>
      <x:c r="AI72" s="1">
        <x:v>1.1025811228190499E-2</x:v>
      </x:c>
      <x:c r="AJ72" s="1">
        <x:v>7.2094380907403804E-2</x:v>
      </x:c>
      <x:c r="AK72" s="1">
        <x:v>7.2094380907403804E-2</x:v>
      </x:c>
      <x:c r="AL72" s="1">
        <x:v>1.2</x:v>
      </x:c>
      <x:c r="AM72" s="2">
        <x:v>1.56080344632762E-18</x:v>
      </x:c>
      <x:c r="AN72" s="1">
        <x:v>2.54898546652686E-2</x:v>
      </x:c>
      <x:c r="AO72" s="1">
        <x:v>10</x:v>
      </x:c>
      <x:c r="AP72" s="1" t="b">
        <x:v>1</x:v>
      </x:c>
      <x:c r="AQ72" s="1">
        <x:v>-23.381866412883699</x:v>
      </x:c>
      <x:c r="AR72" s="1">
        <x:v>11.0495966089041</x:v>
      </x:c>
      <x:c r="AS72">
        <x:f t="shared" si="50"/>
        <x:v>8.5467334017760979E-2</x:v>
      </x:c>
      <x:c r="AT72">
        <x:f t="shared" si="51"/>
        <x:v>8.0078740157480316E-2</x:v>
      </x:c>
    </x:row>
    <x:row r="73">
      <x:c r="A73" s="1">
        <x:v>-4.1357609516865397</x:v>
      </x:c>
      <x:c r="B73" s="1">
        <x:v>4929.21357865767</x:v>
      </x:c>
      <x:c r="C73" s="1">
        <x:v>3004.3333333333298</x:v>
      </x:c>
      <x:c r="D73" s="1">
        <x:f t="shared" si="38"/>
        <x:v>6.20364142752981</x:v>
      </x:c>
      <x:c r="E73" s="1">
        <x:f t="shared" si="39"/>
        <x:v>25.656777974242729</x:v>
      </x:c>
      <x:c r="F73" s="1">
        <x:f t="shared" si="40"/>
        <x:v>0.16516350095212196</x:v>
      </x:c>
      <x:c r="G73" s="1">
        <x:f t="shared" si="41"/>
        <x:v>8.2581750476060964E-2</x:v>
      </x:c>
      <x:c r="H73" s="1">
        <x:f t="shared" si="42"/>
        <x:v>8.0377704379304013E-2</x:v>
      </x:c>
      <x:c r="I73">
        <x:f t="shared" si="43"/>
        <x:v>1.0385003458662036E-2</x:v>
      </x:c>
      <x:c r="K73" s="1">
        <x:v>-4.0906966101262903</x:v>
      </x:c>
      <x:c r="L73" s="1">
        <x:v>4971.0888671875</x:v>
      </x:c>
      <x:c r="M73" s="1">
        <x:v>3053.20716112531</x:v>
      </x:c>
      <x:c r="N73" s="1">
        <x:f t="shared" si="44"/>
        <x:v>6.1360449151894354</x:v>
      </x:c>
      <x:c r="O73" s="1">
        <x:f t="shared" si="45"/>
        <x:v>25.100698134148082</x:v>
      </x:c>
      <x:c r="P73" s="1">
        <x:f t="shared" si="46"/>
        <x:v>0.16198769720836373</x:v>
      </x:c>
      <x:c r="Q73" s="1">
        <x:f t="shared" si="47"/>
        <x:v>8.0993848604181851E-2</x:v>
      </x:c>
      <x:c r="R73" s="1">
        <x:f t="shared" si="48"/>
        <x:v>8.0361544976184585E-2</x:v>
      </x:c>
      <x:c r="S73">
        <x:f t="shared" si="49"/>
        <x:v>1.0382915622755536E-2</x:v>
      </x:c>
      <x:c r="AC73" s="1">
        <x:v>5000</x:v>
      </x:c>
      <x:c r="AD73" s="1">
        <x:v>2.7120000000000002</x:v>
      </x:c>
      <x:c r="AE73" s="1">
        <x:v>90</x:v>
      </x:c>
      <x:c r="AF73" s="1">
        <x:v>523.59877559829795</x:v>
      </x:c>
      <x:c r="AG73" s="1">
        <x:v>32.262457114093003</x:v>
      </x:c>
      <x:c r="AH73" s="1">
        <x:v>1.1197197280563899E-2</x:v>
      </x:c>
      <x:c r="AI73" s="1">
        <x:v>1.1197197280563899E-2</x:v>
      </x:c>
      <x:c r="AJ73" s="1">
        <x:v>7.1068805471422497E-2</x:v>
      </x:c>
      <x:c r="AK73" s="1">
        <x:v>7.1068805471422497E-2</x:v>
      </x:c>
      <x:c r="AL73" s="1">
        <x:v>1.2</x:v>
      </x:c>
      <x:c r="AM73" s="2">
        <x:v>2.0810712617701601E-18</x:v>
      </x:c>
      <x:c r="AN73" s="1">
        <x:v>3.3986472887024902E-2</x:v>
      </x:c>
      <x:c r="AO73" s="1">
        <x:v>9</x:v>
      </x:c>
      <x:c r="AP73" s="1" t="b">
        <x:v>1</x:v>
      </x:c>
      <x:c r="AQ73" s="1">
        <x:v>-24.3911636868546</x:v>
      </x:c>
      <x:c r="AR73" s="1">
        <x:v>11.212305337328001</x:v>
      </x:c>
      <x:c r="AS73">
        <x:f t="shared" si="50"/>
        <x:v>8.679584478953363E-2</x:v>
      </x:c>
      <x:c r="AT73">
        <x:f t="shared" si="51"/>
        <x:v>0.10677165354330712</x:v>
      </x:c>
    </x:row>
    <x:row r="74">
      <x:c r="A74" s="1">
        <x:v>-3.4555064869356502</x:v>
      </x:c>
      <x:c r="B74" s="1">
        <x:v>4945.5195978337997</x:v>
      </x:c>
      <x:c r="C74" s="1">
        <x:v>3017.71910112359</x:v>
      </x:c>
      <x:c r="D74" s="1">
        <x:f t="shared" si="38"/>
        <x:v>5.1832597304034751</x:v>
      </x:c>
      <x:c r="E74" s="1">
        <x:f t="shared" si="39"/>
        <x:v>17.910787621881539</x:v>
      </x:c>
      <x:c r="F74" s="1">
        <x:f t="shared" si="40"/>
        <x:v>0.13754223371935509</x:v>
      </x:c>
      <x:c r="G74" s="1">
        <x:f t="shared" si="41"/>
        <x:v>6.8771116859677531E-2</x:v>
      </x:c>
      <x:c r="H74" s="1">
        <x:f t="shared" si="42"/>
        <x:v>8.0215267998853104E-2</x:v>
      </x:c>
      <x:c r="I74">
        <x:f t="shared" si="43"/>
        <x:v>1.0364016265934627E-2</x:v>
      </x:c>
      <x:c r="K74" s="1">
        <x:v>-3.4106608118329702</x:v>
      </x:c>
      <x:c r="L74" s="1">
        <x:v>4958.1415166440202</x:v>
      </x:c>
      <x:c r="M74" s="1">
        <x:v>3080.8679245283001</x:v>
      </x:c>
      <x:c r="N74" s="1">
        <x:f t="shared" si="44"/>
        <x:v>5.1159912177494551</x:v>
      </x:c>
      <x:c r="O74" s="1">
        <x:f t="shared" si="45"/>
        <x:v>17.448910760059704</x:v>
      </x:c>
      <x:c r="P74" s="1">
        <x:f t="shared" si="46"/>
        <x:v>0.1354116096394937</x:v>
      </x:c>
      <x:c r="Q74" s="1">
        <x:f t="shared" si="47"/>
        <x:v>6.7705804819746834E-2</x:v>
      </x:c>
      <x:c r="R74" s="1">
        <x:f t="shared" si="48"/>
        <x:v>8.1535744947620198E-2</x:v>
      </x:c>
      <x:c r="S74">
        <x:f t="shared" si="49"/>
        <x:v>1.0534625239976943E-2</x:v>
      </x:c>
      <x:c r="AC74" s="1">
        <x:v>5000</x:v>
      </x:c>
      <x:c r="AD74" s="1">
        <x:v>3.39</x:v>
      </x:c>
      <x:c r="AE74" s="1">
        <x:v>90</x:v>
      </x:c>
      <x:c r="AF74" s="1">
        <x:v>523.59877559829795</x:v>
      </x:c>
      <x:c r="AG74" s="1">
        <x:v>32.864838581495199</x:v>
      </x:c>
      <x:c r="AH74" s="1">
        <x:v>1.14062633199174E-2</x:v>
      </x:c>
      <x:c r="AI74" s="1">
        <x:v>1.14062633199174E-2</x:v>
      </x:c>
      <x:c r="AJ74" s="1">
        <x:v>6.9797332398506204E-2</x:v>
      </x:c>
      <x:c r="AK74" s="1">
        <x:v>6.9797332398506204E-2</x:v>
      </x:c>
      <x:c r="AL74" s="1">
        <x:v>1.2</x:v>
      </x:c>
      <x:c r="AM74" s="2">
        <x:v>2.6013390772127101E-18</x:v>
      </x:c>
      <x:c r="AN74" s="1">
        <x:v>4.2483091108781103E-2</x:v>
      </x:c>
      <x:c r="AO74" s="1">
        <x:v>8</x:v>
      </x:c>
      <x:c r="AP74" s="1" t="b">
        <x:v>1</x:v>
      </x:c>
      <x:c r="AQ74" s="1">
        <x:v>-25.5713436526881</x:v>
      </x:c>
      <x:c r="AR74" s="1">
        <x:v>11.414683782853301</x:v>
      </x:c>
      <x:c r="AS74">
        <x:f t="shared" si="50"/>
        <x:v>8.8416434571763056E-2</x:v>
      </x:c>
      <x:c r="AT74">
        <x:f t="shared" si="51"/>
        <x:v>0.13346456692913383</x:v>
      </x:c>
    </x:row>
    <x:row r="75">
      <x:c r="A75" s="1">
        <x:v>-2.7728927570023498</x:v>
      </x:c>
      <x:c r="B75" s="1">
        <x:v>4892.3366455078103</x:v>
      </x:c>
      <x:c r="C75" s="1">
        <x:v>3060.09382716049</x:v>
      </x:c>
      <x:c r="D75" s="1">
        <x:f t="shared" si="38"/>
        <x:v>4.159339135503525</x:v>
      </x:c>
      <x:c r="E75" s="1">
        <x:f t="shared" si="39"/>
        <x:v>11.533401362754139</x:v>
      </x:c>
      <x:c r="F75" s="1">
        <x:f t="shared" si="40"/>
        <x:v>0.1115714372205303</x:v>
      </x:c>
      <x:c r="G75" s="1">
        <x:f t="shared" si="41"/>
        <x:v>5.5785718610265142E-2</x:v>
      </x:c>
      <x:c r="H75" s="1">
        <x:f t="shared" si="42"/>
        <x:v>8.3155023770816155E-2</x:v>
      </x:c>
      <x:c r="I75">
        <x:f t="shared" si="43"/>
        <x:v>1.0743840174756273E-2</x:v>
      </x:c>
      <x:c r="K75" s="1">
        <x:v>-2.73850832696546</x:v>
      </x:c>
      <x:c r="L75" s="1">
        <x:v>4964.3578670726101</x:v>
      </x:c>
      <x:c r="M75" s="1">
        <x:v>3131.9912408759101</x:v>
      </x:c>
      <x:c r="N75" s="1">
        <x:f t="shared" si="44"/>
        <x:v>4.1077624904481898</x:v>
      </x:c>
      <x:c r="O75" s="1">
        <x:f t="shared" si="45"/>
        <x:v>11.249141785288744</x:v>
      </x:c>
      <x:c r="P75" s="1">
        <x:f t="shared" si="46"/>
        <x:v>0.10858935974209266</x:v>
      </x:c>
      <x:c r="Q75" s="1">
        <x:f t="shared" si="47"/>
        <x:v>5.4294679871046317E-2</x:v>
      </x:c>
      <x:c r="R75" s="1">
        <x:f t="shared" si="48"/>
        <x:v>8.2721658316333574E-2</x:v>
      </x:c>
      <x:c r="S75">
        <x:f t="shared" si="49"/>
        <x:v>1.0687848257863146E-2</x:v>
      </x:c>
      <x:c r="AC75" s="1">
        <x:v>5000</x:v>
      </x:c>
      <x:c r="AD75" s="1">
        <x:v>4.0679999999999996</x:v>
      </x:c>
      <x:c r="AE75" s="1">
        <x:v>90</x:v>
      </x:c>
      <x:c r="AF75" s="1">
        <x:v>523.59877559829795</x:v>
      </x:c>
      <x:c r="AG75" s="1">
        <x:v>33.559002920589002</x:v>
      </x:c>
      <x:c r="AH75" s="1">
        <x:v>1.16471840601598E-2</x:v>
      </x:c>
      <x:c r="AI75" s="1">
        <x:v>1.16471840601598E-2</x:v>
      </x:c>
      <x:c r="AJ75" s="1">
        <x:v>6.8318072172278199E-2</x:v>
      </x:c>
      <x:c r="AK75" s="1">
        <x:v>6.8318072172278199E-2</x:v>
      </x:c>
      <x:c r="AL75" s="1">
        <x:v>1.2</x:v>
      </x:c>
      <x:c r="AM75" s="2">
        <x:v>3.1216068926552501E-18</x:v>
      </x:c>
      <x:c r="AN75" s="1">
        <x:v>5.0979709330537297E-2</x:v>
      </x:c>
      <x:c r="AO75" s="1">
        <x:v>7</x:v>
      </x:c>
      <x:c r="AP75" s="1" t="b">
        <x:v>1</x:v>
      </x:c>
      <x:c r="AQ75" s="1">
        <x:v>-26.913270176942302</x:v>
      </x:c>
      <x:c r="AR75" s="1">
        <x:v>11.6457265482697</x:v>
      </x:c>
      <x:c r="AS75">
        <x:f t="shared" si="50"/>
        <x:v>9.0283948258688629E-2</x:v>
      </x:c>
      <x:c r="AT75">
        <x:f t="shared" si="51"/>
        <x:v>0.16015748031496063</x:v>
      </x:c>
    </x:row>
    <x:row r="76">
      <x:c r="A76" s="1">
        <x:v>-2.0849245023068099</x:v>
      </x:c>
      <x:c r="B76" s="1">
        <x:v>4947.3902920809596</x:v>
      </x:c>
      <x:c r="C76" s="1">
        <x:v>3097.2712643678101</x:v>
      </x:c>
      <x:c r="D76" s="1">
        <x:f t="shared" si="38"/>
        <x:v>3.1273867534602147</x:v>
      </x:c>
      <x:c r="E76" s="1">
        <x:f t="shared" si="39"/>
        <x:v>6.5203652704789494</x:v>
      </x:c>
      <x:c r="F76" s="1">
        <x:f t="shared" si="40"/>
        <x:v>8.2956505326141267E-2</x:v>
      </x:c>
      <x:c r="G76" s="1">
        <x:f t="shared" si="41"/>
        <x:v>4.1478252663070626E-2</x:v>
      </x:c>
      <x:c r="H76" s="1">
        <x:f t="shared" si="42"/>
        <x:v>8.233240935853213E-2</x:v>
      </x:c>
      <x:c r="I76">
        <x:f t="shared" si="43"/>
        <x:v>1.0637556304338663E-2</x:v>
      </x:c>
      <x:c r="K76" s="1">
        <x:v>-2.06036662374223</x:v>
      </x:c>
      <x:c r="L76" s="1">
        <x:v>4931.3568289620498</x:v>
      </x:c>
      <x:c r="M76" s="1">
        <x:v>3149.6303571428498</x:v>
      </x:c>
      <x:c r="N76" s="1">
        <x:f t="shared" si="44"/>
        <x:v>3.0905499356133452</x:v>
      </x:c>
      <x:c r="O76" s="1">
        <x:f t="shared" si="45"/>
        <x:v>6.3676659363464339</x:v>
      </x:c>
      <x:c r="P76" s="1">
        <x:f t="shared" si="46"/>
        <x:v>8.224592036609675E-2</x:v>
      </x:c>
      <x:c r="Q76" s="1">
        <x:f t="shared" si="47"/>
        <x:v>4.1122960183048368E-2</x:v>
      </x:c>
      <x:c r="R76" s="1">
        <x:f t="shared" si="48"/>
        <x:v>8.4318550190048025E-2</x:v>
      </x:c>
      <x:c r="S76">
        <x:f t="shared" si="49"/>
        <x:v>1.0894170741936278E-2</x:v>
      </x:c>
      <x:c r="AC76" s="1">
        <x:v>5000</x:v>
      </x:c>
      <x:c r="AD76" s="1">
        <x:v>4.7460000000000004</x:v>
      </x:c>
      <x:c r="AE76" s="1">
        <x:v>90</x:v>
      </x:c>
      <x:c r="AF76" s="1">
        <x:v>523.59877559829795</x:v>
      </x:c>
      <x:c r="AG76" s="1">
        <x:v>34.330892238357002</x:v>
      </x:c>
      <x:c r="AH76" s="1">
        <x:v>1.1915080486623601E-2</x:v>
      </x:c>
      <x:c r="AI76" s="1">
        <x:v>1.1915080486623601E-2</x:v>
      </x:c>
      <x:c r="AJ76" s="1">
        <x:v>6.6676969967919802E-2</x:v>
      </x:c>
      <x:c r="AK76" s="1">
        <x:v>6.6676969967919802E-2</x:v>
      </x:c>
      <x:c r="AL76" s="1">
        <x:v>1.2</x:v>
      </x:c>
      <x:c r="AM76" s="2">
        <x:v>3.6418747080977897E-18</x:v>
      </x:c>
      <x:c r="AN76" s="1">
        <x:v>5.9476327552293602E-2</x:v>
      </x:c>
      <x:c r="AO76" s="1">
        <x:v>6</x:v>
      </x:c>
      <x:c r="AP76" s="1" t="b">
        <x:v>1</x:v>
      </x:c>
      <x:c r="AQ76" s="1">
        <x:v>-28.4375130813713</x:v>
      </x:c>
      <x:c r="AR76" s="1">
        <x:v>11.9052386703372</x:v>
      </x:c>
      <x:c r="AS76">
        <x:f t="shared" si="50"/>
        <x:v>9.2360565832568839E-2</x:v>
      </x:c>
      <x:c r="AT76">
        <x:f t="shared" si="51"/>
        <x:v>0.18685039370078743</x:v>
      </x:c>
    </x:row>
    <x:row r="77">
      <x:c r="A77" s="1">
        <x:v>-1.3909813856362201</x:v>
      </x:c>
      <x:c r="B77" s="1">
        <x:v>4985.7947794596303</x:v>
      </x:c>
      <x:c r="C77" s="1">
        <x:v>3121.3913978494602</x:v>
      </x:c>
      <x:c r="D77" s="1">
        <x:f t="shared" si="38"/>
        <x:v>2.0864720784543302</x:v>
      </x:c>
      <x:c r="E77" s="1">
        <x:f t="shared" si="39"/>
        <x:v>2.9022438227796883</x:v>
      </x:c>
      <x:c r="F77" s="1">
        <x:f t="shared" si="40"/>
        <x:v>5.491907419074183E-2</x:v>
      </x:c>
      <x:c r="G77" s="1">
        <x:f t="shared" si="41"/>
        <x:v>2.7459537095370912E-2</x:v>
      </x:c>
      <x:c r="H77" s="1">
        <x:f t="shared" si="42"/>
        <x:v>8.1719088205755366E-2</x:v>
      </x:c>
      <x:c r="I77">
        <x:f t="shared" si="43"/>
        <x:v>1.0558313654376926E-2</x:v>
      </x:c>
      <x:c r="K77" s="1">
        <x:v>-1.3843562839054799</x:v>
      </x:c>
      <x:c r="L77" s="1">
        <x:v>4987.3419701360799</x:v>
      </x:c>
      <x:c r="M77" s="1">
        <x:v>3179.3338842975199</x:v>
      </x:c>
      <x:c r="N77" s="1">
        <x:f t="shared" si="44"/>
        <x:v>2.0765344258582199</x:v>
      </x:c>
      <x:c r="O77" s="1">
        <x:f t="shared" si="45"/>
        <x:v>2.8746634811828846</x:v>
      </x:c>
      <x:c r="P77" s="1">
        <x:f t="shared" si="46"/>
        <x:v>5.4640544229919187E-2</x:v>
      </x:c>
      <x:c r="Q77" s="1">
        <x:f t="shared" si="47"/>
        <x:v>2.7320272114959587E-2</x:v>
      </x:c>
      <x:c r="R77" s="1">
        <x:f t="shared" si="48"/>
        <x:v>8.3236326016901147E-2</x:v>
      </x:c>
      <x:c r="S77">
        <x:f t="shared" si="49"/>
        <x:v>1.0754344631350421E-2</x:v>
      </x:c>
      <x:c r="AC77" s="1">
        <x:v>5000</x:v>
      </x:c>
      <x:c r="AD77" s="1">
        <x:v>5.4240000000000004</x:v>
      </x:c>
      <x:c r="AE77" s="1">
        <x:v>90</x:v>
      </x:c>
      <x:c r="AF77" s="1">
        <x:v>523.59877559829795</x:v>
      </x:c>
      <x:c r="AG77" s="1">
        <x:v>35.162923924352597</x:v>
      </x:c>
      <x:c r="AH77" s="1">
        <x:v>1.2203850275571399E-2</x:v>
      </x:c>
      <x:c r="AI77" s="1">
        <x:v>1.2203850275571399E-2</x:v>
      </x:c>
      <x:c r="AJ77" s="1">
        <x:v>6.4918791843168594E-2</x:v>
      </x:c>
      <x:c r="AK77" s="1">
        <x:v>6.4918791843168594E-2</x:v>
      </x:c>
      <x:c r="AL77" s="1">
        <x:v>1.2</x:v>
      </x:c>
      <x:c r="AM77" s="2">
        <x:v>4.1621425235403301E-18</x:v>
      </x:c>
      <x:c r="AN77" s="1">
        <x:v>6.7972945774049803E-2</x:v>
      </x:c>
      <x:c r="AO77" s="1">
        <x:v>5</x:v>
      </x:c>
      <x:c r="AP77" s="1" t="b">
        <x:v>1</x:v>
      </x:c>
      <x:c r="AQ77" s="1">
        <x:v>-30.172879464047998</x:v>
      </x:c>
      <x:c r="AR77" s="1">
        <x:v>12.1780468403912</x:v>
      </x:c>
      <x:c r="AS77">
        <x:f t="shared" si="50"/>
        <x:v>9.4598984711275716E-2</x:v>
      </x:c>
      <x:c r="AT77">
        <x:f t="shared" si="51"/>
        <x:v>0.21354330708661423</x:v>
      </x:c>
    </x:row>
    <x:row r="78">
      <x:c r="A78" s="1">
        <x:v>-0.70977984963303398</x:v>
      </x:c>
      <x:c r="B78" s="1">
        <x:v>4930.7588623046804</x:v>
      </x:c>
      <x:c r="C78" s="1">
        <x:v>3156.7519379844898</x:v>
      </x:c>
      <x:c r="D78" s="1">
        <x:f t="shared" si="38"/>
        <x:v>1.064669774449551</x:v>
      </x:c>
      <x:c r="E78" s="1">
        <x:f t="shared" si="39"/>
        <x:v>0.75568115241763856</x:v>
      </x:c>
      <x:c r="F78" s="1">
        <x:f t="shared" si="40"/>
        <x:v>2.8336498851992502E-2</x:v>
      </x:c>
      <x:c r="G78" s="1">
        <x:f t="shared" si="41"/>
        <x:v>1.416824942599625E-2</x:v>
      </x:c>
      <x:c r="H78" s="1">
        <x:f t="shared" si="42"/>
        <x:v>8.4528084572221274E-2</x:v>
      </x:c>
      <x:c r="I78">
        <x:f t="shared" si="43"/>
        <x:v>1.0921243116052727E-2</x:v>
      </x:c>
      <x:c r="K78" s="1">
        <x:v>-0.70143945944128605</x:v>
      </x:c>
      <x:c r="L78" s="1">
        <x:v>4993.2772122896604</x:v>
      </x:c>
      <x:c r="M78" s="1">
        <x:v>3218.6129032258</x:v>
      </x:c>
      <x:c r="N78" s="1">
        <x:f t="shared" si="44"/>
        <x:v>1.0521591891619291</x:v>
      </x:c>
      <x:c r="O78" s="1">
        <x:f t="shared" si="45"/>
        <x:v>0.7380259728919254</x:v>
      </x:c>
      <x:c r="P78" s="1">
        <x:f t="shared" si="46"/>
        <x:v>2.7652907675231771E-2</x:v>
      </x:c>
      <x:c r="Q78" s="1">
        <x:f t="shared" si="47"/>
        <x:v>1.3826453837615882E-2</x:v>
      </x:c>
      <x:c r="R78" s="1">
        <x:f t="shared" si="48"/>
        <x:v>8.4094182353762106E-2</x:v>
      </x:c>
      <x:c r="S78">
        <x:f t="shared" si="49"/>
        <x:v>1.0865181847891156E-2</x:v>
      </x:c>
      <x:c r="AC78" s="1">
        <x:v>5000</x:v>
      </x:c>
      <x:c r="AD78" s="1">
        <x:v>6.1020000000000003</x:v>
      </x:c>
      <x:c r="AE78" s="1">
        <x:v>90</x:v>
      </x:c>
      <x:c r="AF78" s="1">
        <x:v>523.59877559829795</x:v>
      </x:c>
      <x:c r="AG78" s="1">
        <x:v>36.0381393440164</x:v>
      </x:c>
      <x:c r="AH78" s="1">
        <x:v>1.25076076639907E-2</x:v>
      </x:c>
      <x:c r="AI78" s="1">
        <x:v>1.25076076639907E-2</x:v>
      </x:c>
      <x:c r="AJ78" s="1">
        <x:v>6.3085061527072495E-2</x:v>
      </x:c>
      <x:c r="AK78" s="1">
        <x:v>6.3085061527072495E-2</x:v>
      </x:c>
      <x:c r="AL78" s="1">
        <x:v>1.2</x:v>
      </x:c>
      <x:c r="AM78" s="2">
        <x:v>4.6824103389828798E-18</x:v>
      </x:c>
      <x:c r="AN78" s="1">
        <x:v>7.6469563995806095E-2</x:v>
      </x:c>
      <x:c r="AO78" s="1">
        <x:v>4</x:v>
      </x:c>
      <x:c r="AP78" s="1" t="b">
        <x:v>1</x:v>
      </x:c>
      <x:c r="AQ78" s="1">
        <x:v>-32.215461583472603</x:v>
      </x:c>
      <x:c r="AR78" s="1">
        <x:v>12.4647068345775</x:v>
      </x:c>
      <x:c r="AS78">
        <x:f t="shared" si="50"/>
        <x:v>9.6953580998034E-2</x:v>
      </x:c>
      <x:c r="AT78">
        <x:f t="shared" si="51"/>
        <x:v>0.24023622047244095</x:v>
      </x:c>
    </x:row>
    <x:row r="79">
      <x:c r="A79" s="1">
        <x:v>-0.17515201494097701</x:v>
      </x:c>
      <x:c r="B79" s="1">
        <x:v>4928.3794759114498</x:v>
      </x:c>
      <x:c r="C79" s="1">
        <x:v>3185.1083333333299</x:v>
      </x:c>
      <x:c r="D79" s="1">
        <x:f t="shared" si="38"/>
        <x:v>0.26272802241146553</x:v>
      </x:c>
      <x:c r="E79" s="1">
        <x:f t="shared" si="39"/>
        <x:v>4.6017342506826354E-2</x:v>
      </x:c>
      <x:c r="F79" s="1">
        <x:f t="shared" si="40"/>
        <x:v>6.995959476566292E-3</x:v>
      </x:c>
      <x:c r="G79" s="1">
        <x:f t="shared" si="41"/>
        <x:v>3.4979797382831456E-3</x:v>
      </x:c>
      <x:c r="H79" s="1">
        <x:f t="shared" si="42"/>
        <x:v>8.5391998265441318E-2</x:v>
      </x:c>
      <x:c r="I79">
        <x:f t="shared" si="43"/>
        <x:v>1.1032862958412715E-2</x:v>
      </x:c>
      <x:c r="K79" s="1">
        <x:v>-0.16796991614003901</x:v>
      </x:c>
      <x:c r="L79" s="1">
        <x:v>4994.5854936079504</x:v>
      </x:c>
      <x:c r="M79" s="1">
        <x:v>3248.29875518672</x:v>
      </x:c>
      <x:c r="N79" s="1">
        <x:f t="shared" si="44"/>
        <x:v>0.25195487421005852</x:v>
      </x:c>
      <x:c r="O79" s="1">
        <x:f t="shared" si="45"/>
        <x:v>4.2320839092137602E-2</x:v>
      </x:c>
      <x:c r="P79" s="1">
        <x:f t="shared" si="46"/>
        <x:v>6.6201578017577832E-3</x:v>
      </x:c>
      <x:c r="Q79" s="1">
        <x:f t="shared" si="47"/>
        <x:v>3.3100789008788907E-3</x:v>
      </x:c>
      <x:c r="R79" s="1">
        <x:f t="shared" si="48"/>
        <x:v>8.484751639984095E-2</x:v>
      </x:c>
      <x:c r="S79">
        <x:f t="shared" si="49"/>
        <x:v>1.0962514519114733E-2</x:v>
      </x:c>
      <x:c r="AC79" s="1">
        <x:v>5000</x:v>
      </x:c>
      <x:c r="AD79" s="1">
        <x:v>6.78</x:v>
      </x:c>
      <x:c r="AE79" s="1">
        <x:v>90</x:v>
      </x:c>
      <x:c r="AF79" s="1">
        <x:v>523.59877559829795</x:v>
      </x:c>
      <x:c r="AG79" s="1">
        <x:v>36.941185530754801</x:v>
      </x:c>
      <x:c r="AH79" s="1">
        <x:v>1.28210241613955E-2</x:v>
      </x:c>
      <x:c r="AI79" s="1">
        <x:v>1.28210241613955E-2</x:v>
      </x:c>
      <x:c r="AJ79" s="1">
        <x:v>6.1215129255468202E-2</x:v>
      </x:c>
      <x:c r="AK79" s="1">
        <x:v>6.1215129255468202E-2</x:v>
      </x:c>
      <x:c r="AL79" s="1">
        <x:v>1.2</x:v>
      </x:c>
      <x:c r="AM79" s="2">
        <x:v>5.2026781544254202E-18</x:v>
      </x:c>
      <x:c r="AN79" s="1">
        <x:v>8.4966182217562303E-2</x:v>
      </x:c>
      <x:c r="AO79" s="1">
        <x:v>4</x:v>
      </x:c>
      <x:c r="AP79" s="1" t="b">
        <x:v>1</x:v>
      </x:c>
      <x:c r="AQ79" s="1">
        <x:v>-34.580581203018603</x:v>
      </x:c>
      <x:c r="AR79" s="1">
        <x:v>12.7636981354865</x:v>
      </x:c>
      <x:c r="AS79">
        <x:f t="shared" si="50"/>
        <x:v>9.9383050532383069E-2</x:v>
      </x:c>
      <x:c r="AT79">
        <x:f t="shared" si="51"/>
        <x:v>0.26692913385826766</x:v>
      </x:c>
    </x:row>
    <x:row r="80">
      <x:c r="A80" s="1">
        <x:v>-0.17100630170769099</x:v>
      </x:c>
      <x:c r="B80" s="1">
        <x:v>0</x:v>
      </x:c>
      <x:c r="C80" s="1">
        <x:v>87.844444444444406</x:v>
      </x:c>
      <x:c r="D80" s="1">
        <x:f t="shared" si="38"/>
        <x:v>0.25650945256153646</x:v>
      </x:c>
      <x:c r="E80" s="1">
        <x:f t="shared" si="39"/>
        <x:v>4.3864732835612756E-2</x:v>
      </x:c>
      <x:c r="F80" s="1" t="e">
        <x:f t="shared" si="40"/>
        <x:v>#DIV/0!</x:v>
      </x:c>
      <x:c r="G80" s="1" t="e">
        <x:f t="shared" si="41"/>
        <x:v>#DIV/0!</x:v>
      </x:c>
      <x:c r="H80" s="1" t="e">
        <x:f t="shared" si="42"/>
        <x:v>#DIV/0!</x:v>
      </x:c>
      <x:c r="I80" t="e">
        <x:f t="shared" si="43"/>
        <x:v>#DIV/0!</x:v>
      </x:c>
      <x:c r="K80" s="1">
        <x:v>-0.115173770197563</x:v>
      </x:c>
      <x:c r="L80" s="1">
        <x:v>0</x:v>
      </x:c>
      <x:c r="M80" s="1">
        <x:v>86.9861111111111</x:v>
      </x:c>
      <x:c r="N80" s="1">
        <x:f t="shared" si="44"/>
        <x:v>0.17276065529634449</x:v>
      </x:c>
      <x:c r="O80" s="1">
        <x:f t="shared" si="45"/>
        <x:v>1.9897496012281579E-2</x:v>
      </x:c>
      <x:c r="P80" s="1" t="e">
        <x:f t="shared" si="46"/>
        <x:v>#DIV/0!</x:v>
      </x:c>
      <x:c r="Q80" s="1" t="e">
        <x:f t="shared" si="47"/>
        <x:v>#DIV/0!</x:v>
      </x:c>
      <x:c r="R80" s="1" t="e">
        <x:f t="shared" si="48"/>
        <x:v>#DIV/0!</x:v>
      </x:c>
      <x:c r="S80" t="e">
        <x:f t="shared" si="49"/>
        <x:v>#DIV/0!</x:v>
      </x:c>
    </x:row>
    <x:row r="84">
      <x:c r="A84" s="3" t="s">
        <x:v>68</x:v>
      </x:c>
      <x:c r="B84" s="3"/>
      <x:c r="C84" s="3"/>
      <x:c r="K84" s="3" t="s">
        <x:v>69</x:v>
      </x:c>
      <x:c r="L84" s="3"/>
      <x:c r="M84" s="3"/>
    </x:row>
    <x:row r="85">
      <x:c r="A85" s="1" t="s">
        <x:v>3</x:v>
      </x:c>
      <x:c r="B85" s="1" t="s">
        <x:v>4</x:v>
      </x:c>
      <x:c r="C85" s="1" t="s">
        <x:v>5</x:v>
      </x:c>
      <x:c r="D85" s="1" t="s">
        <x:v>6</x:v>
      </x:c>
      <x:c r="E85" s="1" t="s">
        <x:v>7</x:v>
      </x:c>
      <x:c r="F85" s="1" t="s">
        <x:v>8</x:v>
      </x:c>
      <x:c r="G85" s="1" t="s">
        <x:v>9</x:v>
      </x:c>
      <x:c r="H85" s="1" t="s">
        <x:v>10</x:v>
      </x:c>
      <x:c r="I85" s="1" t="s">
        <x:v>11</x:v>
      </x:c>
      <x:c r="K85" s="1" t="s">
        <x:v>3</x:v>
      </x:c>
      <x:c r="L85" s="1" t="s">
        <x:v>4</x:v>
      </x:c>
      <x:c r="M85" s="1" t="s">
        <x:v>5</x:v>
      </x:c>
      <x:c r="N85" s="1" t="s">
        <x:v>6</x:v>
      </x:c>
      <x:c r="O85" s="1" t="s">
        <x:v>7</x:v>
      </x:c>
      <x:c r="P85" s="1" t="s">
        <x:v>8</x:v>
      </x:c>
      <x:c r="Q85" s="1" t="s">
        <x:v>9</x:v>
      </x:c>
      <x:c r="R85" s="1" t="s">
        <x:v>10</x:v>
      </x:c>
      <x:c r="S85" s="1" t="s">
        <x:v>11</x:v>
      </x:c>
    </x:row>
    <x:row r="86">
      <x:c r="A86" s="1">
        <x:v>-7.8593477747572991E-3</x:v>
      </x:c>
      <x:c r="B86" s="1">
        <x:v>0</x:v>
      </x:c>
      <x:c r="C86" s="1">
        <x:v>156.97128378378301</x:v>
      </x:c>
      <x:c r="D86" s="1" t="n">
        <x:f>-A86*1.5</x:f>
        <x:v>0.011789021662135949</x:v>
      </x:c>
      <x:c r="E86" s="1" t="n">
        <x:f>A86*A86*1.5</x:f>
        <x:v>0.00009265402116687377</x:v>
      </x:c>
      <x:c r="F86" s="1" t="e">
        <x:f>D86/(B86/60)/0.4572</x:f>
        <x:v>#DIV/0!</x:v>
      </x:c>
      <x:c r="G86" s="1" t="e">
        <x:f>D86*SIN(RADIANS(45))/(B86/60)/0.4572</x:f>
        <x:v>#DIV/0!</x:v>
      </x:c>
      <x:c r="H86" s="1" t="e">
        <x:f>(C86-$C$86)*9.8/1.205/(B86/60)^2/0.4572^4/1000</x:f>
        <x:v>#DIV/0!</x:v>
      </x:c>
      <x:c r="I86" t="e">
        <x:f>H86*4/(3.14^3)</x:f>
        <x:v>#DIV/0!</x:v>
      </x:c>
      <x:c r="K86" s="1">
        <x:v>-1.36746007115825E-2</x:v>
      </x:c>
      <x:c r="L86" s="1">
        <x:v>0</x:v>
      </x:c>
      <x:c r="M86" s="1">
        <x:v>156.98245614035</x:v>
      </x:c>
      <x:c r="N86" s="1" t="n">
        <x:f>-K86*1.5</x:f>
        <x:v>0.02051190106737375</x:v>
      </x:c>
      <x:c r="O86" s="1" t="n">
        <x:f>K86*K86*1.5</x:f>
        <x:v>0.00028049205693181893</x:v>
      </x:c>
      <x:c r="P86" s="1" t="e">
        <x:f>N86/(L86/60)/0.4572</x:f>
        <x:v>#DIV/0!</x:v>
      </x:c>
      <x:c r="Q86" s="1" t="e">
        <x:f>N86*SIN(RADIANS(45))/(L86/60)/0.4572</x:f>
        <x:v>#DIV/0!</x:v>
      </x:c>
      <x:c r="R86" s="1" t="e">
        <x:f>(M86-$C$86)*9.8/1.205/(L86/60)^2/0.4572^4/1000</x:f>
        <x:v>#DIV/0!</x:v>
      </x:c>
      <x:c r="S86" t="e">
        <x:f>R86*4/(3.14^3)</x:f>
        <x:v>#DIV/0!</x:v>
      </x:c>
    </x:row>
    <x:row r="87">
      <x:c r="A87" s="1">
        <x:v>-8.4896588144011895E-2</x:v>
      </x:c>
      <x:c r="B87" s="1">
        <x:v>5066.6981670673003</x:v>
      </x:c>
      <x:c r="C87" s="1">
        <x:v>3421.5397435897398</x:v>
      </x:c>
      <x:c r="D87" s="1" t="n">
        <x:f t="shared" ref="D87:D107" si="52">-A87*1.5</x:f>
        <x:v>0.12734488221601784</x:v>
      </x:c>
      <x:c r="E87" s="1" t="n">
        <x:f t="shared" ref="E87:E107" si="53">A87*A87*1.5</x:f>
        <x:v>0.010811146017740973</x:v>
      </x:c>
      <x:c r="F87" s="1" t="n">
        <x:f t="shared" ref="F87:F107" si="54">D87/(B87/60)/0.4572</x:f>
        <x:v>0.003298386098589235</x:v>
      </x:c>
      <x:c r="G87" s="1" t="n">
        <x:f t="shared" ref="G87:G107" si="55">D87*SIN(RADIANS(45))/(B87/60)/0.4572</x:f>
        <x:v>0.002332311177283888</x:v>
      </x:c>
      <x:c r="H87" s="1" t="n">
        <x:f t="shared" ref="H87:H107" si="56">(C87-$C$86)*9.8/1.205/(B87/60)^2/0.4572^4/1000</x:f>
        <x:v>0.08521035143413624</x:v>
      </x:c>
      <x:c r="I87" t="n">
        <x:f t="shared" ref="I87:I107" si="57">H87*4/(3.14^3)</x:f>
        <x:v>0.011009393726665859</x:v>
      </x:c>
      <x:c r="K87" s="1">
        <x:v>-6.9971646485061698E-2</x:v>
      </x:c>
      <x:c r="L87" s="1">
        <x:v>5030.1414794921802</x:v>
      </x:c>
      <x:c r="M87" s="1">
        <x:v>3431.5521472392602</x:v>
      </x:c>
      <x:c r="N87" s="1" t="n">
        <x:f t="shared" ref="N87:N107" si="58">-K87*1.5</x:f>
        <x:v>0.10495746972759254</x:v>
      </x:c>
      <x:c r="O87" s="1" t="n">
        <x:f t="shared" ref="O87:O107" si="59">K87*K87*1.5</x:f>
        <x:v>0.007344046967745671</x:v>
      </x:c>
      <x:c r="P87" s="1" t="n">
        <x:f t="shared" ref="P87:P107" si="60">N87/(L87/60)/0.4572</x:f>
        <x:v>0.0027382820572011556</x:v>
      </x:c>
      <x:c r="Q87" s="1" t="n">
        <x:f t="shared" ref="Q87:Q107" si="61">N87*SIN(RADIANS(45))/(L87/60)/0.4572</x:f>
        <x:v>0.0019362578114483866</x:v>
      </x:c>
      <x:c r="R87" s="1" t="n">
        <x:f t="shared" ref="R87:R107" si="62">(M87-$C$86)*9.8/1.205/(L87/60)^2/0.4572^4/1000</x:f>
        <x:v>0.0867185408025748</x:v>
      </x:c>
      <x:c r="S87" t="n">
        <x:f t="shared" ref="S87:S107" si="63">R87*4/(3.14^3)</x:f>
        <x:v>0.011204255621870525</x:v>
      </x:c>
    </x:row>
    <x:row r="88">
      <x:c r="A88" s="1">
        <x:v>-0.68338651272840101</x:v>
      </x:c>
      <x:c r="B88" s="1">
        <x:v>5008.94384765625</x:v>
      </x:c>
      <x:c r="C88" s="1">
        <x:v>3369.26470588235</x:v>
      </x:c>
      <x:c r="D88" s="1">
        <x:f t="shared" si="52"/>
        <x:v>1.0250797690926015</x:v>
      </x:c>
      <x:c r="E88" s="1">
        <x:f t="shared" si="53"/>
        <x:v>0.70052568866862752</x:v>
      </x:c>
      <x:c r="F88" s="1">
        <x:f t="shared" si="54"/>
        <x:v>2.6856939940211117E-2</x:v>
      </x:c>
      <x:c r="G88" s="1">
        <x:f t="shared" si="55"/>
        <x:v>1.8990724353643108E-2</x:v>
      </x:c>
      <x:c r="H88" s="1">
        <x:f t="shared" si="56"/>
        <x:v>8.5790564376587178E-2</x:v>
      </x:c>
      <x:c r="I88">
        <x:f t="shared" si="57"/>
        <x:v>1.1084358711802519E-2</x:v>
      </x:c>
      <x:c r="K88" s="1">
        <x:v>-0.61469710303040603</x:v>
      </x:c>
      <x:c r="L88" s="1">
        <x:v>5020.0182059151703</x:v>
      </x:c>
      <x:c r="M88" s="1">
        <x:v>3380.0384615384601</x:v>
      </x:c>
      <x:c r="N88" s="1">
        <x:f t="shared" si="58"/>
        <x:v>0.92204565454560905</x:v>
      </x:c>
      <x:c r="O88" s="1">
        <x:f t="shared" si="59"/>
        <x:v>0.56677879271096043</x:v>
      </x:c>
      <x:c r="P88" s="1">
        <x:f t="shared" si="60"/>
        <x:v>2.4104168904345531E-2</x:v>
      </x:c>
      <x:c r="Q88" s="1">
        <x:f t="shared" si="61"/>
        <x:v>1.7044221287128639E-2</x:v>
      </x:c>
      <x:c r="R88" s="1">
        <x:f t="shared" si="62"/>
        <x:v>8.5698933208329123E-2</x:v>
      </x:c>
      <x:c r="S88">
        <x:f t="shared" si="63"/>
        <x:v>1.1072519732241836E-2</x:v>
      </x:c>
    </x:row>
    <x:row r="89">
      <x:c r="A89" s="1">
        <x:v>-1.3694204552131699</x:v>
      </x:c>
      <x:c r="B89" s="1">
        <x:v>5010.5198800223197</x:v>
      </x:c>
      <x:c r="C89" s="1">
        <x:v>3296.0840630472799</x:v>
      </x:c>
      <x:c r="D89" s="1">
        <x:f t="shared" si="52"/>
        <x:v>2.0541306828197547</x:v>
      </x:c>
      <x:c r="E89" s="1">
        <x:f t="shared" si="53"/>
        <x:v>2.8129685747343682</x:v>
      </x:c>
      <x:c r="F89" s="1">
        <x:f t="shared" si="54"/>
        <x:v>5.3800995147318557E-2</x:v>
      </x:c>
      <x:c r="G89" s="1">
        <x:f t="shared" si="55"/>
        <x:v>3.804304850325349E-2</x:v>
      </x:c>
      <x:c r="H89" s="1">
        <x:f t="shared" si="56"/>
        <x:v>8.3783400379250084E-2</x:v>
      </x:c>
      <x:c r="I89">
        <x:f t="shared" si="57"/>
        <x:v>1.0825028027809823E-2</x:v>
      </x:c>
      <x:c r="K89" s="1">
        <x:v>-1.30592966964671</x:v>
      </x:c>
      <x:c r="L89" s="1">
        <x:v>4997.3904127038004</x:v>
      </x:c>
      <x:c r="M89" s="1">
        <x:v>3313.1315789473601</x:v>
      </x:c>
      <x:c r="N89" s="1">
        <x:f t="shared" si="58"/>
        <x:v>1.958894504470065</x:v>
      </x:c>
      <x:c r="O89" s="1">
        <x:f t="shared" si="59"/>
        <x:v>2.5581784530953477</x:v>
      </x:c>
      <x:c r="P89" s="1">
        <x:f t="shared" si="60"/>
        <x:v>5.1441402088976837E-2</x:v>
      </x:c>
      <x:c r="Q89" s="1">
        <x:f t="shared" si="61"/>
        <x:v>3.6374564250859345E-2</x:v>
      </x:c>
      <x:c r="R89" s="1">
        <x:f t="shared" si="62"/>
        <x:v>8.4681615796315279E-2</x:v>
      </x:c>
      <x:c r="S89">
        <x:f t="shared" si="63"/>
        <x:v>1.0941079739971528E-2</x:v>
      </x:c>
    </x:row>
    <x:row r="90">
      <x:c r="A90" s="1">
        <x:v>-2.0544799452242599</x:v>
      </x:c>
      <x:c r="B90" s="1">
        <x:v>4992.6801333220101</x:v>
      </x:c>
      <x:c r="C90" s="1">
        <x:v>3221.50980392156</x:v>
      </x:c>
      <x:c r="D90" s="1">
        <x:f t="shared" si="52"/>
        <x:v>3.0817199178363897</x:v>
      </x:c>
      <x:c r="E90" s="1">
        <x:f t="shared" si="53"/>
        <x:v>6.3313317679930172</x:v>
      </x:c>
      <x:c r="F90" s="1">
        <x:f t="shared" si="54"/>
        <x:v>8.1003624359702944E-2</x:v>
      </x:c>
      <x:c r="G90" s="1">
        <x:f t="shared" si="55"/>
        <x:v>5.7278212085433759E-2</x:v>
      </x:c>
      <x:c r="H90" s="1">
        <x:f t="shared" si="56"/>
        <x:v>8.2378568594765486E-2</x:v>
      </x:c>
      <x:c r="I90">
        <x:f t="shared" si="57"/>
        <x:v>1.0643520194843305E-2</x:v>
      </x:c>
      <x:c r="K90" s="1">
        <x:v>-1.9957896913161299</x:v>
      </x:c>
      <x:c r="L90" s="1">
        <x:v>5001.1821521577303</x:v>
      </x:c>
      <x:c r="M90" s="1">
        <x:v>3245.2870588235201</x:v>
      </x:c>
      <x:c r="N90" s="1">
        <x:f t="shared" si="58"/>
        <x:v>2.9936845369741949</x:v>
      </x:c>
      <x:c r="O90" s="1">
        <x:f t="shared" si="59"/>
        <x:v>5.9747647379456001</x:v>
      </x:c>
      <x:c r="P90" s="1">
        <x:f t="shared" si="60"/>
        <x:v>7.8555824308468927E-2</x:v>
      </x:c>
      <x:c r="Q90" s="1">
        <x:f t="shared" si="61"/>
        <x:v>5.5547356070217387E-2</x:v>
      </x:c>
      <x:c r="R90" s="1">
        <x:f t="shared" si="62"/>
        <x:v>8.2735709815417224E-2</x:v>
      </x:c>
      <x:c r="S90">
        <x:f t="shared" si="63"/>
        <x:v>1.0689663747216941E-2</x:v>
      </x:c>
    </x:row>
    <x:row r="91">
      <x:c r="A91" s="1">
        <x:v>-2.7458270271619099</x:v>
      </x:c>
      <x:c r="B91" s="1">
        <x:v>4994.0792643229097</x:v>
      </x:c>
      <x:c r="C91" s="1">
        <x:v>3151.5166666666601</x:v>
      </x:c>
      <x:c r="D91" s="1">
        <x:f t="shared" si="52"/>
        <x:v>4.1187405407428646</x:v>
      </x:c>
      <x:c r="E91" s="1">
        <x:f t="shared" si="53"/>
        <x:v>11.309349094639217</x:v>
      </x:c>
      <x:c r="F91" s="1">
        <x:f t="shared" si="54"/>
        <x:v>0.10823158839157254</x:v>
      </x:c>
      <x:c r="G91" s="1">
        <x:f t="shared" si="55"/>
        <x:v>7.6531290090272153E-2</x:v>
      </x:c>
      <x:c r="H91" s="1">
        <x:f t="shared" si="56"/>
        <x:v>8.0451969419075259E-2</x:v>
      </x:c>
      <x:c r="I91">
        <x:f t="shared" si="57"/>
        <x:v>1.039459869033527E-2</x:v>
      </x:c>
      <x:c r="K91" s="1">
        <x:v>-2.6959758754229601</x:v>
      </x:c>
      <x:c r="L91" s="1">
        <x:v>5015.9138502038004</x:v>
      </x:c>
      <x:c r="M91" s="1">
        <x:v>3183.4067415730301</x:v>
      </x:c>
      <x:c r="N91" s="1">
        <x:f t="shared" si="58"/>
        <x:v>4.0439638131344404</x:v>
      </x:c>
      <x:c r="O91" s="1">
        <x:f t="shared" si="59"/>
        <x:v>10.902428881293895</x:v>
      </x:c>
      <x:c r="P91" s="1">
        <x:f t="shared" si="60"/>
        <x:v>0.10580403259184201</x:v>
      </x:c>
      <x:c r="Q91" s="1">
        <x:f t="shared" si="61"/>
        <x:v>7.481474892257399E-2</x:v>
      </x:c>
      <x:c r="R91" s="1">
        <x:f t="shared" si="62"/>
        <x:v>8.0602390388876816E-2</x:v>
      </x:c>
      <x:c r="S91">
        <x:f t="shared" si="63"/>
        <x:v>1.0414033461503562E-2</x:v>
      </x:c>
    </x:row>
    <x:row r="92">
      <x:c r="A92" s="1">
        <x:v>-3.43434348037774</x:v>
      </x:c>
      <x:c r="B92" s="1">
        <x:v>4951.3603864397301</x:v>
      </x:c>
      <x:c r="C92" s="1">
        <x:v>3077.56630824372</x:v>
      </x:c>
      <x:c r="D92" s="1">
        <x:f t="shared" si="52"/>
        <x:v>5.1515152205666102</x:v>
      </x:c>
      <x:c r="E92" s="1">
        <x:f t="shared" si="53"/>
        <x:v>17.69207271181963</x:v>
      </x:c>
      <x:c r="F92" s="1">
        <x:f t="shared" si="54"/>
        <x:v>0.13653861029134359</x:v>
      </x:c>
      <x:c r="G92" s="1">
        <x:f t="shared" si="55"/>
        <x:v>9.6547377230796358E-2</x:v>
      </x:c>
      <x:c r="H92" s="1">
        <x:f t="shared" si="56"/>
        <x:v>7.9824996498005535E-2</x:v>
      </x:c>
      <x:c r="I92">
        <x:f t="shared" si="57"/>
        <x:v>1.0313592197252679E-2</x:v>
      </x:c>
      <x:c r="K92" s="1">
        <x:v>-3.39294534624764</x:v>
      </x:c>
      <x:c r="L92" s="1">
        <x:v>4979.2209382233796</x:v>
      </x:c>
      <x:c r="M92" s="1">
        <x:v>3111.8003838771501</x:v>
      </x:c>
      <x:c r="N92" s="1">
        <x:f t="shared" si="58"/>
        <x:v>5.0894180193714602</x:v>
      </x:c>
      <x:c r="O92" s="1">
        <x:f t="shared" si="59"/>
        <x:v>17.268117183935274</x:v>
      </x:c>
      <x:c r="P92" s="1">
        <x:f t="shared" si="60"/>
        <x:v>0.13413797770789715</x:v>
      </x:c>
      <x:c r="Q92" s="1">
        <x:f t="shared" si="61"/>
        <x:v>9.484987365190399E-2</x:v>
      </x:c>
      <x:c r="R92" s="1">
        <x:f t="shared" si="62"/>
        <x:v>7.9859431755195831E-2</x:v>
      </x:c>
      <x:c r="S92">
        <x:f t="shared" si="63"/>
        <x:v>1.0318041319901588E-2</x:v>
      </x:c>
    </x:row>
    <x:row r="93">
      <x:c r="A93" s="1">
        <x:v>-4.1274052585463901</x:v>
      </x:c>
      <x:c r="B93" s="1">
        <x:v>4949.0959570312498</x:v>
      </x:c>
      <x:c r="C93" s="1">
        <x:v>3004.0020120724298</x:v>
      </x:c>
      <x:c r="D93" s="1">
        <x:f t="shared" si="52"/>
        <x:v>6.1911078878195855</x:v>
      </x:c>
      <x:c r="E93" s="1">
        <x:f t="shared" si="53"/>
        <x:v>25.553211252414592</x:v>
      </x:c>
      <x:c r="F93" s="1">
        <x:f t="shared" si="54"/>
        <x:v>0.16416762923201228</x:v>
      </x:c>
      <x:c r="G93" s="1">
        <x:f t="shared" si="55"/>
        <x:v>0.11608404388127476</x:v>
      </x:c>
      <x:c r="H93" s="1">
        <x:f t="shared" si="56"/>
        <x:v>7.788557823617219E-2</x:v>
      </x:c>
      <x:c r="I93">
        <x:f t="shared" si="57"/>
        <x:v>1.0063014434271463E-2</x:v>
      </x:c>
      <x:c r="K93" s="1">
        <x:v>-4.1005795273599697</x:v>
      </x:c>
      <x:c r="L93" s="1">
        <x:v>4983.2462635869497</x:v>
      </x:c>
      <x:c r="M93" s="1">
        <x:v>3033.66526315789</x:v>
      </x:c>
      <x:c r="N93" s="1">
        <x:f t="shared" si="58"/>
        <x:v>6.1508692910399549</x:v>
      </x:c>
      <x:c r="O93" s="1">
        <x:f t="shared" si="59"/>
        <x:v>25.222128690305571</x:v>
      </x:c>
      <x:c r="P93" s="1">
        <x:f t="shared" si="60"/>
        <x:v>0.16198290264330109</x:v>
      </x:c>
      <x:c r="Q93" s="1">
        <x:f t="shared" si="61"/>
        <x:v>0.11453920889535853</x:v>
      </x:c>
      <x:c r="R93" s="1">
        <x:f t="shared" si="62"/>
        <x:v>7.7622139221097952E-2</x:v>
      </x:c>
      <x:c r="S93">
        <x:f t="shared" si="63"/>
        <x:v>1.0028977444737871E-2</x:v>
      </x:c>
    </x:row>
    <x:row r="94">
      <x:c r="A94" s="1">
        <x:v>-4.8120744772124704</x:v>
      </x:c>
      <x:c r="B94" s="1">
        <x:v>4975.1400495256603</x:v>
      </x:c>
      <x:c r="C94" s="1">
        <x:v>2937.2929824561402</x:v>
      </x:c>
      <x:c r="D94" s="1">
        <x:f t="shared" si="52"/>
        <x:v>7.218111715818706</x:v>
      </x:c>
      <x:c r="E94" s="1">
        <x:f t="shared" si="53"/>
        <x:v>34.734091161359501</x:v>
      </x:c>
      <x:c r="F94" s="1">
        <x:f t="shared" si="54"/>
        <x:v>0.19039841008035524</x:v>
      </x:c>
      <x:c r="G94" s="1">
        <x:f t="shared" si="55"/>
        <x:v>0.1346320068949563</x:v>
      </x:c>
      <x:c r="H94" s="1">
        <x:f t="shared" si="56"/>
        <x:v>7.5266387247471367E-2</x:v>
      </x:c>
      <x:c r="I94">
        <x:f t="shared" si="57"/>
        <x:v>9.7246083092570462E-3</x:v>
      </x:c>
      <x:c r="K94" s="1">
        <x:v>-4.79153117748222</x:v>
      </x:c>
      <x:c r="L94" s="1">
        <x:v>4975.0881347656205</x:v>
      </x:c>
      <x:c r="M94" s="1">
        <x:v>2969.2538071065901</x:v>
      </x:c>
      <x:c r="N94" s="1">
        <x:f t="shared" si="58"/>
        <x:v>7.18729676622333</x:v>
      </x:c>
      <x:c r="O94" s="1">
        <x:f t="shared" si="59"/>
        <x:v>34.438156537176226</x:v>
      </x:c>
      <x:c r="P94" s="1">
        <x:f t="shared" si="60"/>
        <x:v>0.18958755567079175</x:v>
      </x:c>
      <x:c r="Q94" s="1">
        <x:f t="shared" si="61"/>
        <x:v>0.13405864624339894</x:v>
      </x:c>
      <x:c r="R94" s="1">
        <x:f t="shared" si="62"/>
        <x:v>7.6133191029557776E-2</x:v>
      </x:c>
      <x:c r="S94">
        <x:f t="shared" si="63"/>
        <x:v>9.8366015584355655E-3</x:v>
      </x:c>
    </x:row>
    <x:row r="95">
      <x:c r="A95" s="1">
        <x:v>-5.4976913920122401</x:v>
      </x:c>
      <x:c r="B95" s="1">
        <x:v>4960.8205114293896</x:v>
      </x:c>
      <x:c r="C95" s="1">
        <x:v>2868.0518518518502</x:v>
      </x:c>
      <x:c r="D95" s="1">
        <x:f t="shared" si="52"/>
        <x:v>8.2465370880183606</x:v>
      </x:c>
      <x:c r="E95" s="1">
        <x:f t="shared" si="53"/>
        <x:v>45.336915962708225</x:v>
      </x:c>
      <x:c r="F95" s="1">
        <x:f t="shared" si="54"/>
        <x:v>0.21815397522842697</x:v>
      </x:c>
      <x:c r="G95" s="1">
        <x:f t="shared" si="55"/>
        <x:v>0.15425815522682282</x:v>
      </x:c>
      <x:c r="H95" s="1">
        <x:f t="shared" si="56"/>
        <x:v>7.38162602531416E-2</x:v>
      </x:c>
      <x:c r="I95">
        <x:f t="shared" si="57"/>
        <x:v>9.5372482201887231E-3</x:v>
      </x:c>
      <x:c r="K95" s="1">
        <x:v>-5.48584109642466</x:v>
      </x:c>
      <x:c r="L95" s="1">
        <x:v>4996.5126139322902</x:v>
      </x:c>
      <x:c r="M95" s="1">
        <x:v>2898.73360655737</x:v>
      </x:c>
      <x:c r="N95" s="1">
        <x:f t="shared" si="58"/>
        <x:v>8.2287616446369896</x:v>
      </x:c>
      <x:c r="O95" s="1">
        <x:f t="shared" si="59"/>
        <x:v>45.141678802832573</x:v>
      </x:c>
      <x:c r="P95" s="1">
        <x:f t="shared" si="60"/>
        <x:v>0.21612874079412611</x:v>
      </x:c>
      <x:c r="Q95" s="1">
        <x:f t="shared" si="61"/>
        <x:v>0.15282609822483617</x:v>
      </x:c>
      <x:c r="R95" s="1">
        <x:f t="shared" si="62"/>
        <x:v>7.3588926984908848E-2</x:v>
      </x:c>
      <x:c r="S95">
        <x:f t="shared" si="63"/>
        <x:v>9.5078761848078029E-3</x:v>
      </x:c>
    </x:row>
    <x:row r="96">
      <x:c r="A96" s="1">
        <x:v>-6.1810962712323203</x:v>
      </x:c>
      <x:c r="B96" s="1">
        <x:v>4947.5845424107101</x:v>
      </x:c>
      <x:c r="C96" s="1">
        <x:v>2805.3856812933</x:v>
      </x:c>
      <x:c r="D96" s="1">
        <x:f t="shared" si="52"/>
        <x:v>9.2716444068484805</x:v>
      </x:c>
      <x:c r="E96" s="1">
        <x:f t="shared" si="53"/>
        <x:v>57.308926671363146</x:v>
      </x:c>
      <x:c r="F96" s="1">
        <x:f t="shared" si="54"/>
        <x:v>0.24592833615364346</x:v>
      </x:c>
      <x:c r="G96" s="1">
        <x:f t="shared" si="55"/>
        <x:v>0.17389759418016607</x:v>
      </x:c>
      <x:c r="H96" s="1">
        <x:f t="shared" si="56"/>
        <x:v>7.2496348878283282E-2</x:v>
      </x:c>
      <x:c r="I96">
        <x:f t="shared" si="57"/>
        <x:v>9.3667123197312269E-3</x:v>
      </x:c>
      <x:c r="K96" s="1">
        <x:v>-6.1736299728860597</x:v>
      </x:c>
      <x:c r="L96" s="1">
        <x:v>4992.6084391275999</x:v>
      </x:c>
      <x:c r="M96" s="1">
        <x:v>2833.5</x:v>
      </x:c>
      <x:c r="N96" s="1">
        <x:f t="shared" si="58"/>
        <x:v>9.2604449593290887</x:v>
      </x:c>
      <x:c r="O96" s="1">
        <x:f t="shared" si="59"/>
        <x:v>57.170560563175691</x:v>
      </x:c>
      <x:c r="P96" s="1">
        <x:f t="shared" si="60"/>
        <x:v>0.2434161431930677</x:v>
      </x:c>
      <x:c r="Q96" s="1">
        <x:f t="shared" si="61"/>
        <x:v>0.17212120550209384</x:v>
      </x:c>
      <x:c r="R96" s="1">
        <x:f t="shared" si="62"/>
        <x:v>7.1950453715535823E-2</x:v>
      </x:c>
      <x:c r="S96">
        <x:f t="shared" si="63"/>
        <x:v>9.2961812788539388E-3</x:v>
      </x:c>
    </x:row>
    <x:row r="97">
      <x:c r="A97" s="1">
        <x:v>-6.7947738600206797</x:v>
      </x:c>
      <x:c r="B97" s="1">
        <x:v>5003.0867808948797</x:v>
      </x:c>
      <x:c r="C97" s="1">
        <x:v>2743.2601809954699</x:v>
      </x:c>
      <x:c r="D97" s="1">
        <x:f t="shared" si="52"/>
        <x:v>10.19216079003102</x:v>
      </x:c>
      <x:c r="E97" s="1">
        <x:f t="shared" si="53"/>
        <x:v>69.253427713230479</x:v>
      </x:c>
      <x:c r="F97" s="1">
        <x:f t="shared" si="54"/>
        <x:v>0.26734573434955444</x:v>
      </x:c>
      <x:c r="G97" s="1">
        <x:f t="shared" si="55"/>
        <x:v>0.18904198167986719</x:v>
      </x:c>
      <x:c r="H97" s="1">
        <x:f t="shared" si="56"/>
        <x:v>6.9233710236657919E-2</x:v>
      </x:c>
      <x:c r="I97">
        <x:f t="shared" si="57"/>
        <x:v>8.9451711244545925E-3</x:v>
      </x:c>
      <x:c r="K97" s="1">
        <x:v>-6.7903466705690301</x:v>
      </x:c>
      <x:c r="L97" s="1">
        <x:v>4985.5967433763499</x:v>
      </x:c>
      <x:c r="M97" s="1">
        <x:v>2779.5951859956199</x:v>
      </x:c>
      <x:c r="N97" s="1">
        <x:f t="shared" si="58"/>
        <x:v>10.185520005853546</x:v>
      </x:c>
      <x:c r="O97" s="1">
        <x:f t="shared" si="59"/>
        <x:v>69.163211859761873</x:v>
      </x:c>
      <x:c r="P97" s="1">
        <x:f t="shared" si="60"/>
        <x:v>0.26810881109512186</x:v>
      </x:c>
      <x:c r="Q97" s="1">
        <x:f t="shared" si="61"/>
        <x:v>0.18958155842122373</x:v>
      </x:c>
      <x:c r="R97" s="1">
        <x:f t="shared" si="62"/>
        <x:v>7.0699828726216329E-2</x:v>
      </x:c>
      <x:c r="S97">
        <x:f t="shared" si="63"/>
        <x:v>9.1345973553036645E-3</x:v>
      </x:c>
    </x:row>
    <x:row r="98">
      <x:c r="A98" s="1">
        <x:v>-6.1747246756589496</x:v>
      </x:c>
      <x:c r="B98" s="1">
        <x:v>4959.4439415564902</x:v>
      </x:c>
      <x:c r="C98" s="1">
        <x:v>2802.1090225563898</x:v>
      </x:c>
      <x:c r="D98" s="1">
        <x:f t="shared" si="52"/>
        <x:v>9.2620870134884239</x:v>
      </x:c>
      <x:c r="E98" s="1">
        <x:f t="shared" si="53"/>
        <x:v>57.190837230287286</x:v>
      </x:c>
      <x:c r="F98" s="1">
        <x:f t="shared" si="54"/>
        <x:v>0.24508735207438498</x:v>
      </x:c>
      <x:c r="G98" s="1">
        <x:f t="shared" si="55"/>
        <x:v>0.17330292863485247</x:v>
      </x:c>
      <x:c r="H98" s="1">
        <x:f t="shared" si="56"/>
        <x:v>7.2060780733729957E-2</x:v>
      </x:c>
      <x:c r="I98">
        <x:f t="shared" si="57"/>
        <x:v>9.3104358096890473E-3</x:v>
      </x:c>
      <x:c r="K98" s="1">
        <x:v>-6.1854673611577704</x:v>
      </x:c>
      <x:c r="L98" s="1">
        <x:v>5035.8010169719801</x:v>
      </x:c>
      <x:c r="M98" s="1">
        <x:v>2844.85763888888</x:v>
      </x:c>
      <x:c r="N98" s="1">
        <x:f t="shared" si="58"/>
        <x:v>9.2782010417366561</x:v>
      </x:c>
      <x:c r="O98" s="1">
        <x:f t="shared" si="59"/>
        <x:v>57.390009713922112</x:v>
      </x:c>
      <x:c r="P98" s="1">
        <x:f t="shared" si="60"/>
        <x:v>0.24179106385728996</x:v>
      </x:c>
      <x:c r="Q98" s="1">
        <x:f t="shared" si="61"/>
        <x:v>0.17097210088379924</x:v>
      </x:c>
      <x:c r="R98" s="1">
        <x:f t="shared" si="62"/>
        <x:v>7.1021595235144869E-2</x:v>
      </x:c>
      <x:c r="S98">
        <x:f t="shared" si="63"/>
        <x:v>9.1761704051177718E-3</x:v>
      </x:c>
    </x:row>
    <x:row r="99">
      <x:c r="A99" s="1">
        <x:v>-5.5124321169887001</x:v>
      </x:c>
      <x:c r="B99" s="1">
        <x:v>4964.6202915736603</x:v>
      </x:c>
      <x:c r="C99" s="1">
        <x:v>2864.4964539007001</x:v>
      </x:c>
      <x:c r="D99" s="1">
        <x:f t="shared" si="52"/>
        <x:v>8.268648175483051</x:v>
      </x:c>
      <x:c r="E99" s="1">
        <x:f t="shared" si="53"/>
        <x:v>45.580361766612782</x:v>
      </x:c>
      <x:c r="F99" s="1">
        <x:f t="shared" si="54"/>
        <x:v>0.21857148558165632</x:v>
      </x:c>
      <x:c r="G99" s="1">
        <x:f t="shared" si="55"/>
        <x:v>0.15455337962880686</x:v>
      </x:c>
      <x:c r="H99" s="1">
        <x:f t="shared" si="56"/>
        <x:v>7.3606652850293872E-2</x:v>
      </x:c>
      <x:c r="I99">
        <x:f t="shared" si="57"/>
        <x:v>9.5101664116157558E-3</x:v>
      </x:c>
      <x:c r="K99" s="1">
        <x:v>-5.5070504594732199</x:v>
      </x:c>
      <x:c r="L99" s="1">
        <x:v>5011.0523003472199</x:v>
      </x:c>
      <x:c r="M99" s="1">
        <x:v>2904.2643253234701</x:v>
      </x:c>
      <x:c r="N99" s="1">
        <x:f t="shared" si="58"/>
        <x:v>8.2605756892098299</x:v>
      </x:c>
      <x:c r="O99" s="1">
        <x:f t="shared" si="59"/>
        <x:v>45.491407144776304</x:v>
      </x:c>
      <x:c r="P99" s="1">
        <x:f t="shared" si="60"/>
        <x:v>0.21633481075467717</x:v>
      </x:c>
      <x:c r="Q99" s="1">
        <x:f t="shared" si="61"/>
        <x:v>0.15297181169134066</x:v>
      </x:c>
      <x:c r="R99" s="1">
        <x:f t="shared" si="62"/>
        <x:v>7.3310090868008618E-2</x:v>
      </x:c>
      <x:c r="S99">
        <x:f t="shared" si="63"/>
        <x:v>9.4718498506300586E-3</x:v>
      </x:c>
    </x:row>
    <x:row r="100">
      <x:c r="A100" s="1">
        <x:v>-4.8302226324339097</x:v>
      </x:c>
      <x:c r="B100" s="1">
        <x:v>4954.0873579545396</x:v>
      </x:c>
      <x:c r="C100" s="1">
        <x:v>2926.5650224215201</x:v>
      </x:c>
      <x:c r="D100" s="1">
        <x:f t="shared" si="52"/>
        <x:v>7.245333948650865</x:v>
      </x:c>
      <x:c r="E100" s="1">
        <x:f t="shared" si="53"/>
        <x:v>34.996576018315153</x:v>
      </x:c>
      <x:c r="F100" s="1">
        <x:f t="shared" si="54"/>
        <x:v>0.19192863551959069</x:v>
      </x:c>
      <x:c r="G100" s="1">
        <x:f t="shared" si="55"/>
        <x:v>0.13571403967978382</x:v>
      </x:c>
      <x:c r="H100" s="1">
        <x:f t="shared" si="56"/>
        <x:v>7.5614553227284484E-2</x:v>
      </x:c>
      <x:c r="I100">
        <x:f t="shared" si="57"/>
        <x:v>9.7695922377291147E-3</x:v>
      </x:c>
      <x:c r="K100" s="1">
        <x:v>-4.8318331508313097</x:v>
      </x:c>
      <x:c r="L100" s="1">
        <x:v>4986.7168137122799</x:v>
      </x:c>
      <x:c r="M100" s="1">
        <x:v>2964.0321489001599</x:v>
      </x:c>
      <x:c r="N100" s="1">
        <x:f t="shared" si="58"/>
        <x:v>7.2477497262469646</x:v>
      </x:c>
      <x:c r="O100" s="1">
        <x:f t="shared" si="59"/>
        <x:v>35.019917396208633</x:v>
      </x:c>
      <x:c r="P100" s="1">
        <x:f t="shared" si="60"/>
        <x:v>0.19073636895165752</x:v>
      </x:c>
      <x:c r="Q100" s="1">
        <x:f t="shared" si="61"/>
        <x:v>0.13487097990461627</x:v>
      </x:c>
      <x:c r="R100" s="1">
        <x:f t="shared" si="62"/>
        <x:v>7.5637829845614513E-2</x:v>
      </x:c>
      <x:c r="S100">
        <x:f t="shared" si="63"/>
        <x:v>9.7725996359091204E-3</x:v>
      </x:c>
    </x:row>
    <x:row r="101">
      <x:c r="A101" s="1">
        <x:v>-4.1586253014770698</x:v>
      </x:c>
      <x:c r="B101" s="1">
        <x:v>4956.6632374730598</x:v>
      </x:c>
      <x:c r="C101" s="1">
        <x:v>2983.2567567567498</x:v>
      </x:c>
      <x:c r="D101" s="1">
        <x:f t="shared" si="52"/>
        <x:v>6.2379379522156047</x:v>
      </x:c>
      <x:c r="E101" s="1">
        <x:f t="shared" si="53"/>
        <x:v>25.941246597127876</x:v>
      </x:c>
      <x:c r="F101" s="1">
        <x:f t="shared" si="54"/>
        <x:v>0.16515687845421562</x:v>
      </x:c>
      <x:c r="G101" s="1">
        <x:f t="shared" si="55"/>
        <x:v>0.11678354871457824</x:v>
      </x:c>
      <x:c r="H101" s="1">
        <x:f t="shared" si="56"/>
        <x:v>7.708215401063731E-2</x:v>
      </x:c>
      <x:c r="I101">
        <x:f t="shared" si="57"/>
        <x:v>9.959209984699487E-3</x:v>
      </x:c>
      <x:c r="K101" s="1">
        <x:v>-4.1550130844116202</x:v>
      </x:c>
      <x:c r="L101" s="1">
        <x:v>4970.6418980189701</x:v>
      </x:c>
      <x:c r="M101" s="1">
        <x:v>3022.28623853211</x:v>
      </x:c>
      <x:c r="N101" s="1">
        <x:f t="shared" si="58"/>
        <x:v>6.2325196266174299</x:v>
      </x:c>
      <x:c r="O101" s="1">
        <x:f t="shared" si="59"/>
        <x:v>25.896200597447649</x:v>
      </x:c>
      <x:c r="P101" s="1">
        <x:f t="shared" si="60"/>
        <x:v>0.16454936369975223</x:v>
      </x:c>
      <x:c r="Q101" s="1">
        <x:f t="shared" si="61"/>
        <x:v>0.11635397091202633</x:v>
      </x:c>
      <x:c r="R101" s="1">
        <x:f t="shared" si="62"/>
        <x:v>7.7707700330535881E-2</x:v>
      </x:c>
      <x:c r="S101">
        <x:f t="shared" si="63"/>
        <x:v>1.0040032157289087E-2</x:v>
      </x:c>
    </x:row>
    <x:row r="102">
      <x:c r="A102" s="1">
        <x:v>-3.4720852892862699</x:v>
      </x:c>
      <x:c r="B102" s="1">
        <x:v>4924.6944469105101</x:v>
      </x:c>
      <x:c r="C102" s="1">
        <x:v>3040.8144796380002</x:v>
      </x:c>
      <x:c r="D102" s="1">
        <x:f t="shared" si="52"/>
        <x:v>5.2081279339294051</x:v>
      </x:c>
      <x:c r="E102" s="1">
        <x:f t="shared" si="53"/>
        <x:v>18.083064384117183</x:v>
      </x:c>
      <x:c r="F102" s="1">
        <x:f t="shared" si="54"/>
        <x:v>0.13878655082600996</x:v>
      </x:c>
      <x:c r="G102" s="1">
        <x:f t="shared" si="55"/>
        <x:v>9.8136911226563081E-2</x:v>
      </x:c>
      <x:c r="H102" s="1">
        <x:f t="shared" si="56"/>
        <x:v>7.9676400442858619E-2</x:v>
      </x:c>
      <x:c r="I102">
        <x:f t="shared" si="57"/>
        <x:v>1.0294393209690632E-2</x:v>
      </x:c>
      <x:c r="K102" s="1">
        <x:v>-3.4730642566680898</x:v>
      </x:c>
      <x:c r="L102" s="1">
        <x:v>4979.5959375000002</x:v>
      </x:c>
      <x:c r="M102" s="1">
        <x:v>3080.93</x:v>
      </x:c>
      <x:c r="N102" s="1">
        <x:f t="shared" si="58"/>
        <x:v>5.2095963850021345</x:v>
      </x:c>
      <x:c r="O102" s="1">
        <x:f t="shared" si="59"/>
        <x:v>18.093262996418208</x:v>
      </x:c>
      <x:c r="P102" s="1">
        <x:f t="shared" si="60"/>
        <x:v>0.13729508876908669</x:v>
      </x:c>
      <x:c r="Q102" s="1">
        <x:f t="shared" si="61"/>
        <x:v>9.7082288292230187E-2</x:v>
      </x:c>
      <x:c r="R102" s="1">
        <x:f t="shared" si="62"/>
        <x:v>7.9013203696128853E-2</x:v>
      </x:c>
      <x:c r="S102">
        <x:f t="shared" si="63"/>
        <x:v>1.0208706506372249E-2</x:v>
      </x:c>
    </x:row>
    <x:row r="103">
      <x:c r="A103" s="1">
        <x:v>-2.78831591731623</x:v>
      </x:c>
      <x:c r="B103" s="1">
        <x:v>4928.7999378551103</x:v>
      </x:c>
      <x:c r="C103" s="1">
        <x:v>3109.8227571115899</x:v>
      </x:c>
      <x:c r="D103" s="1">
        <x:f t="shared" si="52"/>
        <x:v>4.1824738759743454</x:v>
      </x:c>
      <x:c r="E103" s="1">
        <x:f t="shared" si="53"/>
        <x:v>11.662058482138573</x:v>
      </x:c>
      <x:c r="F103" s="1">
        <x:f t="shared" si="54"/>
        <x:v>0.11136201367603719</x:v>
      </x:c>
      <x:c r="G103" s="1">
        <x:f t="shared" si="55"/>
        <x:v>7.8744835036914942E-2</x:v>
      </x:c>
      <x:c r="H103" s="1">
        <x:f t="shared" si="56"/>
        <x:v>8.1447144885141903E-2</x:v>
      </x:c>
      <x:c r="I103">
        <x:f t="shared" si="57"/>
        <x:v>1.0523177886978E-2</x:v>
      </x:c>
      <x:c r="K103" s="1">
        <x:v>-2.7892313483807598</x:v>
      </x:c>
      <x:c r="L103" s="1">
        <x:v>4938.5317557198596</x:v>
      </x:c>
      <x:c r="M103" s="1">
        <x:v>3150.6415770609301</x:v>
      </x:c>
      <x:c r="N103" s="1">
        <x:f t="shared" si="58"/>
        <x:v>4.1838470225711397</x:v>
      </x:c>
      <x:c r="O103" s="1">
        <x:f t="shared" si="59"/>
        <x:v>11.669717272184927</x:v>
      </x:c>
      <x:c r="P103" s="1">
        <x:f t="shared" si="60"/>
        <x:v>0.1111790540610379</x:v>
      </x:c>
      <x:c r="Q103" s="1">
        <x:f t="shared" si="61"/>
        <x:v>7.8615463052465653E-2</x:v>
      </x:c>
      <x:c r="R103" s="1">
        <x:f t="shared" si="62"/>
        <x:v>8.2247917216325891E-2</x:v>
      </x:c>
      <x:c r="S103">
        <x:f t="shared" si="63"/>
        <x:v>1.0626639705067541E-2</x:v>
      </x:c>
    </x:row>
    <x:row r="104">
      <x:c r="A104" s="1">
        <x:v>-2.09942090610663</x:v>
      </x:c>
      <x:c r="B104" s="1">
        <x:v>4925.1085611979097</x:v>
      </x:c>
      <x:c r="C104" s="1">
        <x:v>3164.72233820459</x:v>
      </x:c>
      <x:c r="D104" s="1">
        <x:f t="shared" si="52"/>
        <x:v>3.149131359159945</x:v>
      </x:c>
      <x:c r="E104" s="1">
        <x:f t="shared" si="53"/>
        <x:v>6.6113522114963761</x:v>
      </x:c>
      <x:c r="F104" s="1">
        <x:f t="shared" si="54"/>
        <x:v>8.3911212671875776E-2</x:v>
      </x:c>
      <x:c r="G104" s="1">
        <x:f t="shared" si="55"/>
        <x:v>5.9334187497869915E-2</x:v>
      </x:c>
      <x:c r="H104" s="1">
        <x:f t="shared" si="56"/>
        <x:v>8.3085820822392714E-2</x:v>
      </x:c>
      <x:c r="I104">
        <x:f t="shared" si="57"/>
        <x:v>1.0734898978136179E-2</x:v>
      </x:c>
      <x:c r="K104" s="1">
        <x:v>-2.1001779457938299</x:v>
      </x:c>
      <x:c r="L104" s="1">
        <x:v>4962.0275691105699</x:v>
      </x:c>
      <x:c r="M104" s="1">
        <x:v>3205.8252427184402</x:v>
      </x:c>
      <x:c r="N104" s="1">
        <x:f t="shared" si="58"/>
        <x:v>3.150266918690745</x:v>
      </x:c>
      <x:c r="O104" s="1">
        <x:f t="shared" si="59"/>
        <x:v>6.6161211059981859</x:v>
      </x:c>
      <x:c r="P104" s="1">
        <x:f t="shared" si="60"/>
        <x:v>8.3316920293800584E-2</x:v>
      </x:c>
      <x:c r="Q104" s="1">
        <x:f t="shared" si="61"/>
        <x:v>5.8913959327325453E-2</x:v>
      </x:c>
      <x:c r="R104" s="1">
        <x:f t="shared" si="62"/>
        <x:v>8.2972641972752198E-2</x:v>
      </x:c>
      <x:c r="S104">
        <x:f t="shared" si="63"/>
        <x:v>1.0720275983438327E-2</x:v>
      </x:c>
    </x:row>
    <x:row r="105">
      <x:c r="A105" s="1">
        <x:v>-1.4156797583972101</x:v>
      </x:c>
      <x:c r="B105" s="1">
        <x:v>4955.7745303199399</x:v>
      </x:c>
      <x:c r="C105" s="1">
        <x:v>3221.9813084112102</x:v>
      </x:c>
      <x:c r="D105" s="1">
        <x:f t="shared" si="52"/>
        <x:v>2.1235196375958152</x:v>
      </x:c>
      <x:c r="E105" s="1">
        <x:f t="shared" si="53"/>
        <x:v>3.0062237675033749</x:v>
      </x:c>
      <x:c r="F105" s="1">
        <x:f t="shared" si="54"/>
        <x:v>5.6232808028240808E-2</x:v>
      </x:c>
      <x:c r="G105" s="1">
        <x:f t="shared" si="55"/>
        <x:v>3.9762599881930399E-2</x:v>
      </x:c>
      <x:c r="H105" s="1">
        <x:f t="shared" si="56"/>
        <x:v>8.3622945957863418E-2</x:v>
      </x:c>
      <x:c r="I105">
        <x:f t="shared" si="57"/>
        <x:v>1.0804296909225063E-2</x:v>
      </x:c>
      <x:c r="K105" s="1">
        <x:v>-1.41628109161823</x:v>
      </x:c>
      <x:c r="L105" s="1">
        <x:v>4950.32322095788</x:v>
      </x:c>
      <x:c r="M105" s="1">
        <x:v>3262.0503144653999</x:v>
      </x:c>
      <x:c r="N105" s="1">
        <x:f t="shared" si="58"/>
        <x:v>2.124421637427345</x:v>
      </x:c>
      <x:c r="O105" s="1">
        <x:f t="shared" si="59"/>
        <x:v>3.0087781957129875</x:v>
      </x:c>
      <x:c r="P105" s="1">
        <x:f t="shared" si="60"/>
        <x:v>5.6318643860608968E-2</x:v>
      </x:c>
      <x:c r="Q105" s="1">
        <x:f t="shared" si="61"/>
        <x:v>3.9823294981066723E-2</x:v>
      </x:c>
      <x:c r="R105" s="1">
        <x:f t="shared" si="62"/>
        <x:v>8.4902834321532922E-2</x:v>
      </x:c>
      <x:c r="S105">
        <x:f t="shared" si="63"/>
        <x:v>1.0969661735031552E-2</x:v>
      </x:c>
    </x:row>
    <x:row r="106">
      <x:c r="A106" s="1">
        <x:v>-0.72784155680134299</x:v>
      </x:c>
      <x:c r="B106" s="1">
        <x:v>4935.0676491477197</x:v>
      </x:c>
      <x:c r="C106" s="1">
        <x:v>3274.0702290076301</x:v>
      </x:c>
      <x:c r="D106" s="1">
        <x:f t="shared" si="52"/>
        <x:v>1.0917623352020145</x:v>
      </x:c>
      <x:c r="E106" s="1">
        <x:f t="shared" si="53"/>
        <x:v>0.7946299977105038</x:v>
      </x:c>
      <x:c r="F106" s="1">
        <x:f t="shared" si="54"/>
        <x:v>2.9032205269340527E-2</x:v>
      </x:c>
      <x:c r="G106" s="1">
        <x:f t="shared" si="55"/>
        <x:v>2.0528869218750502E-2</x:v>
      </x:c>
      <x:c r="H106" s="1">
        <x:f t="shared" si="56"/>
        <x:v>8.5759257105967823E-2</x:v>
      </x:c>
      <x:c r="I106">
        <x:f t="shared" si="57"/>
        <x:v>1.1080313732959519E-2</x:v>
      </x:c>
      <x:c r="K106" s="1">
        <x:v>-0.72890625787993601</x:v>
      </x:c>
      <x:c r="L106" s="1">
        <x:v>4999.3323893229099</x:v>
      </x:c>
      <x:c r="M106" s="1">
        <x:v>3313.68644067796</x:v>
      </x:c>
      <x:c r="N106" s="1">
        <x:f t="shared" si="58"/>
        <x:v>1.0933593868199041</x:v>
      </x:c>
      <x:c r="O106" s="1">
        <x:f t="shared" si="59"/>
        <x:v>0.79695649916479772</x:v>
      </x:c>
      <x:c r="P106" s="1">
        <x:f t="shared" si="60"/>
        <x:v>2.8700928976252007E-2</x:v>
      </x:c>
      <x:c r="Q106" s="1">
        <x:f t="shared" si="61"/>
        <x:v>2.0294621505461269E-2</x:v>
      </x:c>
      <x:c r="R106" s="1">
        <x:f t="shared" si="62"/>
        <x:v>8.4630715601864873E-2</x:v>
      </x:c>
      <x:c r="S106">
        <x:f t="shared" si="63"/>
        <x:v>1.0934503305629492E-2</x:v>
      </x:c>
    </x:row>
    <x:row r="107">
      <x:c r="A107" s="1">
        <x:v>-0.15561897034446301</x:v>
      </x:c>
      <x:c r="B107" s="1">
        <x:v>0</x:v>
      </x:c>
      <x:c r="C107" s="1">
        <x:v>157.5</x:v>
      </x:c>
      <x:c r="D107" s="1">
        <x:f t="shared" si="52"/>
        <x:v>0.2334284555166945</x:v>
      </x:c>
      <x:c r="E107" s="1">
        <x:f t="shared" si="53"/>
        <x:v>3.6325895896606286E-2</x:v>
      </x:c>
      <x:c r="F107" s="1" t="e">
        <x:f t="shared" si="54"/>
        <x:v>#DIV/0!</x:v>
      </x:c>
      <x:c r="G107" s="1" t="e">
        <x:f t="shared" si="55"/>
        <x:v>#DIV/0!</x:v>
      </x:c>
      <x:c r="H107" s="1" t="e">
        <x:f t="shared" si="56"/>
        <x:v>#DIV/0!</x:v>
      </x:c>
      <x:c r="I107" t="e">
        <x:f t="shared" si="57"/>
        <x:v>#DIV/0!</x:v>
      </x:c>
      <x:c r="K107" s="1">
        <x:v>-6.5995716296772394E-2</x:v>
      </x:c>
      <x:c r="L107" s="1">
        <x:v>0</x:v>
      </x:c>
      <x:c r="M107" s="1">
        <x:v>156.63190184049</x:v>
      </x:c>
      <x:c r="N107" s="1">
        <x:f t="shared" si="58"/>
        <x:v>9.8993574445158591E-2</x:v>
      </x:c>
      <x:c r="O107" s="1">
        <x:f t="shared" si="59"/>
        <x:v>6.5331518542861046E-3</x:v>
      </x:c>
      <x:c r="P107" s="1" t="e">
        <x:f t="shared" si="60"/>
        <x:v>#DIV/0!</x:v>
      </x:c>
      <x:c r="Q107" s="1" t="e">
        <x:f t="shared" si="61"/>
        <x:v>#DIV/0!</x:v>
      </x:c>
      <x:c r="R107" s="1" t="e">
        <x:f t="shared" si="62"/>
        <x:v>#DIV/0!</x:v>
      </x:c>
      <x:c r="S107" t="e">
        <x:f t="shared" si="63"/>
        <x:v>#DIV/0!</x:v>
      </x:c>
    </x:row>
    <x:row r="108">
      <x:c r="D108" s="1"/>
      <x:c r="E108" s="1"/>
      <x:c r="F108" s="1"/>
      <x:c r="G108" s="1"/>
      <x:c r="H108" s="1"/>
    </x:row>
    <x:row r="111">
      <x:c r="A111" s="3" t="s">
        <x:v>70</x:v>
      </x:c>
      <x:c r="B111" s="3"/>
      <x:c r="C111" s="3"/>
      <x:c r="K111" s="3" t="s">
        <x:v>71</x:v>
      </x:c>
      <x:c r="L111" s="3"/>
      <x:c r="M111" s="3"/>
    </x:row>
    <x:row r="112">
      <x:c r="A112" s="1" t="s">
        <x:v>3</x:v>
      </x:c>
      <x:c r="B112" s="1" t="s">
        <x:v>4</x:v>
      </x:c>
      <x:c r="C112" s="1" t="s">
        <x:v>5</x:v>
      </x:c>
      <x:c r="D112" s="1" t="s">
        <x:v>40</x:v>
      </x:c>
      <x:c r="E112" s="1" t="s">
        <x:v>6</x:v>
      </x:c>
      <x:c r="F112" s="1" t="s">
        <x:v>7</x:v>
      </x:c>
      <x:c r="G112" s="1" t="s">
        <x:v>8</x:v>
      </x:c>
      <x:c r="H112" s="1" t="s">
        <x:v>9</x:v>
      </x:c>
      <x:c r="I112" s="1" t="s">
        <x:v>10</x:v>
      </x:c>
      <x:c r="J112" s="1" t="s">
        <x:v>11</x:v>
      </x:c>
      <x:c r="L112" s="1" t="s">
        <x:v>3</x:v>
      </x:c>
      <x:c r="M112" s="1" t="s">
        <x:v>4</x:v>
      </x:c>
      <x:c r="N112" s="1" t="s">
        <x:v>5</x:v>
      </x:c>
      <x:c r="O112" s="1" t="s">
        <x:v>40</x:v>
      </x:c>
      <x:c r="P112" s="1" t="s">
        <x:v>6</x:v>
      </x:c>
      <x:c r="Q112" s="1" t="s">
        <x:v>7</x:v>
      </x:c>
      <x:c r="R112" s="1" t="s">
        <x:v>8</x:v>
      </x:c>
      <x:c r="S112" s="1" t="s">
        <x:v>9</x:v>
      </x:c>
      <x:c r="T112" s="1" t="s">
        <x:v>10</x:v>
      </x:c>
      <x:c r="U112" s="1" t="s">
        <x:v>11</x:v>
      </x:c>
    </x:row>
    <x:row r="113">
      <x:c r="A113" s="1">
        <x:v>-2.5436387200665399E-2</x:v>
      </x:c>
      <x:c r="B113" s="1">
        <x:v>0</x:v>
      </x:c>
      <x:c r="C113" s="1">
        <x:v>59.618609994256097</x:v>
      </x:c>
      <x:c r="D113" t="n">
        <x:f>C113*(-1.0512)-3.6614</x:f>
        <x:v>-66.332482825962</x:v>
      </x:c>
      <x:c r="E113" s="1" t="n">
        <x:f>-A113*1.5</x:f>
        <x:v>0.038154580800998095</x:v>
      </x:c>
      <x:c r="F113" s="1" t="n">
        <x:f>A113*A113*1.5</x:f>
        <x:v>0.0009705146907332617</x:v>
      </x:c>
      <x:c r="G113" s="1" t="e">
        <x:f>E113/(B113/60)/0.4572</x:f>
        <x:v>#DIV/0!</x:v>
      </x:c>
      <x:c r="H113" s="1" t="e">
        <x:f>E113*SIN(RADIANS(60))/(B113/60)/0.4572</x:f>
        <x:v>#DIV/0!</x:v>
      </x:c>
      <x:c r="I113" s="1" t="e">
        <x:f>(D113-$D$113)*9.8/1.205/(B113/60)^2/0.4572^4/1000</x:f>
        <x:v>#DIV/0!</x:v>
      </x:c>
      <x:c r="J113" t="e">
        <x:f>I113*4/(3.14^3)</x:f>
        <x:v>#DIV/0!</x:v>
      </x:c>
      <x:c r="L113" s="1" t="n">
        <x:f>-34.25/500</x:f>
        <x:v>-0.0685</x:v>
      </x:c>
      <x:c r="M113" s="1">
        <x:v>0</x:v>
      </x:c>
      <x:c r="N113" s="1">
        <x:v>51.95</x:v>
      </x:c>
      <x:c r="O113" t="n">
        <x:f>N113*(-1.0512)-3.6614</x:f>
        <x:v>-58.27124</x:v>
      </x:c>
      <x:c r="P113" s="1" t="n">
        <x:f>-L113*1.5</x:f>
        <x:v>0.10275000000000001</x:v>
      </x:c>
      <x:c r="Q113" s="1" t="n">
        <x:f>L113*L113*1.5</x:f>
        <x:v>0.007038375000000001</x:v>
      </x:c>
      <x:c r="R113" s="1" t="e">
        <x:f>P113/(M113/60)/0.4572</x:f>
        <x:v>#DIV/0!</x:v>
      </x:c>
      <x:c r="S113" s="1" t="e">
        <x:f>P113*SIN(RADIANS(60))/(M113/60)/0.4572</x:f>
        <x:v>#DIV/0!</x:v>
      </x:c>
      <x:c r="T113" s="1" t="e">
        <x:f>(O113-$O$113)*9.8/1.205/(M113/60)^2/0.4572^4/1000</x:f>
        <x:v>#DIV/0!</x:v>
      </x:c>
      <x:c r="U113" t="e">
        <x:f>T113*4/(3.14^3)</x:f>
        <x:v>#DIV/0!</x:v>
      </x:c>
    </x:row>
    <x:row r="114">
      <x:c r="A114" s="1" t="n">
        <x:f>-82.736/500</x:f>
        <x:v>-0.165472</x:v>
      </x:c>
      <x:c r="B114" s="1">
        <x:v>5032.3</x:v>
      </x:c>
      <x:c r="C114" s="1">
        <x:v>-2914.386</x:v>
      </x:c>
      <x:c r="D114" t="n">
        <x:f t="shared" ref="D114:D135" si="64">C114*(-1.0512)-3.6614</x:f>
        <x:v>3059.9411631999997</x:v>
      </x:c>
      <x:c r="E114" s="1" t="n">
        <x:f t="shared" ref="E114:E135" si="65">-A114*1.5</x:f>
        <x:v>0.248208</x:v>
      </x:c>
      <x:c r="F114" s="1" t="n">
        <x:f t="shared" ref="F114:F135" si="66">A114*A114*1.5</x:f>
        <x:v>0.041071474176</x:v>
      </x:c>
      <x:c r="G114" s="1" t="n">
        <x:f t="shared" ref="G114:G135" si="67">E114/(B114/60)/0.4572</x:f>
        <x:v>0.0064728311798693825</x:v>
      </x:c>
      <x:c r="H114" s="1" t="n">
        <x:f t="shared" ref="H114:H135" si="68">E114*SIN(RADIANS(60))/(B114/60)/0.4572</x:f>
        <x:v>0.005605636236174887</x:v>
      </x:c>
      <x:c r="I114" s="1" t="n">
        <x:f t="shared" ref="I114:I135" si="69">(D114-$D$113)*9.8/1.205/(B114/60)^2/0.4572^4/1000</x:f>
        <x:v>0.08272001128629179</x:v>
      </x:c>
      <x:c r="J114" t="n">
        <x:f t="shared" ref="J114:J135" si="70">I114*4/(3.14^3)</x:f>
        <x:v>0.010687635457400474</x:v>
      </x:c>
      <x:c r="L114" s="1" t="n">
        <x:f>-104.9988/500</x:f>
        <x:v>-0.2099976</x:v>
      </x:c>
      <x:c r="M114" s="1">
        <x:v>5071.37</x:v>
      </x:c>
      <x:c r="N114" s="1">
        <x:v>-2975.33</x:v>
      </x:c>
      <x:c r="O114" t="n">
        <x:f t="shared" ref="O114:O135" si="71">N114*(-1.0512)-3.6614</x:f>
        <x:v>3124.0054959999998</x:v>
      </x:c>
      <x:c r="P114" s="1" t="n">
        <x:f t="shared" ref="P114:P135" si="72">-L114*1.5</x:f>
        <x:v>0.3149964</x:v>
      </x:c>
      <x:c r="Q114" s="1" t="n">
        <x:f t="shared" ref="Q114:Q135" si="73">L114*L114*1.5</x:f>
        <x:v>0.06614848800864</x:v>
      </x:c>
      <x:c r="R114" s="1" t="n">
        <x:f t="shared" ref="R114:R135" si="74">P114/(M114/60)/0.4572</x:f>
        <x:v>0.008151270807734493</x:v>
      </x:c>
      <x:c r="S114" s="1" t="n">
        <x:f t="shared" ref="S114:S135" si="75">P114*SIN(RADIANS(60))/(M114/60)/0.4572</x:f>
        <x:v>0.007059207592624571</x:v>
      </x:c>
      <x:c r="T114" s="1" t="n">
        <x:f t="shared" ref="T114:T135" si="76">(O114-$O$113)*9.8/1.205/(M114/60)^2/0.4572^4/1000</x:f>
        <x:v>0.08290944197797566</x:v>
      </x:c>
      <x:c r="U114" t="n">
        <x:f t="shared" ref="U114:U135" si="77">T114*4/(3.14^3)</x:f>
        <x:v>0.010712110383668962</x:v>
      </x:c>
    </x:row>
    <x:row r="115">
      <x:c r="A115" s="1">
        <x:v>-0.724067471985124</x:v>
      </x:c>
      <x:c r="B115" s="1">
        <x:v>4948.4720458984302</x:v>
      </x:c>
      <x:c r="C115" s="1">
        <x:v>-2815.9465811965802</x:v>
      </x:c>
      <x:c r="D115">
        <x:f t="shared" si="64"/>
        <x:v>2956.4616461538449</x:v>
      </x:c>
      <x:c r="E115" s="1">
        <x:f t="shared" si="65"/>
        <x:v>1.0861012079776859</x:v>
      </x:c>
      <x:c r="F115" s="1">
        <x:f t="shared" si="66"/>
        <x:v>0.78641055598039245</x:v>
      </x:c>
      <x:c r="G115" s="1">
        <x:f t="shared" si="67"/>
        <x:v>2.8803429746429462E-2</x:v>
      </x:c>
      <x:c r="H115" s="1">
        <x:f t="shared" si="68"/>
        <x:v>2.4944501876528285E-2</x:v>
      </x:c>
      <x:c r="I115" s="1">
        <x:f t="shared" si="69"/>
        <x:v>8.2714751659555177E-2</x:v>
      </x:c>
      <x:c r="J115">
        <x:f t="shared" si="70"/>
        <x:v>1.0686955900273621E-2</x:v>
      </x:c>
      <x:c r="L115" s="1">
        <x:v>-0.69577331187432201</x:v>
      </x:c>
      <x:c r="M115" s="1">
        <x:v>5033.4248471467299</x:v>
      </x:c>
      <x:c r="N115" s="1">
        <x:v>-2903.9934065933999</x:v>
      </x:c>
      <x:c r="O115">
        <x:f t="shared" si="71"/>
        <x:v>3049.0164690109818</x:v>
      </x:c>
      <x:c r="P115" s="1">
        <x:f t="shared" si="72"/>
        <x:v>1.0436599678114831</x:v>
      </x:c>
      <x:c r="Q115" s="1">
        <x:f t="shared" si="73"/>
        <x:v>0.72615075227484382</x:v>
      </x:c>
      <x:c r="R115" s="1">
        <x:f t="shared" si="74"/>
        <x:v>2.7210747061536172E-2</x:v>
      </x:c>
      <x:c r="S115" s="1">
        <x:f t="shared" si="75"/>
        <x:v>2.3565198211243088E-2</x:v>
      </x:c>
      <x:c r="T115" s="1">
        <x:f t="shared" si="76"/>
        <x:v>8.2180907460549416E-2</x:v>
      </x:c>
      <x:c r="U115">
        <x:f t="shared" si="77"/>
        <x:v>1.0617981874505239E-2</x:v>
      </x:c>
    </x:row>
    <x:row r="116">
      <x:c r="A116" s="1">
        <x:v>-1.38944543555458</x:v>
      </x:c>
      <x:c r="B116" s="1">
        <x:v>4970.6016652960498</x:v>
      </x:c>
      <x:c r="C116" s="1">
        <x:v>-2717.49866666666</x:v>
      </x:c>
      <x:c r="D116">
        <x:f t="shared" si="64"/>
        <x:v>2852.9731983999927</x:v>
      </x:c>
      <x:c r="E116" s="1">
        <x:f t="shared" si="65"/>
        <x:v>2.0841681533318699</x:v>
      </x:c>
      <x:c r="F116" s="1">
        <x:f t="shared" si="66"/>
        <x:v>2.8958379275751849</x:v>
      </x:c>
      <x:c r="G116" s="1">
        <x:f t="shared" si="67"/>
        <x:v>5.5026111411080172E-2</x:v>
      </x:c>
      <x:c r="H116" s="1">
        <x:f t="shared" si="68"/>
        <x:v>4.765401035346821E-2</x:v>
      </x:c>
      <x:c r="I116" s="1">
        <x:f t="shared" si="69"/>
        <x:v>7.9173217254551925E-2</x:v>
      </x:c>
      <x:c r="J116">
        <x:f t="shared" si="70"/>
        <x:v>1.0229380664342905E-2</x:v>
      </x:c>
      <x:c r="L116" s="1">
        <x:v>-1.40030923533824</x:v>
      </x:c>
      <x:c r="M116" s="1">
        <x:v>5016.4307226562496</x:v>
      </x:c>
      <x:c r="N116" s="1">
        <x:v>-2802.9090909090901</x:v>
      </x:c>
      <x:c r="O116">
        <x:f t="shared" si="71"/>
        <x:v>2942.7566363636352</x:v>
      </x:c>
      <x:c r="P116" s="1">
        <x:f t="shared" si="72"/>
        <x:v>2.1004638530073603</x:v>
      </x:c>
      <x:c r="Q116" s="1">
        <x:f t="shared" si="73"/>
        <x:v>2.9412989318603495</x:v>
      </x:c>
      <x:c r="R116" s="1">
        <x:f t="shared" si="74"/>
        <x:v>5.4949712159728784E-2</x:v>
      </x:c>
      <x:c r="S116" s="1">
        <x:f t="shared" si="75"/>
        <x:v>4.7587846660967791E-2</x:v>
      </x:c>
      <x:c r="T116" s="1">
        <x:f t="shared" si="76"/>
        <x:v>7.9909246269366629E-2</x:v>
      </x:c>
      <x:c r="U116">
        <x:f t="shared" si="77"/>
        <x:v>1.0324477481595309E-2</x:v>
      </x:c>
    </x:row>
    <x:row r="117">
      <x:c r="A117" s="1">
        <x:v>-2.0836399109835502</x:v>
      </x:c>
      <x:c r="B117" s="1">
        <x:v>4941.70556640625</x:v>
      </x:c>
      <x:c r="C117" s="1">
        <x:v>-2617.9923664122098</x:v>
      </x:c>
      <x:c r="D117">
        <x:f t="shared" si="64"/>
        <x:v>2748.3721755725146</x:v>
      </x:c>
      <x:c r="E117" s="1">
        <x:f t="shared" si="65"/>
        <x:v>3.1254598664753255</x:v>
      </x:c>
      <x:c r="F117" s="1">
        <x:f t="shared" si="66"/>
        <x:v>6.5123329179653062</x:v>
      </x:c>
      <x:c r="G117" s="1">
        <x:f t="shared" si="67"/>
        <x:v>8.3000763865029192E-2</x:v>
      </x:c>
      <x:c r="H117" s="1">
        <x:f t="shared" si="68"/>
        <x:v>7.1880770040628733E-2</x:v>
      </x:c>
      <x:c r="I117" s="1">
        <x:f t="shared" si="69"/>
        <x:v>7.7231726335336828E-2</x:v>
      </x:c>
      <x:c r="J117">
        <x:f t="shared" si="70"/>
        <x:v>9.9785351087661629E-3</x:v>
      </x:c>
      <x:c r="L117" s="1">
        <x:v>-2.0910777986049598</x:v>
      </x:c>
      <x:c r="M117" s="1">
        <x:v>4993.6563232421804</x:v>
      </x:c>
      <x:c r="N117" s="1">
        <x:v>-2712.8064516129002</x:v>
      </x:c>
      <x:c r="O117">
        <x:f t="shared" si="71"/>
        <x:v>2848.0407419354806</x:v>
      </x:c>
      <x:c r="P117" s="1">
        <x:f t="shared" si="72"/>
        <x:v>3.1366166979074395</x:v>
      </x:c>
      <x:c r="Q117" s="1">
        <x:f t="shared" si="73"/>
        <x:v>6.5589095397278463</x:v>
      </x:c>
      <x:c r="R117" s="1">
        <x:f t="shared" si="74"/>
        <x:v>8.2430480046954371E-2</x:v>
      </x:c>
      <x:c r="S117" s="1">
        <x:f t="shared" si="75"/>
        <x:v>7.1386889766808778E-2</x:v>
      </x:c>
      <x:c r="T117" s="1">
        <x:f t="shared" si="76"/>
        <x:v>7.8094702635347943E-2</x:v>
      </x:c>
      <x:c r="U117">
        <x:f t="shared" si="77"/>
        <x:v>1.0090033837543821E-2</x:v>
      </x:c>
    </x:row>
    <x:row r="118">
      <x:c r="A118" s="1">
        <x:v>-2.8336430730778002</x:v>
      </x:c>
      <x:c r="B118" s="1">
        <x:v>4893.7649244225504</x:v>
      </x:c>
      <x:c r="C118" s="1">
        <x:v>-2497.9128540305001</x:v>
      </x:c>
      <x:c r="D118">
        <x:f t="shared" si="64"/>
        <x:v>2622.1445921568616</x:v>
      </x:c>
      <x:c r="E118" s="1">
        <x:f t="shared" si="65"/>
        <x:v>4.2504646096167003</x:v>
      </x:c>
      <x:c r="F118" s="1">
        <x:f t="shared" si="66"/>
        <x:v>12.044299598402699</x:v>
      </x:c>
      <x:c r="G118" s="1">
        <x:f t="shared" si="67"/>
        <x:v>0.11398253965145112</x:v>
      </x:c>
      <x:c r="H118" s="1">
        <x:f t="shared" si="68"/>
        <x:v>9.8711774926023746E-2</x:v>
      </x:c>
      <x:c r="I118" s="1">
        <x:f t="shared" si="69"/>
        <x:v>7.5220596397624656E-2</x:v>
      </x:c>
      <x:c r="J118">
        <x:f t="shared" si="70"/>
        <x:v>9.7186920152087727E-3</x:v>
      </x:c>
      <x:c r="L118" s="1">
        <x:v>-2.8463720965278498</x:v>
      </x:c>
      <x:c r="M118" s="1">
        <x:v>4982.3337180397702</x:v>
      </x:c>
      <x:c r="N118" s="1">
        <x:v>-2585.52125279642</x:v>
      </x:c>
      <x:c r="O118">
        <x:f t="shared" si="71"/>
        <x:v>2714.2385409395965</x:v>
      </x:c>
      <x:c r="P118" s="1">
        <x:f t="shared" si="72"/>
        <x:v>4.269558144791775</x:v>
      </x:c>
      <x:c r="Q118" s="1">
        <x:f t="shared" si="73"/>
        <x:v>12.152751167838522</x:v>
      </x:c>
      <x:c r="R118" s="1">
        <x:f t="shared" si="74"/>
        <x:v>0.1124592408958284</x:v>
      </x:c>
      <x:c r="S118" s="1">
        <x:f t="shared" si="75"/>
        <x:v>9.7392559506101234E-2</x:v>
      </x:c>
      <x:c r="T118" s="1">
        <x:f t="shared" si="76"/>
        <x:v>7.4838332614356184E-2</x:v>
      </x:c>
      <x:c r="U118">
        <x:f t="shared" si="77"/>
        <x:v>9.6693025639670374E-3</x:v>
      </x:c>
    </x:row>
    <x:row r="119">
      <x:c r="A119" s="1">
        <x:v>-3.4515377544221399</x:v>
      </x:c>
      <x:c r="B119" s="1">
        <x:v>4908.6025855654698</x:v>
      </x:c>
      <x:c r="C119" s="1">
        <x:v>-2396.5478468899501</x:v>
      </x:c>
      <x:c r="D119">
        <x:f t="shared" si="64"/>
        <x:v>2515.5896966507153</x:v>
      </x:c>
      <x:c r="E119" s="1">
        <x:f t="shared" si="65"/>
        <x:v>5.1773066316332095</x:v>
      </x:c>
      <x:c r="F119" s="1">
        <x:f t="shared" si="66"/>
        <x:v>17.869669305302143</x:v>
      </x:c>
      <x:c r="G119" s="1">
        <x:f t="shared" si="67"/>
        <x:v>0.13841751373988226</x:v>
      </x:c>
      <x:c r="H119" s="1">
        <x:f t="shared" si="68"/>
        <x:v>0.11987308322741959</x:v>
      </x:c>
      <x:c r="I119" s="1">
        <x:f t="shared" si="69"/>
        <x:v>7.1803240960991041E-2</x:v>
      </x:c>
      <x:c r="J119">
        <x:f t="shared" si="70"/>
        <x:v>9.2771610172414382E-3</x:v>
      </x:c>
      <x:c r="L119" s="1">
        <x:v>-3.4649334697641798</x:v>
      </x:c>
      <x:c r="M119" s="1">
        <x:v>4996.4964396158803</x:v>
      </x:c>
      <x:c r="N119" s="1">
        <x:v>-2473.1391862955002</x:v>
      </x:c>
      <x:c r="O119">
        <x:f t="shared" si="71"/>
        <x:v>2596.1025126338295</x:v>
      </x:c>
      <x:c r="P119" s="1">
        <x:f t="shared" si="72"/>
        <x:v>5.1974002046462697</x:v>
      </x:c>
      <x:c r="Q119" s="1">
        <x:f t="shared" si="73"/>
        <x:v>18.008645924838056</x:v>
      </x:c>
      <x:c r="R119" s="1">
        <x:f t="shared" si="74"/>
        <x:v>0.13651035799047831</x:v>
      </x:c>
      <x:c r="S119" s="1">
        <x:f t="shared" si="75"/>
        <x:v>0.11822143789946224</x:v>
      </x:c>
      <x:c r="T119" s="1">
        <x:f t="shared" si="76"/>
        <x:v>7.1243878175329553E-2</x:v>
      </x:c>
      <x:c r="U119">
        <x:f t="shared" si="77"/>
        <x:v>9.2048899252937418E-3</x:v>
      </x:c>
    </x:row>
    <x:row r="120">
      <x:c r="A120" s="1">
        <x:v>-4.1346091290630298</x:v>
      </x:c>
      <x:c r="B120" s="1">
        <x:v>4899.4913465711797</x:v>
      </x:c>
      <x:c r="C120" s="1">
        <x:v>-2259.4058355437601</x:v>
      </x:c>
      <x:c r="D120">
        <x:f t="shared" si="64"/>
        <x:v>2371.4260143236006</x:v>
      </x:c>
      <x:c r="E120" s="1">
        <x:f t="shared" si="65"/>
        <x:v>6.2019136935945447</x:v>
      </x:c>
      <x:c r="F120" s="1">
        <x:f t="shared" si="66"/>
        <x:v>25.642488975197018</x:v>
      </x:c>
      <x:c r="G120" s="1">
        <x:f t="shared" si="67"/>
        <x:v>0.16611916978372049</x:v>
      </x:c>
      <x:c r="H120" s="1">
        <x:f t="shared" si="68"/>
        <x:v>0.14386342108828221</x:v>
      </x:c>
      <x:c r="I120" s="1">
        <x:f t="shared" si="69"/>
        <x:v>6.804642787106141E-2</x:v>
      </x:c>
      <x:c r="J120">
        <x:f t="shared" si="70"/>
        <x:v>8.7917712286956513E-3</x:v>
      </x:c>
      <x:c r="L120" s="1">
        <x:v>-4.2165852185168298</x:v>
      </x:c>
      <x:c r="M120" s="1">
        <x:v>5010.0220642089798</x:v>
      </x:c>
      <x:c r="N120" s="1">
        <x:v>-2344.6217105263099</x:v>
      </x:c>
      <x:c r="O120">
        <x:f t="shared" si="71"/>
        <x:v>2461.0049421052568</x:v>
      </x:c>
      <x:c r="P120" s="1">
        <x:f t="shared" si="72"/>
        <x:v>6.3248778277752447</x:v>
      </x:c>
      <x:c r="Q120" s="1">
        <x:f t="shared" si="73"/>
        <x:v>26.669386357521933</x:v>
      </x:c>
      <x:c r="R120" s="1">
        <x:f t="shared" si="74"/>
        <x:v>0.16567521054800205</x:v>
      </x:c>
      <x:c r="S120" s="1">
        <x:f t="shared" si="75"/>
        <x:v>0.14347894111190534</x:v>
      </x:c>
      <x:c r="T120" s="1">
        <x:f t="shared" si="76"/>
        <x:v>6.7253229870452375E-2</x:v>
      </x:c>
      <x:c r="U120">
        <x:f t="shared" si="77"/>
        <x:v>8.6892880333451564E-3</x:v>
      </x:c>
    </x:row>
    <x:row r="121">
      <x:c r="A121" s="1">
        <x:v>-4.8137188748374502</x:v>
      </x:c>
      <x:c r="B121" s="1">
        <x:v>4940.5134919819002</x:v>
      </x:c>
      <x:c r="C121" s="1">
        <x:v>-2141.93281653746</x:v>
      </x:c>
      <x:c r="D121">
        <x:f t="shared" si="64"/>
        <x:v>2247.9383767441777</x:v>
      </x:c>
      <x:c r="E121" s="1">
        <x:f t="shared" si="65"/>
        <x:v>7.2205783122561753</x:v>
      </x:c>
      <x:c r="F121" s="1">
        <x:f t="shared" si="66"/>
        <x:v>34.757834108949496</x:v>
      </x:c>
      <x:c r="G121" s="1">
        <x:f t="shared" si="67"/>
        <x:v>0.19179837424075896</x:v>
      </x:c>
      <x:c r="H121" s="1">
        <x:f t="shared" si="68"/>
        <x:v>0.16610226449705215</x:v>
      </x:c>
      <x:c r="I121" s="1">
        <x:f t="shared" si="69"/>
        <x:v>6.3531140280679493E-2</x:v>
      </x:c>
      <x:c r="J121">
        <x:f t="shared" si="70"/>
        <x:v>8.2083846091712993E-3</x:v>
      </x:c>
      <x:c r="L121" s="1">
        <x:v>-4.8270848438303897</x:v>
      </x:c>
      <x:c r="M121" s="1">
        <x:v>4974.4160670230203</x:v>
      </x:c>
      <x:c r="N121" s="1">
        <x:v>-2249.3513513513499</x:v>
      </x:c>
      <x:c r="O121">
        <x:f t="shared" si="71"/>
        <x:v>2360.8567405405388</x:v>
      </x:c>
      <x:c r="P121" s="1">
        <x:f t="shared" si="72"/>
        <x:v>7.2406272657455846</x:v>
      </x:c>
      <x:c r="Q121" s="1">
        <x:f t="shared" si="73"/>
        <x:v>34.951122134305592</x:v>
      </x:c>
      <x:c r="R121" s="1">
        <x:f t="shared" si="74"/>
        <x:v>0.19102011957431198</x:v>
      </x:c>
      <x:c r="S121" s="1">
        <x:f t="shared" si="75"/>
        <x:v>0.16542827618529526</x:v>
      </x:c>
      <x:c r="T121" s="1">
        <x:f t="shared" si="76"/>
        <x:v>6.5507537249690759E-2</x:v>
      </x:c>
      <x:c r="U121">
        <x:f t="shared" si="77"/>
        <x:v>8.4637401149968167E-3</x:v>
      </x:c>
    </x:row>
    <x:row r="122">
      <x:c r="A122" s="1">
        <x:v>-5.5233583894430396</x:v>
      </x:c>
      <x:c r="B122" s="1">
        <x:v>4914.7090576171804</x:v>
      </x:c>
      <x:c r="C122" s="1">
        <x:v>-1988.3725490196</x:v>
      </x:c>
      <x:c r="D122">
        <x:f t="shared" si="64"/>
        <x:v>2086.5158235294034</x:v>
      </x:c>
      <x:c r="E122" s="1">
        <x:f t="shared" si="65"/>
        <x:v>8.2850375841645594</x:v>
      </x:c>
      <x:c r="F122" s="1">
        <x:f t="shared" si="66"/>
        <x:v>45.76123184734621</x:v>
      </x:c>
      <x:c r="G122" s="1">
        <x:f t="shared" si="67"/>
        <x:v>0.2212288175690216</x:v>
      </x:c>
      <x:c r="H122" s="1">
        <x:f t="shared" si="68"/>
        <x:v>0.19158977606396582</x:v>
      </x:c>
      <x:c r="I122" s="1">
        <x:f t="shared" si="69"/>
        <x:v>5.9722014071917975E-2</x:v>
      </x:c>
      <x:c r="J122">
        <x:f t="shared" si="70"/>
        <x:v>7.7162358328664348E-3</x:v>
      </x:c>
      <x:c r="L122" s="1">
        <x:v>-5.5095436498985499</x:v>
      </x:c>
      <x:c r="M122" s="1">
        <x:v>4986.5596618652298</x:v>
      </x:c>
      <x:c r="N122" s="1">
        <x:v>-2113.83800623052</x:v>
      </x:c>
      <x:c r="O122">
        <x:f t="shared" si="71"/>
        <x:v>2218.4051121495227</x:v>
      </x:c>
      <x:c r="P122" s="1">
        <x:f t="shared" si="72"/>
        <x:v>8.2643154748478249</x:v>
      </x:c>
      <x:c r="Q122" s="1">
        <x:f t="shared" si="73"/>
        <x:v>45.532606845206153</x:v>
      </x:c>
      <x:c r="R122" s="1">
        <x:f t="shared" si="74"/>
        <x:v>0.21749581076676081</x:v>
      </x:c>
      <x:c r="S122" s="1">
        <x:f t="shared" si="75"/>
        <x:v>0.18835689734070787</x:v>
      </x:c>
      <x:c r="T122" s="1">
        <x:f t="shared" si="76"/>
        <x:v>6.1350188313941657E-2</x:v>
      </x:c>
      <x:c r="U122">
        <x:f t="shared" si="77"/>
        <x:v>7.9266000783408813E-3</x:v>
      </x:c>
    </x:row>
    <x:row r="123">
      <x:c r="A123" s="1">
        <x:v>-6.1760362696647597</x:v>
      </x:c>
      <x:c r="B123" s="1">
        <x:v>4962.0627441406205</x:v>
      </x:c>
      <x:c r="C123" s="1">
        <x:v>-1876.0225563909701</x:v>
      </x:c>
      <x:c r="D123">
        <x:f t="shared" si="64"/>
        <x:v>1968.4135112781876</x:v>
      </x:c>
      <x:c r="E123" s="1">
        <x:f t="shared" si="65"/>
        <x:v>9.2640544044971396</x:v>
      </x:c>
      <x:c r="F123" s="1">
        <x:f t="shared" si="66"/>
        <x:v>57.215136006321899</x:v>
      </x:c>
      <x:c r="G123" s="1">
        <x:f t="shared" si="67"/>
        <x:v>0.24501003592295503</x:v>
      </x:c>
      <x:c r="H123" s="1">
        <x:f t="shared" si="68"/>
        <x:v>0.21218491529141695</x:v>
      </x:c>
      <x:c r="I123" s="1">
        <x:f t="shared" si="69"/>
        <x:v>5.5373546775295761E-2</x:v>
      </x:c>
      <x:c r="J123">
        <x:f t="shared" si="70"/>
        <x:v>7.154402818798318E-3</x:v>
      </x:c>
      <x:c r="L123" s="1">
        <x:v>-6.1917979802404099</x:v>
      </x:c>
      <x:c r="M123" s="1">
        <x:v>5057.6705627441397</x:v>
      </x:c>
      <x:c r="N123" s="1">
        <x:v>-1990.9940298507399</x:v>
      </x:c>
      <x:c r="O123">
        <x:f t="shared" si="71"/>
        <x:v>2089.2715241790975</x:v>
      </x:c>
      <x:c r="P123" s="1">
        <x:f t="shared" si="72"/>
        <x:v>9.2876969703606154</x:v>
      </x:c>
      <x:c r="Q123" s="1">
        <x:f t="shared" si="73"/>
        <x:v>57.507543342163828</x:v>
      </x:c>
      <x:c r="R123" s="1">
        <x:f t="shared" si="74"/>
        <x:v>0.24099194579900621</x:v>
      </x:c>
      <x:c r="S123" s="1">
        <x:f t="shared" si="75"/>
        <x:v>0.20870514716938193</x:v>
      </x:c>
      <x:c r="T123" s="1">
        <x:f t="shared" si="76"/>
        <x:v>5.625451543032136E-2</x:v>
      </x:c>
      <x:c r="U123">
        <x:f t="shared" si="77"/>
        <x:v>7.2682262055205867E-3</x:v>
      </x:c>
    </x:row>
    <x:row r="124">
      <x:c r="A124" s="1">
        <x:v>-6.8045398203531899</x:v>
      </x:c>
      <x:c r="B124" s="1">
        <x:v>4937.6138346354101</x:v>
      </x:c>
      <x:c r="C124" s="1">
        <x:v>-1757.54966887417</x:v>
      </x:c>
      <x:c r="D124">
        <x:f t="shared" si="64"/>
        <x:v>1843.8748119205275</x:v>
      </x:c>
      <x:c r="E124" s="1">
        <x:f t="shared" si="65"/>
        <x:v>10.206809730529784</x:v>
      </x:c>
      <x:c r="F124" s="1">
        <x:f t="shared" si="66"/>
        <x:v>69.452643250158332</x:v>
      </x:c>
      <x:c r="G124" s="1">
        <x:f t="shared" si="67"/>
        <x:v>0.27128009347213694</x:v>
      </x:c>
      <x:c r="H124" s="1">
        <x:f t="shared" si="68"/>
        <x:v>0.23493545248788764</x:v>
      </x:c>
      <x:c r="I124" s="1">
        <x:f t="shared" si="69"/>
        <x:v>5.2500434709130538E-2</x:v>
      </x:c>
      <x:c r="J124">
        <x:f t="shared" si="70"/>
        <x:v>6.7831894459524505E-3</x:v>
      </x:c>
      <x:c r="L124" s="1">
        <x:v>-6.81915714817662</x:v>
      </x:c>
      <x:c r="M124" s="1">
        <x:v>5019.4208658854104</x:v>
      </x:c>
      <x:c r="N124" s="1">
        <x:v>-1878.3236245954599</x:v>
      </x:c>
      <x:c r="O124">
        <x:f t="shared" si="71"/>
        <x:v>1970.8323941747474</x:v>
      </x:c>
      <x:c r="P124" s="1">
        <x:f t="shared" si="72"/>
        <x:v>10.228735722264929</x:v>
      </x:c>
      <x:c r="Q124" s="1">
        <x:f t="shared" si="73"/>
        <x:v>69.751356317292448</x:v>
      </x:c>
      <x:c r="R124" s="1">
        <x:f t="shared" si="74"/>
        <x:v>0.26743200165768904</x:v>
      </x:c>
      <x:c r="S124" s="1">
        <x:f t="shared" si="75"/>
        <x:v>0.23160290722048082</x:v>
      </x:c>
      <x:c r="T124" s="1">
        <x:f t="shared" si="76"/>
        <x:v>5.3965182229762328E-2</x:v>
      </x:c>
      <x:c r="U124">
        <x:f t="shared" si="77"/>
        <x:v>6.9724385441357582E-3</x:v>
      </x:c>
    </x:row>
    <x:row r="125">
      <x:c r="A125" s="1">
        <x:v>-6.1796292151723504</x:v>
      </x:c>
      <x:c r="B125" s="1">
        <x:v>4928.4454186480898</x:v>
      </x:c>
      <x:c r="C125" s="1">
        <x:v>-1873.1875</x:v>
      </x:c>
      <x:c r="D125">
        <x:f t="shared" si="64"/>
        <x:v>1965.4332999999999</x:v>
      </x:c>
      <x:c r="E125" s="1">
        <x:f t="shared" si="65"/>
        <x:v>9.2694438227585252</x:v>
      </x:c>
      <x:c r="F125" s="1">
        <x:f t="shared" si="66"/>
        <x:v>57.281725855517465</x:v>
      </x:c>
      <x:c r="G125" s="1">
        <x:f t="shared" si="67"/>
        <x:v>0.24682477751072468</x:v>
      </x:c>
      <x:c r="H125" s="1">
        <x:f t="shared" si="68"/>
        <x:v>0.21375652760772954</x:v>
      </x:c>
      <x:c r="I125" s="1">
        <x:f t="shared" si="69"/>
        <x:v>5.6049324421681972E-2</x:v>
      </x:c>
      <x:c r="J125">
        <x:f t="shared" si="70"/>
        <x:v>7.2417150062911257E-3</x:v>
      </x:c>
      <x:c r="L125" s="1">
        <x:v>-6.1937067412227496</x:v>
      </x:c>
      <x:c r="M125" s="1">
        <x:v>5013.7093370225602</x:v>
      </x:c>
      <x:c r="N125" s="1">
        <x:v>-1988.0376811594199</x:v>
      </x:c>
      <x:c r="O125">
        <x:f t="shared" si="71"/>
        <x:v>2086.1638104347821</x:v>
      </x:c>
      <x:c r="P125" s="1">
        <x:f t="shared" si="72"/>
        <x:v>9.2905601118341252</x:v>
      </x:c>
      <x:c r="Q125" s="1">
        <x:f t="shared" si="73"/>
        <x:v>57.543004794402201</x:v>
      </x:c>
      <x:c r="R125" s="1">
        <x:f t="shared" si="74"/>
        <x:v>0.24317995490360297</x:v>
      </x:c>
      <x:c r="S125" s="1">
        <x:f t="shared" si="75"/>
        <x:v>0.21060001863767433</x:v>
      </x:c>
      <x:c r="T125" s="1">
        <x:f t="shared" si="76"/>
        <x:v>5.7162502620464989E-2</x:v>
      </x:c>
      <x:c r="U125">
        <x:f t="shared" si="77"/>
        <x:v>7.3855404555713796E-3</x:v>
      </x:c>
    </x:row>
    <x:row r="126">
      <x:c r="A126" s="1">
        <x:v>-5.5104447470770896</x:v>
      </x:c>
      <x:c r="B126" s="1">
        <x:v>4915.5758109714598</x:v>
      </x:c>
      <x:c r="C126" s="1">
        <x:v>-2005.0874200426399</x:v>
      </x:c>
      <x:c r="D126">
        <x:f t="shared" si="64"/>
        <x:v>2104.0864959488231</x:v>
      </x:c>
      <x:c r="E126" s="1">
        <x:f t="shared" si="65"/>
        <x:v>8.2656671206156354</x:v>
      </x:c>
      <x:c r="F126" s="1">
        <x:f t="shared" si="66"/>
        <x:v>45.547501965884237</x:v>
      </x:c>
      <x:c r="G126" s="1">
        <x:f t="shared" si="67"/>
        <x:v>0.22067266575514097</x:v>
      </x:c>
      <x:c r="H126" s="1">
        <x:f t="shared" si="68"/>
        <x:v>0.19110813446478442</x:v>
      </x:c>
      <x:c r="I126" s="1">
        <x:f t="shared" si="69"/>
        <x:v>6.0188209523490473E-2</x:v>
      </x:c>
      <x:c r="J126">
        <x:f t="shared" si="70"/>
        <x:v>7.7764694687282657E-3</x:v>
      </x:c>
      <x:c r="L126" s="1">
        <x:v>-5.5184173682301303</x:v>
      </x:c>
      <x:c r="M126" s="1">
        <x:v>4996.8464843749998</x:v>
      </x:c>
      <x:c r="N126" s="1">
        <x:v>-2102.2519280205602</x:v>
      </x:c>
      <x:c r="O126">
        <x:f t="shared" si="71"/>
        <x:v>2206.2258267352126</x:v>
      </x:c>
      <x:c r="P126" s="1">
        <x:f t="shared" si="72"/>
        <x:v>8.2776260523451946</x:v>
      </x:c>
      <x:c r="Q126" s="1">
        <x:f t="shared" si="73"/>
        <x:v>45.67939537497594</x:v>
      </x:c>
      <x:c r="R126" s="1">
        <x:f t="shared" si="74"/>
        <x:v>0.21739763967898598</x:v>
      </x:c>
      <x:c r="S126" s="1">
        <x:f t="shared" si="75"/>
        <x:v>0.18827187868477771</x:v>
      </x:c>
      <x:c r="T126" s="1">
        <x:f t="shared" si="76"/>
        <x:v>6.0771001152545939E-2</x:v>
      </x:c>
      <x:c r="U126">
        <x:f t="shared" si="77"/>
        <x:v>7.8517676267206779E-3</x:v>
      </x:c>
    </x:row>
    <x:row r="127">
      <x:c r="A127" s="1">
        <x:v>-4.8268061200261601</x:v>
      </x:c>
      <x:c r="B127" s="1">
        <x:v>4901.4567340353196</x:v>
      </x:c>
      <x:c r="C127" s="1">
        <x:v>-2112.6464208242901</x:v>
      </x:c>
      <x:c r="D127">
        <x:f t="shared" si="64"/>
        <x:v>2217.1525175704937</x:v>
      </x:c>
      <x:c r="E127" s="1">
        <x:f t="shared" si="65"/>
        <x:v>7.2402091800392405</x:v>
      </x:c>
      <x:c r="F127" s="1">
        <x:f t="shared" si="66"/>
        <x:v>34.947085980482996</x:v>
      </x:c>
      <x:c r="G127" s="1">
        <x:f t="shared" si="67"/>
        <x:v>0.19385230485596142</x:v>
      </x:c>
      <x:c r="H127" s="1">
        <x:f t="shared" si="68"/>
        <x:v>0.16788102058742807</x:v>
      </x:c>
      <x:c r="I127" s="1">
        <x:f t="shared" si="69"/>
        <x:v>6.3689004265694654E-2</x:v>
      </x:c>
      <x:c r="J127">
        <x:f t="shared" si="70"/>
        <x:v>8.2287810368005844E-3</x:v>
      </x:c>
      <x:c r="L127" s="1">
        <x:v>-4.8385542736152196</x:v>
      </x:c>
      <x:c r="M127" s="1">
        <x:v>5034.20060649671</x:v>
      </x:c>
      <x:c r="N127" s="1">
        <x:v>-2223.1240310077501</x:v>
      </x:c>
      <x:c r="O127">
        <x:f t="shared" si="71"/>
        <x:v>2333.2865813953467</x:v>
      </x:c>
      <x:c r="P127" s="1">
        <x:f t="shared" si="72"/>
        <x:v>7.2578314104228294</x:v>
      </x:c>
      <x:c r="Q127" s="1">
        <x:f t="shared" si="73"/>
        <x:v>35.117411188080155</x:v>
      </x:c>
      <x:c r="R127" s="1">
        <x:f t="shared" si="74"/>
        <x:v>0.18920011103145257</x:v>
      </x:c>
      <x:c r="S127" s="1">
        <x:f t="shared" si="75"/>
        <x:v>0.16385210255207433</x:v>
      </x:c>
      <x:c r="T127" s="1">
        <x:f t="shared" si="76"/>
        <x:v>6.3231938005345475E-2</x:v>
      </x:c>
      <x:c r="U127">
        <x:f t="shared" si="77"/>
        <x:v>8.1697269156208539E-3</x:v>
      </x:c>
    </x:row>
    <x:row r="128">
      <x:c r="A128" s="1">
        <x:v>-4.1501074109758598</x:v>
      </x:c>
      <x:c r="B128" s="1">
        <x:v>4895.5465262276703</x:v>
      </x:c>
      <x:c r="C128" s="1">
        <x:v>-2220.6674584323</x:v>
      </x:c>
      <x:c r="D128">
        <x:f t="shared" si="64"/>
        <x:v>2330.7042323040337</x:v>
      </x:c>
      <x:c r="E128" s="1">
        <x:f t="shared" si="65"/>
        <x:v>6.2251611164637897</x:v>
      </x:c>
      <x:c r="F128" s="1">
        <x:f t="shared" si="66"/>
        <x:v>25.835087283955129</x:v>
      </x:c>
      <x:c r="G128" s="1">
        <x:f t="shared" si="67"/>
        <x:v>0.16687621563279587</x:v>
      </x:c>
      <x:c r="H128" s="1">
        <x:f t="shared" si="68"/>
        <x:v>0.14451904202541108</x:v>
      </x:c>
      <x:c r="I128" s="1">
        <x:f t="shared" si="69"/>
        <x:v>6.7017614351502205E-2</x:v>
      </x:c>
      <x:c r="J128">
        <x:f t="shared" si="70"/>
        <x:v>8.6588459101456031E-3</x:v>
      </x:c>
      <x:c r="L128" s="1">
        <x:v>-4.0951316437478704</x:v>
      </x:c>
      <x:c r="M128" s="1">
        <x:v>4970.5983780570596</x:v>
      </x:c>
      <x:c r="N128" s="1">
        <x:v>-2345.7605932203301</x:v>
      </x:c>
      <x:c r="O128">
        <x:f t="shared" si="71"/>
        <x:v>2462.2021355932106</x:v>
      </x:c>
      <x:c r="P128" s="1">
        <x:f t="shared" si="72"/>
        <x:v>6.1426974656218061</x:v>
      </x:c>
      <x:c r="Q128" s="1">
        <x:f t="shared" si="73"/>
        <x:v>25.155154769437701</x:v>
      </x:c>
      <x:c r="R128" s="1">
        <x:f t="shared" si="74"/>
        <x:v>0.16217932228984988</x:v>
      </x:c>
      <x:c r="S128" s="1">
        <x:f t="shared" si="75"/>
        <x:v>0.14045141307155382</x:v>
      </x:c>
      <x:c r="T128" s="1">
        <x:f t="shared" si="76"/>
        <x:v>6.8356750503489022E-2</x:v>
      </x:c>
      <x:c r="U128">
        <x:f t="shared" si="77"/>
        <x:v>8.8318657006135597E-3</x:v>
      </x:c>
    </x:row>
    <x:row r="129">
      <x:c r="A129" s="1">
        <x:v>-3.4689725157630802</x:v>
      </x:c>
      <x:c r="B129" s="1">
        <x:v>4862.0723673502598</x:v>
      </x:c>
      <x:c r="C129" s="1">
        <x:v>-2328.6763485477099</x:v>
      </x:c>
      <x:c r="D129">
        <x:f t="shared" si="64"/>
        <x:v>2444.2431775933524</x:v>
      </x:c>
      <x:c r="E129" s="1">
        <x:f t="shared" si="65"/>
        <x:v>5.2034587736446198</x:v>
      </x:c>
      <x:c r="F129" s="1">
        <x:f t="shared" si="66"/>
        <x:v>18.050655472679452</x:v>
      </x:c>
      <x:c r="G129" s="1">
        <x:f t="shared" si="67"/>
        <x:v>0.14044805463011323</x:v>
      </x:c>
      <x:c r="H129" s="1">
        <x:f t="shared" si="68"/>
        <x:v>0.12163158322178269</x:v>
      </x:c>
      <x:c r="I129" s="1">
        <x:f t="shared" si="69"/>
        <x:v>7.1161831906428052E-2</x:v>
      </x:c>
      <x:c r="J129">
        <x:f t="shared" si="70"/>
        <x:v>9.1942893390628694E-3</x:v>
      </x:c>
      <x:c r="L129" s="1">
        <x:v>-3.4796924947036598</x:v>
      </x:c>
      <x:c r="M129" s="1">
        <x:v>4979.7744308997799</x:v>
      </x:c>
      <x:c r="N129" s="1">
        <x:v>-2442.8852173913001</x:v>
      </x:c>
      <x:c r="O129">
        <x:f t="shared" si="71"/>
        <x:v>2564.2995405217343</x:v>
      </x:c>
      <x:c r="P129" s="1">
        <x:f t="shared" si="72"/>
        <x:v>5.21953874205549</x:v>
      </x:c>
      <x:c r="Q129" s="1">
        <x:f t="shared" si="73"/>
        <x:v>18.162389786545472</x:v>
      </x:c>
      <x:c r="R129" s="1">
        <x:f t="shared" si="74"/>
        <x:v>0.13755218173934916</x:v>
      </x:c>
      <x:c r="S129" s="1">
        <x:f t="shared" si="75"/>
        <x:v>0.11912368373225035</x:v>
      </x:c>
      <x:c r="T129" s="1">
        <x:f t="shared" si="76"/>
        <x:v>7.0863813335724349E-2</x:v>
      </x:c>
      <x:c r="U129">
        <x:f t="shared" si="77"/>
        <x:v>9.1557845831557027E-3</x:v>
      </x:c>
    </x:row>
    <x:row r="130">
      <x:c r="A130" s="1">
        <x:v>-2.7870387593540502</x:v>
      </x:c>
      <x:c r="B130" s="1">
        <x:v>4848.2453835227197</x:v>
      </x:c>
      <x:c r="C130" s="1">
        <x:v>-2435.2137931034399</x:v>
      </x:c>
      <x:c r="D130">
        <x:f t="shared" si="64"/>
        <x:v>2556.2353393103358</x:v>
      </x:c>
      <x:c r="E130" s="1">
        <x:f t="shared" si="65"/>
        <x:v>4.1805581390310751</x:v>
      </x:c>
      <x:c r="F130" s="1">
        <x:f t="shared" si="66"/>
        <x:v>11.651377569212645</x:v>
      </x:c>
      <x:c r="G130" s="1">
        <x:f t="shared" si="67"/>
        <x:v>0.11316045984445744</x:v>
      </x:c>
      <x:c r="H130" s="1">
        <x:f t="shared" si="68"/>
        <x:v>9.7999832929228994E-2</x:v>
      </x:c>
      <x:c r="I130" s="1">
        <x:f t="shared" si="69"/>
        <x:v>7.4760842299086208E-2</x:v>
      </x:c>
      <x:c r="J130">
        <x:f t="shared" si="70"/>
        <x:v>9.6592906185114426E-3</x:v>
      </x:c>
      <x:c r="L130" s="1">
        <x:v>-2.7980255093625699</x:v>
      </x:c>
      <x:c r="M130" s="1">
        <x:v>4993.2909342447902</x:v>
      </x:c>
      <x:c r="N130" s="1">
        <x:v>-2558.2102425876001</x:v>
      </x:c>
      <x:c r="O130">
        <x:f t="shared" si="71"/>
        <x:v>2685.529207008085</x:v>
      </x:c>
      <x:c r="P130" s="1">
        <x:f t="shared" si="72"/>
        <x:v>4.1970382640438544</x:v>
      </x:c>
      <x:c r="Q130" s="1">
        <x:f t="shared" si="73"/>
        <x:v>11.743420126565503</x:v>
      </x:c>
      <x:c r="R130" s="1">
        <x:f t="shared" si="74"/>
        <x:v>0.11030649532664825</x:v>
      </x:c>
      <x:c r="S130" s="1">
        <x:f t="shared" si="75"/>
        <x:v>9.5528227155306844E-2</x:v>
      </x:c>
      <x:c r="T130" s="1">
        <x:f t="shared" si="76"/>
        <x:v>7.3738690903198137E-2</x:v>
      </x:c>
      <x:c r="U130">
        <x:f t="shared" si="77"/>
        <x:v>9.5272260632526702E-3</x:v>
      </x:c>
    </x:row>
    <x:row r="131">
      <x:c r="A131" s="1">
        <x:v>-2.1019218406458</x:v>
      </x:c>
      <x:c r="B131" s="1">
        <x:v>4847.9071289062504</x:v>
      </x:c>
      <x:c r="C131" s="1">
        <x:v>-2541.8071942445999</x:v>
      </x:c>
      <x:c r="D131">
        <x:f t="shared" si="64"/>
        <x:v>2668.2863225899232</x:v>
      </x:c>
      <x:c r="E131" s="1">
        <x:f t="shared" si="65"/>
        <x:v>3.1528827609687</x:v>
      </x:c>
      <x:c r="F131" s="1">
        <x:f t="shared" si="66"/>
        <x:v>6.6271131362757414</x:v>
      </x:c>
      <x:c r="G131" s="1">
        <x:f t="shared" si="67"/>
        <x:v>8.5349023992701764E-2</x:v>
      </x:c>
      <x:c r="H131" s="1">
        <x:f t="shared" si="68"/>
        <x:v>7.3914422965887294E-2</x:v>
      </x:c>
      <x:c r="I131" s="1">
        <x:f t="shared" si="69"/>
        <x:v>7.7965928577104632E-2</x:v>
      </x:c>
      <x:c r="J131">
        <x:f t="shared" si="70"/>
        <x:v>1.0073395902303323E-2</x:v>
      </x:c>
      <x:c r="L131" s="1">
        <x:v>-1.96882559056808</x:v>
      </x:c>
      <x:c r="M131" s="1">
        <x:v>4955.8451974051304</x:v>
      </x:c>
      <x:c r="N131" s="1">
        <x:v>-2677.5780141843902</x:v>
      </x:c>
      <x:c r="O131">
        <x:f t="shared" si="71"/>
        <x:v>2811.0086085106309</x:v>
      </x:c>
      <x:c r="P131" s="1">
        <x:f t="shared" si="72"/>
        <x:v>2.9532383858521198</x:v>
      </x:c>
      <x:c r="Q131" s="1">
        <x:f t="shared" si="73"/>
        <x:v>5.8144113091136242</x:v>
      </x:c>
      <x:c r="R131" s="1">
        <x:f t="shared" si="74"/>
        <x:v>7.8203429928448837E-2</x:v>
      </x:c>
      <x:c r="S131" s="1">
        <x:f t="shared" si="75"/>
        <x:v>6.772615698111295E-2</x:v>
      </x:c>
      <x:c r="T131" s="1">
        <x:f t="shared" si="76"/>
        <x:v>7.8280589337715006E-2</x:v>
      </x:c>
      <x:c r="U131">
        <x:f t="shared" si="77"/>
        <x:v>1.011405087139554E-2</x:v>
      </x:c>
    </x:row>
    <x:row r="132">
      <x:c r="A132" s="1">
        <x:v>-1.4186505618657399</x:v>
      </x:c>
      <x:c r="B132" s="1">
        <x:v>4844.5071176382198</x:v>
      </x:c>
      <x:c r="C132" s="1">
        <x:v>-2628.5961904761898</x:v>
      </x:c>
      <x:c r="D132">
        <x:f t="shared" si="64"/>
        <x:v>2759.5189154285704</x:v>
      </x:c>
      <x:c r="E132" s="1">
        <x:f t="shared" si="65"/>
        <x:v>2.1279758427986097</x:v>
      </x:c>
      <x:c r="F132" s="1">
        <x:f t="shared" si="66"/>
        <x:v>3.0188541250229695</x:v>
      </x:c>
      <x:c r="G132" s="1">
        <x:f t="shared" si="67"/>
        <x:v>5.7645063748664516E-2</x:v>
      </x:c>
      <x:c r="H132" s="1">
        <x:f t="shared" si="68"/>
        <x:v>4.9922089609116899E-2</x:v>
      </x:c>
      <x:c r="I132" s="1">
        <x:f t="shared" si="69"/>
        <x:v>8.0680162839602804E-2</x:v>
      </x:c>
      <x:c r="J132">
        <x:f t="shared" si="70"/>
        <x:v>1.0424081859576323E-2</x:v>
      </x:c>
      <x:c r="L132" s="1">
        <x:v>-1.4266470958789099</x:v>
      </x:c>
      <x:c r="M132" s="1">
        <x:v>4943.7379760742097</x:v>
      </x:c>
      <x:c r="N132" s="1">
        <x:v>-2736.0125260960299</x:v>
      </x:c>
      <x:c r="O132">
        <x:f t="shared" si="71"/>
        <x:v>2872.4349674321465</x:v>
      </x:c>
      <x:c r="P132" s="1">
        <x:f t="shared" si="72"/>
        <x:v>2.1399706438183648</x:v>
      </x:c>
      <x:c r="Q132" s="1">
        <x:f t="shared" si="73"/>
        <x:v>3.0529829042695917</x:v>
      </x:c>
      <x:c r="R132" s="1">
        <x:f t="shared" si="74"/>
        <x:v>5.6806417301035535E-2</x:v>
      </x:c>
      <x:c r="S132" s="1">
        <x:f t="shared" si="75"/>
        <x:v>4.9195800480676614E-2</x:v>
      </x:c>
      <x:c r="T132" s="1">
        <x:f t="shared" si="76"/>
        <x:v>8.0348548884420959E-2</x:v>
      </x:c>
      <x:c r="U132">
        <x:f t="shared" si="77"/>
        <x:v>1.0381236494706824E-2</x:v>
      </x:c>
    </x:row>
    <x:row r="133">
      <x:c r="A133" s="1">
        <x:v>-0.73124343758089505</x:v>
      </x:c>
      <x:c r="B133" s="1">
        <x:v>4849.2086234714598</x:v>
      </x:c>
      <x:c r="C133" s="1">
        <x:v>-2703.5714285714198</x:v>
      </x:c>
      <x:c r="D133">
        <x:f t="shared" si="64"/>
        <x:v>2838.3328857142765</x:v>
      </x:c>
      <x:c r="E133" s="1">
        <x:f t="shared" si="65"/>
        <x:v>1.0968651563713425</x:v>
      </x:c>
      <x:c r="F133" s="1">
        <x:f t="shared" si="66"/>
        <x:v>0.80207544750768656</x:v>
      </x:c>
      <x:c r="G133" s="1">
        <x:f t="shared" si="67"/>
        <x:v>2.9684340220418964E-2</x:v>
      </x:c>
      <x:c r="H133" s="1">
        <x:f t="shared" si="68"/>
        <x:v>2.5707392725462987E-2</x:v>
      </x:c>
      <x:c r="I133" s="1">
        <x:f t="shared" si="69"/>
        <x:v>8.276962962380191E-2</x:v>
      </x:c>
      <x:c r="J133">
        <x:f t="shared" si="70"/>
        <x:v>1.0694046272571606E-2</x:v>
      </x:c>
      <x:c r="L133" s="1">
        <x:v>-0.73859431605006298</x:v>
      </x:c>
      <x:c r="M133" s="1">
        <x:v>4972.0289195667601</x:v>
      </x:c>
      <x:c r="N133" s="1">
        <x:v>-2778.8974358974301</x:v>
      </x:c>
      <x:c r="O133">
        <x:f t="shared" si="71"/>
        <x:v>2917.5155846153784</x:v>
      </x:c>
      <x:c r="P133" s="1">
        <x:f t="shared" si="72"/>
        <x:v>1.1078914740750945</x:v>
      </x:c>
      <x:c r="Q133" s="1">
        <x:f t="shared" si="73"/>
        <x:v>0.81828234555219048</x:v>
      </x:c>
      <x:c r="R133" s="1">
        <x:f t="shared" si="74"/>
        <x:v>2.9242103023062772E-2</x:v>
      </x:c>
      <x:c r="S133" s="1">
        <x:f t="shared" si="75"/>
        <x:v>2.5324404078054093E-2</x:v>
      </x:c>
      <x:c r="T133" s="1">
        <x:f t="shared" si="76"/>
        <x:v>8.0658690548262219E-2</x:v>
      </x:c>
      <x:c r="U133">
        <x:f t="shared" si="77"/>
        <x:v>1.0421307585023954E-2</x:v>
      </x:c>
    </x:row>
    <x:row r="134">
      <x:c r="A134" s="1" t="n">
        <x:f>-101.265/500</x:f>
        <x:v>-0.20253</x:v>
      </x:c>
      <x:c r="B134" s="1">
        <x:v>4849.7560000000003</x:v>
      </x:c>
      <x:c r="C134" s="1">
        <x:v>-2746.94</x:v>
      </x:c>
      <x:c r="D134">
        <x:f t="shared" si="64"/>
        <x:v>2883.9219279999998</x:v>
      </x:c>
      <x:c r="E134" s="1">
        <x:f t="shared" si="65"/>
        <x:v>0.30379499999999998</x:v>
      </x:c>
      <x:c r="F134" s="1">
        <x:f t="shared" si="66"/>
        <x:v>6.1527601349999989E-2</x:v>
      </x:c>
      <x:c r="G134" s="1">
        <x:f t="shared" si="67"/>
        <x:v>8.2206424892758458E-3</x:v>
      </x:c>
      <x:c r="H134" s="1">
        <x:f t="shared" si="68"/>
        <x:v>7.1192852311426262E-3</x:v>
      </x:c>
      <x:c r="I134" s="1">
        <x:f t="shared" si="69"/>
        <x:v>8.4049731995860882E-2</x:v>
      </x:c>
      <x:c r="J134">
        <x:f t="shared" si="70"/>
        <x:v>1.0859438748805314E-2</x:v>
      </x:c>
      <x:c r="L134" s="1" t="n">
        <x:f>-105.24/500</x:f>
        <x:v>-0.21048</x:v>
      </x:c>
      <x:c r="M134" s="1">
        <x:v>4943.2879999999996</x:v>
      </x:c>
      <x:c r="N134" s="1">
        <x:v>-2864.64</x:v>
      </x:c>
      <x:c r="O134">
        <x:f t="shared" si="71"/>
        <x:v>3007.6481679999997</x:v>
      </x:c>
      <x:c r="P134" s="1">
        <x:f t="shared" si="72"/>
        <x:v>0.31572</x:v>
      </x:c>
      <x:c r="Q134" s="1">
        <x:f t="shared" si="73"/>
        <x:v>6.6452745600000002E-2</x:v>
      </x:c>
      <x:c r="R134" s="1">
        <x:f t="shared" si="74"/>
        <x:v>8.3816825696058448E-3</x:v>
      </x:c>
      <x:c r="S134" s="1">
        <x:f t="shared" si="75"/>
        <x:v>7.258750031735893E-3</x:v>
      </x:c>
      <x:c r="T134" s="1">
        <x:f t="shared" si="76"/>
        <x:v>8.4070871642737785E-2</x:v>
      </x:c>
      <x:c r="U134">
        <x:f t="shared" si="77"/>
        <x:v>1.0862170044848499E-2</x:v>
      </x:c>
    </x:row>
    <x:row r="135">
      <x:c r="A135" s="1">
        <x:v>-0.107677400434223</x:v>
      </x:c>
      <x:c r="B135" s="1">
        <x:v>0</x:v>
      </x:c>
      <x:c r="C135" s="1">
        <x:v>49.580459770114899</x:v>
      </x:c>
      <x:c r="D135">
        <x:f t="shared" si="64"/>
        <x:v>-55.780379310344777</x:v>
      </x:c>
      <x:c r="E135" s="1">
        <x:f t="shared" si="65"/>
        <x:v>0.16151610065133448</x:v>
      </x:c>
      <x:c r="F135" s="1">
        <x:f t="shared" si="66"/>
        <x:v>1.739163384640801E-2</x:v>
      </x:c>
      <x:c r="G135" s="1" t="e">
        <x:f t="shared" si="67"/>
        <x:v>#DIV/0!</x:v>
      </x:c>
      <x:c r="H135" s="1" t="e">
        <x:f t="shared" si="68"/>
        <x:v>#DIV/0!</x:v>
      </x:c>
      <x:c r="I135" s="1" t="e">
        <x:f t="shared" si="69"/>
        <x:v>#DIV/0!</x:v>
      </x:c>
      <x:c r="J135" t="e">
        <x:f t="shared" si="70"/>
        <x:v>#DIV/0!</x:v>
      </x:c>
      <x:c r="L135" s="1">
        <x:v>4.3743161431389002E-4</x:v>
      </x:c>
      <x:c r="M135" s="1">
        <x:v>0</x:v>
      </x:c>
      <x:c r="N135" s="1">
        <x:v>40.480506329113901</x:v>
      </x:c>
      <x:c r="O135">
        <x:f t="shared" si="71"/>
        <x:v>-46.214508253164531</x:v>
      </x:c>
      <x:c r="P135" s="1">
        <x:f t="shared" si="72"/>
        <x:v>-6.5614742147083506E-4</x:v>
      </x:c>
      <x:c r="Q135" s="1">
        <x:f t="shared" si="73"/>
        <x:v>2.8701962580188376E-7</x:v>
      </x:c>
      <x:c r="R135" s="1" t="e">
        <x:f t="shared" si="74"/>
        <x:v>#DIV/0!</x:v>
      </x:c>
      <x:c r="S135" s="1" t="e">
        <x:f t="shared" si="75"/>
        <x:v>#DIV/0!</x:v>
      </x:c>
      <x:c r="T135" s="1" t="e">
        <x:f t="shared" si="76"/>
        <x:v>#DIV/0!</x:v>
      </x:c>
      <x:c r="U135" t="e">
        <x:f t="shared" si="77"/>
        <x:v>#DIV/0!</x:v>
      </x:c>
    </x:row>
    <x:row r="138">
      <x:c r="A138" s="3" t="s">
        <x:v>72</x:v>
      </x:c>
      <x:c r="B138" s="3"/>
      <x:c r="C138" s="3"/>
      <x:c r="K138" s="3" t="s">
        <x:v>73</x:v>
      </x:c>
      <x:c r="L138" s="3"/>
      <x:c r="M138" s="3"/>
    </x:row>
    <x:row r="139">
      <x:c r="A139" s="1" t="s">
        <x:v>3</x:v>
      </x:c>
      <x:c r="B139" s="1" t="s">
        <x:v>4</x:v>
      </x:c>
      <x:c r="C139" s="1" t="s">
        <x:v>5</x:v>
      </x:c>
      <x:c r="D139" s="1" t="s">
        <x:v>40</x:v>
      </x:c>
      <x:c r="E139" s="1" t="s">
        <x:v>6</x:v>
      </x:c>
      <x:c r="F139" s="1" t="s">
        <x:v>7</x:v>
      </x:c>
      <x:c r="G139" s="1" t="s">
        <x:v>8</x:v>
      </x:c>
      <x:c r="H139" s="1" t="s">
        <x:v>9</x:v>
      </x:c>
      <x:c r="I139" s="1" t="s">
        <x:v>10</x:v>
      </x:c>
      <x:c r="J139" s="1" t="s">
        <x:v>11</x:v>
      </x:c>
      <x:c r="L139" s="1" t="s">
        <x:v>3</x:v>
      </x:c>
      <x:c r="M139" s="1" t="s">
        <x:v>4</x:v>
      </x:c>
      <x:c r="N139" s="1" t="s">
        <x:v>5</x:v>
      </x:c>
      <x:c r="O139" s="1" t="s">
        <x:v>40</x:v>
      </x:c>
      <x:c r="P139" s="1" t="s">
        <x:v>6</x:v>
      </x:c>
      <x:c r="Q139" s="1" t="s">
        <x:v>7</x:v>
      </x:c>
      <x:c r="R139" s="1" t="s">
        <x:v>8</x:v>
      </x:c>
      <x:c r="S139" s="1" t="s">
        <x:v>9</x:v>
      </x:c>
      <x:c r="T139" s="1" t="s">
        <x:v>10</x:v>
      </x:c>
      <x:c r="U139" s="1" t="s">
        <x:v>11</x:v>
      </x:c>
    </x:row>
    <x:row r="140">
      <x:c r="A140" s="1">
        <x:v>-0.14036818223745601</x:v>
      </x:c>
      <x:c r="B140" s="1">
        <x:v>0</x:v>
      </x:c>
      <x:c r="C140" s="1">
        <x:v>-51.369047619047599</x:v>
      </x:c>
      <x:c r="D140" t="n">
        <x:f>C140*(-1.047)-13.539</x:f>
        <x:v>40.244392857142834</x:v>
      </x:c>
      <x:c r="E140" s="1" t="n">
        <x:f>-A140*1.5</x:f>
        <x:v>0.210552273356184</x:v>
      </x:c>
      <x:c r="F140" s="1" t="n">
        <x:f>A140*A140*1.5</x:f>
        <x:v>0.02955483987697149</x:v>
      </x:c>
      <x:c r="G140" s="1" t="e">
        <x:f>E140/(B140/60)/0.4572</x:f>
        <x:v>#DIV/0!</x:v>
      </x:c>
      <x:c r="H140" s="1" t="e">
        <x:f>E140*SIN(RADIANS(75))/(B140/60)/0.4572</x:f>
        <x:v>#DIV/0!</x:v>
      </x:c>
      <x:c r="I140" s="1" t="e">
        <x:f>(D140-$D$140)*9.8/1.205/(B140/60)^2/0.4572^4/1000</x:f>
        <x:v>#DIV/0!</x:v>
      </x:c>
      <x:c r="J140" t="e">
        <x:f>I140*4/(3.14^3)</x:f>
        <x:v>#DIV/0!</x:v>
      </x:c>
      <x:c r="L140" s="1">
        <x:v>-7.07478499866854E-3</x:v>
      </x:c>
      <x:c r="M140" s="1">
        <x:v>0</x:v>
      </x:c>
      <x:c r="N140" s="1">
        <x:v>-49.924679487179397</x:v>
      </x:c>
      <x:c r="O140" t="n">
        <x:f>N140*(-1.047)-13.539</x:f>
        <x:v>38.73213942307682</x:v>
      </x:c>
      <x:c r="P140" s="1" t="n">
        <x:f>-L140*1.5</x:f>
        <x:v>0.01061217749800281</x:v>
      </x:c>
      <x:c r="Q140" s="1" t="n">
        <x:f>L140*L140*1.5</x:f>
        <x:v>0.00007507887416607812</x:v>
      </x:c>
      <x:c r="R140" s="1" t="e">
        <x:f>P140/(M140/60)/0.4572</x:f>
        <x:v>#DIV/0!</x:v>
      </x:c>
      <x:c r="S140" s="1" t="e">
        <x:f>P140*SIN(RADIANS(75))/(M140/60)/0.4572</x:f>
        <x:v>#DIV/0!</x:v>
      </x:c>
      <x:c r="T140" s="1" t="e">
        <x:f>(O140-$O$140)*9.8/1.205/(M140/60)^2/0.4572^4/1000</x:f>
        <x:v>#DIV/0!</x:v>
      </x:c>
      <x:c r="U140" t="e">
        <x:f>T140*4/(3.14^3)</x:f>
        <x:v>#DIV/0!</x:v>
      </x:c>
    </x:row>
    <x:row r="141">
      <x:c r="A141" s="1" t="n">
        <x:f>-111.394/500</x:f>
        <x:v>-0.222788</x:v>
      </x:c>
      <x:c r="B141" s="1">
        <x:v>5046.1000000000004</x:v>
      </x:c>
      <x:c r="C141" s="1">
        <x:v>-3048.9360000000001</x:v>
      </x:c>
      <x:c r="D141" t="n">
        <x:f t="shared" ref="D141:D162" si="78">C141*(-1.047)-13.539</x:f>
        <x:v>3178.6969919999997</x:v>
      </x:c>
      <x:c r="E141" s="1" t="n">
        <x:f t="shared" ref="E141:E162" si="79">-A141*1.5</x:f>
        <x:v>0.33418200000000003</x:v>
      </x:c>
      <x:c r="F141" s="1" t="n">
        <x:f t="shared" ref="F141:F162" si="80">A141*A141*1.5</x:f>
        <x:v>0.074451739416</x:v>
      </x:c>
      <x:c r="G141" s="1" t="n">
        <x:f t="shared" ref="G141:G162" si="81">E141/(B141/60)/0.4572</x:f>
        <x:v>0.008691049624821352</x:v>
      </x:c>
      <x:c r="H141" s="1" t="n">
        <x:f t="shared" ref="H141:H162" si="82">E141*SIN(RADIANS(75))/(B141/60)/0.4572</x:f>
        <x:v>0.00839490929017486</x:v>
      </x:c>
      <x:c r="I141" s="1" t="n">
        <x:f t="shared" ref="I141:I162" si="83">(D141-$D$140)*9.8/1.205/(B141/60)^2/0.4572^4/1000</x:f>
        <x:v>0.08258867731949644</x:v>
      </x:c>
      <x:c r="J141" t="n">
        <x:f t="shared" ref="J141:J162" si="84">I141*4/(3.14^3)</x:f>
        <x:v>0.010670666775476277</x:v>
      </x:c>
      <x:c r="L141" s="1">
        <x:v>-0.15037125757052699</x:v>
      </x:c>
      <x:c r="M141" s="1">
        <x:v>4998.0461384401397</x:v>
      </x:c>
      <x:c r="N141" s="1">
        <x:v>-3015.0697278911498</x:v>
      </x:c>
      <x:c r="O141" t="n">
        <x:f t="shared" ref="O141:O162" si="85">N141*(-1.047)-13.539</x:f>
        <x:v>3143.2390051020334</x:v>
      </x:c>
      <x:c r="P141" s="1" t="n">
        <x:f t="shared" ref="P141:P162" si="86">-L141*1.5</x:f>
        <x:v>0.2255568863557905</x:v>
      </x:c>
      <x:c r="Q141" s="1" t="n">
        <x:f t="shared" ref="Q141:Q162" si="87">L141*L141*1.5</x:f>
        <x:v>0.033917272655012654</x:v>
      </x:c>
      <x:c r="R141" s="1" t="n">
        <x:f t="shared" ref="R141:R162" si="88">P141/(M141/60)/0.4572</x:f>
        <x:v>0.005922442577386638</x:v>
      </x:c>
      <x:c r="S141" s="1" t="n">
        <x:f t="shared" ref="S141:S162" si="89">P141*SIN(RADIANS(75))/(M141/60)/0.4572</x:f>
        <x:v>0.005720640240211746</x:v>
      </x:c>
      <x:c r="T141" s="1" t="n">
        <x:f t="shared" ref="T141:T162" si="90">(O141-$O$140)*9.8/1.205/(M141/60)^2/0.4572^4/1000</x:f>
        <x:v>0.08327386948342229</x:v>
      </x:c>
      <x:c r="U141" t="n">
        <x:f t="shared" ref="U141:U162" si="91">T141*4/(3.14^3)</x:f>
        <x:v>0.010759195342535605</x:v>
      </x:c>
    </x:row>
    <x:row r="142">
      <x:c r="A142" s="1">
        <x:v>-0.74443353177778304</x:v>
      </x:c>
      <x:c r="B142" s="1">
        <x:v>5010.7851899245597</x:v>
      </x:c>
      <x:c r="C142" s="1">
        <x:v>-2974.6284722222199</x:v>
      </x:c>
      <x:c r="D142">
        <x:f t="shared" si="78"/>
        <x:v>3100.8970104166638</x:v>
      </x:c>
      <x:c r="E142" s="1">
        <x:f t="shared" si="79"/>
        <x:v>1.1166502976666746</x:v>
      </x:c>
      <x:c r="F142" s="1">
        <x:f t="shared" si="80"/>
        <x:v>0.83127192485271517</x:v>
      </x:c>
      <x:c r="G142" s="1">
        <x:f t="shared" si="81"/>
        <x:v>2.9245323489257475E-2</x:v>
      </x:c>
      <x:c r="H142" s="1">
        <x:f t="shared" si="82"/>
        <x:v>2.8248813256452128E-2</x:v>
      </x:c>
      <x:c r="I142" s="1">
        <x:f t="shared" si="83"/>
        <x:v>8.1680636356429442E-2</x:v>
      </x:c>
      <x:c r="J142">
        <x:f t="shared" si="84"/>
        <x:v>1.0553345577827273E-2</x:v>
      </x:c>
      <x:c r="L142" s="1">
        <x:v>-0.72877277771354898</x:v>
      </x:c>
      <x:c r="M142" s="1">
        <x:v>4962.8416453394302</x:v>
      </x:c>
      <x:c r="N142" s="1">
        <x:v>-2896.1927083333298</x:v>
      </x:c>
      <x:c r="O142">
        <x:f t="shared" si="85"/>
        <x:v>3018.7747656249958</x:v>
      </x:c>
      <x:c r="P142" s="1">
        <x:f t="shared" si="86"/>
        <x:v>1.0931591665703235</x:v>
      </x:c>
      <x:c r="Q142" s="1">
        <x:f t="shared" si="87"/>
        <x:v>0.79666464230448275</x:v>
      </x:c>
      <x:c r="R142" s="1">
        <x:f t="shared" si="88"/>
        <x:v>2.890666647525417E-2</x:v>
      </x:c>
      <x:c r="S142" s="1">
        <x:f t="shared" si="89"/>
        <x:v>2.7921695700372392E-2</x:v>
      </x:c>
      <x:c r="T142" s="1">
        <x:f t="shared" si="90"/>
        <x:v>8.1073380677151807E-2</x:v>
      </x:c>
      <x:c r="U142">
        <x:f t="shared" si="91"/>
        <x:v>1.0474886602439887E-2</x:v>
      </x:c>
    </x:row>
    <x:row r="143">
      <x:c r="A143" s="1">
        <x:v>-1.3540287699018201</x:v>
      </x:c>
      <x:c r="B143" s="1">
        <x:v>4997.9593331473197</x:v>
      </x:c>
      <x:c r="C143" s="1">
        <x:v>-2867.47396768402</x:v>
      </x:c>
      <x:c r="D143">
        <x:f t="shared" si="78"/>
        <x:v>2988.7062441651683</x:v>
      </x:c>
      <x:c r="E143" s="1">
        <x:f t="shared" si="79"/>
        <x:v>2.0310431548527301</x:v>
      </x:c>
      <x:c r="F143" s="1">
        <x:f t="shared" si="80"/>
        <x:v>2.750090864582754</x:v>
      </x:c>
      <x:c r="G143" s="1">
        <x:f t="shared" si="81"/>
        <x:v>5.3329985034015807E-2</x:v>
      </x:c>
      <x:c r="H143" s="1">
        <x:f t="shared" si="82"/>
        <x:v>5.1512809859965362E-2</x:v>
      </x:c>
      <x:c r="I143" s="1">
        <x:f t="shared" si="83"/>
        <x:v>7.9090936782112972E-2</x:v>
      </x:c>
      <x:c r="J143">
        <x:f t="shared" si="84"/>
        <x:v>1.0218749818420428E-2</x:v>
      </x:c>
      <x:c r="L143" s="1">
        <x:v>-1.41912190507097</x:v>
      </x:c>
      <x:c r="M143" s="1">
        <x:v>4966.6883923760697</x:v>
      </x:c>
      <x:c r="N143" s="1">
        <x:v>-2746.8170731707301</x:v>
      </x:c>
      <x:c r="O143">
        <x:f t="shared" si="85"/>
        <x:v>2862.3784756097539</x:v>
      </x:c>
      <x:c r="P143" s="1">
        <x:f t="shared" si="86"/>
        <x:v>2.1286828576064551</x:v>
      </x:c>
      <x:c r="Q143" s="1">
        <x:f t="shared" si="87"/>
        <x:v>3.0208604721783892</x:v>
      </x:c>
      <x:c r="R143" s="1">
        <x:f t="shared" si="88"/>
        <x:v>5.6245667868240937E-2</x:v>
      </x:c>
      <x:c r="S143" s="1">
        <x:f t="shared" si="89"/>
        <x:v>5.4329143210811122E-2</x:v>
      </x:c>
      <x:c r="T143" s="1">
        <x:f t="shared" si="90"/>
        <x:v>7.6699602974250644E-2</x:v>
      </x:c>
      <x:c r="U143">
        <x:f t="shared" si="91"/>
        <x:v>9.9097834196256382E-3</x:v>
      </x:c>
    </x:row>
    <x:row r="144">
      <x:c r="A144" s="1">
        <x:v>-2.1798377791419599</x:v>
      </x:c>
      <x:c r="B144" s="1">
        <x:v>4963.7517773437503</x:v>
      </x:c>
      <x:c r="C144" s="1">
        <x:v>-2720.04296875</x:v>
      </x:c>
      <x:c r="D144">
        <x:f t="shared" si="78"/>
        <x:v>2834.3459882812494</x:v>
      </x:c>
      <x:c r="E144" s="1">
        <x:f t="shared" si="79"/>
        <x:v>3.2697566687129398</x:v>
      </x:c>
      <x:c r="F144" s="1">
        <x:f t="shared" si="80"/>
        <x:v>7.1275391150618272</x:v>
      </x:c>
      <x:c r="G144" s="1">
        <x:f t="shared" si="81"/>
        <x:v>8.6447095720320236E-2</x:v>
      </x:c>
      <x:c r="H144" s="1">
        <x:f t="shared" si="82"/>
        <x:v>8.3501482363940505E-2</x:v>
      </x:c>
      <x:c r="I144" s="1">
        <x:f t="shared" si="83"/>
        <x:v>7.5986899585878981E-2</x:v>
      </x:c>
      <x:c r="J144">
        <x:f t="shared" si="84"/>
        <x:v>9.8177003325258579E-3</x:v>
      </x:c>
      <x:c r="L144" s="1">
        <x:v>-2.1055178612594201</x:v>
      </x:c>
      <x:c r="M144" s="1">
        <x:v>4941.7461344400999</x:v>
      </x:c>
      <x:c r="N144" s="1">
        <x:v>-2533.9792531120302</x:v>
      </x:c>
      <x:c r="O144">
        <x:f t="shared" si="85"/>
        <x:v>2639.5372780082953</x:v>
      </x:c>
      <x:c r="P144" s="1">
        <x:f t="shared" si="86"/>
        <x:v>3.1582767918891301</x:v>
      </x:c>
      <x:c r="Q144" s="1">
        <x:f t="shared" si="87"/>
        <x:v>6.6498081961236641</x:v>
      </x:c>
      <x:c r="R144" s="1">
        <x:f t="shared" si="88"/>
        <x:v>8.387157265008241E-2</x:v>
      </x:c>
      <x:c r="S144" s="1">
        <x:f t="shared" si="89"/>
        <x:v>8.1013718114194472E-2</x:v>
      </x:c>
      <x:c r="T144" s="1">
        <x:f t="shared" si="90"/>
        <x:v>7.1361438306504793E-2</x:v>
      </x:c>
      <x:c r="U144">
        <x:f t="shared" si="91"/>
        <x:v>9.2200789926885299E-3</x:v>
      </x:c>
    </x:row>
    <x:row r="145">
      <x:c r="A145" s="1">
        <x:v>-2.8625835062147198</x:v>
      </x:c>
      <x:c r="B145" s="1">
        <x:v>4956.8476340553898</x:v>
      </x:c>
      <x:c r="C145" s="1">
        <x:v>-2560.92342342342</x:v>
      </x:c>
      <x:c r="D145">
        <x:f t="shared" si="78"/>
        <x:v>2667.7478243243204</x:v>
      </x:c>
      <x:c r="E145" s="1">
        <x:f t="shared" si="79"/>
        <x:v>4.2938752593220801</x:v>
      </x:c>
      <x:c r="F145" s="1">
        <x:f t="shared" si="80"/>
        <x:v>12.291576495078839</x:v>
      </x:c>
      <x:c r="G145" s="1">
        <x:f t="shared" si="81"/>
        <x:v>0.1136812611160949</x:v>
      </x:c>
      <x:c r="H145" s="1">
        <x:f t="shared" si="82"/>
        <x:v>0.1098076660771473</x:v>
      </x:c>
      <x:c r="I145" s="1">
        <x:f t="shared" si="83"/>
        <x:v>7.1655378669952904E-2</x:v>
      </x:c>
      <x:c r="J145">
        <x:f t="shared" si="84"/>
        <x:v>9.2580568338650315E-3</x:v>
      </x:c>
      <x:c r="L145" s="1">
        <x:v>-2.79307810008754</x:v>
      </x:c>
      <x:c r="M145" s="1">
        <x:v>4950.53810402199</x:v>
      </x:c>
      <x:c r="N145" s="1">
        <x:v>-2405.4692307692299</x:v>
      </x:c>
      <x:c r="O145">
        <x:f t="shared" si="85"/>
        <x:v>2504.9872846153835</x:v>
      </x:c>
      <x:c r="P145" s="1">
        <x:f t="shared" si="86"/>
        <x:v>4.1896171501313102</x:v>
      </x:c>
      <x:c r="Q145" s="1">
        <x:f t="shared" si="87"/>
        <x:v>11.701927909782933</x:v>
      </x:c>
      <x:c r="R145" s="1">
        <x:f t="shared" si="88"/>
        <x:v>0.11106237586426974</x:v>
      </x:c>
      <x:c r="S145" s="1">
        <x:f t="shared" si="89"/>
        <x:v>0.10727801717632182</x:v>
      </x:c>
      <x:c r="T145" s="1">
        <x:f t="shared" si="90"/>
        <x:v>6.7429483297891363E-2</x:v>
      </x:c>
      <x:c r="U145">
        <x:f t="shared" si="91"/>
        <x:v>8.7120604236204154E-3</x:v>
      </x:c>
    </x:row>
    <x:row r="146">
      <x:c r="A146" s="1">
        <x:v>-3.5449505194083701</x:v>
      </x:c>
      <x:c r="B146" s="1">
        <x:v>4971.7269665948197</x:v>
      </x:c>
      <x:c r="C146" s="1">
        <x:v>-2423.07719298245</x:v>
      </x:c>
      <x:c r="D146">
        <x:f t="shared" si="78"/>
        <x:v>2523.4228210526248</x:v>
      </x:c>
      <x:c r="E146" s="1">
        <x:f t="shared" si="79"/>
        <x:v>5.317425779112555</x:v>
      </x:c>
      <x:c r="F146" s="1">
        <x:f t="shared" si="80"/>
        <x:v>18.85001127758051</x:v>
      </x:c>
      <x:c r="G146" s="1">
        <x:f t="shared" si="81"/>
        <x:v>0.14035865406207029</x:v>
      </x:c>
      <x:c r="H146" s="1">
        <x:f t="shared" si="82"/>
        <x:v>0.13557604890172675</x:v>
      </x:c>
      <x:c r="I146" s="1">
        <x:f t="shared" si="83"/>
        <x:v>6.7314717681514674E-2</x:v>
      </x:c>
      <x:c r="J146">
        <x:f t="shared" si="84"/>
        <x:v>8.6972324146319634E-3</x:v>
      </x:c>
      <x:c r="L146" s="1">
        <x:v>-3.4756110798228801</x:v>
      </x:c>
      <x:c r="M146" s="1">
        <x:v>4931.6378062855101</x:v>
      </x:c>
      <x:c r="N146" s="1">
        <x:v>-2447.23181818181</x:v>
      </x:c>
      <x:c r="O146">
        <x:f t="shared" si="85"/>
        <x:v>2548.7127136363547</x:v>
      </x:c>
      <x:c r="P146" s="1">
        <x:f t="shared" si="86"/>
        <x:v>5.2134166197343204</x:v>
      </x:c>
      <x:c r="Q146" s="1">
        <x:f t="shared" si="87"/>
        <x:v>18.11980856728135</x:v>
      </x:c>
      <x:c r="R146" s="1">
        <x:f t="shared" si="88"/>
        <x:v>0.13873188508327841</x:v>
      </x:c>
      <x:c r="S146" s="1">
        <x:f t="shared" si="89"/>
        <x:v>0.13400471073170581</x:v>
      </x:c>
      <x:c r="T146" s="1">
        <x:f t="shared" si="90"/>
        <x:v>6.9151985868696197E-2</x:v>
      </x:c>
      <x:c r="U146">
        <x:f t="shared" si="91"/>
        <x:v>8.9346121286423413E-3</x:v>
      </x:c>
    </x:row>
    <x:row r="147">
      <x:c r="A147" s="1">
        <x:v>-4.16050092537564</x:v>
      </x:c>
      <x:c r="B147" s="1">
        <x:v>4991.2793554687496</x:v>
      </x:c>
      <x:c r="C147" s="1">
        <x:v>-2295.3804780876399</x:v>
      </x:c>
      <x:c r="D147">
        <x:f t="shared" si="78"/>
        <x:v>2389.7243605577587</x:v>
      </x:c>
      <x:c r="E147" s="1">
        <x:f t="shared" si="79"/>
        <x:v>6.24075138806346</x:v>
      </x:c>
      <x:c r="F147" s="1">
        <x:f t="shared" si="80"/>
        <x:v>25.964651925077337</x:v>
      </x:c>
      <x:c r="G147" s="1">
        <x:f t="shared" si="81"/>
        <x:v>0.16408543518113106</x:v>
      </x:c>
      <x:c r="H147" s="1">
        <x:f t="shared" si="82"/>
        <x:v>0.15849435955933536</x:v>
      </x:c>
      <x:c r="I147" s="1">
        <x:f t="shared" si="83"/>
        <x:v>6.3192368623961895E-2</x:v>
      </x:c>
      <x:c r="J147">
        <x:f t="shared" si="84"/>
        <x:v>8.164614451092303E-3</x:v>
      </x:c>
      <x:c r="L147" s="1">
        <x:v>-4.1558281479812198</x:v>
      </x:c>
      <x:c r="M147" s="1">
        <x:v>4966.9960693359299</x:v>
      </x:c>
      <x:c r="N147" s="1">
        <x:v>-2320.8774509803902</x:v>
      </x:c>
      <x:c r="O147">
        <x:f t="shared" si="85"/>
        <x:v>2416.4196911764684</x:v>
      </x:c>
      <x:c r="P147" s="1">
        <x:f t="shared" si="86"/>
        <x:v>6.2337422219718297</x:v>
      </x:c>
      <x:c r="Q147" s="1">
        <x:f t="shared" si="87"/>
        <x:v>25.906361393329526</x:v>
      </x:c>
      <x:c r="R147" s="1">
        <x:f t="shared" si="88"/>
        <x:v>0.16470244704507914</x:v>
      </x:c>
      <x:c r="S147" s="1">
        <x:f t="shared" si="89"/>
        <x:v>0.1590903472538496</x:v>
      </x:c>
      <x:c r="T147" s="1">
        <x:f t="shared" si="90"/>
        <x:v>6.4577881553773711E-2</x:v>
      </x:c>
      <x:c r="U147">
        <x:f t="shared" si="91"/>
        <x:v>8.3436262389908079E-3</x:v>
      </x:c>
    </x:row>
    <x:row r="148">
      <x:c r="A148" s="1">
        <x:v>-4.9058957722722196</x:v>
      </x:c>
      <x:c r="B148" s="1">
        <x:v>4979.9558007812502</x:v>
      </x:c>
      <x:c r="C148" s="1">
        <x:v>-2154.8244897959098</x:v>
      </x:c>
      <x:c r="D148">
        <x:f t="shared" si="78"/>
        <x:v>2242.5622408163172</x:v>
      </x:c>
      <x:c r="E148" s="1">
        <x:f t="shared" si="79"/>
        <x:v>7.358843658408329</x:v>
      </x:c>
      <x:c r="F148" s="1">
        <x:f t="shared" si="80"/>
        <x:v>36.101719992597651</x:v>
      </x:c>
      <x:c r="G148" s="1">
        <x:f t="shared" si="81"/>
        <x:v>0.19392290872848963</x:v>
      </x:c>
      <x:c r="H148" s="1">
        <x:f t="shared" si="82"/>
        <x:v>0.18731514584994594</x:v>
      </x:c>
      <x:c r="I148" s="1">
        <x:f t="shared" si="83"/>
        <x:v>5.9503931984650274E-2</x:v>
      </x:c>
      <x:c r="J148">
        <x:f t="shared" si="84"/>
        <x:v>7.6880590735519394E-3</x:v>
      </x:c>
      <x:c r="L148" s="1">
        <x:v>-4.9057963897739603</x:v>
      </x:c>
      <x:c r="M148" s="1">
        <x:v>4989.9648215553898</x:v>
      </x:c>
      <x:c r="N148" s="1">
        <x:v>-2161.4479638009002</x:v>
      </x:c>
      <x:c r="O148">
        <x:f t="shared" si="85"/>
        <x:v>2249.4970180995419</x:v>
      </x:c>
      <x:c r="P148" s="1">
        <x:f t="shared" si="86"/>
        <x:v>7.35869458466094</x:v>
      </x:c>
      <x:c r="Q148" s="1">
        <x:f t="shared" si="87"/>
        <x:v>36.100257326878832</x:v>
      </x:c>
      <x:c r="R148" s="1">
        <x:f t="shared" si="88"/>
        <x:v>0.19353001178911935</x:v>
      </x:c>
      <x:c r="S148" s="1">
        <x:f t="shared" si="89"/>
        <x:v>0.18693563654913822</x:v>
      </x:c>
      <x:c r="T148" s="1">
        <x:f t="shared" si="90"/>
        <x:v>5.9492775626726314E-2</x:v>
      </x:c>
      <x:c r="U148">
        <x:f t="shared" si="91"/>
        <x:v>7.6866176437857987E-3</x:v>
      </x:c>
    </x:row>
    <x:row r="149">
      <x:c r="A149" s="1">
        <x:v>-5.5172442419339003</x:v>
      </x:c>
      <x:c r="B149" s="1">
        <x:v>5015.201171875</x:v>
      </x:c>
      <x:c r="C149" s="1">
        <x:v>-2019.35761589403</x:v>
      </x:c>
      <x:c r="D149">
        <x:f t="shared" si="78"/>
        <x:v>2100.7284238410489</x:v>
      </x:c>
      <x:c r="E149" s="1">
        <x:f t="shared" si="79"/>
        <x:v>8.2758663629008495</x:v>
      </x:c>
      <x:c r="F149" s="1">
        <x:f t="shared" si="80"/>
        <x:v>45.659976037729166</x:v>
      </x:c>
      <x:c r="G149" s="1">
        <x:f t="shared" si="81"/>
        <x:v>0.21655595936185509</x:v>
      </x:c>
      <x:c r="H149" s="1">
        <x:f t="shared" si="82"/>
        <x:v>0.20917699398442177</x:v>
      </x:c>
      <x:c r="I149" s="1">
        <x:f t="shared" si="83"/>
        <x:v>5.4892015723718553E-2</x:v>
      </x:c>
      <x:c r="J149">
        <x:f t="shared" si="84"/>
        <x:v>7.0921877844837763E-3</x:v>
      </x:c>
      <x:c r="L149" s="1">
        <x:v>-5.5090877858075196</x:v>
      </x:c>
      <x:c r="M149" s="1">
        <x:v>4965.3440829190304</x:v>
      </x:c>
      <x:c r="N149" s="1">
        <x:v>-2016.1</x:v>
      </x:c>
      <x:c r="O149">
        <x:f t="shared" si="85"/>
        <x:v>2097.3176999999996</x:v>
      </x:c>
      <x:c r="P149" s="1">
        <x:f t="shared" si="86"/>
        <x:v>8.2636316787112793</x:v>
      </x:c>
      <x:c r="Q149" s="1">
        <x:f t="shared" si="87"/>
        <x:v>45.5250723476004</x:v>
      </x:c>
      <x:c r="R149" s="1">
        <x:f t="shared" si="88"/>
        <x:v>0.21840703916149809</x:v>
      </x:c>
      <x:c r="S149" s="1">
        <x:f t="shared" si="89"/>
        <x:v>0.2109649997694189</x:v>
      </x:c>
      <x:c r="T149" s="1">
        <x:f t="shared" si="90"/>
        <x:v>5.5948296347932379E-2</x:v>
      </x:c>
      <x:c r="U149">
        <x:f t="shared" si="91"/>
        <x:v>7.2286619226852493E-3</x:v>
      </x:c>
    </x:row>
    <x:row r="150">
      <x:c r="A150" s="1">
        <x:v>-6.1948729748377902</x:v>
      </x:c>
      <x:c r="B150" s="1">
        <x:v>4999.9800653872198</x:v>
      </x:c>
      <x:c r="C150" s="1">
        <x:v>-1857.12043010752</x:v>
      </x:c>
      <x:c r="D150">
        <x:f t="shared" si="78"/>
        <x:v>1930.8660903225732</x:v>
      </x:c>
      <x:c r="E150" s="1">
        <x:f t="shared" si="79"/>
        <x:v>9.2923094622566857</x:v>
      </x:c>
      <x:c r="F150" s="1">
        <x:f t="shared" si="80"/>
        <x:v>57.564676761563419</x:v>
      </x:c>
      <x:c r="G150" s="1">
        <x:f t="shared" si="81"/>
        <x:v>0.24389360918956915</x:v>
      </x:c>
      <x:c r="H150" s="1">
        <x:f t="shared" si="82"/>
        <x:v>0.23558313598305766</x:v>
      </x:c>
      <x:c r="I150" s="1">
        <x:f t="shared" si="83"/>
        <x:v>5.0673947214350611E-2</x:v>
      </x:c>
      <x:c r="J150">
        <x:f t="shared" si="84"/>
        <x:v>6.5472026247690319E-3</x:v>
      </x:c>
      <x:c r="L150" s="1">
        <x:v>-6.19220911349103</x:v>
      </x:c>
      <x:c r="M150" s="1">
        <x:v>5009.8963487413102</x:v>
      </x:c>
      <x:c r="N150" s="1">
        <x:v>-1877.2103825136601</x:v>
      </x:c>
      <x:c r="O150">
        <x:f t="shared" si="85"/>
        <x:v>1951.9002704918021</x:v>
      </x:c>
      <x:c r="P150" s="1">
        <x:f t="shared" si="86"/>
        <x:v>9.2883136702365441</x:v>
      </x:c>
      <x:c r="Q150" s="1">
        <x:f t="shared" si="87"/>
        <x:v>57.515180557802054</x:v>
      </x:c>
      <x:c r="R150" s="1">
        <x:f t="shared" si="88"/>
        <x:v>0.2433061917886904</x:v>
      </x:c>
      <x:c r="S150" s="1">
        <x:f t="shared" si="89"/>
        <x:v>0.2350157343447373</x:v>
      </x:c>
      <x:c r="T150" s="1">
        <x:f t="shared" si="90"/>
        <x:v>5.1075461465184546E-2</x:v>
      </x:c>
      <x:c r="U150">
        <x:f t="shared" si="91"/>
        <x:v>6.5990792852909036E-3</x:v>
      </x:c>
    </x:row>
    <x:row r="151">
      <x:c r="A151" s="1">
        <x:v>-6.8198424322264497</x:v>
      </x:c>
      <x:c r="B151" s="1">
        <x:v>5067.8152521306802</x:v>
      </x:c>
      <x:c r="C151" s="1">
        <x:v>-1730.0066666666601</x:v>
      </x:c>
      <x:c r="D151">
        <x:f t="shared" si="78"/>
        <x:v>1797.777979999993</x:v>
      </x:c>
      <x:c r="E151" s="1">
        <x:f t="shared" si="79"/>
        <x:v>10.229763648339674</x:v>
      </x:c>
      <x:c r="F151" s="1">
        <x:f t="shared" si="80"/>
        <x:v>69.765376200594574</x:v>
      </x:c>
      <x:c r="G151" s="1">
        <x:f t="shared" si="81"/>
        <x:v>0.26490481617235051</x:v>
      </x:c>
      <x:c r="H151" s="1">
        <x:f t="shared" si="82"/>
        <x:v>0.25587840344923146</x:v>
      </x:c>
      <x:c r="I151" s="1">
        <x:f t="shared" si="83"/>
        <x:v>4.5854158463755089E-2</x:v>
      </x:c>
      <x:c r="J151">
        <x:f t="shared" si="84"/>
        <x:v>5.9244736823156462E-3</x:v>
      </x:c>
      <x:c r="L151" s="1">
        <x:v>-6.8175596886029499</x:v>
      </x:c>
      <x:c r="M151" s="1">
        <x:v>5061.1042258522702</x:v>
      </x:c>
      <x:c r="N151" s="1">
        <x:v>-1747.61784897025</x:v>
      </x:c>
      <x:c r="O151">
        <x:f t="shared" si="85"/>
        <x:v>1816.2168878718517</x:v>
      </x:c>
      <x:c r="P151" s="1">
        <x:f t="shared" si="86"/>
        <x:v>10.226339532904426</x:v>
      </x:c>
      <x:c r="Q151" s="1">
        <x:f t="shared" si="87"/>
        <x:v>69.718680161495925</x:v>
      </x:c>
      <x:c r="R151" s="1">
        <x:f t="shared" si="88"/>
        <x:v>0.26516729332008854</x:v>
      </x:c>
      <x:c r="S151" s="1">
        <x:f t="shared" si="89"/>
        <x:v>0.25613193690504227</x:v>
      </x:c>
      <x:c r="T151" s="1">
        <x:f t="shared" si="90"/>
        <x:v>4.6497752722319388E-2</x:v>
      </x:c>
      <x:c r="U151">
        <x:f t="shared" si="91"/>
        <x:v>6.0076276943987067E-3</x:v>
      </x:c>
    </x:row>
    <x:row r="152">
      <x:c r="A152" s="1">
        <x:v>-6.1995831667071704</x:v>
      </x:c>
      <x:c r="B152" s="1">
        <x:v>5017.50831886574</x:v>
      </x:c>
      <x:c r="C152" s="1">
        <x:v>-1836.9361313868601</x:v>
      </x:c>
      <x:c r="D152">
        <x:f t="shared" si="78"/>
        <x:v>1909.7331295620424</x:v>
      </x:c>
      <x:c r="E152" s="1">
        <x:f t="shared" si="79"/>
        <x:v>9.2993747500607551</x:v>
      </x:c>
      <x:c r="F152" s="1">
        <x:f t="shared" si="80"/>
        <x:v>57.652247161378355</x:v>
      </x:c>
      <x:c r="G152" s="1">
        <x:f t="shared" si="81"/>
        <x:v>0.24322638042441011</x:v>
      </x:c>
      <x:c r="H152" s="1">
        <x:f t="shared" si="82"/>
        <x:v>0.23493864248674759</x:v>
      </x:c>
      <x:c r="I152" s="1">
        <x:f t="shared" si="83"/>
        <x:v>4.9758043243892089E-2</x:v>
      </x:c>
      <x:c r="J152">
        <x:f t="shared" si="84"/>
        <x:v>6.4288655066034239E-3</x:v>
      </x:c>
      <x:c r="L152" s="1">
        <x:v>-6.1978508929411502</x:v>
      </x:c>
      <x:c r="M152" s="1">
        <x:v>4992.5866943359297</x:v>
      </x:c>
      <x:c r="N152" s="1">
        <x:v>-1842.2036553524799</x:v>
      </x:c>
      <x:c r="O152">
        <x:f t="shared" si="85"/>
        <x:v>1915.2482271540464</x:v>
      </x:c>
      <x:c r="P152" s="1">
        <x:f t="shared" si="86"/>
        <x:v>9.2967763394117249</x:v>
      </x:c>
      <x:c r="Q152" s="1">
        <x:f t="shared" si="87"/>
        <x:v>57.620033536697122</x:v>
      </x:c>
      <x:c r="R152" s="1">
        <x:f t="shared" si="88"/>
        <x:v>0.24437219883600289</x:v>
      </x:c>
      <x:c r="S152" s="1">
        <x:f t="shared" si="89"/>
        <x:v>0.2360454180827426</x:v>
      </x:c>
      <x:c r="T152" s="1">
        <x:f t="shared" si="90"/>
        <x:v>5.0444951030997588E-2</x:v>
      </x:c>
      <x:c r="U152">
        <x:f t="shared" si="91"/>
        <x:v>6.5176157365329718E-3</x:v>
      </x:c>
    </x:row>
    <x:row r="153">
      <x:c r="A153" s="1">
        <x:v>-5.5246908855438202</x:v>
      </x:c>
      <x:c r="B153" s="1">
        <x:v>4990.17232421875</x:v>
      </x:c>
      <x:c r="C153" s="1">
        <x:v>-2001.6467065868201</x:v>
      </x:c>
      <x:c r="D153">
        <x:f t="shared" si="78"/>
        <x:v>2082.1851017964004</x:v>
      </x:c>
      <x:c r="E153" s="1">
        <x:f t="shared" si="79"/>
        <x:v>8.2870363283157307</x:v>
      </x:c>
      <x:c r="F153" s="1">
        <x:f t="shared" si="80"/>
        <x:v>45.783314071216438</x:v>
      </x:c>
      <x:c r="G153" s="1">
        <x:f t="shared" si="81"/>
        <x:v>0.21793587580459264</x:v>
      </x:c>
      <x:c r="H153" s="1">
        <x:f t="shared" si="82"/>
        <x:v>0.21050989091458291</x:v>
      </x:c>
      <x:c r="I153" s="1">
        <x:f t="shared" si="83"/>
        <x:v>5.494506400697817E-2</x:v>
      </x:c>
      <x:c r="J153">
        <x:f t="shared" si="84"/>
        <x:v>7.0990417573532612E-3</x:v>
      </x:c>
      <x:c r="L153" s="1">
        <x:v>-5.5128377031107396</x:v>
      </x:c>
      <x:c r="M153" s="1">
        <x:v>4991.8386718749998</x:v>
      </x:c>
      <x:c r="N153" s="1">
        <x:v>-2050.52049180327</x:v>
      </x:c>
      <x:c r="O153">
        <x:f t="shared" si="85"/>
        <x:v>2133.3559549180231</x:v>
      </x:c>
      <x:c r="P153" s="1">
        <x:f t="shared" si="86"/>
        <x:v>8.269256554666109</x:v>
      </x:c>
      <x:c r="Q153" s="1">
        <x:f t="shared" si="87"/>
        <x:v>45.587069311258944</x:v>
      </x:c>
      <x:c r="R153" s="1">
        <x:f t="shared" si="88"/>
        <x:v>0.21739570198455085</x:v>
      </x:c>
      <x:c r="S153" s="1">
        <x:f t="shared" si="89"/>
        <x:v>0.20998812307111933</x:v>
      </x:c>
      <x:c r="T153" s="1">
        <x:f t="shared" si="90"/>
        <x:v>5.6325051477716312E-2</x:v>
      </x:c>
      <x:c r="U153">
        <x:f t="shared" si="91"/>
        <x:v>7.2773396419121032E-3</x:v>
      </x:c>
    </x:row>
    <x:row r="154">
      <x:c r="A154" s="1">
        <x:v>-4.7817113609874902</x:v>
      </x:c>
      <x:c r="B154" s="1">
        <x:v>4951.1055591724498</x:v>
      </x:c>
      <x:c r="C154" s="1">
        <x:v>-2161.9981617646999</x:v>
      </x:c>
      <x:c r="D154">
        <x:f t="shared" si="78"/>
        <x:v>2250.0730753676403</x:v>
      </x:c>
      <x:c r="E154" s="1">
        <x:f t="shared" si="79"/>
        <x:v>7.1725670414812353</x:v>
      </x:c>
      <x:c r="F154" s="1">
        <x:f t="shared" si="80"/>
        <x:v>34.297145309695253</x:v>
      </x:c>
      <x:c r="G154" s="1">
        <x:f t="shared" si="81"/>
        <x:v>0.19011547072150192</x:v>
      </x:c>
      <x:c r="H154" s="1">
        <x:f t="shared" si="82"/>
        <x:v>0.18363744314700192</x:v>
      </x:c>
      <x:c r="I154" s="1">
        <x:f t="shared" si="83"/>
        <x:v>6.0404720259596416E-2</x:v>
      </x:c>
      <x:c r="J154">
        <x:f t="shared" si="84"/>
        <x:v>7.8044432054835125E-3</x:v>
      </x:c>
      <x:c r="L154" s="1">
        <x:v>-4.78302808753548</x:v>
      </x:c>
      <x:c r="M154" s="1">
        <x:v>4949.0610988450999</x:v>
      </x:c>
      <x:c r="N154" s="1">
        <x:v>-2213.3763213530601</x:v>
      </x:c>
      <x:c r="O154">
        <x:f t="shared" si="85"/>
        <x:v>2303.8660084566536</x:v>
      </x:c>
      <x:c r="P154" s="1">
        <x:f t="shared" si="86"/>
        <x:v>7.1745421313032196</x:v>
      </x:c>
      <x:c r="Q154" s="1">
        <x:f t="shared" si="87"/>
        <x:v>34.316036529229962</x:v>
      </x:c>
      <x:c r="R154" s="1">
        <x:f t="shared" si="88"/>
        <x:v>0.1902463807393687</x:v>
      </x:c>
      <x:c r="S154" s="1">
        <x:f t="shared" si="89"/>
        <x:v>0.18376389251417941</x:v>
      </x:c>
      <x:c r="T154" s="1">
        <x:f t="shared" si="90"/>
        <x:v>6.1967629866659393E-2</x:v>
      </x:c>
      <x:c r="U154">
        <x:f t="shared" si="91"/>
        <x:v>8.006375094435348E-3</x:v>
      </x:c>
    </x:row>
    <x:row r="155">
      <x:c r="A155" s="1">
        <x:v>-4.1703846116780197</x:v>
      </x:c>
      <x:c r="B155" s="1">
        <x:v>4961.2648722330696</x:v>
      </x:c>
      <x:c r="C155" s="1">
        <x:v>-2227.2591093117398</x:v>
      </x:c>
      <x:c r="D155">
        <x:f t="shared" si="78"/>
        <x:v>2318.4012874493915</x:v>
      </x:c>
      <x:c r="E155" s="1">
        <x:f t="shared" si="79"/>
        <x:v>6.255576917517029</x:v>
      </x:c>
      <x:c r="F155" s="1">
        <x:f t="shared" si="80"/>
        <x:v>26.08816171398124</x:v>
      </x:c>
      <x:c r="G155" s="1">
        <x:f t="shared" si="81"/>
        <x:v>0.16547027297154099</x:v>
      </x:c>
      <x:c r="H155" s="1">
        <x:f t="shared" si="82"/>
        <x:v>0.15983201014631343</x:v>
      </x:c>
      <x:c r="I155" s="1">
        <x:f t="shared" si="83"/>
        <x:v>6.2017669932378922E-2</x:v>
      </x:c>
      <x:c r="J155">
        <x:f t="shared" si="84"/>
        <x:v>8.0128403979617679E-3</x:v>
      </x:c>
      <x:c r="L155" s="1">
        <x:v>-4.1698883809740499</x:v>
      </x:c>
      <x:c r="M155" s="1">
        <x:v>4919.2359765624997</x:v>
      </x:c>
      <x:c r="N155" s="1">
        <x:v>-2308.66600397614</x:v>
      </x:c>
      <x:c r="O155">
        <x:f t="shared" si="85"/>
        <x:v>2403.6343061630182</x:v>
      </x:c>
      <x:c r="P155" s="1">
        <x:f t="shared" si="86"/>
        <x:v>6.2548325714610744</x:v>
      </x:c>
      <x:c r="Q155" s="1">
        <x:f t="shared" si="87"/>
        <x:v>26.081953664673573</x:v>
      </x:c>
      <x:c r="R155" s="1">
        <x:f t="shared" si="88"/>
        <x:v>0.16686415805095739</x:v>
      </x:c>
      <x:c r="S155" s="1">
        <x:f t="shared" si="89"/>
        <x:v>0.16117839974340067</x:v>
      </x:c>
      <x:c r="T155" s="1">
        <x:f t="shared" si="90"/>
        <x:v>6.548389589041298E-2</x:v>
      </x:c>
      <x:c r="U155">
        <x:f t="shared" si="91"/>
        <x:v>8.4606855913604041E-3</x:v>
      </x:c>
    </x:row>
    <x:row r="156">
      <x:c r="A156" s="1">
        <x:v>-3.4876515352137898</x:v>
      </x:c>
      <x:c r="B156" s="1">
        <x:v>4929.4029381793398</x:v>
      </x:c>
      <x:c r="C156" s="1">
        <x:v>-2367.6300448430402</x:v>
      </x:c>
      <x:c r="D156">
        <x:f t="shared" si="78"/>
        <x:v>2465.3696569506628</x:v>
      </x:c>
      <x:c r="E156" s="1">
        <x:f t="shared" si="79"/>
        <x:v>5.2314773028206849</x:v>
      </x:c>
      <x:c r="F156" s="1">
        <x:f t="shared" si="80"/>
        <x:v>18.245569846618658</x:v>
      </x:c>
      <x:c r="G156" s="1">
        <x:f t="shared" si="81"/>
        <x:v>0.13927560526256427</x:v>
      </x:c>
      <x:c r="H156" s="1">
        <x:f t="shared" si="82"/>
        <x:v>0.13452990409515247</x:v>
      </x:c>
      <x:c r="I156" s="1">
        <x:f t="shared" si="83"/>
        <x:v>6.6874751217787659E-2</x:v>
      </x:c>
      <x:c r="J156">
        <x:f t="shared" si="84"/>
        <x:v>8.6403876305866413E-3</x:v>
      </x:c>
      <x:c r="L156" s="1">
        <x:v>-3.48565303606052</x:v>
      </x:c>
      <x:c r="M156" s="1">
        <x:v>4922.6047200520798</x:v>
      </x:c>
      <x:c r="N156" s="1">
        <x:v>-2402.63787375415</x:v>
      </x:c>
      <x:c r="O156">
        <x:f t="shared" si="85"/>
        <x:v>2502.0228538205947</x:v>
      </x:c>
      <x:c r="P156" s="1">
        <x:f t="shared" si="86"/>
        <x:v>5.2284795540907805</x:v>
      </x:c>
      <x:c r="Q156" s="1">
        <x:f t="shared" si="87"/>
        <x:v>18.22466563169688</x:v>
      </x:c>
      <x:c r="R156" s="1">
        <x:f t="shared" si="88"/>
        <x:v>0.13938802960510691</x:v>
      </x:c>
      <x:c r="S156" s="1">
        <x:f t="shared" si="89"/>
        <x:v>0.13463849767111802</x:v>
      </x:c>
      <x:c r="T156" s="1">
        <x:f t="shared" si="90"/>
        <x:v>6.8114941007133931E-2</x:v>
      </x:c>
      <x:c r="U156">
        <x:f t="shared" si="91"/>
        <x:v>8.8006232998087963E-3</x:v>
      </x:c>
    </x:row>
    <x:row r="157">
      <x:c r="A157" s="1">
        <x:v>-2.8047442108977001</x:v>
      </x:c>
      <x:c r="B157" s="1">
        <x:v>4924.9345507812504</x:v>
      </x:c>
      <x:c r="C157" s="1">
        <x:v>-2570.43248532289</x:v>
      </x:c>
      <x:c r="D157">
        <x:f t="shared" si="78"/>
        <x:v>2677.7038121330656</x:v>
      </x:c>
      <x:c r="E157" s="1">
        <x:f t="shared" si="79"/>
        <x:v>4.2071163163465499</x:v>
      </x:c>
      <x:c r="F157" s="1">
        <x:f t="shared" si="80"/>
        <x:v>11.799885132846244</x:v>
      </x:c>
      <x:c r="G157" s="1">
        <x:f t="shared" si="81"/>
        <x:v>0.11210605876125472</x:v>
      </x:c>
      <x:c r="H157" s="1">
        <x:f t="shared" si="82"/>
        <x:v>0.10828613744097583</x:v>
      </x:c>
      <x:c r="I157" s="1">
        <x:f t="shared" si="83"/>
        <x:v>7.2862069455955844E-2</x:v>
      </x:c>
      <x:c r="J157">
        <x:f t="shared" si="84"/>
        <x:v>9.4139643468121523E-3</x:v>
      </x:c>
      <x:c r="L157" s="1">
        <x:v>-2.7406137189031101</x:v>
      </x:c>
      <x:c r="M157" s="1">
        <x:v>4910.1487379807604</x:v>
      </x:c>
      <x:c r="N157" s="1">
        <x:v>-2546.99053030303</x:v>
      </x:c>
      <x:c r="O157">
        <x:f t="shared" si="85"/>
        <x:v>2653.1600852272722</x:v>
      </x:c>
      <x:c r="P157" s="1">
        <x:f t="shared" si="86"/>
        <x:v>4.1109205783546656</x:v>
      </x:c>
      <x:c r="Q157" s="1">
        <x:f t="shared" si="87"/>
        <x:v>11.266445334359902</x:v>
      </x:c>
      <x:c r="R157" s="1">
        <x:f t="shared" si="88"/>
        <x:v>0.10987261656145177</x:v>
      </x:c>
      <x:c r="S157" s="1">
        <x:f t="shared" si="89"/>
        <x:v>0.10612879793866226</x:v>
      </x:c>
      <x:c r="T157" s="1">
        <x:f t="shared" si="90"/>
        <x:v>7.2661443915980256E-2</x:v>
      </x:c>
      <x:c r="U157">
        <x:f t="shared" si="91"/>
        <x:v>9.3880430177242947E-3</x:v>
      </x:c>
    </x:row>
    <x:row r="158">
      <x:c r="A158" s="1">
        <x:v>-2.1199847623921801</x:v>
      </x:c>
      <x:c r="B158" s="1">
        <x:v>4920.6798793247699</x:v>
      </x:c>
      <x:c r="C158" s="1">
        <x:v>-2691.54727272727</x:v>
      </x:c>
      <x:c r="D158">
        <x:f t="shared" si="78"/>
        <x:v>2804.5109945454515</x:v>
      </x:c>
      <x:c r="E158" s="1">
        <x:f t="shared" si="79"/>
        <x:v>3.1799771435882702</x:v>
      </x:c>
      <x:c r="F158" s="1">
        <x:f t="shared" si="80"/>
        <x:v>6.7415030891625438</x:v>
      </x:c>
      <x:c r="G158" s="1">
        <x:f t="shared" si="81"/>
        <x:v>8.4809385156312325E-2</x:v>
      </x:c>
      <x:c r="H158" s="1">
        <x:f t="shared" si="82"/>
        <x:v>8.191957543417884E-2</x:v>
      </x:c>
      <x:c r="I158" s="1">
        <x:f t="shared" si="83"/>
        <x:v>7.6497341844395286E-2</x:v>
      </x:c>
      <x:c r="J158">
        <x:f t="shared" si="84"/>
        <x:v>9.8836507681730832E-3</x:v>
      </x:c>
      <x:c r="L158" s="1">
        <x:v>-2.1202925965405801</x:v>
      </x:c>
      <x:c r="M158" s="1">
        <x:v>4898.5089425223196</x:v>
      </x:c>
      <x:c r="N158" s="1">
        <x:v>-2602.03473227206</x:v>
      </x:c>
      <x:c r="O158">
        <x:f t="shared" si="85"/>
        <x:v>2710.7913646888464</x:v>
      </x:c>
      <x:c r="P158" s="1">
        <x:f t="shared" si="86"/>
        <x:v>3.1804388948108704</x:v>
      </x:c>
      <x:c r="Q158" s="1">
        <x:f t="shared" si="87"/>
        <x:v>6.7434610424171924</x:v>
      </x:c>
      <x:c r="R158" s="1">
        <x:f t="shared" si="88"/>
        <x:v>8.5205607928310167E-2</x:v>
      </x:c>
      <x:c r="S158" s="1">
        <x:f t="shared" si="89"/>
        <x:v>8.2302297242615383E-2</x:v>
      </x:c>
      <x:c r="T158" s="1">
        <x:f t="shared" si="90"/>
        <x:v>7.4616506559437343E-2</x:v>
      </x:c>
      <x:c r="U158">
        <x:f t="shared" si="91"/>
        <x:v>9.6406420745272989E-3</x:v>
      </x:c>
    </x:row>
    <x:row r="159">
      <x:c r="A159" s="1">
        <x:v>-1.4344676006131001</x:v>
      </x:c>
      <x:c r="B159" s="1">
        <x:v>4942.2758556547597</x:v>
      </x:c>
      <x:c r="C159" s="1">
        <x:v>-2790.8707317073099</x:v>
      </x:c>
      <x:c r="D159">
        <x:f t="shared" si="78"/>
        <x:v>2908.502656097553</x:v>
      </x:c>
      <x:c r="E159" s="1">
        <x:f t="shared" si="79"/>
        <x:v>2.15170140091965</x:v>
      </x:c>
      <x:c r="F159" s="1">
        <x:f t="shared" si="80"/>
        <x:v>3.0865459458130564</x:v>
      </x:c>
      <x:c r="G159" s="1">
        <x:f t="shared" si="81"/>
        <x:v>5.7134712868896126E-2</x:v>
      </x:c>
      <x:c r="H159" s="1">
        <x:f t="shared" si="82"/>
        <x:v>5.518789473767715E-2</x:v>
      </x:c>
      <x:c r="I159" s="1">
        <x:f t="shared" si="83"/>
        <x:v>7.8683003924194514E-2</x:v>
      </x:c>
      <x:c r="J159">
        <x:f t="shared" si="84"/>
        <x:v>1.0166043857568479E-2</x:v>
      </x:c>
      <x:c r="L159" s="1">
        <x:v>-1.35451863839708</x:v>
      </x:c>
      <x:c r="M159" s="1">
        <x:v>4920.5650087553804</x:v>
      </x:c>
      <x:c r="N159" s="1">
        <x:v>-2674.7010309278298</x:v>
      </x:c>
      <x:c r="O159">
        <x:f t="shared" si="85"/>
        <x:v>2786.8729793814373</x:v>
      </x:c>
      <x:c r="P159" s="1">
        <x:f t="shared" si="86"/>
        <x:v>2.0317779575956201</x:v>
      </x:c>
      <x:c r="Q159" s="1">
        <x:f t="shared" si="87"/>
        <x:v>2.7520811126476192</x:v>
      </x:c>
      <x:c r="R159" s="1">
        <x:f t="shared" si="88"/>
        <x:v>5.4188396407542562E-2</x:v>
      </x:c>
      <x:c r="S159" s="1">
        <x:f t="shared" si="89"/>
        <x:v>5.2341971575235124E-2</x:v>
      </x:c>
      <x:c r="T159" s="1">
        <x:f t="shared" si="90"/>
        <x:v>7.6054634050996828E-2</x:v>
      </x:c>
      <x:c r="U159">
        <x:f t="shared" si="91"/>
        <x:v>9.8264517973748657E-3</x:v>
      </x:c>
    </x:row>
    <x:row r="160">
      <x:c r="A160" s="1">
        <x:v>-0.673498034477233</x:v>
      </x:c>
      <x:c r="B160" s="1">
        <x:v>4913.6714215959801</x:v>
      </x:c>
      <x:c r="C160" s="1">
        <x:v>-2880.7468805704002</x:v>
      </x:c>
      <x:c r="D160">
        <x:f t="shared" si="78"/>
        <x:v>3002.6029839572084</x:v>
      </x:c>
      <x:c r="E160" s="1">
        <x:f t="shared" si="79"/>
        <x:v>1.0102470517158495</x:v>
      </x:c>
      <x:c r="F160" s="1">
        <x:f t="shared" si="80"/>
        <x:v>0.68039940366704421</x:v>
      </x:c>
      <x:c r="G160" s="1">
        <x:f t="shared" si="81"/>
        <x:v>2.6981526005352599E-2</x:v>
      </x:c>
      <x:c r="H160" s="1">
        <x:f t="shared" si="82"/>
        <x:v>2.6062152801260192E-2</x:v>
      </x:c>
      <x:c r="I160" s="1">
        <x:f t="shared" si="83"/>
        <x:v>8.2213293682635621E-2</x:v>
      </x:c>
      <x:c r="J160">
        <x:f t="shared" si="84"/>
        <x:v>1.0622166256616864E-2</x:v>
      </x:c>
      <x:c r="L160" s="1">
        <x:v>-0.74221724299757696</x:v>
      </x:c>
      <x:c r="M160" s="1">
        <x:v>4912.3584650212997</x:v>
      </x:c>
      <x:c r="N160" s="1">
        <x:v>-2719.4730679156901</x:v>
      </x:c>
      <x:c r="O160">
        <x:f t="shared" si="85"/>
        <x:v>2833.7493021077271</x:v>
      </x:c>
      <x:c r="P160" s="1">
        <x:f t="shared" si="86"/>
        <x:v>1.1133258644963655</x:v>
      </x:c>
      <x:c r="Q160" s="1">
        <x:f t="shared" si="87"/>
        <x:v>0.82632965370438627</x:v>
      </x:c>
      <x:c r="R160" s="1">
        <x:f t="shared" si="88"/>
        <x:v>2.9742486737468279E-2</x:v>
      </x:c>
      <x:c r="S160" s="1">
        <x:f t="shared" si="89"/>
        <x:v>2.8729036077780701E-2</x:v>
      </x:c>
      <x:c r="T160" s="1">
        <x:f t="shared" si="90"/>
        <x:v>7.7610596317328154E-2</x:v>
      </x:c>
      <x:c r="U160">
        <x:f t="shared" si="91"/>
        <x:v>1.0027486072267134E-2</x:v>
      </x:c>
    </x:row>
    <x:row r="161">
      <x:c r="A161" s="1">
        <x:v>-0.172929747527792</x:v>
      </x:c>
      <x:c r="B161" s="1">
        <x:v>4896.5732797475903</x:v>
      </x:c>
      <x:c r="C161" s="1">
        <x:v>-2918.5871212121201</x:v>
      </x:c>
      <x:c r="D161">
        <x:f t="shared" si="78"/>
        <x:v>3042.2217159090892</x:v>
      </x:c>
      <x:c r="E161" s="1">
        <x:f t="shared" si="79"/>
        <x:v>0.259394621291688</x:v>
      </x:c>
      <x:c r="F161" s="1">
        <x:f t="shared" si="80"/>
        <x:v>4.4857046370038824E-2</x:v>
      </x:c>
      <x:c r="G161" s="1">
        <x:f t="shared" si="81"/>
        <x:v>6.952063604198401E-3</x:v>
      </x:c>
      <x:c r="H161" s="1">
        <x:f t="shared" si="82"/>
        <x:v>6.7151777812994992E-3</x:v>
      </x:c>
      <x:c r="I161" s="1">
        <x:f t="shared" si="83"/>
        <x:v>8.3895667397624593E-2</x:v>
      </x:c>
      <x:c r="J161">
        <x:f t="shared" si="84"/>
        <x:v>1.0839533211593264E-2</x:v>
      </x:c>
      <x:c r="L161" s="1">
        <x:v>-0.178127526593061</x:v>
      </x:c>
      <x:c r="M161" s="1">
        <x:v>4919.7156982421802</x:v>
      </x:c>
      <x:c r="N161" s="1">
        <x:v>-2744.0462962962902</x:v>
      </x:c>
      <x:c r="O161">
        <x:f t="shared" si="85"/>
        <x:v>2859.4774722222155</x:v>
      </x:c>
      <x:c r="P161" s="1">
        <x:f t="shared" si="86"/>
        <x:v>0.26719128988959151</x:v>
      </x:c>
      <x:c r="Q161" s="1">
        <x:f t="shared" si="87"/>
        <x:v>4.7594123595242475E-2</x:v>
      </x:c>
      <x:c r="R161" s="1">
        <x:f t="shared" si="88"/>
        <x:v>7.1273374092165756E-3</x:v>
      </x:c>
      <x:c r="S161" s="1">
        <x:f t="shared" si="89"/>
        <x:v>6.8844792762385093E-3</x:v>
      </x:c>
      <x:c r="T161" s="1">
        <x:f t="shared" si="90"/>
        <x:v>7.809091438909567E-2</x:v>
      </x:c>
      <x:c r="U161">
        <x:f t="shared" si="91"/>
        <x:v>1.0089544386510902E-2</x:v>
      </x:c>
    </x:row>
    <x:row r="162">
      <x:c r="A162" t="n">
        <x:f>1.73/500</x:f>
        <x:v>0.00346</x:v>
      </x:c>
      <x:c r="B162" s="1">
        <x:v>0</x:v>
      </x:c>
      <x:c r="C162" s="1">
        <x:v>-49.662999999999997</x:v>
      </x:c>
      <x:c r="D162">
        <x:f t="shared" si="78"/>
        <x:v>38.45816099999999</x:v>
      </x:c>
      <x:c r="E162" s="1">
        <x:f t="shared" si="79"/>
        <x:v>-5.1900000000000002E-3</x:v>
      </x:c>
      <x:c r="F162" s="1">
        <x:f t="shared" si="80"/>
        <x:v>1.7957399999999999E-5</x:v>
      </x:c>
      <x:c r="G162" s="1" t="e">
        <x:f t="shared" si="81"/>
        <x:v>#DIV/0!</x:v>
      </x:c>
      <x:c r="H162" s="1" t="e">
        <x:f t="shared" si="82"/>
        <x:v>#DIV/0!</x:v>
      </x:c>
      <x:c r="I162" s="1" t="e">
        <x:f t="shared" si="83"/>
        <x:v>#DIV/0!</x:v>
      </x:c>
      <x:c r="J162" t="e">
        <x:f t="shared" si="84"/>
        <x:v>#DIV/0!</x:v>
      </x:c>
      <x:c r="L162" s="1">
        <x:v>6.9598934041303503E-2</x:v>
      </x:c>
      <x:c r="M162" s="1">
        <x:v>0</x:v>
      </x:c>
      <x:c r="N162" s="1">
        <x:v>-141.36842105263099</x:v>
      </x:c>
      <x:c r="O162">
        <x:f t="shared" si="85"/>
        <x:v>134.47373684210464</x:v>
      </x:c>
      <x:c r="P162" s="1">
        <x:f t="shared" si="86"/>
        <x:v>-0.10439840106195525</x:v>
      </x:c>
      <x:c r="Q162" s="1">
        <x:f t="shared" si="87"/>
        <x:v>7.2660174295285738E-3</x:v>
      </x:c>
      <x:c r="R162" s="1" t="e">
        <x:f t="shared" si="88"/>
        <x:v>#DIV/0!</x:v>
      </x:c>
      <x:c r="S162" s="1" t="e">
        <x:f t="shared" si="89"/>
        <x:v>#DIV/0!</x:v>
      </x:c>
      <x:c r="T162" s="1" t="e">
        <x:f t="shared" si="90"/>
        <x:v>#DIV/0!</x:v>
      </x:c>
      <x:c r="U162" t="e">
        <x:f t="shared" si="91"/>
        <x:v>#DIV/0!</x:v>
      </x:c>
    </x:row>
    <x:row r="166">
      <x:c r="A166" s="3" t="s">
        <x:v>74</x:v>
      </x:c>
      <x:c r="B166" s="3"/>
      <x:c r="C166" s="3"/>
      <x:c r="K166" s="3" t="s">
        <x:v>75</x:v>
      </x:c>
      <x:c r="L166" s="3"/>
      <x:c r="M166" s="3"/>
    </x:row>
    <x:row r="167">
      <x:c r="A167" s="1" t="s">
        <x:v>3</x:v>
      </x:c>
      <x:c r="B167" s="1" t="s">
        <x:v>4</x:v>
      </x:c>
      <x:c r="C167" s="1" t="s">
        <x:v>5</x:v>
      </x:c>
      <x:c r="D167" s="1" t="s">
        <x:v>40</x:v>
      </x:c>
      <x:c r="E167" s="1" t="s">
        <x:v>6</x:v>
      </x:c>
      <x:c r="F167" s="1" t="s">
        <x:v>7</x:v>
      </x:c>
      <x:c r="G167" s="1" t="s">
        <x:v>8</x:v>
      </x:c>
      <x:c r="H167" s="1" t="s">
        <x:v>9</x:v>
      </x:c>
      <x:c r="I167" s="1" t="s">
        <x:v>10</x:v>
      </x:c>
      <x:c r="J167" s="1" t="s">
        <x:v>11</x:v>
      </x:c>
      <x:c r="L167" s="1" t="s">
        <x:v>3</x:v>
      </x:c>
      <x:c r="M167" s="1" t="s">
        <x:v>4</x:v>
      </x:c>
      <x:c r="N167" s="1" t="s">
        <x:v>5</x:v>
      </x:c>
      <x:c r="O167" s="1" t="s">
        <x:v>40</x:v>
      </x:c>
      <x:c r="P167" s="1" t="s">
        <x:v>6</x:v>
      </x:c>
      <x:c r="Q167" s="1" t="s">
        <x:v>7</x:v>
      </x:c>
      <x:c r="R167" s="1" t="s">
        <x:v>8</x:v>
      </x:c>
      <x:c r="S167" s="1" t="s">
        <x:v>9</x:v>
      </x:c>
      <x:c r="T167" s="1" t="s">
        <x:v>10</x:v>
      </x:c>
      <x:c r="U167" s="1" t="s">
        <x:v>11</x:v>
      </x:c>
    </x:row>
    <x:row r="168">
      <x:c r="A168" s="1">
        <x:v>-6.7662064512871697E-2</x:v>
      </x:c>
      <x:c r="B168" s="1">
        <x:v>0</x:v>
      </x:c>
      <x:c r="C168" s="1">
        <x:v>-150.59493670885999</x:v>
      </x:c>
      <x:c r="D168" t="n">
        <x:f>C168*(-1.121)-4.2564</x:f>
        <x:v>164.56052405063204</x:v>
      </x:c>
      <x:c r="E168" s="1" t="n">
        <x:f>-A168*1.5</x:f>
        <x:v>0.10149309676930754</x:v>
      </x:c>
      <x:c r="F168" s="1" t="n">
        <x:f>A168*A168*1.5</x:f>
        <x:v>0.006867232461216017</x:v>
      </x:c>
      <x:c r="G168" s="1" t="e">
        <x:f>E168/(B168/60)/0.4572</x:f>
        <x:v>#DIV/0!</x:v>
      </x:c>
      <x:c r="H168" s="1" t="e">
        <x:f>E168*SIN(RADIANS(90))/(B168/60)/0.4572</x:f>
        <x:v>#DIV/0!</x:v>
      </x:c>
      <x:c r="I168" s="1" t="e">
        <x:f>(D168-$D$168)*9.8/1.205/(B168/60)^2/0.4572^4/1000</x:f>
        <x:v>#DIV/0!</x:v>
      </x:c>
      <x:c r="J168" t="e">
        <x:f>I168*4/(3.14^3)</x:f>
        <x:v>#DIV/0!</x:v>
      </x:c>
      <x:c r="L168" s="1">
        <x:v>-9.5162654706225595E-3</x:v>
      </x:c>
      <x:c r="M168" s="1">
        <x:v>0</x:v>
      </x:c>
      <x:c r="N168" s="1">
        <x:v>-154.26984126984101</x:v>
      </x:c>
      <x:c r="O168" t="n">
        <x:f>N168*(-1.121)-4.2564</x:f>
        <x:v>168.68009206349177</x:v>
      </x:c>
      <x:c r="P168" s="1" t="n">
        <x:f>-L168*1.5</x:f>
        <x:v>0.01427439820593384</x:v>
      </x:c>
      <x:c r="Q168" s="1" t="n">
        <x:f>L168*L168*1.5</x:f>
        <x:v>0.00013583896276104482</x:v>
      </x:c>
      <x:c r="R168" s="1" t="e">
        <x:f>P168/(M168/60)/0.4572</x:f>
        <x:v>#DIV/0!</x:v>
      </x:c>
      <x:c r="S168" s="1" t="e">
        <x:f>P168*SIN(RADIANS(90))/(M168/60)/0.4572</x:f>
        <x:v>#DIV/0!</x:v>
      </x:c>
      <x:c r="T168" s="1" t="e">
        <x:f>(O168-$O$168)*9.8/1.205/(M168/60)^2/0.4572^4/1000</x:f>
        <x:v>#DIV/0!</x:v>
      </x:c>
      <x:c r="U168" t="e">
        <x:f>T168*4/(3.14^3)</x:f>
        <x:v>#DIV/0!</x:v>
      </x:c>
    </x:row>
    <x:row r="169">
      <x:c r="A169" s="1">
        <x:v>-0.1693602643329</x:v>
      </x:c>
      <x:c r="B169" s="1">
        <x:v>5030.91698157269</x:v>
      </x:c>
      <x:c r="C169" s="1">
        <x:v>-3191.24377031419</x:v>
      </x:c>
      <x:c r="D169" t="n">
        <x:f t="shared" ref="D169:D190" si="92">C169*(-1.121)-4.2564</x:f>
        <x:v>3573.1278665222067</x:v>
      </x:c>
      <x:c r="E169" s="1" t="n">
        <x:f t="shared" ref="E169:E190" si="93">-A169*1.5</x:f>
        <x:v>0.25404039649935</x:v>
      </x:c>
      <x:c r="F169" s="1" t="n">
        <x:f t="shared" ref="F169:F190" si="94">A169*A169*1.5</x:f>
        <x:v>0.043024348702364636</x:v>
      </x:c>
      <x:c r="G169" s="1" t="n">
        <x:f t="shared" ref="G169:G190" si="95">E169/(B169/60)/0.4572</x:f>
        <x:v>0.006626751113825568</x:v>
      </x:c>
      <x:c r="H169" s="1" t="n">
        <x:f t="shared" ref="H169:H190" si="96">E169*SIN(RADIANS(90))/(B169/60)/0.4572</x:f>
        <x:v>0.006626751113825568</x:v>
      </x:c>
      <x:c r="I169" s="1" t="n">
        <x:f t="shared" ref="I169:I190" si="97">(D169-$D$168)*9.8/1.205/(B169/60)^2/0.4572^4/1000</x:f>
        <x:v>0.09023898873487052</x:v>
      </x:c>
      <x:c r="J169" t="n">
        <x:f t="shared" ref="J169:J190" si="98">I169*4/(3.14^3)</x:f>
        <x:v>0.011659106431995732</x:v>
      </x:c>
      <x:c r="L169" s="1">
        <x:v>-0.14942278774898099</x:v>
      </x:c>
      <x:c r="M169" s="1">
        <x:v>5027.8190848214199</x:v>
      </x:c>
      <x:c r="N169" s="1">
        <x:v>-3168.7948350071701</x:v>
      </x:c>
      <x:c r="O169" t="n">
        <x:f t="shared" ref="O169:O190" si="99">N169*(-1.121)-4.2564</x:f>
        <x:v>3547.9626100430373</x:v>
      </x:c>
      <x:c r="P169" s="1" t="n">
        <x:f t="shared" ref="P169:P190" si="100">-L169*1.5</x:f>
        <x:v>0.22413418162347148</x:v>
      </x:c>
      <x:c r="Q169" s="1" t="n">
        <x:f t="shared" ref="Q169:Q190" si="101">L169*L169*1.5</x:f>
        <x:v>0.033490754248015536</x:v>
      </x:c>
      <x:c r="R169" s="1" t="n">
        <x:f t="shared" ref="R169:R190" si="102">P169/(M169/60)/0.4572</x:f>
        <x:v>0.005850237269883953</x:v>
      </x:c>
      <x:c r="S169" s="1" t="n">
        <x:f t="shared" ref="S169:S190" si="103">P169*SIN(RADIANS(90))/(M169/60)/0.4572</x:f>
        <x:v>0.005850237269883953</x:v>
      </x:c>
      <x:c r="T169" s="1" t="n">
        <x:f t="shared" ref="T169:T190" si="104">(O169-$O$168)*9.8/1.205/(M169/60)^2/0.4572^4/1000</x:f>
        <x:v>0.08957397762746652</x:v>
      </x:c>
      <x:c r="U169" t="n">
        <x:f t="shared" ref="U169:U190" si="105">T169*4/(3.14^3)</x:f>
        <x:v>0.011573185308672167</x:v>
      </x:c>
    </x:row>
    <x:row r="170">
      <x:c r="A170" s="1">
        <x:v>-0.73829517065578298</x:v>
      </x:c>
      <x:c r="B170" s="1">
        <x:v>5004.9994673295396</x:v>
      </x:c>
      <x:c r="C170" s="1">
        <x:v>-3121.01960784313</x:v>
      </x:c>
      <x:c r="D170">
        <x:f t="shared" si="92"/>
        <x:v>3494.4065803921485</x:v>
      </x:c>
      <x:c r="E170" s="1">
        <x:f t="shared" si="93"/>
        <x:v>1.1074427559836746</x:v>
      </x:c>
      <x:c r="F170" s="1">
        <x:f t="shared" si="94"/>
        <x:v>0.81761963852047748</x:v>
      </x:c>
      <x:c r="G170" s="1">
        <x:f t="shared" si="95"/>
        <x:v>2.9037704391310346E-2</x:v>
      </x:c>
      <x:c r="H170" s="1">
        <x:f t="shared" si="96"/>
        <x:v>2.9037704391310346E-2</x:v>
      </x:c>
      <x:c r="I170" s="1">
        <x:f t="shared" si="97"/>
        <x:v>8.9070261502418827E-2</x:v>
      </x:c>
      <x:c r="J170">
        <x:f t="shared" si="98"/>
        <x:v>1.150810390654455E-2</x:v>
      </x:c>
      <x:c r="L170" s="1">
        <x:v>-0.72520592496713498</x:v>
      </x:c>
      <x:c r="M170" s="1">
        <x:v>4988.1988525390598</x:v>
      </x:c>
      <x:c r="N170" s="1">
        <x:v>-3079.7210144927499</x:v>
      </x:c>
      <x:c r="O170">
        <x:f t="shared" si="99"/>
        <x:v>3448.1108572463722</x:v>
      </x:c>
      <x:c r="P170" s="1">
        <x:f t="shared" si="100"/>
        <x:v>1.0878088874507026</x:v>
      </x:c>
      <x:c r="Q170" s="1">
        <x:f t="shared" si="101"/>
        <x:v>0.78888545041115665</x:v>
      </x:c>
      <x:c r="R170" s="1">
        <x:f t="shared" si="102"/>
        <x:v>2.8618961686192396E-2</x:v>
      </x:c>
      <x:c r="S170" s="1">
        <x:f t="shared" si="103"/>
        <x:v>2.8618961686192396E-2</x:v>
      </x:c>
      <x:c r="T170" s="1">
        <x:f t="shared" si="104"/>
        <x:v>8.8313600885068164E-2</x:v>
      </x:c>
      <x:c r="U170">
        <x:f t="shared" si="105"/>
        <x:v>1.1410341433867571E-2</x:v>
      </x:c>
    </x:row>
    <x:row r="171">
      <x:c r="A171" s="1">
        <x:v>-1.4237561247486901</x:v>
      </x:c>
      <x:c r="B171" s="1">
        <x:v>5013.4164341517799</x:v>
      </x:c>
      <x:c r="C171" s="1">
        <x:v>-3019.9239130434698</x:v>
      </x:c>
      <x:c r="D171">
        <x:f t="shared" si="92"/>
        <x:v>3381.0783065217292</x:v>
      </x:c>
      <x:c r="E171" s="1">
        <x:f t="shared" si="93"/>
        <x:v>2.1356341871230349</x:v>
      </x:c>
      <x:c r="F171" s="1">
        <x:f t="shared" si="94"/>
        <x:v>3.040622254139111</x:v>
      </x:c>
      <x:c r="G171" s="1">
        <x:f t="shared" si="95"/>
        <x:v>5.5903385918928836E-2</x:v>
      </x:c>
      <x:c r="H171" s="1">
        <x:f t="shared" si="96"/>
        <x:v>5.5903385918928836E-2</x:v>
      </x:c>
      <x:c r="I171" s="1">
        <x:f t="shared" si="97"/>
        <x:v>8.5750179681649913E-2</x:v>
      </x:c>
      <x:c r="J171">
        <x:f t="shared" si="98"/>
        <x:v>1.1079140906693015E-2</x:v>
      </x:c>
      <x:c r="L171" s="1">
        <x:v>-1.4147033901775501</x:v>
      </x:c>
      <x:c r="M171" s="1">
        <x:v>4952.5145060221303</x:v>
      </x:c>
      <x:c r="N171" s="1">
        <x:v>-2985.1848739495799</x:v>
      </x:c>
      <x:c r="O171">
        <x:f t="shared" si="99"/>
        <x:v>3342.1358436974788</x:v>
      </x:c>
      <x:c r="P171" s="1">
        <x:f t="shared" si="100"/>
        <x:v>2.1220550852663251</x:v>
      </x:c>
      <x:c r="Q171" s="1">
        <x:f t="shared" si="101"/>
        <x:v>3.0020785232697804</x:v>
      </x:c>
      <x:c r="R171" s="1">
        <x:f t="shared" si="102"/>
        <x:v>5.6231015373636742E-2</x:v>
      </x:c>
      <x:c r="S171" s="1">
        <x:f t="shared" si="103"/>
        <x:v>5.6231015373636742E-2</x:v>
      </x:c>
      <x:c r="T171" s="1">
        <x:f t="shared" si="104"/>
        <x:v>8.6695703948827446E-2</x:v>
      </x:c>
      <x:c r="U171">
        <x:f t="shared" si="105"/>
        <x:v>1.1201305042391023E-2</x:v>
      </x:c>
    </x:row>
    <x:row r="172">
      <x:c r="A172" s="1">
        <x:v>-2.1079800354214102</x:v>
      </x:c>
      <x:c r="B172" s="1">
        <x:v>5016.6801562500004</x:v>
      </x:c>
      <x:c r="C172" s="1">
        <x:v>-2911.96055226824</x:v>
      </x:c>
      <x:c r="D172">
        <x:f t="shared" si="92"/>
        <x:v>3260.0513790926966</x:v>
      </x:c>
      <x:c r="E172" s="1">
        <x:f t="shared" si="93"/>
        <x:v>3.1619700531321153</x:v>
      </x:c>
      <x:c r="F172" s="1">
        <x:f t="shared" si="94"/>
        <x:v>6.6653697446028755</x:v>
      </x:c>
      <x:c r="G172" s="1">
        <x:f t="shared" si="95"/>
        <x:v>8.2715398821894826E-2</x:v>
      </x:c>
      <x:c r="H172" s="1">
        <x:f t="shared" si="96"/>
        <x:v>8.2715398821894826E-2</x:v>
      </x:c>
      <x:c r="I172" s="1">
        <x:f t="shared" si="97"/>
        <x:v>8.2416343375710077E-2</x:v>
      </x:c>
      <x:c r="J172">
        <x:f t="shared" si="98"/>
        <x:v>1.0648400792439231E-2</x:v>
      </x:c>
      <x:c r="L172" s="1">
        <x:v>-2.1015763181560398</x:v>
      </x:c>
      <x:c r="M172" s="1">
        <x:v>4952.5890299479097</x:v>
      </x:c>
      <x:c r="N172" s="1">
        <x:v>-2874.3835294117598</x:v>
      </x:c>
      <x:c r="O172">
        <x:f t="shared" si="99"/>
        <x:v>3217.9275364705827</x:v>
      </x:c>
      <x:c r="P172" s="1">
        <x:f t="shared" si="100"/>
        <x:v>3.1523644772340598</x:v>
      </x:c>
      <x:c r="Q172" s="1">
        <x:f t="shared" si="101"/>
        <x:v>6.6249345315514443</x:v>
      </x:c>
      <x:c r="R172" s="1">
        <x:f t="shared" si="102"/>
        <x:v>8.3531284974319567E-2</x:v>
      </x:c>
      <x:c r="S172" s="1">
        <x:f t="shared" si="103"/>
        <x:v>8.3531284974319567E-2</x:v>
      </x:c>
      <x:c r="T172" s="1">
        <x:f t="shared" si="104"/>
        <x:v>8.329994764669986E-2</x:v>
      </x:c>
      <x:c r="U172">
        <x:f t="shared" si="105"/>
        <x:v>1.0762564707435045E-2</x:v>
      </x:c>
    </x:row>
    <x:row r="173">
      <x:c r="A173" s="1">
        <x:v>-2.7928144942159201</x:v>
      </x:c>
      <x:c r="B173" s="1">
        <x:v>4965.0281717051603</x:v>
      </x:c>
      <x:c r="C173" s="1">
        <x:v>-2787.67320261437</x:v>
      </x:c>
      <x:c r="D173">
        <x:f t="shared" si="92"/>
        <x:v>3120.7252601307086</x:v>
      </x:c>
      <x:c r="E173" s="1">
        <x:f t="shared" si="93"/>
        <x:v>4.1892217413238804</x:v>
      </x:c>
      <x:c r="F173" s="1">
        <x:f t="shared" si="94"/>
        <x:v>11.699719198653789</x:v>
      </x:c>
      <x:c r="G173" s="1">
        <x:f t="shared" si="95"/>
        <x:v>0.11072779724648786</x:v>
      </x:c>
      <x:c r="H173" s="1">
        <x:f t="shared" si="96"/>
        <x:v>0.11072779724648786</x:v>
      </x:c>
      <x:c r="I173" s="1">
        <x:f t="shared" si="97"/>
        <x:v>8.0352952764219734E-2</x:v>
      </x:c>
      <x:c r="J173">
        <x:f t="shared" si="98"/>
        <x:v>1.0381805487156845E-2</x:v>
      </x:c>
      <x:c r="L173" s="1">
        <x:v>-2.7878926099786399</x:v>
      </x:c>
      <x:c r="M173" s="1">
        <x:v>4956.2937499999998</x:v>
      </x:c>
      <x:c r="N173" s="1">
        <x:v>-2753.7215496367999</x:v>
      </x:c>
      <x:c r="O173">
        <x:f t="shared" si="99"/>
        <x:v>3082.6654571428526</x:v>
      </x:c>
      <x:c r="P173" s="1">
        <x:f t="shared" si="100"/>
        <x:v>4.18183891496796</x:v>
      </x:c>
      <x:c r="Q173" s="1">
        <x:f t="shared" si="101"/>
        <x:v>11.658517807160269</x:v>
      </x:c>
      <x:c r="R173" s="1">
        <x:f t="shared" si="102"/>
        <x:v>0.11072744787772336</x:v>
      </x:c>
      <x:c r="S173" s="1">
        <x:f t="shared" si="103"/>
        <x:v>0.11072744787772336</x:v>
      </x:c>
      <x:c r="T173" s="1">
        <x:f t="shared" si="104"/>
        <x:v>7.9485870056299063E-2</x:v>
      </x:c>
      <x:c r="U173">
        <x:f t="shared" si="105"/>
        <x:v>1.0269776200052438E-2</x:v>
      </x:c>
    </x:row>
    <x:row r="174">
      <x:c r="A174" s="1">
        <x:v>-3.47393321990966</x:v>
      </x:c>
      <x:c r="B174" s="1">
        <x:v>4971.2466930042601</x:v>
      </x:c>
      <x:c r="C174" s="1">
        <x:v>-2662.35526315789</x:v>
      </x:c>
      <x:c r="D174">
        <x:f t="shared" si="92"/>
        <x:v>2980.2438499999944</x:v>
      </x:c>
      <x:c r="E174" s="1">
        <x:f t="shared" si="93"/>
        <x:v>5.2108998298644895</x:v>
      </x:c>
      <x:c r="F174" s="1">
        <x:f t="shared" si="94"/>
        <x:v>18.102318024587849</x:v>
      </x:c>
      <x:c r="G174" s="1">
        <x:f t="shared" si="95"/>
        <x:v>0.1375600858818363</x:v>
      </x:c>
      <x:c r="H174" s="1">
        <x:f t="shared" si="96"/>
        <x:v>0.1375600858818363</x:v>
      </x:c>
      <x:c r="I174" s="1">
        <x:f t="shared" si="97"/>
        <x:v>7.6343105360046529E-2</x:v>
      </x:c>
      <x:c r="J174">
        <x:f t="shared" si="98"/>
        <x:v>9.8637230228389421E-3</x:v>
      </x:c>
      <x:c r="L174" s="1">
        <x:v>-3.4708054506026902</x:v>
      </x:c>
      <x:c r="M174" s="1">
        <x:v>4952.8555575283999</x:v>
      </x:c>
      <x:c r="N174" s="1">
        <x:v>-2623.09213483146</x:v>
      </x:c>
      <x:c r="O174">
        <x:f t="shared" si="99"/>
        <x:v>2936.2298831460666</x:v>
      </x:c>
      <x:c r="P174" s="1">
        <x:f t="shared" si="100"/>
        <x:v>5.2062081759040355</x:v>
      </x:c>
      <x:c r="Q174" s="1">
        <x:f t="shared" si="101"/>
        <x:v>18.069735713900016</x:v>
      </x:c>
      <x:c r="R174" s="1">
        <x:f t="shared" si="102"/>
        <x:v>0.1379465666773709</x:v>
      </x:c>
      <x:c r="S174" s="1">
        <x:f t="shared" si="103"/>
        <x:v>0.1379465666773709</x:v>
      </x:c>
      <x:c r="T174" s="1">
        <x:f t="shared" si="104"/>
        <x:v>7.5596338397927967E-2</x:v>
      </x:c>
      <x:c r="U174">
        <x:f t="shared" si="105"/>
        <x:v>9.767238835534724E-3</x:v>
      </x:c>
    </x:row>
    <x:row r="175">
      <x:c r="A175" s="1">
        <x:v>-4.1697903527153803</x:v>
      </x:c>
      <x:c r="B175" s="1">
        <x:v>5033.5662508877804</x:v>
      </x:c>
      <x:c r="C175" s="1">
        <x:v>-2526.91982182628</x:v>
      </x:c>
      <x:c r="D175">
        <x:f t="shared" si="92"/>
        <x:v>2828.4207202672596</x:v>
      </x:c>
      <x:c r="E175" s="1">
        <x:f t="shared" si="93"/>
        <x:v>6.2546855290730701</x:v>
      </x:c>
      <x:c r="F175" s="1">
        <x:f t="shared" si="94"/>
        <x:v>26.080727378397384</x:v>
      </x:c>
      <x:c r="G175" s="1">
        <x:f t="shared" si="95"/>
        <x:v>0.16307024317738883</x:v>
      </x:c>
      <x:c r="H175" s="1">
        <x:f t="shared" si="96"/>
        <x:v>0.16307024317738883</x:v>
      </x:c>
      <x:c r="I175" s="1">
        <x:f t="shared" si="97"/>
        <x:v>7.0449269318564184E-2</x:v>
      </x:c>
      <x:c r="J175">
        <x:f t="shared" si="98"/>
        <x:v>9.102224443746143E-3</x:v>
      </x:c>
      <x:c r="L175" s="1">
        <x:v>-4.2230686899703702</x:v>
      </x:c>
      <x:c r="M175" s="1">
        <x:v>4970.5127840908999</x:v>
      </x:c>
      <x:c r="N175" s="1">
        <x:v>-2481.56682027649</x:v>
      </x:c>
      <x:c r="O175">
        <x:f t="shared" si="99"/>
        <x:v>2777.5800055299451</x:v>
      </x:c>
      <x:c r="P175" s="1">
        <x:f t="shared" si="100"/>
        <x:v>6.3346030349555553</x:v>
      </x:c>
      <x:c r="Q175" s="1">
        <x:f t="shared" si="101"/>
        <x:v>26.751463740312087</x:v>
      </x:c>
      <x:c r="R175" s="1">
        <x:f t="shared" si="102"/>
        <x:v>0.16724888766143309</x:v>
      </x:c>
      <x:c r="S175" s="1">
        <x:f t="shared" si="103"/>
        <x:v>0.16724888766143309</x:v>
      </x:c>
      <x:c r="T175" s="1">
        <x:f t="shared" si="104"/>
        <x:v>7.0757368146364075E-2</x:v>
      </x:c>
      <x:c r="U175">
        <x:f t="shared" si="105"/>
        <x:v>9.1420315944606319E-3</x:v>
      </x:c>
    </x:row>
    <x:row r="176">
      <x:c r="A176" s="1">
        <x:v>-4.8326187080807097</x:v>
      </x:c>
      <x:c r="B176" s="1">
        <x:v>5005.3649359808996</x:v>
      </x:c>
      <x:c r="C176" s="1">
        <x:v>-2384.49584487534</x:v>
      </x:c>
      <x:c r="D176">
        <x:f t="shared" si="92"/>
        <x:v>2668.7634421052558</x:v>
      </x:c>
      <x:c r="E176" s="1">
        <x:f t="shared" si="93"/>
        <x:v>7.248928062121065</x:v>
      </x:c>
      <x:c r="F176" s="1">
        <x:f t="shared" si="94"/>
        <x:v>35.031305366537502</x:v>
      </x:c>
      <x:c r="G176" s="1">
        <x:f t="shared" si="95"/>
        <x:v>0.19005665070553979</x:v>
      </x:c>
      <x:c r="H176" s="1">
        <x:f t="shared" si="96"/>
        <x:v>0.19005665070553979</x:v>
      </x:c>
      <x:c r="I176" s="1">
        <x:f t="shared" si="97"/>
        <x:v>6.6975299763727875E-2</x:v>
      </x:c>
      <x:c r="J176">
        <x:f t="shared" si="98"/>
        <x:v>8.6533787579821803E-3</x:v>
      </x:c>
      <x:c r="L176" s="1">
        <x:v>-4.8221767136925102</x:v>
      </x:c>
      <x:c r="M176" s="1">
        <x:v>4981.1177394700999</x:v>
      </x:c>
      <x:c r="N176" s="1">
        <x:v>-2356.1780219780198</x:v>
      </x:c>
      <x:c r="O176">
        <x:f t="shared" si="99"/>
        <x:v>2637.0191626373598</x:v>
      </x:c>
      <x:c r="P176" s="1">
        <x:f t="shared" si="100"/>
        <x:v>7.2332650705387653</x:v>
      </x:c>
      <x:c r="Q176" s="1">
        <x:f t="shared" si="101"/>
        <x:v>34.880082387117447</x:v>
      </x:c>
      <x:c r="R176" s="1">
        <x:f t="shared" si="102"/>
        <x:v>0.19056915219316264</x:v>
      </x:c>
      <x:c r="S176" s="1">
        <x:f t="shared" si="103"/>
        <x:v>0.19056915219316264</x:v>
      </x:c>
      <x:c r="T176" s="1">
        <x:f t="shared" si="104"/>
        <x:v>6.6660389288259458E-2</x:v>
      </x:c>
      <x:c r="U176">
        <x:f t="shared" si="105"/>
        <x:v>8.6126915250963592E-3</x:v>
      </x:c>
    </x:row>
    <x:row r="177">
      <x:c r="A177" s="1">
        <x:v>-5.5132352598420802</x:v>
      </x:c>
      <x:c r="B177" s="1">
        <x:v>5065.9391547308996</x:v>
      </x:c>
      <x:c r="C177" s="1">
        <x:v>-2244.00550964187</x:v>
      </x:c>
      <x:c r="D177">
        <x:f t="shared" si="92"/>
        <x:v>2511.2737763085361</x:v>
      </x:c>
      <x:c r="E177" s="1">
        <x:f t="shared" si="93"/>
        <x:v>8.2698528897631203</x:v>
      </x:c>
      <x:c r="F177" s="1">
        <x:f t="shared" si="94"/>
        <x:v>45.593644545548955</x:v>
      </x:c>
      <x:c r="G177" s="1">
        <x:f t="shared" si="95"/>
        <x:v>0.21423126064423215</x:v>
      </x:c>
      <x:c r="H177" s="1">
        <x:f t="shared" si="96"/>
        <x:v>0.21423126064423215</x:v>
      </x:c>
      <x:c r="I177" s="1">
        <x:f t="shared" si="97"/>
        <x:v>6.1271248501640209E-2</x:v>
      </x:c>
      <x:c r="J177">
        <x:f t="shared" si="98"/>
        <x:v>7.9164008541890186E-3</x:v>
      </x:c>
      <x:c r="L177" s="1">
        <x:v>-5.5084719886049696</x:v>
      </x:c>
      <x:c r="M177" s="1">
        <x:v>4988.5183919270803</x:v>
      </x:c>
      <x:c r="N177" s="1">
        <x:v>-2227.2057416267899</x:v>
      </x:c>
      <x:c r="O177">
        <x:f t="shared" si="99"/>
        <x:v>2492.4412363636311</x:v>
      </x:c>
      <x:c r="P177" s="1">
        <x:f t="shared" si="100"/>
        <x:v>8.2627079829074539</x:v>
      </x:c>
      <x:c r="Q177" s="1">
        <x:f t="shared" si="101"/>
        <x:v>45.514895473868386</x:v>
      </x:c>
      <x:c r="R177" s="1">
        <x:f t="shared" si="102"/>
        <x:v>0.21736812304860759</x:v>
      </x:c>
      <x:c r="S177" s="1">
        <x:f t="shared" si="103"/>
        <x:v>0.21736812304860759</x:v>
      </x:c>
      <x:c r="T177" s="1">
        <x:f t="shared" si="104"/>
        <x:v>6.2569829674664776E-2</x:v>
      </x:c>
      <x:c r="U177">
        <x:f t="shared" si="105"/>
        <x:v>8.0841808384191464E-3</x:v>
      </x:c>
    </x:row>
    <x:row r="178">
      <x:c r="A178" s="1">
        <x:v>-6.1902710327735297</x:v>
      </x:c>
      <x:c r="B178" s="1">
        <x:v>5109.29304584703</x:v>
      </x:c>
      <x:c r="C178" s="1">
        <x:v>-2108.7506426735199</x:v>
      </x:c>
      <x:c r="D178">
        <x:f t="shared" si="92"/>
        <x:v>2359.6530704370157</x:v>
      </x:c>
      <x:c r="E178" s="1">
        <x:f t="shared" si="93"/>
        <x:v>9.2854065491602942</x:v>
      </x:c>
      <x:c r="F178" s="1">
        <x:f t="shared" si="94"/>
        <x:v>57.479183188792589</x:v>
      </x:c>
      <x:c r="G178" s="1">
        <x:f t="shared" si="95"/>
        <x:v>0.2384982186344792</x:v>
      </x:c>
      <x:c r="H178" s="1">
        <x:f t="shared" si="96"/>
        <x:v>0.2384982186344792</x:v>
      </x:c>
      <x:c r="I178" s="1">
        <x:f t="shared" si="97"/>
        <x:v>5.634402299371738E-2</x:v>
      </x:c>
      <x:c r="J178">
        <x:f t="shared" si="98"/>
        <x:v>7.2797908099419516E-3</x:v>
      </x:c>
      <x:c r="L178" s="1">
        <x:v>-6.1899730849400703</x:v>
      </x:c>
      <x:c r="M178" s="1">
        <x:v>5005.2252604166597</x:v>
      </x:c>
      <x:c r="N178" s="1">
        <x:v>-2090.09375</x:v>
      </x:c>
      <x:c r="O178">
        <x:f t="shared" si="99"/>
        <x:v>2338.7386937499996</x:v>
      </x:c>
      <x:c r="P178" s="1">
        <x:f t="shared" si="100"/>
        <x:v>9.2849596274101049</x:v>
      </x:c>
      <x:c r="Q178" s="1">
        <x:f t="shared" si="101"/>
        <x:v>57.473650188423733</x:v>
      </x:c>
      <x:c r="R178" s="1">
        <x:f t="shared" si="102"/>
        <x:v>0.2434453147202203</x:v>
      </x:c>
      <x:c r="S178" s="1">
        <x:f t="shared" si="103"/>
        <x:v>0.2434453147202203</x:v>
      </x:c>
      <x:c r="T178" s="1">
        <x:f t="shared" si="104"/>
        <x:v>5.8041796907782751E-2</x:v>
      </x:c>
      <x:c r="U178">
        <x:f t="shared" si="105"/>
        <x:v>7.4991475097351207E-3</x:v>
      </x:c>
    </x:row>
    <x:row r="179">
      <x:c r="A179" s="1">
        <x:v>-6.8236442662160304</x:v>
      </x:c>
      <x:c r="B179" s="1">
        <x:v>5067.6564941406205</x:v>
      </x:c>
      <x:c r="C179" s="1">
        <x:v>-1999.45287356321</x:v>
      </x:c>
      <x:c r="D179">
        <x:f t="shared" si="92"/>
        <x:v>2237.1302712643583</x:v>
      </x:c>
      <x:c r="E179" s="1">
        <x:f t="shared" si="93"/>
        <x:v>10.235466399324046</x:v>
      </x:c>
      <x:c r="F179" s="1">
        <x:f t="shared" si="94"/>
        <x:v>69.843181607794349</x:v>
      </x:c>
      <x:c r="G179" s="1">
        <x:f t="shared" si="95"/>
        <x:v>0.26506079522790033</x:v>
      </x:c>
      <x:c r="H179" s="1">
        <x:f t="shared" si="96"/>
        <x:v>0.26506079522790033</x:v>
      </x:c>
      <x:c r="I179" s="1">
        <x:f t="shared" si="97"/>
        <x:v>5.4076859138393163E-2</x:v>
      </x:c>
      <x:c r="J179">
        <x:f t="shared" si="98"/>
        <x:v>6.9868674842422209E-3</x:v>
      </x:c>
      <x:c r="L179" s="1">
        <x:v>-6.8212079584924199</x:v>
      </x:c>
      <x:c r="M179" s="1">
        <x:v>5031.5962171052597</x:v>
      </x:c>
      <x:c r="N179" s="1">
        <x:v>-1982.61917808219</x:v>
      </x:c>
      <x:c r="O179">
        <x:f t="shared" si="99"/>
        <x:v>2218.2596986301346</x:v>
      </x:c>
      <x:c r="P179" s="1">
        <x:f t="shared" si="100"/>
        <x:v>10.23181193773863</x:v>
      </x:c>
      <x:c r="Q179" s="1">
        <x:f t="shared" si="101"/>
        <x:v>69.793317019500492</x:v>
      </x:c>
      <x:c r="R179" s="1">
        <x:f t="shared" si="102"/>
        <x:v>0.26686510884545545</x:v>
      </x:c>
      <x:c r="S179" s="1">
        <x:f t="shared" si="103"/>
        <x:v>0.26686510884545545</x:v>
      </x:c>
      <x:c r="T179" s="1">
        <x:f t="shared" si="104"/>
        <x:v>5.424626858898892E-2</x:v>
      </x:c>
      <x:c r="U179">
        <x:f t="shared" si="105"/>
        <x:v>7.0087556153347027E-3</x:v>
      </x:c>
    </x:row>
    <x:row r="180">
      <x:c r="A180" s="1">
        <x:v>-6.1919651505958901</x:v>
      </x:c>
      <x:c r="B180" s="1">
        <x:v>5016.8915527343697</x:v>
      </x:c>
      <x:c r="C180" s="1">
        <x:v>-2113.1321695760598</x:v>
      </x:c>
      <x:c r="D180">
        <x:f t="shared" si="92"/>
        <x:v>2364.564762094763</x:v>
      </x:c>
      <x:c r="E180" s="1">
        <x:f t="shared" si="93"/>
        <x:v>9.2879477258938348</x:v>
      </x:c>
      <x:c r="F180" s="1">
        <x:f t="shared" si="94"/>
        <x:v>57.510648639290977</x:v>
      </x:c>
      <x:c r="G180" s="1">
        <x:f t="shared" si="95"/>
        <x:v>0.24295737008945731</x:v>
      </x:c>
      <x:c r="H180" s="1">
        <x:f t="shared" si="96"/>
        <x:v>0.24295737008945731</x:v>
      </x:c>
      <x:c r="I180" s="1">
        <x:f t="shared" si="97"/>
        <x:v>5.8569394416687265E-2</x:v>
      </x:c>
      <x:c r="J180">
        <x:f t="shared" si="98"/>
        <x:v>7.5673144472841059E-3</x:v>
      </x:c>
      <x:c r="L180" s="1">
        <x:v>-6.1932641557380901</x:v>
      </x:c>
      <x:c r="M180" s="1">
        <x:v>5034.1795518663102</x:v>
      </x:c>
      <x:c r="N180" s="1">
        <x:v>-2099.1408450704198</x:v>
      </x:c>
      <x:c r="O180">
        <x:f t="shared" si="99"/>
        <x:v>2348.8804873239405</x:v>
      </x:c>
      <x:c r="P180" s="1">
        <x:f t="shared" si="100"/>
        <x:v>9.2898962336071342</x:v>
      </x:c>
      <x:c r="Q180" s="1">
        <x:f t="shared" si="101"/>
        <x:v>57.534781354125357</x:v>
      </x:c>
      <x:c r="R180" s="1">
        <x:f t="shared" si="102"/>
        <x:v>0.24217381894891812</x:v>
      </x:c>
      <x:c r="S180" s="1">
        <x:f t="shared" si="103"/>
        <x:v>0.24217381894891812</x:v>
      </x:c>
      <x:c r="T180" s="1">
        <x:f t="shared" si="104"/>
        <x:v>5.7644205020202378E-2</x:v>
      </x:c>
      <x:c r="U180">
        <x:f t="shared" si="105"/>
        <x:v>7.4477776285032139E-3</x:v>
      </x:c>
    </x:row>
    <x:row r="181">
      <x:c r="A181" s="1">
        <x:v>-5.5202656996132102</x:v>
      </x:c>
      <x:c r="B181" s="1">
        <x:v>5004.0502685546799</x:v>
      </x:c>
      <x:c r="C181" s="1">
        <x:v>-2243.0024752475201</x:v>
      </x:c>
      <x:c r="D181">
        <x:f t="shared" si="92"/>
        <x:v>2510.1493747524696</x:v>
      </x:c>
      <x:c r="E181" s="1">
        <x:f t="shared" si="93"/>
        <x:v>8.2803985494198145</x:v>
      </x:c>
      <x:c r="F181" s="1">
        <x:f t="shared" si="94"/>
        <x:v>45.710000091489192</x:v>
      </x:c>
      <x:c r="G181" s="1">
        <x:f t="shared" si="95"/>
        <x:v>0.21715738611388388</x:v>
      </x:c>
      <x:c r="H181" s="1">
        <x:f t="shared" si="96"/>
        <x:v>0.21715738611388388</x:v>
      </x:c>
      <x:c r="I181" s="1">
        <x:f t="shared" si="97"/>
        <x:v>6.2766108573470869E-2</x:v>
      </x:c>
      <x:c r="J181">
        <x:f t="shared" si="98"/>
        <x:v>8.1095405704331956E-3</x:v>
      </x:c>
      <x:c r="L181" s="1">
        <x:v>-5.5170249144236196</x:v>
      </x:c>
      <x:c r="M181" s="1">
        <x:v>5041.9513811383904</x:v>
      </x:c>
      <x:c r="N181" s="1">
        <x:v>-2228.4965357967599</x:v>
      </x:c>
      <x:c r="O181">
        <x:f t="shared" si="99"/>
        <x:v>2493.8882166281678</x:v>
      </x:c>
      <x:c r="P181" s="1">
        <x:f t="shared" si="100"/>
        <x:v>8.2755373716354299</x:v>
      </x:c>
      <x:c r="Q181" s="1">
        <x:f t="shared" si="101"/>
        <x:v>45.656345859556424</x:v>
      </x:c>
      <x:c r="R181" s="1">
        <x:f t="shared" si="102"/>
        <x:v>0.21539845277447617</x:v>
      </x:c>
      <x:c r="S181" s="1">
        <x:f t="shared" si="103"/>
        <x:v>0.21539845277447617</x:v>
      </x:c>
      <x:c r="T181" s="1">
        <x:f t="shared" si="104"/>
        <x:v>6.1288806942105117E-2</x:v>
      </x:c>
      <x:c r="U181">
        <x:f t="shared" si="105"/>
        <x:v>7.9186694492722563E-3</x:v>
      </x:c>
    </x:row>
    <x:row r="182">
      <x:c r="A182" s="1">
        <x:v>-4.8435312430063799</x:v>
      </x:c>
      <x:c r="B182" s="1">
        <x:v>4952.5535074869704</x:v>
      </x:c>
      <x:c r="C182" s="1">
        <x:v>-2367.7369519832901</x:v>
      </x:c>
      <x:c r="D182">
        <x:f t="shared" si="92"/>
        <x:v>2649.9767231732681</x:v>
      </x:c>
      <x:c r="E182" s="1">
        <x:f t="shared" si="93"/>
        <x:v>7.2652968645095699</x:v>
      </x:c>
      <x:c r="F182" s="1">
        <x:f t="shared" si="94"/>
        <x:v>35.189692352968393</x:v>
      </x:c>
      <x:c r="G182" s="1">
        <x:f t="shared" si="95"/>
        <x:v>0.19251705825015331</x:v>
      </x:c>
      <x:c r="H182" s="1">
        <x:f t="shared" si="96"/>
        <x:v>0.19251705825015331</x:v>
      </x:c>
      <x:c r="I182" s="1">
        <x:f t="shared" si="97"/>
        <x:v>6.7898067635626655E-2</x:v>
      </x:c>
      <x:c r="J182">
        <x:f t="shared" si="98"/>
        <x:v>8.7726027096390845E-3</x:v>
      </x:c>
      <x:c r="L182" s="1">
        <x:v>-4.8451995253562901</x:v>
      </x:c>
      <x:c r="M182" s="1">
        <x:v>4967.4566162109304</x:v>
      </x:c>
      <x:c r="N182" s="1">
        <x:v>-2364.0250000000001</x:v>
      </x:c>
      <x:c r="O182">
        <x:f t="shared" si="99"/>
        <x:v>2645.8156249999997</x:v>
      </x:c>
      <x:c r="P182" s="1">
        <x:f t="shared" si="100"/>
        <x:v>7.2677992880344355</x:v>
      </x:c>
      <x:c r="Q182" s="1">
        <x:f t="shared" si="101"/>
        <x:v>35.213937660769233</x:v>
      </x:c>
      <x:c r="R182" s="1">
        <x:f t="shared" si="102"/>
        <x:v>0.19200558914045968</x:v>
      </x:c>
      <x:c r="S182" s="1">
        <x:f t="shared" si="103"/>
        <x:v>0.19200558914045968</x:v>
      </x:c>
      <x:c r="T182" s="1">
        <x:f t="shared" si="104"/>
        <x:v>6.7266409372690975E-2</x:v>
      </x:c>
      <x:c r="U182">
        <x:f t="shared" si="105"/>
        <x:v>8.6909908584928541E-3</x:v>
      </x:c>
    </x:row>
    <x:row r="183">
      <x:c r="A183" s="1">
        <x:v>-4.1026142978995903</x:v>
      </x:c>
      <x:c r="B183" s="1">
        <x:v>4932.9060984644302</x:v>
      </x:c>
      <x:c r="C183" s="1">
        <x:v>-2512.73149741824</x:v>
      </x:c>
      <x:c r="D183">
        <x:f t="shared" si="92"/>
        <x:v>2812.5156086058469</x:v>
      </x:c>
      <x:c r="E183" s="1">
        <x:f t="shared" si="93"/>
        <x:v>6.1539214468493855</x:v>
      </x:c>
      <x:c r="F183" s="1">
        <x:f t="shared" si="94"/>
        <x:v>25.247166115995221</x:v>
      </x:c>
      <x:c r="G183" s="1">
        <x:f t="shared" si="95"/>
        <x:v>0.16371713217801021</x:v>
      </x:c>
      <x:c r="H183" s="1">
        <x:f t="shared" si="96"/>
        <x:v>0.16371713217801021</x:v>
      </x:c>
      <x:c r="I183" s="1">
        <x:f t="shared" si="97"/>
        <x:v>7.2915785721901175E-2</x:v>
      </x:c>
      <x:c r="J183">
        <x:f t="shared" si="98"/>
        <x:v>9.4209046247404216E-3</x:v>
      </x:c>
      <x:c r="L183" s="1">
        <x:v>-4.1042445624316102</x:v>
      </x:c>
      <x:c r="M183" s="1">
        <x:v>4957.05906394675</x:v>
      </x:c>
      <x:c r="N183" s="1">
        <x:v>-2500.3636363636301</x:v>
      </x:c>
      <x:c r="O183">
        <x:f t="shared" si="99"/>
        <x:v>2798.6512363636293</x:v>
      </x:c>
      <x:c r="P183" s="1">
        <x:f t="shared" si="100"/>
        <x:v>6.1563668436474153</x:v>
      </x:c>
      <x:c r="Q183" s="1">
        <x:f t="shared" si="101"/>
        <x:v>25.267235142374155</x:v>
      </x:c>
      <x:c r="R183" s="1">
        <x:f t="shared" si="102"/>
        <x:v>0.16298417015748054</x:v>
      </x:c>
      <x:c r="S183" s="1">
        <x:f t="shared" si="103"/>
        <x:v>0.16298417015748054</x:v>
      </x:c>
      <x:c r="T183" s="1">
        <x:f t="shared" si="104"/>
        <x:v>7.1716558213205259E-2</x:v>
      </x:c>
      <x:c r="U183">
        <x:f t="shared" si="105"/>
        <x:v>9.265961386168203E-3</x:v>
      </x:c>
    </x:row>
    <x:row r="184">
      <x:c r="A184" s="1">
        <x:v>-3.4878244347042502</x:v>
      </x:c>
      <x:c r="B184" s="1">
        <x:v>4939.4786217730898</x:v>
      </x:c>
      <x:c r="C184" s="1">
        <x:v>-2624.2561247215999</x:v>
      </x:c>
      <x:c r="D184">
        <x:f t="shared" si="92"/>
        <x:v>2937.5347158129134</x:v>
      </x:c>
      <x:c r="E184" s="1">
        <x:f t="shared" si="93"/>
        <x:v>5.2317366520563748</x:v>
      </x:c>
      <x:c r="F184" s="1">
        <x:f t="shared" si="94"/>
        <x:v>18.247378930980034</x:v>
      </x:c>
      <x:c r="G184" s="1">
        <x:f t="shared" si="95"/>
        <x:v>0.13899839754429411</x:v>
      </x:c>
      <x:c r="H184" s="1">
        <x:f t="shared" si="96"/>
        <x:v>0.13899839754429411</x:v>
      </x:c>
      <x:c r="I184" s="1">
        <x:f t="shared" si="97"/>
        <x:v>7.6155320463491993E-2</x:v>
      </x:c>
      <x:c r="J184">
        <x:f t="shared" si="98"/>
        <x:v>9.8394607374793028E-3</x:v>
      </x:c>
      <x:c r="L184" s="1">
        <x:v>-3.48692332283925</x:v>
      </x:c>
      <x:c r="M184" s="1">
        <x:v>4923.2373860676998</x:v>
      </x:c>
      <x:c r="N184" s="1">
        <x:v>-2615.6411889596602</x:v>
      </x:c>
      <x:c r="O184">
        <x:f t="shared" si="99"/>
        <x:v>2927.8773728237788</x:v>
      </x:c>
      <x:c r="P184" s="1">
        <x:f t="shared" si="100"/>
        <x:v>5.2303849842588752</x:v>
      </x:c>
      <x:c r="Q184" s="1">
        <x:f t="shared" si="101"/>
        <x:v>18.237951389040475</x:v>
      </x:c>
      <x:c r="R184" s="1">
        <x:f t="shared" si="102"/>
        <x:v>0.13942090845503774</x:v>
      </x:c>
      <x:c r="S184" s="1">
        <x:f t="shared" si="103"/>
        <x:v>0.13942090845503774</x:v>
      </x:c>
      <x:c r="T184" s="1">
        <x:f t="shared" si="104"/>
        <x:v>7.6277744434383801E-2</x:v>
      </x:c>
      <x:c r="U184">
        <x:f t="shared" si="105"/>
        <x:v>9.8552782253131799E-3</x:v>
      </x:c>
    </x:row>
    <x:row r="185">
      <x:c r="A185" s="1">
        <x:v>-2.8091081884400499</x:v>
      </x:c>
      <x:c r="B185" s="1">
        <x:v>4936.61818529212</x:v>
      </x:c>
      <x:c r="C185" s="1">
        <x:v>-2736.4451612903199</x:v>
      </x:c>
      <x:c r="D185">
        <x:f t="shared" si="92"/>
        <x:v>3063.2986258064484</x:v>
      </x:c>
      <x:c r="E185" s="1">
        <x:f t="shared" si="93"/>
        <x:v>4.2136622826600751</x:v>
      </x:c>
      <x:c r="F185" s="1">
        <x:f t="shared" si="94"/>
        <x:v>11.836633221541408</x:v>
      </x:c>
      <x:c r="G185" s="1">
        <x:f t="shared" si="95"/>
        <x:v>0.11201475019681066</x:v>
      </x:c>
      <x:c r="H185" s="1">
        <x:f t="shared" si="96"/>
        <x:v>0.11201475019681066</x:v>
      </x:c>
      <x:c r="I185" s="1">
        <x:f t="shared" si="97"/>
        <x:v>7.9701509040236901E-2</x:v>
      </x:c>
      <x:c r="J185">
        <x:f t="shared" si="98"/>
        <x:v>1.029763730421447E-2</x:v>
      </x:c>
      <x:c r="L185" s="1">
        <x:v>-2.8077942960792099</x:v>
      </x:c>
      <x:c r="M185" s="1">
        <x:v>4929.8178013392799</x:v>
      </x:c>
      <x:c r="N185" s="1">
        <x:v>-2727.9398148148098</x:v>
      </x:c>
      <x:c r="O185">
        <x:f t="shared" si="99"/>
        <x:v>3053.7641324074016</x:v>
      </x:c>
      <x:c r="P185" s="1">
        <x:f t="shared" si="100"/>
        <x:v>4.2116914441188147</x:v>
      </x:c>
      <x:c r="Q185" s="1">
        <x:f t="shared" si="101"/>
        <x:v>11.825563213642418</x:v>
      </x:c>
      <x:c r="R185" s="1">
        <x:f t="shared" si="102"/>
        <x:v>0.11211680327493279</x:v>
      </x:c>
      <x:c r="S185" s="1">
        <x:f t="shared" si="103"/>
        <x:v>0.11211680327493279</x:v>
      </x:c>
      <x:c r="T185" s="1">
        <x:f t="shared" si="104"/>
        <x:v>7.9545089276824812E-2</x:v>
      </x:c>
      <x:c r="U185">
        <x:f t="shared" si="105"/>
        <x:v>1.027742747368271E-2</x:v>
      </x:c>
    </x:row>
    <x:row r="186">
      <x:c r="A186" s="1">
        <x:v>-2.1219999294926</x:v>
      </x:c>
      <x:c r="B186" s="1">
        <x:v>4921.2700892857101</x:v>
      </x:c>
      <x:c r="C186" s="1">
        <x:v>-2842.5673076922999</x:v>
      </x:c>
      <x:c r="D186">
        <x:f t="shared" si="92"/>
        <x:v>3182.2615519230681</x:v>
      </x:c>
      <x:c r="E186" s="1">
        <x:f t="shared" si="93"/>
        <x:v>3.1829998942389</x:v>
      </x:c>
      <x:c r="F186" s="1">
        <x:f t="shared" si="94"/>
        <x:v>6.7543255511498987</x:v>
      </x:c>
      <x:c r="G186" s="1">
        <x:f t="shared" si="95"/>
        <x:v>8.4879820447792215E-2</x:v>
      </x:c>
      <x:c r="H186" s="1">
        <x:f t="shared" si="96"/>
        <x:v>8.4879820447792215E-2</x:v>
      </x:c>
      <x:c r="I186" s="1">
        <x:f t="shared" si="97"/>
        <x:v>8.3490767263243559E-2</x:v>
      </x:c>
      <x:c r="J186">
        <x:f t="shared" si="98"/>
        <x:v>1.0787219086321451E-2</x:v>
      </x:c>
      <x:c r="L186" s="1">
        <x:v>-2.12227411391371</x:v>
      </x:c>
      <x:c r="M186" s="1">
        <x:v>4914.8996263586896</x:v>
      </x:c>
      <x:c r="N186" s="1">
        <x:v>-2836.1265822784799</x:v>
      </x:c>
      <x:c r="O186">
        <x:f t="shared" si="99"/>
        <x:v>3175.0414987341755</x:v>
      </x:c>
      <x:c r="P186" s="1">
        <x:f t="shared" si="100"/>
        <x:v>3.1834111708705652</x:v>
      </x:c>
      <x:c r="Q186" s="1">
        <x:f t="shared" si="101"/>
        <x:v>6.7560711218823348</x:v>
      </x:c>
      <x:c r="R186" s="1">
        <x:f t="shared" si="102"/>
        <x:v>8.5000819268900907E-2</x:v>
      </x:c>
      <x:c r="S186" s="1">
        <x:f t="shared" si="103"/>
        <x:v>8.5000819268900907E-2</x:v>
      </x:c>
      <x:c r="T186" s="1">
        <x:f t="shared" si="104"/>
        <x:v>8.3392793937044046E-2</x:v>
      </x:c>
      <x:c r="U186">
        <x:f t="shared" si="105"/>
        <x:v>1.0774560683854056E-2</x:v>
      </x:c>
    </x:row>
    <x:row r="187">
      <x:c r="A187" s="1">
        <x:v>-1.4362922198751999</x:v>
      </x:c>
      <x:c r="B187" s="1">
        <x:v>4937.7504458220101</x:v>
      </x:c>
      <x:c r="C187" s="1">
        <x:v>-2941.1407249466902</x:v>
      </x:c>
      <x:c r="D187">
        <x:f t="shared" si="92"/>
        <x:v>3292.7623526652396</x:v>
      </x:c>
      <x:c r="E187" s="1">
        <x:f t="shared" si="93"/>
        <x:v>2.1544383298128</x:v>
      </x:c>
      <x:c r="F187" s="1">
        <x:f t="shared" si="94"/>
        <x:v>3.0944030113110448</x:v>
      </x:c>
      <x:c r="G187" s="1">
        <x:f t="shared" si="95"/>
        <x:v>5.7259817411599231E-2</x:v>
      </x:c>
      <x:c r="H187" s="1">
        <x:f t="shared" si="96"/>
        <x:v>5.7259817411599231E-2</x:v>
      </x:c>
      <x:c r="I187" s="1">
        <x:f t="shared" si="97"/>
        <x:v>8.5971228845120012E-2</x:v>
      </x:c>
      <x:c r="J187">
        <x:f t="shared" si="98"/>
        <x:v>1.1107701019785303E-2</x:v>
      </x:c>
      <x:c r="L187" s="1">
        <x:v>-1.43555775831701</x:v>
      </x:c>
      <x:c r="M187" s="1">
        <x:v>4947.8967013888796</x:v>
      </x:c>
      <x:c r="N187" s="1">
        <x:v>-2933.9943925233601</x:v>
      </x:c>
      <x:c r="O187">
        <x:f t="shared" si="99"/>
        <x:v>3284.7513140186866</x:v>
      </x:c>
      <x:c r="P187" s="1">
        <x:f t="shared" si="100"/>
        <x:v>2.153336637475515</x:v>
      </x:c>
      <x:c r="Q187" s="1">
        <x:f t="shared" si="101"/>
        <x:v>3.0912391161962387</x:v>
      </x:c>
      <x:c r="R187" s="1">
        <x:f t="shared" si="102"/>
        <x:v>5.7113178984840147E-2</x:v>
      </x:c>
      <x:c r="S187" s="1">
        <x:f t="shared" si="103"/>
        <x:v>5.7113178984840147E-2</x:v>
      </x:c>
      <x:c r="T187" s="1">
        <x:f t="shared" si="104"/>
        <x:v>8.5286986567312179E-2</x:v>
      </x:c>
      <x:c r="U187">
        <x:f t="shared" si="105"/>
        <x:v>1.1019295180423874E-2</x:v>
      </x:c>
    </x:row>
    <x:row r="188">
      <x:c r="A188" s="1">
        <x:v>-0.67611719760219602</x:v>
      </x:c>
      <x:c r="B188" s="1">
        <x:v>4941.07939009233</x:v>
      </x:c>
      <x:c r="C188" s="1">
        <x:v>-3028.9779249448102</x:v>
      </x:c>
      <x:c r="D188">
        <x:f t="shared" si="92"/>
        <x:v>3391.2278538631322</x:v>
      </x:c>
      <x:c r="E188" s="1">
        <x:f t="shared" si="93"/>
        <x:v>1.014175796403294</x:v>
      </x:c>
      <x:c r="F188" s="1">
        <x:f t="shared" si="94"/>
        <x:v>0.6857016973401705</x:v>
      </x:c>
      <x:c r="G188" s="1">
        <x:f t="shared" si="95"/>
        <x:v>2.6936206854465933E-2</x:v>
      </x:c>
      <x:c r="H188" s="1">
        <x:f t="shared" si="96"/>
        <x:v>2.6936206854465933E-2</x:v>
      </x:c>
      <x:c r="I188" s="1">
        <x:f t="shared" si="97"/>
        <x:v>8.8557871705650562E-2</x:v>
      </x:c>
      <x:c r="J188">
        <x:f t="shared" si="98"/>
        <x:v>1.1441901844011004E-2</x:v>
      </x:c>
      <x:c r="L188" s="1">
        <x:v>-0.74840872991280405</x:v>
      </x:c>
      <x:c r="M188" s="1">
        <x:v>4938.2598673502598</x:v>
      </x:c>
      <x:c r="N188" s="1">
        <x:v>-3027.0576131687199</x:v>
      </x:c>
      <x:c r="O188">
        <x:f t="shared" si="99"/>
        <x:v>3389.0751843621347</x:v>
      </x:c>
      <x:c r="P188" s="1">
        <x:f t="shared" si="100"/>
        <x:v>1.1226130948692061</x:v>
      </x:c>
      <x:c r="Q188" s="1">
        <x:f t="shared" si="101"/>
        <x:v>0.84017344051454479</x:v>
      </x:c>
      <x:c r="R188" s="1">
        <x:f t="shared" si="102"/>
        <x:v>2.983329291892697E-2</x:v>
      </x:c>
      <x:c r="S188" s="1">
        <x:f t="shared" si="103"/>
        <x:v>2.983329291892697E-2</x:v>
      </x:c>
      <x:c r="T188" s="1">
        <x:f t="shared" si="104"/>
        <x:v>8.8486683591569623E-2</x:v>
      </x:c>
      <x:c r="U188">
        <x:f t="shared" si="105"/>
        <x:v>1.1432704158948273E-2</x:v>
      </x:c>
    </x:row>
    <x:row r="189">
      <x:c r="A189" s="1">
        <x:v>-0.17781253076261899</x:v>
      </x:c>
      <x:c r="B189" s="1">
        <x:v>4934.7951660156205</x:v>
      </x:c>
      <x:c r="C189" s="1">
        <x:v>-3071.7063291139202</x:v>
      </x:c>
      <x:c r="D189">
        <x:f t="shared" si="92"/>
        <x:v>3439.1263949367044</x:v>
      </x:c>
      <x:c r="E189" s="1">
        <x:f t="shared" si="93"/>
        <x:v>0.26671879614392846</x:v>
      </x:c>
      <x:c r="F189" s="1">
        <x:f t="shared" si="94"/>
        <x:v>4.7425944144310984E-2</x:v>
      </x:c>
      <x:c r="G189" s="1">
        <x:f t="shared" si="95"/>
        <x:v>7.0929928209798598E-3</x:v>
      </x:c>
      <x:c r="H189" s="1">
        <x:f t="shared" si="96"/>
        <x:v>7.0929928209798598E-3</x:v>
      </x:c>
      <x:c r="I189" s="1">
        <x:f t="shared" si="97"/>
        <x:v>9.0101518948486031E-2</x:v>
      </x:c>
      <x:c r="J189">
        <x:f t="shared" si="98"/>
        <x:v>1.1641344986603767E-2</x:v>
      </x:c>
      <x:c r="L189" s="1">
        <x:v>-0.178294409795001</x:v>
      </x:c>
      <x:c r="M189" s="1">
        <x:v>4941.1484736689799</x:v>
      </x:c>
      <x:c r="N189" s="1">
        <x:v>-3069.7245841035101</x:v>
      </x:c>
      <x:c r="O189">
        <x:f t="shared" si="99"/>
        <x:v>3436.9048587800344</x:v>
      </x:c>
      <x:c r="P189" s="1">
        <x:f t="shared" si="100"/>
        <x:v>0.26744161469250149</x:v>
      </x:c>
      <x:c r="Q189" s="1">
        <x:f t="shared" si="101"/>
        <x:v>4.7683344846221623E-2</x:v>
      </x:c>
      <x:c r="R189" s="1">
        <x:f t="shared" si="102"/>
        <x:v>7.1030702578209421E-3</x:v>
      </x:c>
      <x:c r="S189" s="1">
        <x:f t="shared" si="103"/>
        <x:v>7.1030702578209421E-3</x:v>
      </x:c>
      <x:c r="T189" s="1">
        <x:f t="shared" si="104"/>
        <x:v>8.9695932970337525E-2</x:v>
      </x:c>
      <x:c r="U189">
        <x:f t="shared" si="105"/>
        <x:v>1.158894224857606E-2</x:v>
      </x:c>
    </x:row>
    <x:row r="190">
      <x:c r="A190" s="1">
        <x:v>-0.116066657982411</x:v>
      </x:c>
      <x:c r="B190" s="1">
        <x:v>0</x:v>
      </x:c>
      <x:c r="C190" s="1">
        <x:v>-152.37611940298501</x:v>
      </x:c>
      <x:c r="D190">
        <x:f t="shared" si="92"/>
        <x:v>166.55722985074618</x:v>
      </x:c>
      <x:c r="E190" s="1">
        <x:f t="shared" si="93"/>
        <x:v>0.17409998697361651</x:v>
      </x:c>
      <x:c r="F190" s="1">
        <x:f t="shared" si="94"/>
        <x:v>2.0207203642808959E-2</x:v>
      </x:c>
      <x:c r="G190" s="1" t="e">
        <x:f t="shared" si="95"/>
        <x:v>#DIV/0!</x:v>
      </x:c>
      <x:c r="H190" s="1" t="e">
        <x:f t="shared" si="96"/>
        <x:v>#DIV/0!</x:v>
      </x:c>
      <x:c r="I190" s="1" t="e">
        <x:f t="shared" si="97"/>
        <x:v>#DIV/0!</x:v>
      </x:c>
      <x:c r="J190" t="e">
        <x:f t="shared" si="98"/>
        <x:v>#DIV/0!</x:v>
      </x:c>
      <x:c r="L190" s="1">
        <x:v>-9.3133666474992993E-2</x:v>
      </x:c>
      <x:c r="M190" s="1">
        <x:v>0</x:v>
      </x:c>
      <x:c r="N190" s="1">
        <x:v>-149.46875</x:v>
      </x:c>
      <x:c r="O190">
        <x:f t="shared" si="99"/>
        <x:v>163.29806875</x:v>
      </x:c>
      <x:c r="P190" s="1">
        <x:f t="shared" si="100"/>
        <x:v>0.13970049971248949</x:v>
      </x:c>
      <x:c r="Q190" s="1">
        <x:f t="shared" si="101"/>
        <x:v>1.3010819746612851E-2</x:v>
      </x:c>
      <x:c r="R190" s="1" t="e">
        <x:f t="shared" si="102"/>
        <x:v>#DIV/0!</x:v>
      </x:c>
      <x:c r="S190" s="1" t="e">
        <x:f t="shared" si="103"/>
        <x:v>#DIV/0!</x:v>
      </x:c>
      <x:c r="T190" s="1" t="e">
        <x:f t="shared" si="104"/>
        <x:v>#DIV/0!</x:v>
      </x:c>
      <x:c r="U190" t="e">
        <x:f t="shared" si="105"/>
        <x:v>#DIV/0!</x:v>
      </x:c>
    </x:row>
  </x:sheetData>
  <x:mergeCells>
    <x:mergeCell ref="A111:C111"/>
    <x:mergeCell ref="K111:M111"/>
    <x:mergeCell ref="A138:C138"/>
    <x:mergeCell ref="K138:M138"/>
    <x:mergeCell ref="A166:C166"/>
    <x:mergeCell ref="K166:M166"/>
    <x:mergeCell ref="AC1:AT1"/>
    <x:mergeCell ref="A84:C84"/>
    <x:mergeCell ref="K84:M84"/>
    <x:mergeCell ref="A1:C1"/>
    <x:mergeCell ref="E1:G1"/>
    <x:mergeCell ref="L28:N28"/>
    <x:mergeCell ref="A56:C56"/>
    <x:mergeCell ref="K56:M56"/>
    <x:mergeCell ref="A28:D28"/>
  </x:mergeCells>
  <x:pageMargins left="0.7" right="0.7" top="0.75" bottom="0.75" header="0.3" footer="0.3"/>
  <x:drawing xmlns:r="http://schemas.openxmlformats.org/officeDocument/2006/relationships" r:id="R212f7e2cb868441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0" hidden="0" customWidth="1"/>
    <x:col min="4" max="4" width="10" hidden="0" customWidth="1"/>
    <x:col min="5" max="5" width="12" hidden="0" customWidth="1"/>
    <x:col min="6" max="6" width="9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28" customHeight="1">
      <x:c r="A1" s="6" t="str">
        <x:v>实验升力标定与气动系数自动计算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</x:row>
    <x:row r="2" ht="28" customHeight="1">
      <x:c r="A2" s="9" t="str">
        <x:v>标定斜率</x:v>
      </x:c>
      <x:c r="B2" s="10" t="n">
        <x:v>0.915708</x:v>
      </x:c>
      <x:c r="D2" s="13" t="str">
        <x:v>标定关系：新升力 y = 0.915708 × 原升力 x + 28.7687；原始工作表保持不变，本表通过公式引用原始数据。</x:v>
      </x:c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</x:row>
    <x:row r="3" ht="28" customHeight="1">
      <x:c r="A3" s="9" t="str">
        <x:v>标定截距</x:v>
      </x:c>
      <x:c r="B3" s="10" t="n">
        <x:v>28.7687</x:v>
      </x:c>
      <x:c r="D3" s="13" t="str">
        <x:v>原升力 x 沿用原表零点扣除关系：升力读数 − 零点读数；随后对净升力应用标定式，并用标定升力 y 计算 C_T_prop。</x:v>
      </x:c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</x:row>
    <x:row r="4">
      <x:c r="A4" s="9" t="str">
        <x:v>空气密度 ρ (kg/m³)</x:v>
      </x:c>
      <x:c r="B4" s="10" t="n">
        <x:v>1.205</x:v>
      </x:c>
    </x:row>
    <x:row r="5">
      <x:c r="A5" s="9" t="str">
        <x:v>桨直径 D (m)</x:v>
      </x:c>
      <x:c r="B5" s="10" t="n">
        <x:v>0.4572</x:v>
      </x:c>
    </x:row>
    <x:row r="6">
      <x:c r="A6" s="9" t="str">
        <x:v>重力加速度 g (m/s²)</x:v>
      </x:c>
      <x:c r="B6" s="10" t="n">
        <x:v>9.8</x:v>
      </x:c>
    </x:row>
    <x:row r="7">
      <x:c r="A7" s="9" t="str">
        <x:v>克→千克换算</x:v>
      </x:c>
      <x:c r="B7" s="10" t="n">
        <x:v>1000</x:v>
      </x:c>
    </x:row>
    <x:row r="8">
      <x:c r="A8" s="9" t="str">
        <x:v>C_T换算因子</x:v>
      </x:c>
      <x:c r="B8" s="10" t="n">
        <x:v>0.1292025386748419</x:v>
      </x:c>
    </x:row>
    <x:row r="10" ht="38" customHeight="1">
      <x:c r="A10" s="18" t="str">
        <x:v>rpm</x:v>
      </x:c>
      <x:c r="B10" s="18" t="str">
        <x:v>角度(°)</x:v>
      </x:c>
      <x:c r="C10" s="18" t="str">
        <x:v>采样序号</x:v>
      </x:c>
      <x:c r="D10" s="18" t="str">
        <x:v>重复实验</x:v>
      </x:c>
      <x:c r="E10" s="18" t="str">
        <x:v>源工作表</x:v>
      </x:c>
      <x:c r="F10" s="18" t="str">
        <x:v>源行</x:v>
      </x:c>
      <x:c r="G10" s="18" t="str">
        <x:v>v_a</x:v>
      </x:c>
      <x:c r="H10" s="18" t="str">
        <x:v>rpm_mean</x:v>
      </x:c>
      <x:c r="I10" s="18" t="str">
        <x:v>升力读数</x:v>
      </x:c>
      <x:c r="J10" s="18" t="str">
        <x:v>零点读数</x:v>
      </x:c>
      <x:c r="K10" s="18" t="str">
        <x:v>原净升力 x</x:v>
      </x:c>
      <x:c r="L10" s="18" t="str">
        <x:v>标定升力 y</x:v>
      </x:c>
      <x:c r="M10" s="18" t="str">
        <x:v>J</x:v>
      </x:c>
      <x:c r="N10" s="18" t="str">
        <x:v>C_T_prop</x:v>
      </x:c>
      <x:c r="O10" s="18" t="str">
        <x:v>C_T</x:v>
      </x:c>
      <x:c r="P10" s="18" t="str">
        <x:v>J源单元格</x:v>
      </x:c>
      <x:c r="Q10" s="18" t="str">
        <x:v>升力源单元格</x:v>
      </x:c>
      <x:c r="R10" s="18" t="str">
        <x:v>零点源单元格</x:v>
      </x:c>
    </x:row>
    <x:row r="11">
      <x:c r="A11" s="21" t="n">
        <x:v>3000</x:v>
      </x:c>
      <x:c r="B11" s="21" t="n">
        <x:v>0</x:v>
      </x:c>
      <x:c r="C11" s="21" t="n">
        <x:v>1</x:v>
      </x:c>
      <x:c r="D11" s="21" t="n">
        <x:v>1</x:v>
      </x:c>
      <x:c r="E11" s="21" t="str">
        <x:v>3000rpm</x:v>
      </x:c>
      <x:c r="F11" s="21" t="n">
        <x:v>3</x:v>
      </x:c>
      <x:c r="G11" s="22" t="n">
        <x:f>IFERROR('3000rpm'!D3,"")</x:f>
        <x:v>0</x:v>
      </x:c>
      <x:c r="H11" s="22" t="n">
        <x:f>IFERROR('3000rpm'!B3,"")</x:f>
        <x:v>0</x:v>
      </x:c>
      <x:c r="I11" s="22" t="n">
        <x:f>IFERROR('3000rpm'!C3,"")</x:f>
        <x:v>42</x:v>
      </x:c>
      <x:c r="J11" s="22" t="n">
        <x:f>IFERROR('3000rpm'!C3,"")</x:f>
        <x:v>42</x:v>
      </x:c>
      <x:c r="K11" s="22" t="n">
        <x:f>IF(AND(ISNUMBER(I11),ISNUMBER(J11)),I11-J11,"")</x:f>
        <x:v>0</x:v>
      </x:c>
      <x:c r="L11" s="22" t="n">
        <x:f>IF(ISNUMBER(K11),K11*$B$2+$B$3,"")</x:f>
        <x:v>28.7687</x:v>
      </x:c>
      <x:c r="M11" s="22" t="str">
        <x:f>IF(AND(ISNUMBER(G11),ISNUMBER(H11),H11&lt;&gt;0),G11/(H11/60)/$B$5,"")</x:f>
      </x:c>
      <x:c r="N11" s="22" t="str">
        <x:f>IF(AND(ISNUMBER(L11),ISNUMBER(H11),H11&lt;&gt;0),L11*$B$6/$B$4/(H11/60)^2/$B$5^4/$B$7,"")</x:f>
      </x:c>
      <x:c r="O11" s="22" t="str">
        <x:f>IF(ISNUMBER(N11),N11*$B$8,"")</x:f>
      </x:c>
      <x:c r="P11" s="20" t="str">
        <x:v>3000rpm!D3</x:v>
      </x:c>
      <x:c r="Q11" s="20" t="str">
        <x:v>3000rpm!C3</x:v>
      </x:c>
      <x:c r="R11" s="20" t="str">
        <x:v>3000rpm!C3</x:v>
      </x:c>
    </x:row>
    <x:row r="12">
      <x:c r="A12" s="21" t="n">
        <x:v>3000</x:v>
      </x:c>
      <x:c r="B12" s="21" t="n">
        <x:v>0</x:v>
      </x:c>
      <x:c r="C12" s="21" t="n">
        <x:v>1</x:v>
      </x:c>
      <x:c r="D12" s="21" t="n">
        <x:v>2</x:v>
      </x:c>
      <x:c r="E12" s="21" t="str">
        <x:v>3000rpm</x:v>
      </x:c>
      <x:c r="F12" s="21" t="n">
        <x:v>3</x:v>
      </x:c>
      <x:c r="G12" s="22" t="n">
        <x:f>IFERROR('3000rpm'!N3,"")</x:f>
        <x:v>0</x:v>
      </x:c>
      <x:c r="H12" s="22" t="n">
        <x:f>IFERROR('3000rpm'!L3,"")</x:f>
        <x:v>0</x:v>
      </x:c>
      <x:c r="I12" s="22" t="n">
        <x:f>IFERROR('3000rpm'!M3,"")</x:f>
        <x:v>41</x:v>
      </x:c>
      <x:c r="J12" s="22" t="n">
        <x:f>IFERROR('3000rpm'!C3,"")</x:f>
        <x:v>42</x:v>
      </x:c>
      <x:c r="K12" s="22" t="n">
        <x:f>IF(AND(ISNUMBER(I12),ISNUMBER(J12)),I12-J12,"")</x:f>
        <x:v>-1</x:v>
      </x:c>
      <x:c r="L12" s="22" t="n">
        <x:f>IF(ISNUMBER(K12),K12*$B$2+$B$3,"")</x:f>
        <x:v>27.852992</x:v>
      </x:c>
      <x:c r="M12" s="22" t="str">
        <x:f>IF(AND(ISNUMBER(G12),ISNUMBER(H12),H12&lt;&gt;0),G12/(H12/60)/$B$5,"")</x:f>
      </x:c>
      <x:c r="N12" s="22" t="str">
        <x:f>IF(AND(ISNUMBER(L12),ISNUMBER(H12),H12&lt;&gt;0),L12*$B$6/$B$4/(H12/60)^2/$B$5^4/$B$7,"")</x:f>
      </x:c>
      <x:c r="O12" s="22" t="str">
        <x:f>IF(ISNUMBER(N12),N12*$B$8,"")</x:f>
      </x:c>
      <x:c r="P12" s="20" t="str">
        <x:v>3000rpm!N3</x:v>
      </x:c>
      <x:c r="Q12" s="20" t="str">
        <x:v>3000rpm!M3</x:v>
      </x:c>
      <x:c r="R12" s="20" t="str">
        <x:v>3000rpm!C3</x:v>
      </x:c>
    </x:row>
    <x:row r="13">
      <x:c r="A13" s="21" t="n">
        <x:v>3000</x:v>
      </x:c>
      <x:c r="B13" s="21" t="n">
        <x:v>0</x:v>
      </x:c>
      <x:c r="C13" s="21" t="n">
        <x:v>2</x:v>
      </x:c>
      <x:c r="D13" s="21" t="n">
        <x:v>1</x:v>
      </x:c>
      <x:c r="E13" s="21" t="str">
        <x:v>3000rpm</x:v>
      </x:c>
      <x:c r="F13" s="21" t="n">
        <x:v>4</x:v>
      </x:c>
      <x:c r="G13" s="22" t="n">
        <x:f>IFERROR('3000rpm'!D4,"")</x:f>
        <x:v>0</x:v>
      </x:c>
      <x:c r="H13" s="22" t="n">
        <x:f>IFERROR('3000rpm'!B4,"")</x:f>
        <x:v>3117</x:v>
      </x:c>
      <x:c r="I13" s="22" t="n">
        <x:f>IFERROR('3000rpm'!C4,"")</x:f>
        <x:v>1207.6</x:v>
      </x:c>
      <x:c r="J13" s="22" t="n">
        <x:f>IFERROR('3000rpm'!C3,"")</x:f>
        <x:v>42</x:v>
      </x:c>
      <x:c r="K13" s="22" t="n">
        <x:f>IF(AND(ISNUMBER(I13),ISNUMBER(J13)),I13-J13,"")</x:f>
        <x:v>1165.6</x:v>
      </x:c>
      <x:c r="L13" s="22" t="n">
        <x:f>IF(ISNUMBER(K13),K13*$B$2+$B$3,"")</x:f>
        <x:v>1096.1179448</x:v>
      </x:c>
      <x:c r="M13" s="22" t="n">
        <x:f>IF(AND(ISNUMBER(G13),ISNUMBER(H13),H13&lt;&gt;0),G13/(H13/60)/$B$5,"")</x:f>
        <x:v>0</x:v>
      </x:c>
      <x:c r="N13" s="22" t="n">
        <x:f>IF(AND(ISNUMBER(L13),ISNUMBER(H13),H13&lt;&gt;0),L13*$B$6/$B$4/(H13/60)^2/$B$5^4/$B$7,"")</x:f>
        <x:v>0.07559626275273858</x:v>
      </x:c>
      <x:c r="O13" s="22" t="n">
        <x:f>IF(ISNUMBER(N13),N13*$B$8,"")</x:f>
        <x:v>0.009767229061984217</x:v>
      </x:c>
      <x:c r="P13" s="20" t="str">
        <x:v>3000rpm!D4</x:v>
      </x:c>
      <x:c r="Q13" s="20" t="str">
        <x:v>3000rpm!C4</x:v>
      </x:c>
      <x:c r="R13" s="20" t="str">
        <x:v>3000rpm!C3</x:v>
      </x:c>
    </x:row>
    <x:row r="14">
      <x:c r="A14" s="21" t="n">
        <x:v>3000</x:v>
      </x:c>
      <x:c r="B14" s="21" t="n">
        <x:v>0</x:v>
      </x:c>
      <x:c r="C14" s="21" t="n">
        <x:v>2</x:v>
      </x:c>
      <x:c r="D14" s="21" t="n">
        <x:v>2</x:v>
      </x:c>
      <x:c r="E14" s="21" t="str">
        <x:v>3000rpm</x:v>
      </x:c>
      <x:c r="F14" s="21" t="n">
        <x:v>4</x:v>
      </x:c>
      <x:c r="G14" s="22" t="n">
        <x:f>IFERROR('3000rpm'!N4,"")</x:f>
        <x:v>0</x:v>
      </x:c>
      <x:c r="H14" s="22" t="n">
        <x:f>IFERROR('3000rpm'!L4,"")</x:f>
        <x:v>3096</x:v>
      </x:c>
      <x:c r="I14" s="22" t="n">
        <x:f>IFERROR('3000rpm'!M4,"")</x:f>
        <x:v>1187</x:v>
      </x:c>
      <x:c r="J14" s="22" t="n">
        <x:f>IFERROR('3000rpm'!C3,"")</x:f>
        <x:v>42</x:v>
      </x:c>
      <x:c r="K14" s="22" t="n">
        <x:f>IF(AND(ISNUMBER(I14),ISNUMBER(J14)),I14-J14,"")</x:f>
        <x:v>1145</x:v>
      </x:c>
      <x:c r="L14" s="22" t="n">
        <x:f>IF(ISNUMBER(K14),K14*$B$2+$B$3,"")</x:f>
        <x:v>1077.2543600000001</x:v>
      </x:c>
      <x:c r="M14" s="22" t="n">
        <x:f>IF(AND(ISNUMBER(G14),ISNUMBER(H14),H14&lt;&gt;0),G14/(H14/60)/$B$5,"")</x:f>
        <x:v>0</x:v>
      </x:c>
      <x:c r="N14" s="22" t="n">
        <x:f>IF(AND(ISNUMBER(L14),ISNUMBER(H14),H14&lt;&gt;0),L14*$B$6/$B$4/(H14/60)^2/$B$5^4/$B$7,"")</x:f>
        <x:v>0.07530659288112239</x:v>
      </x:c>
      <x:c r="O14" s="22" t="n">
        <x:f>IF(ISNUMBER(N14),N14*$B$8,"")</x:f>
        <x:v>0.00972980297919379</x:v>
      </x:c>
      <x:c r="P14" s="20" t="str">
        <x:v>3000rpm!N4</x:v>
      </x:c>
      <x:c r="Q14" s="20" t="str">
        <x:v>3000rpm!M4</x:v>
      </x:c>
      <x:c r="R14" s="20" t="str">
        <x:v>3000rpm!C3</x:v>
      </x:c>
    </x:row>
    <x:row r="15">
      <x:c r="A15" s="21" t="n">
        <x:v>3000</x:v>
      </x:c>
      <x:c r="B15" s="21" t="n">
        <x:v>0</x:v>
      </x:c>
      <x:c r="C15" s="21" t="n">
        <x:v>3</x:v>
      </x:c>
      <x:c r="D15" s="21" t="n">
        <x:v>1</x:v>
      </x:c>
      <x:c r="E15" s="21" t="str">
        <x:v>3000rpm</x:v>
      </x:c>
      <x:c r="F15" s="21" t="n">
        <x:v>5</x:v>
      </x:c>
      <x:c r="G15" s="22" t="n">
        <x:f>IFERROR('3000rpm'!D5,"")</x:f>
        <x:v>1.008935985380205</x:v>
      </x:c>
      <x:c r="H15" s="22" t="n">
        <x:f>IFERROR('3000rpm'!B5,"")</x:f>
        <x:v>3129.3091796875</x:v>
      </x:c>
      <x:c r="I15" s="22" t="n">
        <x:f>IFERROR('3000rpm'!C5,"")</x:f>
        <x:v>1209.84870317002</x:v>
      </x:c>
      <x:c r="J15" s="22" t="n">
        <x:f>IFERROR('3000rpm'!C3,"")</x:f>
        <x:v>42</x:v>
      </x:c>
      <x:c r="K15" s="22" t="n">
        <x:f>IF(AND(ISNUMBER(I15),ISNUMBER(J15)),I15-J15,"")</x:f>
        <x:v>1167.84870317002</x:v>
      </x:c>
      <x:c r="L15" s="22" t="n">
        <x:f>IF(ISNUMBER(K15),K15*$B$2+$B$3,"")</x:f>
        <x:v>1098.1771002824125</x:v>
      </x:c>
      <x:c r="M15" s="22" t="n">
        <x:f>IF(AND(ISNUMBER(G15),ISNUMBER(H15),H15&lt;&gt;0),G15/(H15/60)/$B$5,"")</x:f>
        <x:v>0.04231166998564601</x:v>
      </x:c>
      <x:c r="N15" s="22" t="n">
        <x:f>IF(AND(ISNUMBER(L15),ISNUMBER(H15),H15&lt;&gt;0),L15*$B$6/$B$4/(H15/60)^2/$B$5^4/$B$7,"")</x:f>
        <x:v>0.07514361388812611</x:v>
      </x:c>
      <x:c r="O15" s="22" t="n">
        <x:f>IF(ISNUMBER(N15),N15*$B$8,"")</x:f>
        <x:v>0.009708745679548002</x:v>
      </x:c>
      <x:c r="P15" s="20" t="str">
        <x:v>3000rpm!D5</x:v>
      </x:c>
      <x:c r="Q15" s="20" t="str">
        <x:v>3000rpm!C5</x:v>
      </x:c>
      <x:c r="R15" s="20" t="str">
        <x:v>3000rpm!C3</x:v>
      </x:c>
    </x:row>
    <x:row r="16">
      <x:c r="A16" s="21" t="n">
        <x:v>3000</x:v>
      </x:c>
      <x:c r="B16" s="21" t="n">
        <x:v>0</x:v>
      </x:c>
      <x:c r="C16" s="21" t="n">
        <x:v>3</x:v>
      </x:c>
      <x:c r="D16" s="21" t="n">
        <x:v>2</x:v>
      </x:c>
      <x:c r="E16" s="21" t="str">
        <x:v>3000rpm</x:v>
      </x:c>
      <x:c r="F16" s="21" t="n">
        <x:v>5</x:v>
      </x:c>
      <x:c r="G16" s="22" t="n">
        <x:f>IFERROR('3000rpm'!N5,"")</x:f>
        <x:v>1.0117474012368644</x:v>
      </x:c>
      <x:c r="H16" s="22" t="n">
        <x:f>IFERROR('3000rpm'!L5,"")</x:f>
        <x:v>3099.52362530048</x:v>
      </x:c>
      <x:c r="I16" s="22" t="n">
        <x:f>IFERROR('3000rpm'!M5,"")</x:f>
        <x:v>1199.77545691906</x:v>
      </x:c>
      <x:c r="J16" s="22" t="n">
        <x:f>IFERROR('3000rpm'!C3,"")</x:f>
        <x:v>42</x:v>
      </x:c>
      <x:c r="K16" s="22" t="n">
        <x:f>IF(AND(ISNUMBER(I16),ISNUMBER(J16)),I16-J16,"")</x:f>
        <x:v>1157.77545691906</x:v>
      </x:c>
      <x:c r="L16" s="22" t="n">
        <x:f>IF(ISNUMBER(K16),K16*$B$2+$B$3,"")</x:f>
        <x:v>1088.9529481044385</x:v>
      </x:c>
      <x:c r="M16" s="22" t="n">
        <x:f>IF(AND(ISNUMBER(G16),ISNUMBER(H16),H16&lt;&gt;0),G16/(H16/60)/$B$5,"")</x:f>
        <x:v>0.04283730842454167</x:v>
      </x:c>
      <x:c r="N16" s="22" t="n">
        <x:f>IF(AND(ISNUMBER(L16),ISNUMBER(H16),H16&lt;&gt;0),L16*$B$6/$B$4/(H16/60)^2/$B$5^4/$B$7,"")</x:f>
        <x:v>0.07595141261114528</x:v>
      </x:c>
      <x:c r="O16" s="22" t="n">
        <x:f>IF(ISNUMBER(N16),N16*$B$8,"")</x:f>
        <x:v>0.009813115325300374</x:v>
      </x:c>
      <x:c r="P16" s="20" t="str">
        <x:v>3000rpm!N5</x:v>
      </x:c>
      <x:c r="Q16" s="20" t="str">
        <x:v>3000rpm!M5</x:v>
      </x:c>
      <x:c r="R16" s="20" t="str">
        <x:v>3000rpm!C3</x:v>
      </x:c>
    </x:row>
    <x:row r="17">
      <x:c r="A17" s="21" t="n">
        <x:v>3000</x:v>
      </x:c>
      <x:c r="B17" s="21" t="n">
        <x:v>0</x:v>
      </x:c>
      <x:c r="C17" s="21" t="n">
        <x:v>4</x:v>
      </x:c>
      <x:c r="D17" s="21" t="n">
        <x:v>1</x:v>
      </x:c>
      <x:c r="E17" s="21" t="str">
        <x:v>3000rpm</x:v>
      </x:c>
      <x:c r="F17" s="21" t="n">
        <x:v>6</x:v>
      </x:c>
      <x:c r="G17" s="22" t="n">
        <x:f>IFERROR('3000rpm'!D6,"")</x:f>
        <x:v>2.036233189981425</x:v>
      </x:c>
      <x:c r="H17" s="22" t="n">
        <x:f>IFERROR('3000rpm'!B6,"")</x:f>
        <x:v>3132.149380553</x:v>
      </x:c>
      <x:c r="I17" s="22" t="n">
        <x:f>IFERROR('3000rpm'!C6,"")</x:f>
        <x:v>1219.3173828125</x:v>
      </x:c>
      <x:c r="J17" s="22" t="n">
        <x:f>IFERROR('3000rpm'!C3,"")</x:f>
        <x:v>42</x:v>
      </x:c>
      <x:c r="K17" s="22" t="n">
        <x:f>IF(AND(ISNUMBER(I17),ISNUMBER(J17)),I17-J17,"")</x:f>
        <x:v>1177.3173828125</x:v>
      </x:c>
      <x:c r="L17" s="22" t="n">
        <x:f>IF(ISNUMBER(K17),K17*$B$2+$B$3,"")</x:f>
        <x:v>1106.8476459804688</x:v>
      </x:c>
      <x:c r="M17" s="22" t="n">
        <x:f>IF(AND(ISNUMBER(G17),ISNUMBER(H17),H17&lt;&gt;0),G17/(H17/60)/$B$5,"")</x:f>
        <x:v>0.08531591917958145</x:v>
      </x:c>
      <x:c r="N17" s="22" t="n">
        <x:f>IF(AND(ISNUMBER(L17),ISNUMBER(H17),H17&lt;&gt;0),L17*$B$6/$B$4/(H17/60)^2/$B$5^4/$B$7,"")</x:f>
        <x:v>0.07559961004167363</x:v>
      </x:c>
      <x:c r="O17" s="22" t="n">
        <x:f>IF(ISNUMBER(N17),N17*$B$8,"")</x:f>
        <x:v>0.009767661540212304</x:v>
      </x:c>
      <x:c r="P17" s="20" t="str">
        <x:v>3000rpm!D6</x:v>
      </x:c>
      <x:c r="Q17" s="20" t="str">
        <x:v>3000rpm!C6</x:v>
      </x:c>
      <x:c r="R17" s="20" t="str">
        <x:v>3000rpm!C3</x:v>
      </x:c>
    </x:row>
    <x:row r="18">
      <x:c r="A18" s="21" t="n">
        <x:v>3000</x:v>
      </x:c>
      <x:c r="B18" s="21" t="n">
        <x:v>0</x:v>
      </x:c>
      <x:c r="C18" s="21" t="n">
        <x:v>4</x:v>
      </x:c>
      <x:c r="D18" s="21" t="n">
        <x:v>2</x:v>
      </x:c>
      <x:c r="E18" s="21" t="str">
        <x:v>3000rpm</x:v>
      </x:c>
      <x:c r="F18" s="21" t="n">
        <x:v>6</x:v>
      </x:c>
      <x:c r="G18" s="22" t="n">
        <x:f>IFERROR('3000rpm'!N6,"")</x:f>
        <x:v>2.04223847222727</x:v>
      </x:c>
      <x:c r="H18" s="22" t="n">
        <x:f>IFERROR('3000rpm'!L6,"")</x:f>
        <x:v>3129.642449273</x:v>
      </x:c>
      <x:c r="I18" s="22" t="n">
        <x:f>IFERROR('3000rpm'!M6,"")</x:f>
        <x:v>1208.22454672245</x:v>
      </x:c>
      <x:c r="J18" s="22" t="n">
        <x:f>IFERROR('3000rpm'!C3,"")</x:f>
        <x:v>42</x:v>
      </x:c>
      <x:c r="K18" s="22" t="n">
        <x:f>IF(AND(ISNUMBER(I18),ISNUMBER(J18)),I18-J18,"")</x:f>
        <x:v>1166.22454672245</x:v>
      </x:c>
      <x:c r="L18" s="22" t="n">
        <x:f>IF(ISNUMBER(K18),K18*$B$2+$B$3,"")</x:f>
        <x:v>1096.6898472301214</x:v>
      </x:c>
      <x:c r="M18" s="22" t="n">
        <x:f>IF(AND(ISNUMBER(G18),ISNUMBER(H18),H18&lt;&gt;0),G18/(H18/60)/$B$5,"")</x:f>
        <x:v>0.08563607585742344</x:v>
      </x:c>
      <x:c r="N18" s="22" t="n">
        <x:f>IF(AND(ISNUMBER(L18),ISNUMBER(H18),H18&lt;&gt;0),L18*$B$6/$B$4/(H18/60)^2/$B$5^4/$B$7,"")</x:f>
        <x:v>0.07502586618044282</x:v>
      </x:c>
      <x:c r="O18" s="22" t="n">
        <x:f>IF(ISNUMBER(N18),N18*$B$8,"")</x:f>
        <x:v>0.009693532376792177</x:v>
      </x:c>
      <x:c r="P18" s="20" t="str">
        <x:v>3000rpm!N6</x:v>
      </x:c>
      <x:c r="Q18" s="20" t="str">
        <x:v>3000rpm!M6</x:v>
      </x:c>
      <x:c r="R18" s="20" t="str">
        <x:v>3000rpm!C3</x:v>
      </x:c>
    </x:row>
    <x:row r="19">
      <x:c r="A19" s="21" t="n">
        <x:v>3000</x:v>
      </x:c>
      <x:c r="B19" s="21" t="n">
        <x:v>0</x:v>
      </x:c>
      <x:c r="C19" s="21" t="n">
        <x:v>5</x:v>
      </x:c>
      <x:c r="D19" s="21" t="n">
        <x:v>1</x:v>
      </x:c>
      <x:c r="E19" s="21" t="str">
        <x:v>3000rpm</x:v>
      </x:c>
      <x:c r="F19" s="21" t="n">
        <x:v>7</x:v>
      </x:c>
      <x:c r="G19" s="22" t="n">
        <x:f>IFERROR('3000rpm'!D7,"")</x:f>
        <x:v>3.0580642871996853</x:v>
      </x:c>
      <x:c r="H19" s="22" t="n">
        <x:f>IFERROR('3000rpm'!B7,"")</x:f>
        <x:v>3137.31316692073</x:v>
      </x:c>
      <x:c r="I19" s="22" t="n">
        <x:f>IFERROR('3000rpm'!C7,"")</x:f>
        <x:v>1230.11533742331</x:v>
      </x:c>
      <x:c r="J19" s="22" t="n">
        <x:f>IFERROR('3000rpm'!C3,"")</x:f>
        <x:v>42</x:v>
      </x:c>
      <x:c r="K19" s="22" t="n">
        <x:f>IF(AND(ISNUMBER(I19),ISNUMBER(J19)),I19-J19,"")</x:f>
        <x:v>1188.11533742331</x:v>
      </x:c>
      <x:c r="L19" s="22" t="n">
        <x:f>IF(ISNUMBER(K19),K19*$B$2+$B$3,"")</x:f>
        <x:v>1116.7354194012244</x:v>
      </x:c>
      <x:c r="M19" s="22" t="n">
        <x:f>IF(AND(ISNUMBER(G19),ISNUMBER(H19),H19&lt;&gt;0),G19/(H19/60)/$B$5,"")</x:f>
        <x:v>0.12791862056674433</x:v>
      </x:c>
      <x:c r="N19" s="22" t="n">
        <x:f>IF(AND(ISNUMBER(L19),ISNUMBER(H19),H19&lt;&gt;0),L19*$B$6/$B$4/(H19/60)^2/$B$5^4/$B$7,"")</x:f>
        <x:v>0.07602408277751553</x:v>
      </x:c>
      <x:c r="O19" s="22" t="n">
        <x:f>IF(ISNUMBER(N19),N19*$B$8,"")</x:f>
        <x:v>0.009822504495281333</x:v>
      </x:c>
      <x:c r="P19" s="20" t="str">
        <x:v>3000rpm!D7</x:v>
      </x:c>
      <x:c r="Q19" s="20" t="str">
        <x:v>3000rpm!C7</x:v>
      </x:c>
      <x:c r="R19" s="20" t="str">
        <x:v>3000rpm!C3</x:v>
      </x:c>
    </x:row>
    <x:row r="20">
      <x:c r="A20" s="21" t="n">
        <x:v>3000</x:v>
      </x:c>
      <x:c r="B20" s="21" t="n">
        <x:v>0</x:v>
      </x:c>
      <x:c r="C20" s="21" t="n">
        <x:v>5</x:v>
      </x:c>
      <x:c r="D20" s="21" t="n">
        <x:v>2</x:v>
      </x:c>
      <x:c r="E20" s="21" t="str">
        <x:v>3000rpm</x:v>
      </x:c>
      <x:c r="F20" s="21" t="n">
        <x:v>7</x:v>
      </x:c>
      <x:c r="G20" s="22" t="n">
        <x:f>IFERROR('3000rpm'!N7,"")</x:f>
        <x:v>3.059355408441825</x:v>
      </x:c>
      <x:c r="H20" s="22" t="n">
        <x:f>IFERROR('3000rpm'!L7,"")</x:f>
        <x:v>3113.00246853298</x:v>
      </x:c>
      <x:c r="I20" s="22" t="n">
        <x:f>IFERROR('3000rpm'!M7,"")</x:f>
        <x:v>1220.65526675786</x:v>
      </x:c>
      <x:c r="J20" s="22" t="n">
        <x:f>IFERROR('3000rpm'!C3,"")</x:f>
        <x:v>42</x:v>
      </x:c>
      <x:c r="K20" s="22" t="n">
        <x:f>IF(AND(ISNUMBER(I20),ISNUMBER(J20)),I20-J20,"")</x:f>
        <x:v>1178.65526675786</x:v>
      </x:c>
      <x:c r="L20" s="22" t="n">
        <x:f>IF(ISNUMBER(K20),K20*$B$2+$B$3,"")</x:f>
        <x:v>1108.0727570123065</x:v>
      </x:c>
      <x:c r="M20" s="22" t="n">
        <x:f>IF(AND(ISNUMBER(G20),ISNUMBER(H20),H20&lt;&gt;0),G20/(H20/60)/$B$5,"")</x:f>
        <x:v>0.12897201821712942</x:v>
      </x:c>
      <x:c r="N20" s="22" t="n">
        <x:f>IF(AND(ISNUMBER(L20),ISNUMBER(H20),H20&lt;&gt;0),L20*$B$6/$B$4/(H20/60)^2/$B$5^4/$B$7,"")</x:f>
        <x:v>0.07661714945517134</x:v>
      </x:c>
      <x:c r="O20" s="22" t="n">
        <x:f>IF(ISNUMBER(N20),N20*$B$8,"")</x:f>
        <x:v>0.009899130215637918</x:v>
      </x:c>
      <x:c r="P20" s="20" t="str">
        <x:v>3000rpm!N7</x:v>
      </x:c>
      <x:c r="Q20" s="20" t="str">
        <x:v>3000rpm!M7</x:v>
      </x:c>
      <x:c r="R20" s="20" t="str">
        <x:v>3000rpm!C3</x:v>
      </x:c>
    </x:row>
    <x:row r="21">
      <x:c r="A21" s="21" t="n">
        <x:v>3000</x:v>
      </x:c>
      <x:c r="B21" s="21" t="n">
        <x:v>0</x:v>
      </x:c>
      <x:c r="C21" s="21" t="n">
        <x:v>6</x:v>
      </x:c>
      <x:c r="D21" s="21" t="n">
        <x:v>1</x:v>
      </x:c>
      <x:c r="E21" s="21" t="str">
        <x:v>3000rpm</x:v>
      </x:c>
      <x:c r="F21" s="21" t="n">
        <x:v>8</x:v>
      </x:c>
      <x:c r="G21" s="22" t="n">
        <x:f>IFERROR('3000rpm'!D8,"")</x:f>
        <x:v>4.084428969356745</x:v>
      </x:c>
      <x:c r="H21" s="22" t="n">
        <x:f>IFERROR('3000rpm'!B8,"")</x:f>
        <x:v>3148.99294263263</x:v>
      </x:c>
      <x:c r="I21" s="22" t="n">
        <x:f>IFERROR('3000rpm'!C8,"")</x:f>
        <x:v>1245.7439165701</x:v>
      </x:c>
      <x:c r="J21" s="22" t="n">
        <x:f>IFERROR('3000rpm'!C3,"")</x:f>
        <x:v>42</x:v>
      </x:c>
      <x:c r="K21" s="22" t="n">
        <x:f>IF(AND(ISNUMBER(I21),ISNUMBER(J21)),I21-J21,"")</x:f>
        <x:v>1203.7439165701</x:v>
      </x:c>
      <x:c r="L21" s="22" t="n">
        <x:f>IF(ISNUMBER(K21),K21*$B$2+$B$3,"")</x:f>
        <x:v>1131.0466343545731</x:v>
      </x:c>
      <x:c r="M21" s="22" t="n">
        <x:f>IF(AND(ISNUMBER(G21),ISNUMBER(H21),H21&lt;&gt;0),G21/(H21/60)/$B$5,"")</x:f>
        <x:v>0.17021768870412188</x:v>
      </x:c>
      <x:c r="N21" s="22" t="n">
        <x:f>IF(AND(ISNUMBER(L21),ISNUMBER(H21),H21&lt;&gt;0),L21*$B$6/$B$4/(H21/60)^2/$B$5^4/$B$7,"")</x:f>
        <x:v>0.07642822610936646</x:v>
      </x:c>
      <x:c r="O21" s="22" t="n">
        <x:f>IF(ISNUMBER(N21),N21*$B$8,"")</x:f>
        <x:v>0.009874720839744982</x:v>
      </x:c>
      <x:c r="P21" s="20" t="str">
        <x:v>3000rpm!D8</x:v>
      </x:c>
      <x:c r="Q21" s="20" t="str">
        <x:v>3000rpm!C8</x:v>
      </x:c>
      <x:c r="R21" s="20" t="str">
        <x:v>3000rpm!C3</x:v>
      </x:c>
    </x:row>
    <x:row r="22">
      <x:c r="A22" s="21" t="n">
        <x:v>3000</x:v>
      </x:c>
      <x:c r="B22" s="21" t="n">
        <x:v>0</x:v>
      </x:c>
      <x:c r="C22" s="21" t="n">
        <x:v>6</x:v>
      </x:c>
      <x:c r="D22" s="21" t="n">
        <x:v>2</x:v>
      </x:c>
      <x:c r="E22" s="21" t="str">
        <x:v>3000rpm</x:v>
      </x:c>
      <x:c r="F22" s="21" t="n">
        <x:v>8</x:v>
      </x:c>
      <x:c r="G22" s="22" t="n">
        <x:f>IFERROR('3000rpm'!N8,"")</x:f>
        <x:v>4.0962101241852755</x:v>
      </x:c>
      <x:c r="H22" s="22" t="n">
        <x:f>IFERROR('3000rpm'!L8,"")</x:f>
        <x:v>3122.53763974946</x:v>
      </x:c>
      <x:c r="I22" s="22" t="n">
        <x:f>IFERROR('3000rpm'!M8,"")</x:f>
        <x:v>1236.50959860383</x:v>
      </x:c>
      <x:c r="J22" s="22" t="n">
        <x:f>IFERROR('3000rpm'!C3,"")</x:f>
        <x:v>42</x:v>
      </x:c>
      <x:c r="K22" s="22" t="n">
        <x:f>IF(AND(ISNUMBER(I22),ISNUMBER(J22)),I22-J22,"")</x:f>
        <x:v>1194.50959860383</x:v>
      </x:c>
      <x:c r="L22" s="22" t="n">
        <x:f>IF(ISNUMBER(K22),K22*$B$2+$B$3,"")</x:f>
        <x:v>1122.590695518316</x:v>
      </x:c>
      <x:c r="M22" s="22" t="n">
        <x:f>IF(AND(ISNUMBER(G22),ISNUMBER(H22),H22&lt;&gt;0),G22/(H22/60)/$B$5,"")</x:f>
        <x:v>0.17215497322058868</x:v>
      </x:c>
      <x:c r="N22" s="22" t="n">
        <x:f>IF(AND(ISNUMBER(L22),ISNUMBER(H22),H22&lt;&gt;0),L22*$B$6/$B$4/(H22/60)^2/$B$5^4/$B$7,"")</x:f>
        <x:v>0.07714765268336185</x:v>
      </x:c>
      <x:c r="O22" s="22" t="n">
        <x:f>IF(ISNUMBER(N22),N22*$B$8,"")</x:f>
        <x:v>0.00996767257949533</x:v>
      </x:c>
      <x:c r="P22" s="20" t="str">
        <x:v>3000rpm!N8</x:v>
      </x:c>
      <x:c r="Q22" s="20" t="str">
        <x:v>3000rpm!M8</x:v>
      </x:c>
      <x:c r="R22" s="20" t="str">
        <x:v>3000rpm!C3</x:v>
      </x:c>
    </x:row>
    <x:row r="23">
      <x:c r="A23" s="21" t="n">
        <x:v>3000</x:v>
      </x:c>
      <x:c r="B23" s="21" t="n">
        <x:v>0</x:v>
      </x:c>
      <x:c r="C23" s="21" t="n">
        <x:v>7</x:v>
      </x:c>
      <x:c r="D23" s="21" t="n">
        <x:v>1</x:v>
      </x:c>
      <x:c r="E23" s="21" t="str">
        <x:v>3000rpm</x:v>
      </x:c>
      <x:c r="F23" s="21" t="n">
        <x:v>9</x:v>
      </x:c>
      <x:c r="G23" s="22" t="n">
        <x:f>IFERROR('3000rpm'!D9,"")</x:f>
        <x:v>5.10295628400948</x:v>
      </x:c>
      <x:c r="H23" s="22" t="n">
        <x:f>IFERROR('3000rpm'!B9,"")</x:f>
        <x:v>3170.57192530776</x:v>
      </x:c>
      <x:c r="I23" s="22" t="n">
        <x:f>IFERROR('3000rpm'!C9,"")</x:f>
        <x:v>1274.23195084485</x:v>
      </x:c>
      <x:c r="J23" s="22" t="n">
        <x:f>IFERROR('3000rpm'!C3,"")</x:f>
        <x:v>42</x:v>
      </x:c>
      <x:c r="K23" s="22" t="n">
        <x:f>IF(AND(ISNUMBER(I23),ISNUMBER(J23)),I23-J23,"")</x:f>
        <x:v>1232.23195084485</x:v>
      </x:c>
      <x:c r="L23" s="22" t="n">
        <x:f>IF(ISNUMBER(K23),K23*$B$2+$B$3,"")</x:f>
        <x:v>1157.1333552442359</x:v>
      </x:c>
      <x:c r="M23" s="22" t="n">
        <x:f>IF(AND(ISNUMBER(G23),ISNUMBER(H23),H23&lt;&gt;0),G23/(H23/60)/$B$5,"")</x:f>
        <x:v>0.21121719303006967</x:v>
      </x:c>
      <x:c r="N23" s="22" t="n">
        <x:f>IF(AND(ISNUMBER(L23),ISNUMBER(H23),H23&lt;&gt;0),L23*$B$6/$B$4/(H23/60)^2/$B$5^4/$B$7,"")</x:f>
        <x:v>0.07713026719267413</x:v>
      </x:c>
      <x:c r="O23" s="22" t="n">
        <x:f>IF(ISNUMBER(N23),N23*$B$8,"")</x:f>
        <x:v>0.00996542632996237</x:v>
      </x:c>
      <x:c r="P23" s="20" t="str">
        <x:v>3000rpm!D9</x:v>
      </x:c>
      <x:c r="Q23" s="20" t="str">
        <x:v>3000rpm!C9</x:v>
      </x:c>
      <x:c r="R23" s="20" t="str">
        <x:v>3000rpm!C3</x:v>
      </x:c>
    </x:row>
    <x:row r="24">
      <x:c r="A24" s="21" t="n">
        <x:v>3000</x:v>
      </x:c>
      <x:c r="B24" s="21" t="n">
        <x:v>0</x:v>
      </x:c>
      <x:c r="C24" s="21" t="n">
        <x:v>7</x:v>
      </x:c>
      <x:c r="D24" s="21" t="n">
        <x:v>2</x:v>
      </x:c>
      <x:c r="E24" s="21" t="str">
        <x:v>3000rpm</x:v>
      </x:c>
      <x:c r="F24" s="21" t="n">
        <x:v>9</x:v>
      </x:c>
      <x:c r="G24" s="22" t="n">
        <x:f>IFERROR('3000rpm'!N9,"")</x:f>
        <x:v>5.08950099052971</x:v>
      </x:c>
      <x:c r="H24" s="22" t="n">
        <x:f>IFERROR('3000rpm'!L9,"")</x:f>
        <x:v>3129.36905924479</x:v>
      </x:c>
      <x:c r="I24" s="22" t="n">
        <x:f>IFERROR('3000rpm'!M9,"")</x:f>
        <x:v>1262.17910447761</x:v>
      </x:c>
      <x:c r="J24" s="22" t="n">
        <x:f>IFERROR('3000rpm'!C3,"")</x:f>
        <x:v>42</x:v>
      </x:c>
      <x:c r="K24" s="22" t="n">
        <x:f>IF(AND(ISNUMBER(I24),ISNUMBER(J24)),I24-J24,"")</x:f>
        <x:v>1220.17910447761</x:v>
      </x:c>
      <x:c r="L24" s="22" t="n">
        <x:f>IF(ISNUMBER(K24),K24*$B$2+$B$3,"")</x:f>
        <x:v>1146.0964674029833</x:v>
      </x:c>
      <x:c r="M24" s="22" t="n">
        <x:f>IF(AND(ISNUMBER(G24),ISNUMBER(H24),H24&lt;&gt;0),G24/(H24/60)/$B$5,"")</x:f>
        <x:v>0.21343392331575448</x:v>
      </x:c>
      <x:c r="N24" s="22" t="n">
        <x:f>IF(AND(ISNUMBER(L24),ISNUMBER(H24),H24&lt;&gt;0),L24*$B$6/$B$4/(H24/60)^2/$B$5^4/$B$7,"")</x:f>
        <x:v>0.07841953233465657</x:v>
      </x:c>
      <x:c r="O24" s="22" t="n">
        <x:f>IF(ISNUMBER(N24),N24*$B$8,"")</x:f>
        <x:v>0.010132002659331481</x:v>
      </x:c>
      <x:c r="P24" s="20" t="str">
        <x:v>3000rpm!N9</x:v>
      </x:c>
      <x:c r="Q24" s="20" t="str">
        <x:v>3000rpm!M9</x:v>
      </x:c>
      <x:c r="R24" s="20" t="str">
        <x:v>3000rpm!C3</x:v>
      </x:c>
    </x:row>
    <x:row r="25">
      <x:c r="A25" s="21" t="n">
        <x:v>3000</x:v>
      </x:c>
      <x:c r="B25" s="21" t="n">
        <x:v>0</x:v>
      </x:c>
      <x:c r="C25" s="21" t="n">
        <x:v>8</x:v>
      </x:c>
      <x:c r="D25" s="21" t="n">
        <x:v>1</x:v>
      </x:c>
      <x:c r="E25" s="21" t="str">
        <x:v>3000rpm</x:v>
      </x:c>
      <x:c r="F25" s="21" t="n">
        <x:v>10</x:v>
      </x:c>
      <x:c r="G25" s="22" t="n">
        <x:f>IFERROR('3000rpm'!D10,"")</x:f>
        <x:v>6.026045896376835</x:v>
      </x:c>
      <x:c r="H25" s="22" t="n">
        <x:f>IFERROR('3000rpm'!B10,"")</x:f>
        <x:v>3151.16616482204</x:v>
      </x:c>
      <x:c r="I25" s="22" t="n">
        <x:f>IFERROR('3000rpm'!C10,"")</x:f>
        <x:v>1307.14421768707</x:v>
      </x:c>
      <x:c r="J25" s="22" t="n">
        <x:f>IFERROR('3000rpm'!C3,"")</x:f>
        <x:v>42</x:v>
      </x:c>
      <x:c r="K25" s="22" t="n">
        <x:f>IF(AND(ISNUMBER(I25),ISNUMBER(J25)),I25-J25,"")</x:f>
        <x:v>1265.14421768707</x:v>
      </x:c>
      <x:c r="L25" s="22" t="n">
        <x:f>IF(ISNUMBER(K25),K25*$B$2+$B$3,"")</x:f>
        <x:v>1187.2713812897916</x:v>
      </x:c>
      <x:c r="M25" s="22" t="n">
        <x:f>IF(AND(ISNUMBER(G25),ISNUMBER(H25),H25&lt;&gt;0),G25/(H25/60)/$B$5,"")</x:f>
        <x:v>0.2509609554293975</x:v>
      </x:c>
      <x:c r="N25" s="22" t="n">
        <x:f>IF(AND(ISNUMBER(L25),ISNUMBER(H25),H25&lt;&gt;0),L25*$B$6/$B$4/(H25/60)^2/$B$5^4/$B$7,"")</x:f>
        <x:v>0.08011688084933677</x:v>
      </x:c>
      <x:c r="O25" s="22" t="n">
        <x:f>IF(ISNUMBER(N25),N25*$B$8,"")</x:f>
        <x:v>0.010351304396444135</x:v>
      </x:c>
      <x:c r="P25" s="20" t="str">
        <x:v>3000rpm!D10</x:v>
      </x:c>
      <x:c r="Q25" s="20" t="str">
        <x:v>3000rpm!C10</x:v>
      </x:c>
      <x:c r="R25" s="20" t="str">
        <x:v>3000rpm!C3</x:v>
      </x:c>
    </x:row>
    <x:row r="26">
      <x:c r="A26" s="21" t="n">
        <x:v>3000</x:v>
      </x:c>
      <x:c r="B26" s="21" t="n">
        <x:v>0</x:v>
      </x:c>
      <x:c r="C26" s="21" t="n">
        <x:v>8</x:v>
      </x:c>
      <x:c r="D26" s="21" t="n">
        <x:v>2</x:v>
      </x:c>
      <x:c r="E26" s="21" t="str">
        <x:v>3000rpm</x:v>
      </x:c>
      <x:c r="F26" s="21" t="n">
        <x:v>10</x:v>
      </x:c>
      <x:c r="G26" s="22" t="n">
        <x:f>IFERROR('3000rpm'!N10,"")</x:f>
        <x:v>6.129303020051955</x:v>
      </x:c>
      <x:c r="H26" s="22" t="n">
        <x:f>IFERROR('3000rpm'!L10,"")</x:f>
        <x:v>3134.56231689453</x:v>
      </x:c>
      <x:c r="I26" s="22" t="n">
        <x:f>IFERROR('3000rpm'!M10,"")</x:f>
        <x:v>1299.18673647469</x:v>
      </x:c>
      <x:c r="J26" s="22" t="n">
        <x:f>IFERROR('3000rpm'!C3,"")</x:f>
        <x:v>42</x:v>
      </x:c>
      <x:c r="K26" s="22" t="n">
        <x:f>IF(AND(ISNUMBER(I26),ISNUMBER(J26)),I26-J26,"")</x:f>
        <x:v>1257.18673647469</x:v>
      </x:c>
      <x:c r="L26" s="22" t="n">
        <x:f>IF(ISNUMBER(K26),K26*$B$2+$B$3,"")</x:f>
        <x:v>1179.9846520837655</x:v>
      </x:c>
      <x:c r="M26" s="22" t="n">
        <x:f>IF(AND(ISNUMBER(G26),ISNUMBER(H26),H26&lt;&gt;0),G26/(H26/60)/$B$5,"")</x:f>
        <x:v>0.2566133302684951</x:v>
      </x:c>
      <x:c r="N26" s="22" t="n">
        <x:f>IF(AND(ISNUMBER(L26),ISNUMBER(H26),H26&lt;&gt;0),L26*$B$6/$B$4/(H26/60)^2/$B$5^4/$B$7,"")</x:f>
        <x:v>0.08047096041223854</x:v>
      </x:c>
      <x:c r="O26" s="22" t="n">
        <x:f>IF(ISNUMBER(N26),N26*$B$8,"")</x:f>
        <x:v>0.010397052374863923</x:v>
      </x:c>
      <x:c r="P26" s="20" t="str">
        <x:v>3000rpm!N10</x:v>
      </x:c>
      <x:c r="Q26" s="20" t="str">
        <x:v>3000rpm!M10</x:v>
      </x:c>
      <x:c r="R26" s="20" t="str">
        <x:v>3000rpm!C3</x:v>
      </x:c>
    </x:row>
    <x:row r="27">
      <x:c r="A27" s="21" t="n">
        <x:v>3000</x:v>
      </x:c>
      <x:c r="B27" s="21" t="n">
        <x:v>0</x:v>
      </x:c>
      <x:c r="C27" s="21" t="n">
        <x:v>9</x:v>
      </x:c>
      <x:c r="D27" s="21" t="n">
        <x:v>1</x:v>
      </x:c>
      <x:c r="E27" s="21" t="str">
        <x:v>3000rpm</x:v>
      </x:c>
      <x:c r="F27" s="21" t="n">
        <x:v>11</x:v>
      </x:c>
      <x:c r="G27" s="22" t="n">
        <x:f>IFERROR('3000rpm'!D11,"")</x:f>
        <x:v>7.1439819704226295</x:v>
      </x:c>
      <x:c r="H27" s="22" t="n">
        <x:f>IFERROR('3000rpm'!B11,"")</x:f>
        <x:v>3170.81857052364</x:v>
      </x:c>
      <x:c r="I27" s="22" t="n">
        <x:f>IFERROR('3000rpm'!C11,"")</x:f>
        <x:v>1351.44384303112</x:v>
      </x:c>
      <x:c r="J27" s="22" t="n">
        <x:f>IFERROR('3000rpm'!C3,"")</x:f>
        <x:v>42</x:v>
      </x:c>
      <x:c r="K27" s="22" t="n">
        <x:f>IF(AND(ISNUMBER(I27),ISNUMBER(J27)),I27-J27,"")</x:f>
        <x:v>1309.44384303112</x:v>
      </x:c>
      <x:c r="L27" s="22" t="n">
        <x:f>IF(ISNUMBER(K27),K27*$B$2+$B$3,"")</x:f>
        <x:v>1227.836902614341</x:v>
      </x:c>
      <x:c r="M27" s="22" t="n">
        <x:f>IF(AND(ISNUMBER(G27),ISNUMBER(H27),H27&lt;&gt;0),G27/(H27/60)/$B$5,"")</x:f>
        <x:v>0.2956745778607743</x:v>
      </x:c>
      <x:c r="N27" s="22" t="n">
        <x:f>IF(AND(ISNUMBER(L27),ISNUMBER(H27),H27&lt;&gt;0),L27*$B$6/$B$4/(H27/60)^2/$B$5^4/$B$7,"")</x:f>
        <x:v>0.0818303744513462</x:v>
      </x:c>
      <x:c r="O27" s="22" t="n">
        <x:f>IF(ISNUMBER(N27),N27*$B$8,"")</x:f>
        <x:v>0.010572692119826851</x:v>
      </x:c>
      <x:c r="P27" s="20" t="str">
        <x:v>3000rpm!D11</x:v>
      </x:c>
      <x:c r="Q27" s="20" t="str">
        <x:v>3000rpm!C11</x:v>
      </x:c>
      <x:c r="R27" s="20" t="str">
        <x:v>3000rpm!C3</x:v>
      </x:c>
    </x:row>
    <x:row r="28">
      <x:c r="A28" s="21" t="n">
        <x:v>3000</x:v>
      </x:c>
      <x:c r="B28" s="21" t="n">
        <x:v>0</x:v>
      </x:c>
      <x:c r="C28" s="21" t="n">
        <x:v>9</x:v>
      </x:c>
      <x:c r="D28" s="21" t="n">
        <x:v>2</x:v>
      </x:c>
      <x:c r="E28" s="21" t="str">
        <x:v>3000rpm</x:v>
      </x:c>
      <x:c r="F28" s="21" t="n">
        <x:v>11</x:v>
      </x:c>
      <x:c r="G28" s="22" t="n">
        <x:f>IFERROR('3000rpm'!N11,"")</x:f>
        <x:v>7.146581477725619</x:v>
      </x:c>
      <x:c r="H28" s="22" t="n">
        <x:f>IFERROR('3000rpm'!L11,"")</x:f>
        <x:v>3146.64824387122</x:v>
      </x:c>
      <x:c r="I28" s="22" t="n">
        <x:f>IFERROR('3000rpm'!M11,"")</x:f>
        <x:v>1340.68664383561</x:v>
      </x:c>
      <x:c r="J28" s="22" t="n">
        <x:f>IFERROR('3000rpm'!C3,"")</x:f>
        <x:v>42</x:v>
      </x:c>
      <x:c r="K28" s="22" t="n">
        <x:f>IF(AND(ISNUMBER(I28),ISNUMBER(J28)),I28-J28,"")</x:f>
        <x:v>1298.68664383561</x:v>
      </x:c>
      <x:c r="L28" s="22" t="n">
        <x:f>IF(ISNUMBER(K28),K28*$B$2+$B$3,"")</x:f>
        <x:v>1217.9864492534189</x:v>
      </x:c>
      <x:c r="M28" s="22" t="n">
        <x:f>IF(AND(ISNUMBER(G28),ISNUMBER(H28),H28&lt;&gt;0),G28/(H28/60)/$B$5,"")</x:f>
        <x:v>0.2980541555065999</x:v>
      </x:c>
      <x:c r="N28" s="22" t="n">
        <x:f>IF(AND(ISNUMBER(L28),ISNUMBER(H28),H28&lt;&gt;0),L28*$B$6/$B$4/(H28/60)^2/$B$5^4/$B$7,"")</x:f>
        <x:v>0.082425711640887</x:v>
      </x:c>
      <x:c r="O28" s="22" t="n">
        <x:f>IF(ISNUMBER(N28),N28*$B$8,"")</x:f>
        <x:v>0.01064961119608307</x:v>
      </x:c>
      <x:c r="P28" s="20" t="str">
        <x:v>3000rpm!N11</x:v>
      </x:c>
      <x:c r="Q28" s="20" t="str">
        <x:v>3000rpm!M11</x:v>
      </x:c>
      <x:c r="R28" s="20" t="str">
        <x:v>3000rpm!C3</x:v>
      </x:c>
    </x:row>
    <x:row r="29">
      <x:c r="A29" s="21" t="n">
        <x:v>3000</x:v>
      </x:c>
      <x:c r="B29" s="21" t="n">
        <x:v>0</x:v>
      </x:c>
      <x:c r="C29" s="21" t="n">
        <x:v>10</x:v>
      </x:c>
      <x:c r="D29" s="21" t="n">
        <x:v>1</x:v>
      </x:c>
      <x:c r="E29" s="21" t="str">
        <x:v>3000rpm</x:v>
      </x:c>
      <x:c r="F29" s="21" t="n">
        <x:v>12</x:v>
      </x:c>
      <x:c r="G29" s="22" t="n">
        <x:f>IFERROR('3000rpm'!D12,"")</x:f>
        <x:v>8.171490447563025</x:v>
      </x:c>
      <x:c r="H29" s="22" t="n">
        <x:f>IFERROR('3000rpm'!B12,"")</x:f>
        <x:v>3167.29675053615</x:v>
      </x:c>
      <x:c r="I29" s="22" t="n">
        <x:f>IFERROR('3000rpm'!C12,"")</x:f>
        <x:v>1399.396484375</x:v>
      </x:c>
      <x:c r="J29" s="22" t="n">
        <x:f>IFERROR('3000rpm'!C3,"")</x:f>
        <x:v>42</x:v>
      </x:c>
      <x:c r="K29" s="22" t="n">
        <x:f>IF(AND(ISNUMBER(I29),ISNUMBER(J29)),I29-J29,"")</x:f>
        <x:v>1357.396484375</x:v>
      </x:c>
      <x:c r="L29" s="22" t="n">
        <x:f>IF(ISNUMBER(K29),K29*$B$2+$B$3,"")</x:f>
        <x:v>1271.7475199140624</x:v>
      </x:c>
      <x:c r="M29" s="22" t="n">
        <x:f>IF(AND(ISNUMBER(G29),ISNUMBER(H29),H29&lt;&gt;0),G29/(H29/60)/$B$5,"")</x:f>
        <x:v>0.33857707658804265</x:v>
      </x:c>
      <x:c r="N29" s="22" t="n">
        <x:f>IF(AND(ISNUMBER(L29),ISNUMBER(H29),H29&lt;&gt;0),L29*$B$6/$B$4/(H29/60)^2/$B$5^4/$B$7,"")</x:f>
        <x:v>0.08494543243842798</x:v>
      </x:c>
      <x:c r="O29" s="22" t="n">
        <x:f>IF(ISNUMBER(N29),N29*$B$8,"")</x:f>
        <x:v>0.01097516551987716</x:v>
      </x:c>
      <x:c r="P29" s="20" t="str">
        <x:v>3000rpm!D12</x:v>
      </x:c>
      <x:c r="Q29" s="20" t="str">
        <x:v>3000rpm!C12</x:v>
      </x:c>
      <x:c r="R29" s="20" t="str">
        <x:v>3000rpm!C3</x:v>
      </x:c>
    </x:row>
    <x:row r="30">
      <x:c r="A30" s="21" t="n">
        <x:v>3000</x:v>
      </x:c>
      <x:c r="B30" s="21" t="n">
        <x:v>0</x:v>
      </x:c>
      <x:c r="C30" s="21" t="n">
        <x:v>10</x:v>
      </x:c>
      <x:c r="D30" s="21" t="n">
        <x:v>2</x:v>
      </x:c>
      <x:c r="E30" s="21" t="str">
        <x:v>3000rpm</x:v>
      </x:c>
      <x:c r="F30" s="21" t="n">
        <x:v>12</x:v>
      </x:c>
      <x:c r="G30" s="22" t="n">
        <x:f>IFERROR('3000rpm'!N12,"")</x:f>
        <x:v>8.16926507401254</x:v>
      </x:c>
      <x:c r="H30" s="22" t="n">
        <x:f>IFERROR('3000rpm'!L12,"")</x:f>
        <x:v>3148.24029900045</x:v>
      </x:c>
      <x:c r="I30" s="22" t="n">
        <x:f>IFERROR('3000rpm'!M12,"")</x:f>
        <x:v>1386.68731563421</x:v>
      </x:c>
      <x:c r="J30" s="22" t="n">
        <x:f>IFERROR('3000rpm'!C3,"")</x:f>
        <x:v>42</x:v>
      </x:c>
      <x:c r="K30" s="22" t="n">
        <x:f>IF(AND(ISNUMBER(I30),ISNUMBER(J30)),I30-J30,"")</x:f>
        <x:v>1344.68731563421</x:v>
      </x:c>
      <x:c r="L30" s="22" t="n">
        <x:f>IF(ISNUMBER(K30),K30*$B$2+$B$3,"")</x:f>
        <x:v>1260.1096324247712</x:v>
      </x:c>
      <x:c r="M30" s="22" t="n">
        <x:f>IF(AND(ISNUMBER(G30),ISNUMBER(H30),H30&lt;&gt;0),G30/(H30/60)/$B$5,"")</x:f>
        <x:v>0.34053373595741326</x:v>
      </x:c>
      <x:c r="N30" s="22" t="n">
        <x:f>IF(AND(ISNUMBER(L30),ISNUMBER(H30),H30&lt;&gt;0),L30*$B$6/$B$4/(H30/60)^2/$B$5^4/$B$7,"")</x:f>
        <x:v>0.08519011930158642</x:v>
      </x:c>
      <x:c r="O30" s="22" t="n">
        <x:f>IF(ISNUMBER(N30),N30*$B$8,"")</x:f>
        <x:v>0.011006779683777616</x:v>
      </x:c>
      <x:c r="P30" s="20" t="str">
        <x:v>3000rpm!N12</x:v>
      </x:c>
      <x:c r="Q30" s="20" t="str">
        <x:v>3000rpm!M12</x:v>
      </x:c>
      <x:c r="R30" s="20" t="str">
        <x:v>3000rpm!C3</x:v>
      </x:c>
    </x:row>
    <x:row r="31">
      <x:c r="A31" s="21" t="n">
        <x:v>3000</x:v>
      </x:c>
      <x:c r="B31" s="21" t="n">
        <x:v>0</x:v>
      </x:c>
      <x:c r="C31" s="21" t="n">
        <x:v>11</x:v>
      </x:c>
      <x:c r="D31" s="21" t="n">
        <x:v>1</x:v>
      </x:c>
      <x:c r="E31" s="21" t="str">
        <x:v>3000rpm</x:v>
      </x:c>
      <x:c r="F31" s="21" t="n">
        <x:v>13</x:v>
      </x:c>
      <x:c r="G31" s="22" t="n">
        <x:f>IFERROR('3000rpm'!D13,"")</x:f>
        <x:v>9.19095022678374</x:v>
      </x:c>
      <x:c r="H31" s="22" t="n">
        <x:f>IFERROR('3000rpm'!B13,"")</x:f>
        <x:v>3178.47246389678</x:v>
      </x:c>
      <x:c r="I31" s="22" t="n">
        <x:f>IFERROR('3000rpm'!C13,"")</x:f>
        <x:v>1449.25948406676</x:v>
      </x:c>
      <x:c r="J31" s="22" t="n">
        <x:f>IFERROR('3000rpm'!C3,"")</x:f>
        <x:v>42</x:v>
      </x:c>
      <x:c r="K31" s="22" t="n">
        <x:f>IF(AND(ISNUMBER(I31),ISNUMBER(J31)),I31-J31,"")</x:f>
        <x:v>1407.25948406676</x:v>
      </x:c>
      <x:c r="L31" s="22" t="n">
        <x:f>IF(ISNUMBER(K31),K31*$B$2+$B$3,"")</x:f>
        <x:v>1317.4074676358048</x:v>
      </x:c>
      <x:c r="M31" s="22" t="n">
        <x:f>IF(AND(ISNUMBER(G31),ISNUMBER(H31),H31&lt;&gt;0),G31/(H31/60)/$B$5,"")</x:f>
        <x:v>0.37947833771878475</x:v>
      </x:c>
      <x:c r="N31" s="22" t="n">
        <x:f>IF(AND(ISNUMBER(L31),ISNUMBER(H31),H31&lt;&gt;0),L31*$B$6/$B$4/(H31/60)^2/$B$5^4/$B$7,"")</x:f>
        <x:v>0.08737754870690018</x:v>
      </x:c>
      <x:c r="O31" s="22" t="n">
        <x:f>IF(ISNUMBER(N31),N31*$B$8,"")</x:f>
        <x:v>0.011289401116116152</x:v>
      </x:c>
      <x:c r="P31" s="20" t="str">
        <x:v>3000rpm!D13</x:v>
      </x:c>
      <x:c r="Q31" s="20" t="str">
        <x:v>3000rpm!C13</x:v>
      </x:c>
      <x:c r="R31" s="20" t="str">
        <x:v>3000rpm!C3</x:v>
      </x:c>
    </x:row>
    <x:row r="32">
      <x:c r="A32" s="21" t="n">
        <x:v>3000</x:v>
      </x:c>
      <x:c r="B32" s="21" t="n">
        <x:v>0</x:v>
      </x:c>
      <x:c r="C32" s="21" t="n">
        <x:v>11</x:v>
      </x:c>
      <x:c r="D32" s="21" t="n">
        <x:v>2</x:v>
      </x:c>
      <x:c r="E32" s="21" t="str">
        <x:v>3000rpm</x:v>
      </x:c>
      <x:c r="F32" s="21" t="n">
        <x:v>13</x:v>
      </x:c>
      <x:c r="G32" s="22" t="n">
        <x:f>IFERROR('3000rpm'!N13,"")</x:f>
        <x:v>9.193923059483641</x:v>
      </x:c>
      <x:c r="H32" s="22" t="n">
        <x:f>IFERROR('3000rpm'!L13,"")</x:f>
        <x:v>3139.74867466517</x:v>
      </x:c>
      <x:c r="I32" s="22" t="n">
        <x:f>IFERROR('3000rpm'!M13,"")</x:f>
        <x:v>1437.05633802816</x:v>
      </x:c>
      <x:c r="J32" s="22" t="n">
        <x:f>IFERROR('3000rpm'!C3,"")</x:f>
        <x:v>42</x:v>
      </x:c>
      <x:c r="K32" s="22" t="n">
        <x:f>IF(AND(ISNUMBER(I32),ISNUMBER(J32)),I32-J32,"")</x:f>
        <x:v>1395.05633802816</x:v>
      </x:c>
      <x:c r="L32" s="22" t="n">
        <x:f>IF(ISNUMBER(K32),K32*$B$2+$B$3,"")</x:f>
        <x:v>1306.2329491830906</x:v>
      </x:c>
      <x:c r="M32" s="22" t="n">
        <x:f>IF(AND(ISNUMBER(G32),ISNUMBER(H32),H32&lt;&gt;0),G32/(H32/60)/$B$5,"")</x:f>
        <x:v>0.38428285433963</x:v>
      </x:c>
      <x:c r="N32" s="22" t="n">
        <x:f>IF(AND(ISNUMBER(L32),ISNUMBER(H32),H32&lt;&gt;0),L32*$B$6/$B$4/(H32/60)^2/$B$5^4/$B$7,"")</x:f>
        <x:v>0.08878661638270026</x:v>
      </x:c>
      <x:c r="O32" s="22" t="n">
        <x:f>IF(ISNUMBER(N32),N32*$B$8,"")</x:f>
        <x:v>0.011471456236994183</x:v>
      </x:c>
      <x:c r="P32" s="20" t="str">
        <x:v>3000rpm!N13</x:v>
      </x:c>
      <x:c r="Q32" s="20" t="str">
        <x:v>3000rpm!M13</x:v>
      </x:c>
      <x:c r="R32" s="20" t="str">
        <x:v>3000rpm!C3</x:v>
      </x:c>
    </x:row>
    <x:row r="33">
      <x:c r="A33" s="21" t="n">
        <x:v>3000</x:v>
      </x:c>
      <x:c r="B33" s="21" t="n">
        <x:v>0</x:v>
      </x:c>
      <x:c r="C33" s="21" t="n">
        <x:v>12</x:v>
      </x:c>
      <x:c r="D33" s="21" t="n">
        <x:v>1</x:v>
      </x:c>
      <x:c r="E33" s="21" t="str">
        <x:v>3000rpm</x:v>
      </x:c>
      <x:c r="F33" s="21" t="n">
        <x:v>14</x:v>
      </x:c>
      <x:c r="G33" s="22" t="n">
        <x:f>IFERROR('3000rpm'!D14,"")</x:f>
        <x:v>10.12335</x:v>
      </x:c>
      <x:c r="H33" s="22" t="n">
        <x:f>IFERROR('3000rpm'!B14,"")</x:f>
        <x:v>3156.9</x:v>
      </x:c>
      <x:c r="I33" s="22" t="n">
        <x:f>IFERROR('3000rpm'!C14,"")</x:f>
        <x:v>1496.2</x:v>
      </x:c>
      <x:c r="J33" s="22" t="n">
        <x:f>IFERROR('3000rpm'!C3,"")</x:f>
        <x:v>42</x:v>
      </x:c>
      <x:c r="K33" s="22" t="n">
        <x:f>IF(AND(ISNUMBER(I33),ISNUMBER(J33)),I33-J33,"")</x:f>
        <x:v>1454.2</x:v>
      </x:c>
      <x:c r="L33" s="22" t="n">
        <x:f>IF(ISNUMBER(K33),K33*$B$2+$B$3,"")</x:f>
        <x:v>1360.3912736</x:v>
      </x:c>
      <x:c r="M33" s="22" t="n">
        <x:f>IF(AND(ISNUMBER(G33),ISNUMBER(H33),H33&lt;&gt;0),G33/(H33/60)/$B$5,"")</x:f>
        <x:v>0.4208317089699528</x:v>
      </x:c>
      <x:c r="N33" s="22" t="n">
        <x:f>IF(AND(ISNUMBER(L33),ISNUMBER(H33),H33&lt;&gt;0),L33*$B$6/$B$4/(H33/60)^2/$B$5^4/$B$7,"")</x:f>
        <x:v>0.09146581950076053</x:v>
      </x:c>
      <x:c r="O33" s="22" t="n">
        <x:f>IF(ISNUMBER(N33),N33*$B$8,"")</x:f>
        <x:v>0.011817616081473123</x:v>
      </x:c>
      <x:c r="P33" s="20" t="str">
        <x:v>3000rpm!D14</x:v>
      </x:c>
      <x:c r="Q33" s="20" t="str">
        <x:v>3000rpm!C14</x:v>
      </x:c>
      <x:c r="R33" s="20" t="str">
        <x:v>3000rpm!C3</x:v>
      </x:c>
    </x:row>
    <x:row r="34">
      <x:c r="A34" s="21" t="n">
        <x:v>3000</x:v>
      </x:c>
      <x:c r="B34" s="21" t="n">
        <x:v>0</x:v>
      </x:c>
      <x:c r="C34" s="21" t="n">
        <x:v>12</x:v>
      </x:c>
      <x:c r="D34" s="21" t="n">
        <x:v>2</x:v>
      </x:c>
      <x:c r="E34" s="21" t="str">
        <x:v>3000rpm</x:v>
      </x:c>
      <x:c r="F34" s="21" t="n">
        <x:v>14</x:v>
      </x:c>
      <x:c r="G34" s="22" t="n">
        <x:f>IFERROR('3000rpm'!N14,"")</x:f>
        <x:v>10.1355</x:v>
      </x:c>
      <x:c r="H34" s="22" t="n">
        <x:f>IFERROR('3000rpm'!L14,"")</x:f>
        <x:v>3144</x:v>
      </x:c>
      <x:c r="I34" s="22" t="n">
        <x:f>IFERROR('3000rpm'!M14,"")</x:f>
        <x:v>1482.8</x:v>
      </x:c>
      <x:c r="J34" s="22" t="n">
        <x:f>IFERROR('3000rpm'!C3,"")</x:f>
        <x:v>42</x:v>
      </x:c>
      <x:c r="K34" s="22" t="n">
        <x:f>IF(AND(ISNUMBER(I34),ISNUMBER(J34)),I34-J34,"")</x:f>
        <x:v>1440.8</x:v>
      </x:c>
      <x:c r="L34" s="22" t="n">
        <x:f>IF(ISNUMBER(K34),K34*$B$2+$B$3,"")</x:f>
        <x:v>1348.1207864</x:v>
      </x:c>
      <x:c r="M34" s="22" t="n">
        <x:f>IF(AND(ISNUMBER(G34),ISNUMBER(H34),H34&lt;&gt;0),G34/(H34/60)/$B$5,"")</x:f>
        <x:v>0.42306555669090984</x:v>
      </x:c>
      <x:c r="N34" s="22" t="n">
        <x:f>IF(AND(ISNUMBER(L34),ISNUMBER(H34),H34&lt;&gt;0),L34*$B$6/$B$4/(H34/60)^2/$B$5^4/$B$7,"")</x:f>
        <x:v>0.09138614823522716</x:v>
      </x:c>
      <x:c r="O34" s="22" t="n">
        <x:f>IF(ISNUMBER(N34),N34*$B$8,"")</x:f>
        <x:v>0.011807322351706773</x:v>
      </x:c>
      <x:c r="P34" s="20" t="str">
        <x:v>3000rpm!N14</x:v>
      </x:c>
      <x:c r="Q34" s="20" t="str">
        <x:v>3000rpm!M14</x:v>
      </x:c>
      <x:c r="R34" s="20" t="str">
        <x:v>3000rpm!C3</x:v>
      </x:c>
    </x:row>
    <x:row r="35">
      <x:c r="A35" s="21" t="n">
        <x:v>3000</x:v>
      </x:c>
      <x:c r="B35" s="21" t="n">
        <x:v>0</x:v>
      </x:c>
      <x:c r="C35" s="21" t="n">
        <x:v>13</x:v>
      </x:c>
      <x:c r="D35" s="21" t="n">
        <x:v>1</x:v>
      </x:c>
      <x:c r="E35" s="21" t="str">
        <x:v>3000rpm</x:v>
      </x:c>
      <x:c r="F35" s="21" t="n">
        <x:v>15</x:v>
      </x:c>
      <x:c r="G35" s="22" t="n">
        <x:f>IFERROR('3000rpm'!D15,"")</x:f>
        <x:v>9.1978220382294</x:v>
      </x:c>
      <x:c r="H35" s="22" t="n">
        <x:f>IFERROR('3000rpm'!B15,"")</x:f>
        <x:v>3165.6881581182</x:v>
      </x:c>
      <x:c r="I35" s="22" t="n">
        <x:f>IFERROR('3000rpm'!C15,"")</x:f>
        <x:v>1451.04761904761</x:v>
      </x:c>
      <x:c r="J35" s="22" t="n">
        <x:f>IFERROR('3000rpm'!C3,"")</x:f>
        <x:v>42</x:v>
      </x:c>
      <x:c r="K35" s="22" t="n">
        <x:f>IF(AND(ISNUMBER(I35),ISNUMBER(J35)),I35-J35,"")</x:f>
        <x:v>1409.04761904761</x:v>
      </x:c>
      <x:c r="L35" s="22" t="n">
        <x:f>IF(ISNUMBER(K35),K35*$B$2+$B$3,"")</x:f>
        <x:v>1319.044877142849</x:v>
      </x:c>
      <x:c r="M35" s="22" t="n">
        <x:f>IF(AND(ISNUMBER(G35),ISNUMBER(H35),H35&lt;&gt;0),G35/(H35/60)/$B$5,"")</x:f>
        <x:v>0.3812956928542449</x:v>
      </x:c>
      <x:c r="N35" s="22" t="n">
        <x:f>IF(AND(ISNUMBER(L35),ISNUMBER(H35),H35&lt;&gt;0),L35*$B$6/$B$4/(H35/60)^2/$B$5^4/$B$7,"")</x:f>
        <x:v>0.08819418492060507</x:v>
      </x:c>
      <x:c r="O35" s="22" t="n">
        <x:f>IF(ISNUMBER(N35),N35*$B$8,"")</x:f>
        <x:v>0.011394912588100636</x:v>
      </x:c>
      <x:c r="P35" s="20" t="str">
        <x:v>3000rpm!D15</x:v>
      </x:c>
      <x:c r="Q35" s="20" t="str">
        <x:v>3000rpm!C15</x:v>
      </x:c>
      <x:c r="R35" s="20" t="str">
        <x:v>3000rpm!C3</x:v>
      </x:c>
    </x:row>
    <x:row r="36">
      <x:c r="A36" s="21" t="n">
        <x:v>3000</x:v>
      </x:c>
      <x:c r="B36" s="21" t="n">
        <x:v>0</x:v>
      </x:c>
      <x:c r="C36" s="21" t="n">
        <x:v>13</x:v>
      </x:c>
      <x:c r="D36" s="21" t="n">
        <x:v>2</x:v>
      </x:c>
      <x:c r="E36" s="21" t="str">
        <x:v>3000rpm</x:v>
      </x:c>
      <x:c r="F36" s="21" t="n">
        <x:v>15</x:v>
      </x:c>
      <x:c r="G36" s="22" t="n">
        <x:f>IFERROR('3000rpm'!N15,"")</x:f>
        <x:v>9.199159011420075</x:v>
      </x:c>
      <x:c r="H36" s="22" t="n">
        <x:f>IFERROR('3000rpm'!L15,"")</x:f>
        <x:v>3133.9257884306</x:v>
      </x:c>
      <x:c r="I36" s="22" t="n">
        <x:f>IFERROR('3000rpm'!M15,"")</x:f>
        <x:v>1435.78382352941</x:v>
      </x:c>
      <x:c r="J36" s="22" t="n">
        <x:f>IFERROR('3000rpm'!C3,"")</x:f>
        <x:v>42</x:v>
      </x:c>
      <x:c r="K36" s="22" t="n">
        <x:f>IF(AND(ISNUMBER(I36),ISNUMBER(J36)),I36-J36,"")</x:f>
        <x:v>1393.78382352941</x:v>
      </x:c>
      <x:c r="L36" s="22" t="n">
        <x:f>IF(ISNUMBER(K36),K36*$B$2+$B$3,"")</x:f>
        <x:v>1305.067697476469</x:v>
      </x:c>
      <x:c r="M36" s="22" t="n">
        <x:f>IF(AND(ISNUMBER(G36),ISNUMBER(H36),H36&lt;&gt;0),G36/(H36/60)/$B$5,"")</x:f>
        <x:v>0.38521611451878607</x:v>
      </x:c>
      <x:c r="N36" s="22" t="n">
        <x:f>IF(AND(ISNUMBER(L36),ISNUMBER(H36),H36&lt;&gt;0),L36*$B$6/$B$4/(H36/60)^2/$B$5^4/$B$7,"")</x:f>
        <x:v>0.08903735840653906</x:v>
      </x:c>
      <x:c r="O36" s="22" t="n">
        <x:f>IF(ISNUMBER(N36),N36*$B$8,"")</x:f>
        <x:v>0.011503852743026623</x:v>
      </x:c>
      <x:c r="P36" s="20" t="str">
        <x:v>3000rpm!N15</x:v>
      </x:c>
      <x:c r="Q36" s="20" t="str">
        <x:v>3000rpm!M15</x:v>
      </x:c>
      <x:c r="R36" s="20" t="str">
        <x:v>3000rpm!C3</x:v>
      </x:c>
    </x:row>
    <x:row r="37">
      <x:c r="A37" s="21" t="n">
        <x:v>3000</x:v>
      </x:c>
      <x:c r="B37" s="21" t="n">
        <x:v>0</x:v>
      </x:c>
      <x:c r="C37" s="21" t="n">
        <x:v>14</x:v>
      </x:c>
      <x:c r="D37" s="21" t="n">
        <x:v>1</x:v>
      </x:c>
      <x:c r="E37" s="21" t="str">
        <x:v>3000rpm</x:v>
      </x:c>
      <x:c r="F37" s="21" t="n">
        <x:v>16</x:v>
      </x:c>
      <x:c r="G37" s="22" t="n">
        <x:f>IFERROR('3000rpm'!D16,"")</x:f>
        <x:v>8.181670100721584</x:v>
      </x:c>
      <x:c r="H37" s="22" t="n">
        <x:f>IFERROR('3000rpm'!B16,"")</x:f>
        <x:v>3149.629823882</x:v>
      </x:c>
      <x:c r="I37" s="22" t="n">
        <x:f>IFERROR('3000rpm'!C16,"")</x:f>
        <x:v>1398.24657534246</x:v>
      </x:c>
      <x:c r="J37" s="22" t="n">
        <x:f>IFERROR('3000rpm'!C3,"")</x:f>
        <x:v>42</x:v>
      </x:c>
      <x:c r="K37" s="22" t="n">
        <x:f>IF(AND(ISNUMBER(I37),ISNUMBER(J37)),I37-J37,"")</x:f>
        <x:v>1356.24657534246</x:v>
      </x:c>
      <x:c r="L37" s="22" t="n">
        <x:f>IF(ISNUMBER(K37),K37*$B$2+$B$3,"")</x:f>
        <x:v>1270.6945390136932</x:v>
      </x:c>
      <x:c r="M37" s="22" t="n">
        <x:f>IF(AND(ISNUMBER(G37),ISNUMBER(H37),H37&lt;&gt;0),G37/(H37/60)/$B$5,"")</x:f>
        <x:v>0.34090037465036493</x:v>
      </x:c>
      <x:c r="N37" s="22" t="n">
        <x:f>IF(AND(ISNUMBER(L37),ISNUMBER(H37),H37&lt;&gt;0),L37*$B$6/$B$4/(H37/60)^2/$B$5^4/$B$7,"")</x:f>
        <x:v>0.085829933859631</x:v>
      </x:c>
      <x:c r="O37" s="22" t="n">
        <x:f>IF(ISNUMBER(N37),N37*$B$8,"")</x:f>
        <x:v>0.011089445348958098</x:v>
      </x:c>
      <x:c r="P37" s="20" t="str">
        <x:v>3000rpm!D16</x:v>
      </x:c>
      <x:c r="Q37" s="20" t="str">
        <x:v>3000rpm!C16</x:v>
      </x:c>
      <x:c r="R37" s="20" t="str">
        <x:v>3000rpm!C3</x:v>
      </x:c>
    </x:row>
    <x:row r="38">
      <x:c r="A38" s="21" t="n">
        <x:v>3000</x:v>
      </x:c>
      <x:c r="B38" s="21" t="n">
        <x:v>0</x:v>
      </x:c>
      <x:c r="C38" s="21" t="n">
        <x:v>14</x:v>
      </x:c>
      <x:c r="D38" s="21" t="n">
        <x:v>2</x:v>
      </x:c>
      <x:c r="E38" s="21" t="str">
        <x:v>3000rpm</x:v>
      </x:c>
      <x:c r="F38" s="21" t="n">
        <x:v>16</x:v>
      </x:c>
      <x:c r="G38" s="22" t="n">
        <x:f>IFERROR('3000rpm'!N16,"")</x:f>
        <x:v>8.188966477739399</x:v>
      </x:c>
      <x:c r="H38" s="22" t="n">
        <x:f>IFERROR('3000rpm'!L16,"")</x:f>
        <x:v>3141.24141199448</x:v>
      </x:c>
      <x:c r="I38" s="22" t="n">
        <x:f>IFERROR('3000rpm'!M16,"")</x:f>
        <x:v>1384.20373027259</x:v>
      </x:c>
      <x:c r="J38" s="22" t="n">
        <x:f>IFERROR('3000rpm'!C3,"")</x:f>
        <x:v>42</x:v>
      </x:c>
      <x:c r="K38" s="22" t="n">
        <x:f>IF(AND(ISNUMBER(I38),ISNUMBER(J38)),I38-J38,"")</x:f>
        <x:v>1342.20373027259</x:v>
      </x:c>
      <x:c r="L38" s="22" t="n">
        <x:f>IF(ISNUMBER(K38),K38*$B$2+$B$3,"")</x:f>
        <x:v>1257.835393440453</x:v>
      </x:c>
      <x:c r="M38" s="22" t="n">
        <x:f>IF(AND(ISNUMBER(G38),ISNUMBER(H38),H38&lt;&gt;0),G38/(H38/60)/$B$5,"")</x:f>
        <x:v>0.3421155447206962</x:v>
      </x:c>
      <x:c r="N38" s="22" t="n">
        <x:f>IF(AND(ISNUMBER(L38),ISNUMBER(H38),H38&lt;&gt;0),L38*$B$6/$B$4/(H38/60)^2/$B$5^4/$B$7,"")</x:f>
        <x:v>0.08541572373161029</x:v>
      </x:c>
      <x:c r="O38" s="22" t="n">
        <x:f>IF(ISNUMBER(N38),N38*$B$8,"")</x:f>
        <x:v>0.01103592834887299</x:v>
      </x:c>
      <x:c r="P38" s="20" t="str">
        <x:v>3000rpm!N16</x:v>
      </x:c>
      <x:c r="Q38" s="20" t="str">
        <x:v>3000rpm!M16</x:v>
      </x:c>
      <x:c r="R38" s="20" t="str">
        <x:v>3000rpm!C3</x:v>
      </x:c>
    </x:row>
    <x:row r="39">
      <x:c r="A39" s="21" t="n">
        <x:v>3000</x:v>
      </x:c>
      <x:c r="B39" s="21" t="n">
        <x:v>0</x:v>
      </x:c>
      <x:c r="C39" s="21" t="n">
        <x:v>15</x:v>
      </x:c>
      <x:c r="D39" s="21" t="n">
        <x:v>1</x:v>
      </x:c>
      <x:c r="E39" s="21" t="str">
        <x:v>3000rpm</x:v>
      </x:c>
      <x:c r="F39" s="21" t="n">
        <x:v>17</x:v>
      </x:c>
      <x:c r="G39" s="22" t="n">
        <x:f>IFERROR('3000rpm'!D17,"")</x:f>
        <x:v>7.161548952261599</x:v>
      </x:c>
      <x:c r="H39" s="22" t="n">
        <x:f>IFERROR('3000rpm'!B17,"")</x:f>
        <x:v>3172.4433984375</x:v>
      </x:c>
      <x:c r="I39" s="22" t="n">
        <x:f>IFERROR('3000rpm'!C17,"")</x:f>
        <x:v>1351.23809523809</x:v>
      </x:c>
      <x:c r="J39" s="22" t="n">
        <x:f>IFERROR('3000rpm'!C3,"")</x:f>
        <x:v>42</x:v>
      </x:c>
      <x:c r="K39" s="22" t="n">
        <x:f>IF(AND(ISNUMBER(I39),ISNUMBER(J39)),I39-J39,"")</x:f>
        <x:v>1309.23809523809</x:v>
      </x:c>
      <x:c r="L39" s="22" t="n">
        <x:f>IF(ISNUMBER(K39),K39*$B$2+$B$3,"")</x:f>
        <x:v>1227.648497714281</x:v>
      </x:c>
      <x:c r="M39" s="22" t="n">
        <x:f>IF(AND(ISNUMBER(G39),ISNUMBER(H39),H39&lt;&gt;0),G39/(H39/60)/$B$5,"")</x:f>
        <x:v>0.29624983095668844</x:v>
      </x:c>
      <x:c r="N39" s="22" t="n">
        <x:f>IF(AND(ISNUMBER(L39),ISNUMBER(H39),H39&lt;&gt;0),L39*$B$6/$B$4/(H39/60)^2/$B$5^4/$B$7,"")</x:f>
        <x:v>0.08173403034850973</x:v>
      </x:c>
      <x:c r="O39" s="22" t="n">
        <x:f>IF(ISNUMBER(N39),N39*$B$8,"")</x:f>
        <x:v>0.01056024421715403</x:v>
      </x:c>
      <x:c r="P39" s="20" t="str">
        <x:v>3000rpm!D17</x:v>
      </x:c>
      <x:c r="Q39" s="20" t="str">
        <x:v>3000rpm!C17</x:v>
      </x:c>
      <x:c r="R39" s="20" t="str">
        <x:v>3000rpm!C3</x:v>
      </x:c>
    </x:row>
    <x:row r="40">
      <x:c r="A40" s="21" t="n">
        <x:v>3000</x:v>
      </x:c>
      <x:c r="B40" s="21" t="n">
        <x:v>0</x:v>
      </x:c>
      <x:c r="C40" s="21" t="n">
        <x:v>15</x:v>
      </x:c>
      <x:c r="D40" s="21" t="n">
        <x:v>2</x:v>
      </x:c>
      <x:c r="E40" s="21" t="str">
        <x:v>3000rpm</x:v>
      </x:c>
      <x:c r="F40" s="21" t="n">
        <x:v>17</x:v>
      </x:c>
      <x:c r="G40" s="22" t="n">
        <x:f>IFERROR('3000rpm'!N17,"")</x:f>
        <x:v>7.16659336866333</x:v>
      </x:c>
      <x:c r="H40" s="22" t="n">
        <x:f>IFERROR('3000rpm'!L17,"")</x:f>
        <x:v>3150.40579927884</x:v>
      </x:c>
      <x:c r="I40" s="22" t="n">
        <x:f>IFERROR('3000rpm'!M17,"")</x:f>
        <x:v>1334.46692607003</x:v>
      </x:c>
      <x:c r="J40" s="22" t="n">
        <x:f>IFERROR('3000rpm'!C3,"")</x:f>
        <x:v>42</x:v>
      </x:c>
      <x:c r="K40" s="22" t="n">
        <x:f>IF(AND(ISNUMBER(I40),ISNUMBER(J40)),I40-J40,"")</x:f>
        <x:v>1292.46692607003</x:v>
      </x:c>
      <x:c r="L40" s="22" t="n">
        <x:f>IF(ISNUMBER(K40),K40*$B$2+$B$3,"")</x:f>
        <x:v>1212.291003937735</x:v>
      </x:c>
      <x:c r="M40" s="22" t="n">
        <x:f>IF(AND(ISNUMBER(G40),ISNUMBER(H40),H40&lt;&gt;0),G40/(H40/60)/$B$5,"")</x:f>
        <x:v>0.2985322772149466</x:v>
      </x:c>
      <x:c r="N40" s="22" t="n">
        <x:f>IF(AND(ISNUMBER(L40),ISNUMBER(H40),H40&lt;&gt;0),L40*$B$6/$B$4/(H40/60)^2/$B$5^4/$B$7,"")</x:f>
        <x:v>0.08184469386059982</x:v>
      </x:c>
      <x:c r="O40" s="22" t="n">
        <x:f>IF(ISNUMBER(N40),N40*$B$8,"")</x:f>
        <x:v>0.010574542223854745</x:v>
      </x:c>
      <x:c r="P40" s="20" t="str">
        <x:v>3000rpm!N17</x:v>
      </x:c>
      <x:c r="Q40" s="20" t="str">
        <x:v>3000rpm!M17</x:v>
      </x:c>
      <x:c r="R40" s="20" t="str">
        <x:v>3000rpm!C3</x:v>
      </x:c>
    </x:row>
    <x:row r="41">
      <x:c r="A41" s="21" t="n">
        <x:v>3000</x:v>
      </x:c>
      <x:c r="B41" s="21" t="n">
        <x:v>0</x:v>
      </x:c>
      <x:c r="C41" s="21" t="n">
        <x:v>16</x:v>
      </x:c>
      <x:c r="D41" s="21" t="n">
        <x:v>1</x:v>
      </x:c>
      <x:c r="E41" s="21" t="str">
        <x:v>3000rpm</x:v>
      </x:c>
      <x:c r="F41" s="21" t="n">
        <x:v>18</x:v>
      </x:c>
      <x:c r="G41" s="22" t="n">
        <x:f>IFERROR('3000rpm'!D18,"")</x:f>
        <x:v>6.1452428443091245</x:v>
      </x:c>
      <x:c r="H41" s="22" t="n">
        <x:f>IFERROR('3000rpm'!B18,"")</x:f>
        <x:v>3156.3119921875</x:v>
      </x:c>
      <x:c r="I41" s="22" t="n">
        <x:f>IFERROR('3000rpm'!C18,"")</x:f>
        <x:v>1306.49108910891</x:v>
      </x:c>
      <x:c r="J41" s="22" t="n">
        <x:f>IFERROR('3000rpm'!C3,"")</x:f>
        <x:v>42</x:v>
      </x:c>
      <x:c r="K41" s="22" t="n">
        <x:f>IF(AND(ISNUMBER(I41),ISNUMBER(J41)),I41-J41,"")</x:f>
        <x:v>1264.49108910891</x:v>
      </x:c>
      <x:c r="L41" s="22" t="n">
        <x:f>IF(ISNUMBER(K41),K41*$B$2+$B$3,"")</x:f>
        <x:v>1186.6733062257417</x:v>
      </x:c>
      <x:c r="M41" s="22" t="n">
        <x:f>IF(AND(ISNUMBER(G41),ISNUMBER(H41),H41&lt;&gt;0),G41/(H41/60)/$B$5,"")</x:f>
        <x:v>0.25550779438860494</x:v>
      </x:c>
      <x:c r="N41" s="22" t="n">
        <x:f>IF(AND(ISNUMBER(L41),ISNUMBER(H41),H41&lt;&gt;0),L41*$B$6/$B$4/(H41/60)^2/$B$5^4/$B$7,"")</x:f>
        <x:v>0.0798156335072722</x:v>
      </x:c>
      <x:c r="O41" s="22" t="n">
        <x:f>IF(ISNUMBER(N41),N41*$B$8,"")</x:f>
        <x:v>0.010312382475080343</x:v>
      </x:c>
      <x:c r="P41" s="20" t="str">
        <x:v>3000rpm!D18</x:v>
      </x:c>
      <x:c r="Q41" s="20" t="str">
        <x:v>3000rpm!C18</x:v>
      </x:c>
      <x:c r="R41" s="20" t="str">
        <x:v>3000rpm!C3</x:v>
      </x:c>
    </x:row>
    <x:row r="42">
      <x:c r="A42" s="21" t="n">
        <x:v>3000</x:v>
      </x:c>
      <x:c r="B42" s="21" t="n">
        <x:v>0</x:v>
      </x:c>
      <x:c r="C42" s="21" t="n">
        <x:v>16</x:v>
      </x:c>
      <x:c r="D42" s="21" t="n">
        <x:v>2</x:v>
      </x:c>
      <x:c r="E42" s="21" t="str">
        <x:v>3000rpm</x:v>
      </x:c>
      <x:c r="F42" s="21" t="n">
        <x:v>18</x:v>
      </x:c>
      <x:c r="G42" s="22" t="n">
        <x:f>IFERROR('3000rpm'!N18,"")</x:f>
        <x:v>6.148626355430745</x:v>
      </x:c>
      <x:c r="H42" s="22" t="n">
        <x:f>IFERROR('3000rpm'!L18,"")</x:f>
        <x:v>3142.73154449462</x:v>
      </x:c>
      <x:c r="I42" s="22" t="n">
        <x:f>IFERROR('3000rpm'!M18,"")</x:f>
        <x:v>1292.70616113744</x:v>
      </x:c>
      <x:c r="J42" s="22" t="n">
        <x:f>IFERROR('3000rpm'!C3,"")</x:f>
        <x:v>42</x:v>
      </x:c>
      <x:c r="K42" s="22" t="n">
        <x:f>IF(AND(ISNUMBER(I42),ISNUMBER(J42)),I42-J42,"")</x:f>
        <x:v>1250.70616113744</x:v>
      </x:c>
      <x:c r="L42" s="22" t="n">
        <x:f>IF(ISNUMBER(K42),K42*$B$2+$B$3,"")</x:f>
        <x:v>1174.0503374028428</x:v>
      </x:c>
      <x:c r="M42" s="22" t="n">
        <x:f>IF(AND(ISNUMBER(G42),ISNUMBER(H42),H42&lt;&gt;0),G42/(H42/60)/$B$5,"")</x:f>
        <x:v>0.2567531888845476</x:v>
      </x:c>
      <x:c r="N42" s="22" t="n">
        <x:f>IF(AND(ISNUMBER(L42),ISNUMBER(H42),H42&lt;&gt;0),L42*$B$6/$B$4/(H42/60)^2/$B$5^4/$B$7,"")</x:f>
        <x:v>0.07965055218574316</x:v>
      </x:c>
      <x:c r="O42" s="22" t="n">
        <x:f>IF(ISNUMBER(N42),N42*$B$8,"")</x:f>
        <x:v>0.010291053549250993</x:v>
      </x:c>
      <x:c r="P42" s="20" t="str">
        <x:v>3000rpm!N18</x:v>
      </x:c>
      <x:c r="Q42" s="20" t="str">
        <x:v>3000rpm!M18</x:v>
      </x:c>
      <x:c r="R42" s="20" t="str">
        <x:v>3000rpm!C3</x:v>
      </x:c>
    </x:row>
    <x:row r="43">
      <x:c r="A43" s="21" t="n">
        <x:v>3000</x:v>
      </x:c>
      <x:c r="B43" s="21" t="n">
        <x:v>0</x:v>
      </x:c>
      <x:c r="C43" s="21" t="n">
        <x:v>17</x:v>
      </x:c>
      <x:c r="D43" s="21" t="n">
        <x:v>1</x:v>
      </x:c>
      <x:c r="E43" s="21" t="str">
        <x:v>3000rpm</x:v>
      </x:c>
      <x:c r="F43" s="21" t="n">
        <x:v>19</x:v>
      </x:c>
      <x:c r="G43" s="22" t="n">
        <x:f>IFERROR('3000rpm'!D19,"")</x:f>
        <x:v>5.076613707725805</x:v>
      </x:c>
      <x:c r="H43" s="22" t="n">
        <x:f>IFERROR('3000rpm'!B19,"")</x:f>
        <x:v>3147.74577448918</x:v>
      </x:c>
      <x:c r="I43" s="22" t="n">
        <x:f>IFERROR('3000rpm'!C19,"")</x:f>
        <x:v>1268.88061617458</x:v>
      </x:c>
      <x:c r="J43" s="22" t="n">
        <x:f>IFERROR('3000rpm'!C3,"")</x:f>
        <x:v>42</x:v>
      </x:c>
      <x:c r="K43" s="22" t="n">
        <x:f>IF(AND(ISNUMBER(I43),ISNUMBER(J43)),I43-J43,"")</x:f>
        <x:v>1226.88061617458</x:v>
      </x:c>
      <x:c r="L43" s="22" t="n">
        <x:f>IF(ISNUMBER(K43),K43*$B$2+$B$3,"")</x:f>
        <x:v>1152.2330952759924</x:v>
      </x:c>
      <x:c r="M43" s="22" t="n">
        <x:f>IF(AND(ISNUMBER(G43),ISNUMBER(H43),H43&lt;&gt;0),G43/(H43/60)/$B$5,"")</x:f>
        <x:v>0.21165059667603173</x:v>
      </x:c>
      <x:c r="N43" s="22" t="n">
        <x:f>IF(AND(ISNUMBER(L43),ISNUMBER(H43),H43&lt;&gt;0),L43*$B$6/$B$4/(H43/60)^2/$B$5^4/$B$7,"")</x:f>
        <x:v>0.07792156897760903</x:v>
      </x:c>
      <x:c r="O43" s="22" t="n">
        <x:f>IF(ISNUMBER(N43),N43*$B$8,"")</x:f>
        <x:v>0.010067664529433893</x:v>
      </x:c>
      <x:c r="P43" s="20" t="str">
        <x:v>3000rpm!D19</x:v>
      </x:c>
      <x:c r="Q43" s="20" t="str">
        <x:v>3000rpm!C19</x:v>
      </x:c>
      <x:c r="R43" s="20" t="str">
        <x:v>3000rpm!C3</x:v>
      </x:c>
    </x:row>
    <x:row r="44">
      <x:c r="A44" s="21" t="n">
        <x:v>3000</x:v>
      </x:c>
      <x:c r="B44" s="21" t="n">
        <x:v>0</x:v>
      </x:c>
      <x:c r="C44" s="21" t="n">
        <x:v>17</x:v>
      </x:c>
      <x:c r="D44" s="21" t="n">
        <x:v>2</x:v>
      </x:c>
      <x:c r="E44" s="21" t="str">
        <x:v>3000rpm</x:v>
      </x:c>
      <x:c r="F44" s="21" t="n">
        <x:v>19</x:v>
      </x:c>
      <x:c r="G44" s="22" t="n">
        <x:f>IFERROR('3000rpm'!N19,"")</x:f>
        <x:v>5.115176479021695</x:v>
      </x:c>
      <x:c r="H44" s="22" t="n">
        <x:f>IFERROR('3000rpm'!L19,"")</x:f>
        <x:v>3133.9365234375</x:v>
      </x:c>
      <x:c r="I44" s="22" t="n">
        <x:f>IFERROR('3000rpm'!M19,"")</x:f>
        <x:v>1256.02283849918</x:v>
      </x:c>
      <x:c r="J44" s="22" t="n">
        <x:f>IFERROR('3000rpm'!C3,"")</x:f>
        <x:v>42</x:v>
      </x:c>
      <x:c r="K44" s="22" t="n">
        <x:f>IF(AND(ISNUMBER(I44),ISNUMBER(J44)),I44-J44,"")</x:f>
        <x:v>1214.02283849918</x:v>
      </x:c>
      <x:c r="L44" s="22" t="n">
        <x:f>IF(ISNUMBER(K44),K44*$B$2+$B$3,"")</x:f>
        <x:v>1140.459125396407</x:v>
      </x:c>
      <x:c r="M44" s="22" t="n">
        <x:f>IF(AND(ISNUMBER(G44),ISNUMBER(H44),H44&lt;&gt;0),G44/(H44/60)/$B$5,"")</x:f>
        <x:v>0.21419802139450478</x:v>
      </x:c>
      <x:c r="N44" s="22" t="n">
        <x:f>IF(AND(ISNUMBER(L44),ISNUMBER(H44),H44&lt;&gt;0),L44*$B$6/$B$4/(H44/60)^2/$B$5^4/$B$7,"")</x:f>
        <x:v>0.07780651719304156</x:v>
      </x:c>
      <x:c r="O44" s="22" t="n">
        <x:f>IF(ISNUMBER(N44),N44*$B$8,"")</x:f>
        <x:v>0.010052799546788704</x:v>
      </x:c>
      <x:c r="P44" s="20" t="str">
        <x:v>3000rpm!N19</x:v>
      </x:c>
      <x:c r="Q44" s="20" t="str">
        <x:v>3000rpm!M19</x:v>
      </x:c>
      <x:c r="R44" s="20" t="str">
        <x:v>3000rpm!C3</x:v>
      </x:c>
    </x:row>
    <x:row r="45">
      <x:c r="A45" s="21" t="n">
        <x:v>3000</x:v>
      </x:c>
      <x:c r="B45" s="21" t="n">
        <x:v>0</x:v>
      </x:c>
      <x:c r="C45" s="21" t="n">
        <x:v>18</x:v>
      </x:c>
      <x:c r="D45" s="21" t="n">
        <x:v>1</x:v>
      </x:c>
      <x:c r="E45" s="21" t="str">
        <x:v>3000rpm</x:v>
      </x:c>
      <x:c r="F45" s="21" t="n">
        <x:v>20</x:v>
      </x:c>
      <x:c r="G45" s="22" t="n">
        <x:f>IFERROR('3000rpm'!D20,"")</x:f>
        <x:v>4.089411399082125</x:v>
      </x:c>
      <x:c r="H45" s="22" t="n">
        <x:f>IFERROR('3000rpm'!B20,"")</x:f>
        <x:v>3137.05638860887</x:v>
      </x:c>
      <x:c r="I45" s="22" t="n">
        <x:f>IFERROR('3000rpm'!C20,"")</x:f>
        <x:v>1240.33443163097</x:v>
      </x:c>
      <x:c r="J45" s="22" t="n">
        <x:f>IFERROR('3000rpm'!C3,"")</x:f>
        <x:v>42</x:v>
      </x:c>
      <x:c r="K45" s="22" t="n">
        <x:f>IF(AND(ISNUMBER(I45),ISNUMBER(J45)),I45-J45,"")</x:f>
        <x:v>1198.33443163097</x:v>
      </x:c>
      <x:c r="L45" s="22" t="n">
        <x:f>IF(ISNUMBER(K45),K45*$B$2+$B$3,"")</x:f>
        <x:v>1126.0931257199322</x:v>
      </x:c>
      <x:c r="M45" s="22" t="n">
        <x:f>IF(AND(ISNUMBER(G45),ISNUMBER(H45),H45&lt;&gt;0),G45/(H45/60)/$B$5,"")</x:f>
        <x:v>0.17107380171995845</x:v>
      </x:c>
      <x:c r="N45" s="22" t="n">
        <x:f>IF(AND(ISNUMBER(L45),ISNUMBER(H45),H45&lt;&gt;0),L45*$B$6/$B$4/(H45/60)^2/$B$5^4/$B$7,"")</x:f>
        <x:v>0.07667367850920222</x:v>
      </x:c>
      <x:c r="O45" s="22" t="n">
        <x:f>IF(ISNUMBER(N45),N45*$B$8,"")</x:f>
        <x:v>0.009906433912927594</x:v>
      </x:c>
      <x:c r="P45" s="20" t="str">
        <x:v>3000rpm!D20</x:v>
      </x:c>
      <x:c r="Q45" s="20" t="str">
        <x:v>3000rpm!C20</x:v>
      </x:c>
      <x:c r="R45" s="20" t="str">
        <x:v>3000rpm!C3</x:v>
      </x:c>
    </x:row>
    <x:row r="46">
      <x:c r="A46" s="21" t="n">
        <x:v>3000</x:v>
      </x:c>
      <x:c r="B46" s="21" t="n">
        <x:v>0</x:v>
      </x:c>
      <x:c r="C46" s="21" t="n">
        <x:v>18</x:v>
      </x:c>
      <x:c r="D46" s="21" t="n">
        <x:v>2</x:v>
      </x:c>
      <x:c r="E46" s="21" t="str">
        <x:v>3000rpm</x:v>
      </x:c>
      <x:c r="F46" s="21" t="n">
        <x:v>20</x:v>
      </x:c>
      <x:c r="G46" s="22" t="n">
        <x:f>IFERROR('3000rpm'!N20,"")</x:f>
        <x:v>4.1812840523927095</x:v>
      </x:c>
      <x:c r="H46" s="22" t="n">
        <x:f>IFERROR('3000rpm'!L20,"")</x:f>
        <x:v>3106.43162626378</x:v>
      </x:c>
      <x:c r="I46" s="22" t="n">
        <x:f>IFERROR('3000rpm'!M20,"")</x:f>
        <x:v>1231.11577424023</x:v>
      </x:c>
      <x:c r="J46" s="22" t="n">
        <x:f>IFERROR('3000rpm'!C3,"")</x:f>
        <x:v>42</x:v>
      </x:c>
      <x:c r="K46" s="22" t="n">
        <x:f>IF(AND(ISNUMBER(I46),ISNUMBER(J46)),I46-J46,"")</x:f>
        <x:v>1189.11577424023</x:v>
      </x:c>
      <x:c r="L46" s="22" t="n">
        <x:f>IF(ISNUMBER(K46),K46*$B$2+$B$3,"")</x:f>
        <x:v>1117.6515273979726</x:v>
      </x:c>
      <x:c r="M46" s="22" t="n">
        <x:f>IF(AND(ISNUMBER(G46),ISNUMBER(H46),H46&lt;&gt;0),G46/(H46/60)/$B$5,"")</x:f>
        <x:v>0.17664156410835202</x:v>
      </x:c>
      <x:c r="N46" s="22" t="n">
        <x:f>IF(AND(ISNUMBER(L46),ISNUMBER(H46),H46&lt;&gt;0),L46*$B$6/$B$4/(H46/60)^2/$B$5^4/$B$7,"")</x:f>
        <x:v>0.07760674356093274</x:v>
      </x:c>
      <x:c r="O46" s="22" t="n">
        <x:f>IF(ISNUMBER(N46),N46*$B$8,"")</x:f>
        <x:v>0.01002698828635995</x:v>
      </x:c>
      <x:c r="P46" s="20" t="str">
        <x:v>3000rpm!N20</x:v>
      </x:c>
      <x:c r="Q46" s="20" t="str">
        <x:v>3000rpm!M20</x:v>
      </x:c>
      <x:c r="R46" s="20" t="str">
        <x:v>3000rpm!C3</x:v>
      </x:c>
    </x:row>
    <x:row r="47">
      <x:c r="A47" s="21" t="n">
        <x:v>3000</x:v>
      </x:c>
      <x:c r="B47" s="21" t="n">
        <x:v>0</x:v>
      </x:c>
      <x:c r="C47" s="21" t="n">
        <x:v>19</x:v>
      </x:c>
      <x:c r="D47" s="21" t="n">
        <x:v>1</x:v>
      </x:c>
      <x:c r="E47" s="21" t="str">
        <x:v>3000rpm</x:v>
      </x:c>
      <x:c r="F47" s="21" t="n">
        <x:v>21</x:v>
      </x:c>
      <x:c r="G47" s="22" t="n">
        <x:f>IFERROR('3000rpm'!D21,"")</x:f>
        <x:v>3.0706954306363947</x:v>
      </x:c>
      <x:c r="H47" s="22" t="n">
        <x:f>IFERROR('3000rpm'!B21,"")</x:f>
        <x:v>3131.15567220052</x:v>
      </x:c>
      <x:c r="I47" s="22" t="n">
        <x:f>IFERROR('3000rpm'!C21,"")</x:f>
        <x:v>1224.71619365609</x:v>
      </x:c>
      <x:c r="J47" s="22" t="n">
        <x:f>IFERROR('3000rpm'!C3,"")</x:f>
        <x:v>42</x:v>
      </x:c>
      <x:c r="K47" s="22" t="n">
        <x:f>IF(AND(ISNUMBER(I47),ISNUMBER(J47)),I47-J47,"")</x:f>
        <x:v>1182.71619365609</x:v>
      </x:c>
      <x:c r="L47" s="22" t="n">
        <x:f>IF(ISNUMBER(K47),K47*$B$2+$B$3,"")</x:f>
        <x:v>1111.7913802604307</x:v>
      </x:c>
      <x:c r="M47" s="22" t="n">
        <x:f>IF(AND(ISNUMBER(G47),ISNUMBER(H47),H47&lt;&gt;0),G47/(H47/60)/$B$5,"")</x:f>
        <x:v>0.12869957458469306</x:v>
      </x:c>
      <x:c r="N47" s="22" t="n">
        <x:f>IF(AND(ISNUMBER(L47),ISNUMBER(H47),H47&lt;&gt;0),L47*$B$6/$B$4/(H47/60)^2/$B$5^4/$B$7,"")</x:f>
        <x:v>0.07598548243814177</x:v>
      </x:c>
      <x:c r="O47" s="22" t="n">
        <x:f>IF(ISNUMBER(N47),N47*$B$8,"")</x:f>
        <x:v>0.009817517233440532</x:v>
      </x:c>
      <x:c r="P47" s="20" t="str">
        <x:v>3000rpm!D21</x:v>
      </x:c>
      <x:c r="Q47" s="20" t="str">
        <x:v>3000rpm!C21</x:v>
      </x:c>
      <x:c r="R47" s="20" t="str">
        <x:v>3000rpm!C3</x:v>
      </x:c>
    </x:row>
    <x:row r="48">
      <x:c r="A48" s="21" t="n">
        <x:v>3000</x:v>
      </x:c>
      <x:c r="B48" s="21" t="n">
        <x:v>0</x:v>
      </x:c>
      <x:c r="C48" s="21" t="n">
        <x:v>19</x:v>
      </x:c>
      <x:c r="D48" s="21" t="n">
        <x:v>2</x:v>
      </x:c>
      <x:c r="E48" s="21" t="str">
        <x:v>3000rpm</x:v>
      </x:c>
      <x:c r="F48" s="21" t="n">
        <x:v>21</x:v>
      </x:c>
      <x:c r="G48" s="22" t="n">
        <x:f>IFERROR('3000rpm'!N21,"")</x:f>
        <x:v>3.08874103335933</x:v>
      </x:c>
      <x:c r="H48" s="22" t="n">
        <x:f>IFERROR('3000rpm'!L21,"")</x:f>
        <x:v>3100.37184495192</x:v>
      </x:c>
      <x:c r="I48" s="22" t="n">
        <x:f>IFERROR('3000rpm'!M21,"")</x:f>
        <x:v>1212.79885057471</x:v>
      </x:c>
      <x:c r="J48" s="22" t="n">
        <x:f>IFERROR('3000rpm'!C3,"")</x:f>
        <x:v>42</x:v>
      </x:c>
      <x:c r="K48" s="22" t="n">
        <x:f>IF(AND(ISNUMBER(I48),ISNUMBER(J48)),I48-J48,"")</x:f>
        <x:v>1170.79885057471</x:v>
      </x:c>
      <x:c r="L48" s="22" t="n">
        <x:f>IF(ISNUMBER(K48),K48*$B$2+$B$3,"")</x:f>
        <x:v>1100.8785738620666</x:v>
      </x:c>
      <x:c r="M48" s="22" t="n">
        <x:f>IF(AND(ISNUMBER(G48),ISNUMBER(H48),H48&lt;&gt;0),G48/(H48/60)/$B$5,"")</x:f>
        <x:v>0.13074128284462602</x:v>
      </x:c>
      <x:c r="N48" s="22" t="n">
        <x:f>IF(AND(ISNUMBER(L48),ISNUMBER(H48),H48&lt;&gt;0),L48*$B$6/$B$4/(H48/60)^2/$B$5^4/$B$7,"")</x:f>
        <x:v>0.07674118361466772</x:v>
      </x:c>
      <x:c r="O48" s="22" t="n">
        <x:f>IF(ISNUMBER(N48),N48*$B$8,"")</x:f>
        <x:v>0.009915155743927252</x:v>
      </x:c>
      <x:c r="P48" s="20" t="str">
        <x:v>3000rpm!N21</x:v>
      </x:c>
      <x:c r="Q48" s="20" t="str">
        <x:v>3000rpm!M21</x:v>
      </x:c>
      <x:c r="R48" s="20" t="str">
        <x:v>3000rpm!C3</x:v>
      </x:c>
    </x:row>
    <x:row r="49">
      <x:c r="A49" s="21" t="n">
        <x:v>3000</x:v>
      </x:c>
      <x:c r="B49" s="21" t="n">
        <x:v>0</x:v>
      </x:c>
      <x:c r="C49" s="21" t="n">
        <x:v>20</x:v>
      </x:c>
      <x:c r="D49" s="21" t="n">
        <x:v>1</x:v>
      </x:c>
      <x:c r="E49" s="21" t="str">
        <x:v>3000rpm</x:v>
      </x:c>
      <x:c r="F49" s="21" t="n">
        <x:v>22</x:v>
      </x:c>
      <x:c r="G49" s="22" t="n">
        <x:f>IFERROR('3000rpm'!D22,"")</x:f>
        <x:v>2.05544709307806</x:v>
      </x:c>
      <x:c r="H49" s="22" t="n">
        <x:f>IFERROR('3000rpm'!B22,"")</x:f>
        <x:v>3120.73691258286</x:v>
      </x:c>
      <x:c r="I49" s="22" t="n">
        <x:f>IFERROR('3000rpm'!C22,"")</x:f>
        <x:v>1214.29893778452</x:v>
      </x:c>
      <x:c r="J49" s="22" t="n">
        <x:f>IFERROR('3000rpm'!C3,"")</x:f>
        <x:v>42</x:v>
      </x:c>
      <x:c r="K49" s="22" t="n">
        <x:f>IF(AND(ISNUMBER(I49),ISNUMBER(J49)),I49-J49,"")</x:f>
        <x:v>1172.29893778452</x:v>
      </x:c>
      <x:c r="L49" s="22" t="n">
        <x:f>IF(ISNUMBER(K49),K49*$B$2+$B$3,"")</x:f>
        <x:v>1102.2522157207873</x:v>
      </x:c>
      <x:c r="M49" s="22" t="n">
        <x:f>IF(AND(ISNUMBER(G49),ISNUMBER(H49),H49&lt;&gt;0),G49/(H49/60)/$B$5,"")</x:f>
        <x:v>0.08643590298008114</x:v>
      </x:c>
      <x:c r="N49" s="22" t="n">
        <x:f>IF(AND(ISNUMBER(L49),ISNUMBER(H49),H49&lt;&gt;0),L49*$B$6/$B$4/(H49/60)^2/$B$5^4/$B$7,"")</x:f>
        <x:v>0.07583737766515432</x:v>
      </x:c>
      <x:c r="O49" s="22" t="n">
        <x:f>IF(ISNUMBER(N49),N49*$B$8,"")</x:f>
        <x:v>0.009798381720780692</x:v>
      </x:c>
      <x:c r="P49" s="20" t="str">
        <x:v>3000rpm!D22</x:v>
      </x:c>
      <x:c r="Q49" s="20" t="str">
        <x:v>3000rpm!C22</x:v>
      </x:c>
      <x:c r="R49" s="20" t="str">
        <x:v>3000rpm!C3</x:v>
      </x:c>
    </x:row>
    <x:row r="50">
      <x:c r="A50" s="21" t="n">
        <x:v>3000</x:v>
      </x:c>
      <x:c r="B50" s="21" t="n">
        <x:v>0</x:v>
      </x:c>
      <x:c r="C50" s="21" t="n">
        <x:v>20</x:v>
      </x:c>
      <x:c r="D50" s="21" t="n">
        <x:v>2</x:v>
      </x:c>
      <x:c r="E50" s="21" t="str">
        <x:v>3000rpm</x:v>
      </x:c>
      <x:c r="F50" s="21" t="n">
        <x:v>22</x:v>
      </x:c>
      <x:c r="G50" s="22" t="n">
        <x:f>IFERROR('3000rpm'!N22,"")</x:f>
        <x:v>2.04746740355211</x:v>
      </x:c>
      <x:c r="H50" s="22" t="n">
        <x:f>IFERROR('3000rpm'!L22,"")</x:f>
        <x:v>3089.76926757812</x:v>
      </x:c>
      <x:c r="I50" s="22" t="n">
        <x:f>IFERROR('3000rpm'!M22,"")</x:f>
        <x:v>1203.58742632612</x:v>
      </x:c>
      <x:c r="J50" s="22" t="n">
        <x:f>IFERROR('3000rpm'!C3,"")</x:f>
        <x:v>42</x:v>
      </x:c>
      <x:c r="K50" s="22" t="n">
        <x:f>IF(AND(ISNUMBER(I50),ISNUMBER(J50)),I50-J50,"")</x:f>
        <x:v>1161.58742632612</x:v>
      </x:c>
      <x:c r="L50" s="22" t="n">
        <x:f>IF(ISNUMBER(K50),K50*$B$2+$B$3,"")</x:f>
        <x:v>1092.4435989862388</x:v>
      </x:c>
      <x:c r="M50" s="22" t="n">
        <x:f>IF(AND(ISNUMBER(G50),ISNUMBER(H50),H50&lt;&gt;0),G50/(H50/60)/$B$5,"")</x:f>
        <x:v>0.0869632928490879</x:v>
      </x:c>
      <x:c r="N50" s="22" t="n">
        <x:f>IF(AND(ISNUMBER(L50),ISNUMBER(H50),H50&lt;&gt;0),L50*$B$6/$B$4/(H50/60)^2/$B$5^4/$B$7,"")</x:f>
        <x:v>0.07667672739869134</x:v>
      </x:c>
      <x:c r="O50" s="22" t="n">
        <x:f>IF(ISNUMBER(N50),N50*$B$8,"")</x:f>
        <x:v>0.009906827837189729</x:v>
      </x:c>
      <x:c r="P50" s="20" t="str">
        <x:v>3000rpm!N22</x:v>
      </x:c>
      <x:c r="Q50" s="20" t="str">
        <x:v>3000rpm!M22</x:v>
      </x:c>
      <x:c r="R50" s="20" t="str">
        <x:v>3000rpm!C3</x:v>
      </x:c>
    </x:row>
    <x:row r="51">
      <x:c r="A51" s="21" t="n">
        <x:v>3000</x:v>
      </x:c>
      <x:c r="B51" s="21" t="n">
        <x:v>0</x:v>
      </x:c>
      <x:c r="C51" s="21" t="n">
        <x:v>21</x:v>
      </x:c>
      <x:c r="D51" s="21" t="n">
        <x:v>1</x:v>
      </x:c>
      <x:c r="E51" s="21" t="str">
        <x:v>3000rpm</x:v>
      </x:c>
      <x:c r="F51" s="21" t="n">
        <x:v>23</x:v>
      </x:c>
      <x:c r="G51" s="22" t="n">
        <x:f>IFERROR('3000rpm'!D23,"")</x:f>
        <x:v>1.0223019804694862</x:v>
      </x:c>
      <x:c r="H51" s="22" t="n">
        <x:f>IFERROR('3000rpm'!B23,"")</x:f>
        <x:v>3103.24438476562</x:v>
      </x:c>
      <x:c r="I51" s="22" t="n">
        <x:f>IFERROR('3000rpm'!C23,"")</x:f>
        <x:v>1204.76694214876</x:v>
      </x:c>
      <x:c r="J51" s="22" t="n">
        <x:f>IFERROR('3000rpm'!C3,"")</x:f>
        <x:v>42</x:v>
      </x:c>
      <x:c r="K51" s="22" t="n">
        <x:f>IF(AND(ISNUMBER(I51),ISNUMBER(J51)),I51-J51,"")</x:f>
        <x:v>1162.76694214876</x:v>
      </x:c>
      <x:c r="L51" s="22" t="n">
        <x:f>IF(ISNUMBER(K51),K51*$B$2+$B$3,"")</x:f>
        <x:v>1093.5236910611568</x:v>
      </x:c>
      <x:c r="M51" s="22" t="n">
        <x:f>IF(AND(ISNUMBER(G51),ISNUMBER(H51),H51&lt;&gt;0),G51/(H51/60)/$B$5,"")</x:f>
        <x:v>0.043232291194862334</x:v>
      </x:c>
      <x:c r="N51" s="22" t="n">
        <x:f>IF(AND(ISNUMBER(L51),ISNUMBER(H51),H51&lt;&gt;0),L51*$B$6/$B$4/(H51/60)^2/$B$5^4/$B$7,"")</x:f>
        <x:v>0.07608742429190589</x:v>
      </x:c>
      <x:c r="O51" s="22" t="n">
        <x:f>IF(ISNUMBER(N51),N51*$B$8,"")</x:f>
        <x:v>0.009830688379744077</x:v>
      </x:c>
      <x:c r="P51" s="20" t="str">
        <x:v>3000rpm!D23</x:v>
      </x:c>
      <x:c r="Q51" s="20" t="str">
        <x:v>3000rpm!C23</x:v>
      </x:c>
      <x:c r="R51" s="20" t="str">
        <x:v>3000rpm!C3</x:v>
      </x:c>
    </x:row>
    <x:row r="52">
      <x:c r="A52" s="21" t="n">
        <x:v>3000</x:v>
      </x:c>
      <x:c r="B52" s="21" t="n">
        <x:v>0</x:v>
      </x:c>
      <x:c r="C52" s="21" t="n">
        <x:v>21</x:v>
      </x:c>
      <x:c r="D52" s="21" t="n">
        <x:v>2</x:v>
      </x:c>
      <x:c r="E52" s="21" t="str">
        <x:v>3000rpm</x:v>
      </x:c>
      <x:c r="F52" s="21" t="n">
        <x:v>23</x:v>
      </x:c>
      <x:c r="G52" s="22" t="n">
        <x:f>IFERROR('3000rpm'!N23,"")</x:f>
        <x:v>1.019469282031059</x:v>
      </x:c>
      <x:c r="H52" s="22" t="n">
        <x:f>IFERROR('3000rpm'!L23,"")</x:f>
        <x:v>3081.5866041917</x:v>
      </x:c>
      <x:c r="I52" s="22" t="n">
        <x:f>IFERROR('3000rpm'!M23,"")</x:f>
        <x:v>1194.96724470134</x:v>
      </x:c>
      <x:c r="J52" s="22" t="n">
        <x:f>IFERROR('3000rpm'!C3,"")</x:f>
        <x:v>42</x:v>
      </x:c>
      <x:c r="K52" s="22" t="n">
        <x:f>IF(AND(ISNUMBER(I52),ISNUMBER(J52)),I52-J52,"")</x:f>
        <x:v>1152.96724470134</x:v>
      </x:c>
      <x:c r="L52" s="22" t="n">
        <x:f>IF(ISNUMBER(K52),K52*$B$2+$B$3,"")</x:f>
        <x:v>1084.5500297109747</x:v>
      </x:c>
      <x:c r="M52" s="22" t="n">
        <x:f>IF(AND(ISNUMBER(G52),ISNUMBER(H52),H52&lt;&gt;0),G52/(H52/60)/$B$5,"")</x:f>
        <x:v>0.04341549885605375</x:v>
      </x:c>
      <x:c r="N52" s="22" t="n">
        <x:f>IF(AND(ISNUMBER(L52),ISNUMBER(H52),H52&lt;&gt;0),L52*$B$6/$B$4/(H52/60)^2/$B$5^4/$B$7,"")</x:f>
        <x:v>0.0765274915613041</x:v>
      </x:c>
      <x:c r="O52" s="22" t="n">
        <x:f>IF(ISNUMBER(N52),N52*$B$8,"")</x:f>
        <x:v>0.009887546188138032</x:v>
      </x:c>
      <x:c r="P52" s="20" t="str">
        <x:v>3000rpm!N23</x:v>
      </x:c>
      <x:c r="Q52" s="20" t="str">
        <x:v>3000rpm!M23</x:v>
      </x:c>
      <x:c r="R52" s="20" t="str">
        <x:v>3000rpm!C3</x:v>
      </x:c>
    </x:row>
    <x:row r="53">
      <x:c r="A53" s="21" t="n">
        <x:v>3000</x:v>
      </x:c>
      <x:c r="B53" s="21" t="n">
        <x:v>0</x:v>
      </x:c>
      <x:c r="C53" s="21" t="n">
        <x:v>22</x:v>
      </x:c>
      <x:c r="D53" s="21" t="n">
        <x:v>1</x:v>
      </x:c>
      <x:c r="E53" s="21" t="str">
        <x:v>3000rpm</x:v>
      </x:c>
      <x:c r="F53" s="21" t="n">
        <x:v>24</x:v>
      </x:c>
      <x:c r="G53" s="22" t="n">
        <x:f>IFERROR('3000rpm'!D24,"")</x:f>
        <x:v>0.012</x:v>
      </x:c>
      <x:c r="H53" s="22" t="n">
        <x:f>IFERROR('3000rpm'!B24,"")</x:f>
        <x:v>3095</x:v>
      </x:c>
      <x:c r="I53" s="22" t="n">
        <x:f>IFERROR('3000rpm'!C24,"")</x:f>
        <x:v>1187</x:v>
      </x:c>
      <x:c r="J53" s="22" t="n">
        <x:f>IFERROR('3000rpm'!C3,"")</x:f>
        <x:v>42</x:v>
      </x:c>
      <x:c r="K53" s="22" t="n">
        <x:f>IF(AND(ISNUMBER(I53),ISNUMBER(J53)),I53-J53,"")</x:f>
        <x:v>1145</x:v>
      </x:c>
      <x:c r="L53" s="22" t="n">
        <x:f>IF(ISNUMBER(K53),K53*$B$2+$B$3,"")</x:f>
        <x:v>1077.2543600000001</x:v>
      </x:c>
      <x:c r="M53" s="22" t="n">
        <x:f>IF(AND(ISNUMBER(G53),ISNUMBER(H53),H53&lt;&gt;0),G53/(H53/60)/$B$5,"")</x:f>
        <x:v>0.0005088216961571241</x:v>
      </x:c>
      <x:c r="N53" s="22" t="n">
        <x:f>IF(AND(ISNUMBER(L53),ISNUMBER(H53),H53&lt;&gt;0),L53*$B$6/$B$4/(H53/60)^2/$B$5^4/$B$7,"")</x:f>
        <x:v>0.07535526413070436</x:v>
      </x:c>
      <x:c r="O53" s="22" t="n">
        <x:f>IF(ISNUMBER(N53),N53*$B$8,"")</x:f>
        <x:v>0.009736091428200257</x:v>
      </x:c>
      <x:c r="P53" s="20" t="str">
        <x:v>3000rpm!D24</x:v>
      </x:c>
      <x:c r="Q53" s="20" t="str">
        <x:v>3000rpm!C24</x:v>
      </x:c>
      <x:c r="R53" s="20" t="str">
        <x:v>3000rpm!C3</x:v>
      </x:c>
    </x:row>
    <x:row r="54">
      <x:c r="A54" s="21" t="n">
        <x:v>3000</x:v>
      </x:c>
      <x:c r="B54" s="21" t="n">
        <x:v>0</x:v>
      </x:c>
      <x:c r="C54" s="21" t="n">
        <x:v>22</x:v>
      </x:c>
      <x:c r="D54" s="21" t="n">
        <x:v>2</x:v>
      </x:c>
      <x:c r="E54" s="21" t="str">
        <x:v>3000rpm</x:v>
      </x:c>
      <x:c r="F54" s="21" t="n">
        <x:v>24</x:v>
      </x:c>
      <x:c r="G54" s="22" t="n">
        <x:f>IFERROR('3000rpm'!N24,"")</x:f>
        <x:v>-0.012750000000000001</x:v>
      </x:c>
      <x:c r="H54" s="22" t="n">
        <x:f>IFERROR('3000rpm'!L24,"")</x:f>
        <x:v>3066</x:v>
      </x:c>
      <x:c r="I54" s="22" t="n">
        <x:f>IFERROR('3000rpm'!M24,"")</x:f>
        <x:v>1177</x:v>
      </x:c>
      <x:c r="J54" s="22" t="n">
        <x:f>IFERROR('3000rpm'!C3,"")</x:f>
        <x:v>42</x:v>
      </x:c>
      <x:c r="K54" s="22" t="n">
        <x:f>IF(AND(ISNUMBER(I54),ISNUMBER(J54)),I54-J54,"")</x:f>
        <x:v>1135</x:v>
      </x:c>
      <x:c r="L54" s="22" t="n">
        <x:f>IF(ISNUMBER(K54),K54*$B$2+$B$3,"")</x:f>
        <x:v>1068.09728</x:v>
      </x:c>
      <x:c r="M54" s="22" t="n">
        <x:f>IF(AND(ISNUMBER(G54),ISNUMBER(H54),H54&lt;&gt;0),G54/(H54/60)/$B$5,"")</x:f>
        <x:v>-0.0005457365774483669</x:v>
      </x:c>
      <x:c r="N54" s="22" t="n">
        <x:f>IF(AND(ISNUMBER(L54),ISNUMBER(H54),H54&lt;&gt;0),L54*$B$6/$B$4/(H54/60)^2/$B$5^4/$B$7,"")</x:f>
        <x:v>0.07613478939429848</x:v>
      </x:c>
      <x:c r="O54" s="22" t="n">
        <x:f>IF(ISNUMBER(N54),N54*$B$8,"")</x:f>
        <x:v>0.009836808071217793</x:v>
      </x:c>
      <x:c r="P54" s="20" t="str">
        <x:v>3000rpm!N24</x:v>
      </x:c>
      <x:c r="Q54" s="20" t="str">
        <x:v>3000rpm!M24</x:v>
      </x:c>
      <x:c r="R54" s="20" t="str">
        <x:v>3000rpm!C3</x:v>
      </x:c>
    </x:row>
    <x:row r="55">
      <x:c r="A55" s="21" t="n">
        <x:v>3000</x:v>
      </x:c>
      <x:c r="B55" s="21" t="n">
        <x:v>0</x:v>
      </x:c>
      <x:c r="C55" s="21" t="n">
        <x:v>23</x:v>
      </x:c>
      <x:c r="D55" s="21" t="n">
        <x:v>1</x:v>
      </x:c>
      <x:c r="E55" s="21" t="str">
        <x:v>3000rpm</x:v>
      </x:c>
      <x:c r="F55" s="21" t="n">
        <x:v>27</x:v>
      </x:c>
      <x:c r="G55" s="22" t="str">
        <x:f>IFERROR('3000rpm'!D27,"")</x:f>
      </x:c>
      <x:c r="H55" s="22" t="n">
        <x:f>IFERROR('3000rpm'!B27,"")</x:f>
        <x:v>0.9659258262890683</x:v>
      </x:c>
      <x:c r="I55" s="22" t="str">
        <x:f>IFERROR('3000rpm'!C27,"")</x:f>
      </x:c>
      <x:c r="J55" s="22" t="n">
        <x:f>IFERROR('3000rpm'!C3,"")</x:f>
        <x:v>42</x:v>
      </x:c>
      <x:c r="K55" s="22" t="str">
        <x:f>IF(AND(ISNUMBER(I55),ISNUMBER(J55)),I55-J55,"")</x:f>
      </x:c>
      <x:c r="L55" s="22" t="str">
        <x:f>IF(ISNUMBER(K55),K55*$B$2+$B$3,"")</x:f>
      </x:c>
      <x:c r="M55" s="22" t="str">
        <x:f>IF(AND(ISNUMBER(G55),ISNUMBER(H55),H55&lt;&gt;0),G55/(H55/60)/$B$5,"")</x:f>
      </x:c>
      <x:c r="N55" s="22" t="str">
        <x:f>IF(AND(ISNUMBER(L55),ISNUMBER(H55),H55&lt;&gt;0),L55*$B$6/$B$4/(H55/60)^2/$B$5^4/$B$7,"")</x:f>
      </x:c>
      <x:c r="O55" s="22" t="str">
        <x:f>IF(ISNUMBER(N55),N55*$B$8,"")</x:f>
      </x:c>
      <x:c r="P55" s="20" t="str">
        <x:v>3000rpm!D27</x:v>
      </x:c>
      <x:c r="Q55" s="20" t="str">
        <x:v>3000rpm!C27</x:v>
      </x:c>
      <x:c r="R55" s="20" t="str">
        <x:v>3000rpm!C3</x:v>
      </x:c>
    </x:row>
    <x:row r="56">
      <x:c r="A56" s="21" t="n">
        <x:v>3000</x:v>
      </x:c>
      <x:c r="B56" s="21" t="n">
        <x:v>0</x:v>
      </x:c>
      <x:c r="C56" s="21" t="n">
        <x:v>23</x:v>
      </x:c>
      <x:c r="D56" s="21" t="n">
        <x:v>2</x:v>
      </x:c>
      <x:c r="E56" s="21" t="str">
        <x:v>3000rpm</x:v>
      </x:c>
      <x:c r="F56" s="21" t="n">
        <x:v>27</x:v>
      </x:c>
      <x:c r="G56" s="22" t="str">
        <x:f>IFERROR('3000rpm'!N27,"")</x:f>
      </x:c>
      <x:c r="H56" s="22" t="str">
        <x:f>IFERROR('3000rpm'!L27,"")</x:f>
      </x:c>
      <x:c r="I56" s="22" t="str">
        <x:f>IFERROR('3000rpm'!M27,"")</x:f>
      </x:c>
      <x:c r="J56" s="22" t="n">
        <x:f>IFERROR('3000rpm'!C3,"")</x:f>
        <x:v>42</x:v>
      </x:c>
      <x:c r="K56" s="22" t="str">
        <x:f>IF(AND(ISNUMBER(I56),ISNUMBER(J56)),I56-J56,"")</x:f>
      </x:c>
      <x:c r="L56" s="22" t="str">
        <x:f>IF(ISNUMBER(K56),K56*$B$2+$B$3,"")</x:f>
      </x:c>
      <x:c r="M56" s="22" t="str">
        <x:f>IF(AND(ISNUMBER(G56),ISNUMBER(H56),H56&lt;&gt;0),G56/(H56/60)/$B$5,"")</x:f>
      </x:c>
      <x:c r="N56" s="22" t="str">
        <x:f>IF(AND(ISNUMBER(L56),ISNUMBER(H56),H56&lt;&gt;0),L56*$B$6/$B$4/(H56/60)^2/$B$5^4/$B$7,"")</x:f>
      </x:c>
      <x:c r="O56" s="22" t="str">
        <x:f>IF(ISNUMBER(N56),N56*$B$8,"")</x:f>
      </x:c>
      <x:c r="P56" s="20" t="str">
        <x:v>3000rpm!N27</x:v>
      </x:c>
      <x:c r="Q56" s="20" t="str">
        <x:v>3000rpm!M27</x:v>
      </x:c>
      <x:c r="R56" s="20" t="str">
        <x:v>3000rpm!C3</x:v>
      </x:c>
    </x:row>
    <x:row r="57">
      <x:c r="A57" s="21" t="n">
        <x:v>3000</x:v>
      </x:c>
      <x:c r="B57" s="21" t="n">
        <x:v>15</x:v>
      </x:c>
      <x:c r="C57" s="21" t="n">
        <x:v>1</x:v>
      </x:c>
      <x:c r="D57" s="21" t="n">
        <x:v>1</x:v>
      </x:c>
      <x:c r="E57" s="21" t="str">
        <x:v>3000rpm</x:v>
      </x:c>
      <x:c r="F57" s="21" t="n">
        <x:v>30</x:v>
      </x:c>
      <x:c r="G57" s="22" t="n">
        <x:f>IFERROR('3000rpm'!E30,"")</x:f>
        <x:v>0.04408028791525348</x:v>
      </x:c>
      <x:c r="H57" s="22" t="n">
        <x:f>IFERROR('3000rpm'!C30,"")</x:f>
        <x:v>0</x:v>
      </x:c>
      <x:c r="I57" s="22" t="n">
        <x:f>IFERROR('3000rpm'!D30,"")</x:f>
        <x:v>49.147329650092</x:v>
      </x:c>
      <x:c r="J57" s="22" t="n">
        <x:f>IFERROR('3000rpm'!C3,"")</x:f>
        <x:v>42</x:v>
      </x:c>
      <x:c r="K57" s="22" t="n">
        <x:f>IF(AND(ISNUMBER(I57),ISNUMBER(J57)),I57-J57,"")</x:f>
        <x:v>7.147329650091997</x:v>
      </x:c>
      <x:c r="L57" s="22" t="n">
        <x:f>IF(ISNUMBER(K57),K57*$B$2+$B$3,"")</x:f>
        <x:v>35.31356693922644</x:v>
      </x:c>
      <x:c r="M57" s="22" t="str">
        <x:f>IF(AND(ISNUMBER(G57),ISNUMBER(H57),H57&lt;&gt;0),G57/(H57/60)/$B$5,"")</x:f>
      </x:c>
      <x:c r="N57" s="22" t="str">
        <x:f>IF(AND(ISNUMBER(L57),ISNUMBER(H57),H57&lt;&gt;0),L57*$B$6/$B$4/(H57/60)^2/$B$5^4/$B$7,"")</x:f>
      </x:c>
      <x:c r="O57" s="22" t="str">
        <x:f>IF(ISNUMBER(N57),N57*$B$8,"")</x:f>
      </x:c>
      <x:c r="P57" s="20" t="str">
        <x:v>3000rpm!E30</x:v>
      </x:c>
      <x:c r="Q57" s="20" t="str">
        <x:v>3000rpm!D30</x:v>
      </x:c>
      <x:c r="R57" s="20" t="str">
        <x:v>3000rpm!C3</x:v>
      </x:c>
    </x:row>
    <x:row r="58">
      <x:c r="A58" s="21" t="n">
        <x:v>3000</x:v>
      </x:c>
      <x:c r="B58" s="21" t="n">
        <x:v>15</x:v>
      </x:c>
      <x:c r="C58" s="21" t="n">
        <x:v>1</x:v>
      </x:c>
      <x:c r="D58" s="21" t="n">
        <x:v>2</x:v>
      </x:c>
      <x:c r="E58" s="21" t="str">
        <x:v>3000rpm</x:v>
      </x:c>
      <x:c r="F58" s="21" t="n">
        <x:v>30</x:v>
      </x:c>
      <x:c r="G58" s="22" t="n">
        <x:f>IFERROR('3000rpm'!P30,"")</x:f>
        <x:v>0.09628515487246803</x:v>
      </x:c>
      <x:c r="H58" s="22" t="n">
        <x:f>IFERROR('3000rpm'!N30,"")</x:f>
        <x:v>0</x:v>
      </x:c>
      <x:c r="I58" s="22" t="n">
        <x:f>IFERROR('3000rpm'!O30,"")</x:f>
        <x:v>57.5751295336787</x:v>
      </x:c>
      <x:c r="J58" s="22" t="n">
        <x:f>IFERROR('3000rpm'!C3,"")</x:f>
        <x:v>42</x:v>
      </x:c>
      <x:c r="K58" s="22" t="n">
        <x:f>IF(AND(ISNUMBER(I58),ISNUMBER(J58)),I58-J58,"")</x:f>
        <x:v>15.575129533678698</x:v>
      </x:c>
      <x:c r="L58" s="22" t="n">
        <x:f>IF(ISNUMBER(K58),K58*$B$2+$B$3,"")</x:f>
        <x:v>43.03097071502585</x:v>
      </x:c>
      <x:c r="M58" s="22" t="str">
        <x:f>IF(AND(ISNUMBER(G58),ISNUMBER(H58),H58&lt;&gt;0),G58/(H58/60)/$B$5,"")</x:f>
      </x:c>
      <x:c r="N58" s="22" t="str">
        <x:f>IF(AND(ISNUMBER(L58),ISNUMBER(H58),H58&lt;&gt;0),L58*$B$6/$B$4/(H58/60)^2/$B$5^4/$B$7,"")</x:f>
      </x:c>
      <x:c r="O58" s="22" t="str">
        <x:f>IF(ISNUMBER(N58),N58*$B$8,"")</x:f>
      </x:c>
      <x:c r="P58" s="20" t="str">
        <x:v>3000rpm!P30</x:v>
      </x:c>
      <x:c r="Q58" s="20" t="str">
        <x:v>3000rpm!O30</x:v>
      </x:c>
      <x:c r="R58" s="20" t="str">
        <x:v>3000rpm!C3</x:v>
      </x:c>
    </x:row>
    <x:row r="59">
      <x:c r="A59" s="21" t="n">
        <x:v>3000</x:v>
      </x:c>
      <x:c r="B59" s="21" t="n">
        <x:v>15</x:v>
      </x:c>
      <x:c r="C59" s="21" t="n">
        <x:v>2</x:v>
      </x:c>
      <x:c r="D59" s="21" t="n">
        <x:v>1</x:v>
      </x:c>
      <x:c r="E59" s="21" t="str">
        <x:v>3000rpm</x:v>
      </x:c>
      <x:c r="F59" s="21" t="n">
        <x:v>31</x:v>
      </x:c>
      <x:c r="G59" s="22" t="n">
        <x:f>IFERROR('3000rpm'!E31,"")</x:f>
        <x:v>0.040428028599050515</x:v>
      </x:c>
      <x:c r="H59" s="22" t="n">
        <x:f>IFERROR('3000rpm'!C31,"")</x:f>
        <x:v>3032.3661969866</x:v>
      </x:c>
      <x:c r="I59" s="22" t="n">
        <x:f>IFERROR('3000rpm'!D31,"")</x:f>
        <x:v>1158.20803443328</x:v>
      </x:c>
      <x:c r="J59" s="22" t="n">
        <x:f>IFERROR('3000rpm'!C3,"")</x:f>
        <x:v>42</x:v>
      </x:c>
      <x:c r="K59" s="22" t="n">
        <x:f>IF(AND(ISNUMBER(I59),ISNUMBER(J59)),I59-J59,"")</x:f>
        <x:v>1116.20803443328</x:v>
      </x:c>
      <x:c r="L59" s="22" t="n">
        <x:f>IF(ISNUMBER(K59),K59*$B$2+$B$3,"")</x:f>
        <x:v>1050.8893267948301</x:v>
      </x:c>
      <x:c r="M59" s="22" t="n">
        <x:f>IF(AND(ISNUMBER(G59),ISNUMBER(H59),H59&lt;&gt;0),G59/(H59/60)/$B$5,"")</x:f>
        <x:v>0.0017496289100743141</x:v>
      </x:c>
      <x:c r="N59" s="22" t="n">
        <x:f>IF(AND(ISNUMBER(L59),ISNUMBER(H59),H59&lt;&gt;0),L59*$B$6/$B$4/(H59/60)^2/$B$5^4/$B$7,"")</x:f>
        <x:v>0.07657911276946829</x:v>
      </x:c>
      <x:c r="O59" s="22" t="n">
        <x:f>IF(ISNUMBER(N59),N59*$B$8,"")</x:f>
        <x:v>0.009894215779282307</x:v>
      </x:c>
      <x:c r="P59" s="20" t="str">
        <x:v>3000rpm!E31</x:v>
      </x:c>
      <x:c r="Q59" s="20" t="str">
        <x:v>3000rpm!D31</x:v>
      </x:c>
      <x:c r="R59" s="20" t="str">
        <x:v>3000rpm!C3</x:v>
      </x:c>
    </x:row>
    <x:row r="60">
      <x:c r="A60" s="21" t="n">
        <x:v>3000</x:v>
      </x:c>
      <x:c r="B60" s="21" t="n">
        <x:v>15</x:v>
      </x:c>
      <x:c r="C60" s="21" t="n">
        <x:v>2</x:v>
      </x:c>
      <x:c r="D60" s="21" t="n">
        <x:v>2</x:v>
      </x:c>
      <x:c r="E60" s="21" t="str">
        <x:v>3000rpm</x:v>
      </x:c>
      <x:c r="F60" s="21" t="n">
        <x:v>31</x:v>
      </x:c>
      <x:c r="G60" s="22" t="n">
        <x:f>IFERROR('3000rpm'!P31,"")</x:f>
        <x:v>0.09567495732923897</x:v>
      </x:c>
      <x:c r="H60" s="22" t="n">
        <x:f>IFERROR('3000rpm'!N31,"")</x:f>
        <x:v>3094.4590731534</x:v>
      </x:c>
      <x:c r="I60" s="22" t="n">
        <x:f>IFERROR('3000rpm'!O31,"")</x:f>
        <x:v>1213.46282245827</x:v>
      </x:c>
      <x:c r="J60" s="22" t="n">
        <x:f>IFERROR('3000rpm'!C3,"")</x:f>
        <x:v>42</x:v>
      </x:c>
      <x:c r="K60" s="22" t="n">
        <x:f>IF(AND(ISNUMBER(I60),ISNUMBER(J60)),I60-J60,"")</x:f>
        <x:v>1171.46282245827</x:v>
      </x:c>
      <x:c r="L60" s="22" t="n">
        <x:f>IF(ISNUMBER(K60),K60*$B$2+$B$3,"")</x:f>
        <x:v>1101.4865782276177</x:v>
      </x:c>
      <x:c r="M60" s="22" t="n">
        <x:f>IF(AND(ISNUMBER(G60),ISNUMBER(H60),H60&lt;&gt;0),G60/(H60/60)/$B$5,"")</x:f>
        <x:v>0.004057500319622227</x:v>
      </x:c>
      <x:c r="N60" s="22" t="n">
        <x:f>IF(AND(ISNUMBER(L60),ISNUMBER(H60),H60&lt;&gt;0),L60*$B$6/$B$4/(H60/60)^2/$B$5^4/$B$7,"")</x:f>
        <x:v>0.07707727744479764</x:v>
      </x:c>
      <x:c r="O60" s="22" t="n">
        <x:f>IF(ISNUMBER(N60),N60*$B$8,"")</x:f>
        <x:v>0.009958579920012988</x:v>
      </x:c>
      <x:c r="P60" s="20" t="str">
        <x:v>3000rpm!P31</x:v>
      </x:c>
      <x:c r="Q60" s="20" t="str">
        <x:v>3000rpm!O31</x:v>
      </x:c>
      <x:c r="R60" s="20" t="str">
        <x:v>3000rpm!C3</x:v>
      </x:c>
    </x:row>
    <x:row r="61">
      <x:c r="A61" s="21" t="n">
        <x:v>3000</x:v>
      </x:c>
      <x:c r="B61" s="21" t="n">
        <x:v>15</x:v>
      </x:c>
      <x:c r="C61" s="21" t="n">
        <x:v>3</x:v>
      </x:c>
      <x:c r="D61" s="21" t="n">
        <x:v>1</x:v>
      </x:c>
      <x:c r="E61" s="21" t="str">
        <x:v>3000rpm</x:v>
      </x:c>
      <x:c r="F61" s="21" t="n">
        <x:v>32</x:v>
      </x:c>
      <x:c r="G61" s="22" t="n">
        <x:f>IFERROR('3000rpm'!E32,"")</x:f>
        <x:v>0.9942644209146341</x:v>
      </x:c>
      <x:c r="H61" s="22" t="n">
        <x:f>IFERROR('3000rpm'!C32,"")</x:f>
        <x:v>3034.88433013091</x:v>
      </x:c>
      <x:c r="I61" s="22" t="n">
        <x:f>IFERROR('3000rpm'!D32,"")</x:f>
        <x:v>1143.86375661375</x:v>
      </x:c>
      <x:c r="J61" s="22" t="n">
        <x:f>IFERROR('3000rpm'!C3,"")</x:f>
        <x:v>42</x:v>
      </x:c>
      <x:c r="K61" s="22" t="n">
        <x:f>IF(AND(ISNUMBER(I61),ISNUMBER(J61)),I61-J61,"")</x:f>
        <x:v>1101.86375661375</x:v>
      </x:c>
      <x:c r="L61" s="22" t="n">
        <x:f>IF(ISNUMBER(K61),K61*$B$2+$B$3,"")</x:f>
        <x:v>1037.7541568412637</x:v>
      </x:c>
      <x:c r="M61" s="22" t="n">
        <x:f>IF(AND(ISNUMBER(G61),ISNUMBER(H61),H61&lt;&gt;0),G61/(H61/60)/$B$5,"")</x:f>
        <x:v>0.04299369627953029</x:v>
      </x:c>
      <x:c r="N61" s="22" t="n">
        <x:f>IF(AND(ISNUMBER(L61),ISNUMBER(H61),H61&lt;&gt;0),L61*$B$6/$B$4/(H61/60)^2/$B$5^4/$B$7,"")</x:f>
        <x:v>0.07549650338565685</x:v>
      </x:c>
      <x:c r="O61" s="22" t="n">
        <x:f>IF(ISNUMBER(N61),N61*$B$8,"")</x:f>
        <x:v>0.009754339898500662</x:v>
      </x:c>
      <x:c r="P61" s="20" t="str">
        <x:v>3000rpm!E32</x:v>
      </x:c>
      <x:c r="Q61" s="20" t="str">
        <x:v>3000rpm!D32</x:v>
      </x:c>
      <x:c r="R61" s="20" t="str">
        <x:v>3000rpm!C3</x:v>
      </x:c>
    </x:row>
    <x:row r="62">
      <x:c r="A62" s="21" t="n">
        <x:v>3000</x:v>
      </x:c>
      <x:c r="B62" s="21" t="n">
        <x:v>15</x:v>
      </x:c>
      <x:c r="C62" s="21" t="n">
        <x:v>3</x:v>
      </x:c>
      <x:c r="D62" s="21" t="n">
        <x:v>2</x:v>
      </x:c>
      <x:c r="E62" s="21" t="str">
        <x:v>3000rpm</x:v>
      </x:c>
      <x:c r="F62" s="21" t="n">
        <x:v>32</x:v>
      </x:c>
      <x:c r="G62" s="22" t="n">
        <x:f>IFERROR('3000rpm'!P32,"")</x:f>
        <x:v>1.0151123061474485</x:v>
      </x:c>
      <x:c r="H62" s="22" t="n">
        <x:f>IFERROR('3000rpm'!N32,"")</x:f>
        <x:v>3082.86684283088</x:v>
      </x:c>
      <x:c r="I62" s="22" t="n">
        <x:f>IFERROR('3000rpm'!O32,"")</x:f>
        <x:v>1193.49048316251</x:v>
      </x:c>
      <x:c r="J62" s="22" t="n">
        <x:f>IFERROR('3000rpm'!C3,"")</x:f>
        <x:v>42</x:v>
      </x:c>
      <x:c r="K62" s="22" t="n">
        <x:f>IF(AND(ISNUMBER(I62),ISNUMBER(J62)),I62-J62,"")</x:f>
        <x:v>1151.49048316251</x:v>
      </x:c>
      <x:c r="L62" s="22" t="n">
        <x:f>IF(ISNUMBER(K62),K62*$B$2+$B$3,"")</x:f>
        <x:v>1083.1977473557756</x:v>
      </x:c>
      <x:c r="M62" s="22" t="n">
        <x:f>IF(AND(ISNUMBER(G62),ISNUMBER(H62),H62&lt;&gt;0),G62/(H62/60)/$B$5,"")</x:f>
        <x:v>0.04321199872348849</x:v>
      </x:c>
      <x:c r="N62" s="22" t="n">
        <x:f>IF(AND(ISNUMBER(L62),ISNUMBER(H62),H62&lt;&gt;0),L62*$B$6/$B$4/(H62/60)^2/$B$5^4/$B$7,"")</x:f>
        <x:v>0.07636860493975037</x:v>
      </x:c>
      <x:c r="O62" s="22" t="n">
        <x:f>IF(ISNUMBER(N62),N62*$B$8,"")</x:f>
        <x:v>0.00986701763327182</x:v>
      </x:c>
      <x:c r="P62" s="20" t="str">
        <x:v>3000rpm!P32</x:v>
      </x:c>
      <x:c r="Q62" s="20" t="str">
        <x:v>3000rpm!O32</x:v>
      </x:c>
      <x:c r="R62" s="20" t="str">
        <x:v>3000rpm!C3</x:v>
      </x:c>
    </x:row>
    <x:row r="63">
      <x:c r="A63" s="21" t="n">
        <x:v>3000</x:v>
      </x:c>
      <x:c r="B63" s="21" t="n">
        <x:v>15</x:v>
      </x:c>
      <x:c r="C63" s="21" t="n">
        <x:v>4</x:v>
      </x:c>
      <x:c r="D63" s="21" t="n">
        <x:v>1</x:v>
      </x:c>
      <x:c r="E63" s="21" t="str">
        <x:v>3000rpm</x:v>
      </x:c>
      <x:c r="F63" s="21" t="n">
        <x:v>33</x:v>
      </x:c>
      <x:c r="G63" s="22" t="n">
        <x:f>IFERROR('3000rpm'!E33,"")</x:f>
        <x:v>2.0344425579194447</x:v>
      </x:c>
      <x:c r="H63" s="22" t="n">
        <x:f>IFERROR('3000rpm'!C33,"")</x:f>
        <x:v>3042.21697048611</x:v>
      </x:c>
      <x:c r="I63" s="22" t="n">
        <x:f>IFERROR('3000rpm'!D33,"")</x:f>
        <x:v>1132.72240802675</x:v>
      </x:c>
      <x:c r="J63" s="22" t="n">
        <x:f>IFERROR('3000rpm'!C3,"")</x:f>
        <x:v>42</x:v>
      </x:c>
      <x:c r="K63" s="22" t="n">
        <x:f>IF(AND(ISNUMBER(I63),ISNUMBER(J63)),I63-J63,"")</x:f>
        <x:v>1090.72240802675</x:v>
      </x:c>
      <x:c r="L63" s="22" t="n">
        <x:f>IF(ISNUMBER(K63),K63*$B$2+$B$3,"")</x:f>
        <x:v>1027.5519348093592</x:v>
      </x:c>
      <x:c r="M63" s="22" t="n">
        <x:f>IF(AND(ISNUMBER(G63),ISNUMBER(H63),H63&lt;&gt;0),G63/(H63/60)/$B$5,"")</x:f>
        <x:v>0.08776073991945586</x:v>
      </x:c>
      <x:c r="N63" s="22" t="n">
        <x:f>IF(AND(ISNUMBER(L63),ISNUMBER(H63),H63&lt;&gt;0),L63*$B$6/$B$4/(H63/60)^2/$B$5^4/$B$7,"")</x:f>
        <x:v>0.07439436731936439</x:v>
      </x:c>
      <x:c r="O63" s="22" t="n">
        <x:f>IF(ISNUMBER(N63),N63*$B$8,"")</x:f>
        <x:v>0.009611941120770571</x:v>
      </x:c>
      <x:c r="P63" s="20" t="str">
        <x:v>3000rpm!E33</x:v>
      </x:c>
      <x:c r="Q63" s="20" t="str">
        <x:v>3000rpm!D33</x:v>
      </x:c>
      <x:c r="R63" s="20" t="str">
        <x:v>3000rpm!C3</x:v>
      </x:c>
    </x:row>
    <x:row r="64">
      <x:c r="A64" s="21" t="n">
        <x:v>3000</x:v>
      </x:c>
      <x:c r="B64" s="21" t="n">
        <x:v>15</x:v>
      </x:c>
      <x:c r="C64" s="21" t="n">
        <x:v>4</x:v>
      </x:c>
      <x:c r="D64" s="21" t="n">
        <x:v>2</x:v>
      </x:c>
      <x:c r="E64" s="21" t="str">
        <x:v>3000rpm</x:v>
      </x:c>
      <x:c r="F64" s="21" t="n">
        <x:v>33</x:v>
      </x:c>
      <x:c r="G64" s="22" t="n">
        <x:f>IFERROR('3000rpm'!P33,"")</x:f>
        <x:v>2.0397034338433784</x:v>
      </x:c>
      <x:c r="H64" s="22" t="n">
        <x:f>IFERROR('3000rpm'!N33,"")</x:f>
        <x:v>3093.54458472842</x:v>
      </x:c>
      <x:c r="I64" s="22" t="n">
        <x:f>IFERROR('3000rpm'!O33,"")</x:f>
        <x:v>1182.03186274509</x:v>
      </x:c>
      <x:c r="J64" s="22" t="n">
        <x:f>IFERROR('3000rpm'!C3,"")</x:f>
        <x:v>42</x:v>
      </x:c>
      <x:c r="K64" s="22" t="n">
        <x:f>IF(AND(ISNUMBER(I64),ISNUMBER(J64)),I64-J64,"")</x:f>
        <x:v>1140.03186274509</x:v>
      </x:c>
      <x:c r="L64" s="22" t="n">
        <x:f>IF(ISNUMBER(K64),K64*$B$2+$B$3,"")</x:f>
        <x:v>1072.7049969705809</x:v>
      </x:c>
      <x:c r="M64" s="22" t="n">
        <x:f>IF(AND(ISNUMBER(G64),ISNUMBER(H64),H64&lt;&gt;0),G64/(H64/60)/$B$5,"")</x:f>
        <x:v>0.08652780286773978</x:v>
      </x:c>
      <x:c r="N64" s="22" t="n">
        <x:f>IF(AND(ISNUMBER(L64),ISNUMBER(H64),H64&lt;&gt;0),L64*$B$6/$B$4/(H64/60)^2/$B$5^4/$B$7,"")</x:f>
        <x:v>0.07510765233210716</x:v>
      </x:c>
      <x:c r="O64" s="22" t="n">
        <x:f>IF(ISNUMBER(N64),N64*$B$8,"")</x:f>
        <x:v>0.009704099355215655</x:v>
      </x:c>
      <x:c r="P64" s="20" t="str">
        <x:v>3000rpm!P33</x:v>
      </x:c>
      <x:c r="Q64" s="20" t="str">
        <x:v>3000rpm!O33</x:v>
      </x:c>
      <x:c r="R64" s="20" t="str">
        <x:v>3000rpm!C3</x:v>
      </x:c>
    </x:row>
    <x:row r="65">
      <x:c r="A65" s="21" t="n">
        <x:v>3000</x:v>
      </x:c>
      <x:c r="B65" s="21" t="n">
        <x:v>15</x:v>
      </x:c>
      <x:c r="C65" s="21" t="n">
        <x:v>5</x:v>
      </x:c>
      <x:c r="D65" s="21" t="n">
        <x:v>1</x:v>
      </x:c>
      <x:c r="E65" s="21" t="str">
        <x:v>3000rpm</x:v>
      </x:c>
      <x:c r="F65" s="21" t="n">
        <x:v>34</x:v>
      </x:c>
      <x:c r="G65" s="22" t="n">
        <x:f>IFERROR('3000rpm'!E34,"")</x:f>
        <x:v>3.0579269271634013</x:v>
      </x:c>
      <x:c r="H65" s="22" t="n">
        <x:f>IFERROR('3000rpm'!C34,"")</x:f>
        <x:v>3021.13109031883</x:v>
      </x:c>
      <x:c r="I65" s="22" t="n">
        <x:f>IFERROR('3000rpm'!D34,"")</x:f>
        <x:v>1132.84189189189</x:v>
      </x:c>
      <x:c r="J65" s="22" t="n">
        <x:f>IFERROR('3000rpm'!C3,"")</x:f>
        <x:v>42</x:v>
      </x:c>
      <x:c r="K65" s="22" t="n">
        <x:f>IF(AND(ISNUMBER(I65),ISNUMBER(J65)),I65-J65,"")</x:f>
        <x:v>1090.84189189189</x:v>
      </x:c>
      <x:c r="L65" s="22" t="n">
        <x:f>IF(ISNUMBER(K65),K65*$B$2+$B$3,"")</x:f>
        <x:v>1027.661347140539</x:v>
      </x:c>
      <x:c r="M65" s="22" t="n">
        <x:f>IF(AND(ISNUMBER(G65),ISNUMBER(H65),H65&lt;&gt;0),G65/(H65/60)/$B$5,"")</x:f>
        <x:v>0.1328319541091321</x:v>
      </x:c>
      <x:c r="N65" s="22" t="n">
        <x:f>IF(AND(ISNUMBER(L65),ISNUMBER(H65),H65&lt;&gt;0),L65*$B$6/$B$4/(H65/60)^2/$B$5^4/$B$7,"")</x:f>
        <x:v>0.07544448949666793</x:v>
      </x:c>
      <x:c r="O65" s="22" t="n">
        <x:f>IF(ISNUMBER(N65),N65*$B$8,"")</x:f>
        <x:v>0.009747619571996944</x:v>
      </x:c>
      <x:c r="P65" s="20" t="str">
        <x:v>3000rpm!E34</x:v>
      </x:c>
      <x:c r="Q65" s="20" t="str">
        <x:v>3000rpm!D34</x:v>
      </x:c>
      <x:c r="R65" s="20" t="str">
        <x:v>3000rpm!C3</x:v>
      </x:c>
    </x:row>
    <x:row r="66">
      <x:c r="A66" s="21" t="n">
        <x:v>3000</x:v>
      </x:c>
      <x:c r="B66" s="21" t="n">
        <x:v>15</x:v>
      </x:c>
      <x:c r="C66" s="21" t="n">
        <x:v>5</x:v>
      </x:c>
      <x:c r="D66" s="21" t="n">
        <x:v>2</x:v>
      </x:c>
      <x:c r="E66" s="21" t="str">
        <x:v>3000rpm</x:v>
      </x:c>
      <x:c r="F66" s="21" t="n">
        <x:v>34</x:v>
      </x:c>
      <x:c r="G66" s="22" t="n">
        <x:f>IFERROR('3000rpm'!P34,"")</x:f>
        <x:v>3.0631151174484335</x:v>
      </x:c>
      <x:c r="H66" s="22" t="n">
        <x:f>IFERROR('3000rpm'!N34,"")</x:f>
        <x:v>3068.75122070312</x:v>
      </x:c>
      <x:c r="I66" s="22" t="n">
        <x:f>IFERROR('3000rpm'!O34,"")</x:f>
        <x:v>1174.4911392405</x:v>
      </x:c>
      <x:c r="J66" s="22" t="n">
        <x:f>IFERROR('3000rpm'!C3,"")</x:f>
        <x:v>42</x:v>
      </x:c>
      <x:c r="K66" s="22" t="n">
        <x:f>IF(AND(ISNUMBER(I66),ISNUMBER(J66)),I66-J66,"")</x:f>
        <x:v>1132.4911392405</x:v>
      </x:c>
      <x:c r="L66" s="22" t="n">
        <x:f>IF(ISNUMBER(K66),K66*$B$2+$B$3,"")</x:f>
        <x:v>1065.7998961316398</x:v>
      </x:c>
      <x:c r="M66" s="22" t="n">
        <x:f>IF(AND(ISNUMBER(G66),ISNUMBER(H66),H66&lt;&gt;0),G66/(H66/60)/$B$5,"")</x:f>
        <x:v>0.13099257069186654</x:v>
      </x:c>
      <x:c r="N66" s="22" t="n">
        <x:f>IF(AND(ISNUMBER(L66),ISNUMBER(H66),H66&lt;&gt;0),L66*$B$6/$B$4/(H66/60)^2/$B$5^4/$B$7,"")</x:f>
        <x:v>0.07583487090405211</x:v>
      </x:c>
      <x:c r="O66" s="22" t="n">
        <x:f>IF(ISNUMBER(N66),N66*$B$8,"")</x:f>
        <x:v>0.009798057840882436</x:v>
      </x:c>
      <x:c r="P66" s="20" t="str">
        <x:v>3000rpm!P34</x:v>
      </x:c>
      <x:c r="Q66" s="20" t="str">
        <x:v>3000rpm!O34</x:v>
      </x:c>
      <x:c r="R66" s="20" t="str">
        <x:v>3000rpm!C3</x:v>
      </x:c>
    </x:row>
    <x:row r="67">
      <x:c r="A67" s="21" t="n">
        <x:v>3000</x:v>
      </x:c>
      <x:c r="B67" s="21" t="n">
        <x:v>15</x:v>
      </x:c>
      <x:c r="C67" s="21" t="n">
        <x:v>6</x:v>
      </x:c>
      <x:c r="D67" s="21" t="n">
        <x:v>1</x:v>
      </x:c>
      <x:c r="E67" s="21" t="str">
        <x:v>3000rpm</x:v>
      </x:c>
      <x:c r="F67" s="21" t="n">
        <x:v>35</x:v>
      </x:c>
      <x:c r="G67" s="22" t="n">
        <x:f>IFERROR('3000rpm'!E35,"")</x:f>
        <x:v>4.109426885411024</x:v>
      </x:c>
      <x:c r="H67" s="22" t="n">
        <x:f>IFERROR('3000rpm'!C35,"")</x:f>
        <x:v>3025.7521878756</x:v>
      </x:c>
      <x:c r="I67" s="22" t="n">
        <x:f>IFERROR('3000rpm'!D35,"")</x:f>
        <x:v>1131.52700186219</x:v>
      </x:c>
      <x:c r="J67" s="22" t="n">
        <x:f>IFERROR('3000rpm'!C3,"")</x:f>
        <x:v>42</x:v>
      </x:c>
      <x:c r="K67" s="22" t="n">
        <x:f>IF(AND(ISNUMBER(I67),ISNUMBER(J67)),I67-J67,"")</x:f>
        <x:v>1089.52700186219</x:v>
      </x:c>
      <x:c r="L67" s="22" t="n">
        <x:f>IF(ISNUMBER(K67),K67*$B$2+$B$3,"")</x:f>
        <x:v>1026.4572918212223</x:v>
      </x:c>
      <x:c r="M67" s="22" t="n">
        <x:f>IF(AND(ISNUMBER(G67),ISNUMBER(H67),H67&lt;&gt;0),G67/(H67/60)/$B$5,"")</x:f>
        <x:v>0.17823497542622047</x:v>
      </x:c>
      <x:c r="N67" s="22" t="n">
        <x:f>IF(AND(ISNUMBER(L67),ISNUMBER(H67),H67&lt;&gt;0),L67*$B$6/$B$4/(H67/60)^2/$B$5^4/$B$7,"")</x:f>
        <x:v>0.07512609496423386</x:v>
      </x:c>
      <x:c r="O67" s="22" t="n">
        <x:f>IF(ISNUMBER(N67),N67*$B$8,"")</x:f>
        <x:v>0.009706482190106272</x:v>
      </x:c>
      <x:c r="P67" s="20" t="str">
        <x:v>3000rpm!E35</x:v>
      </x:c>
      <x:c r="Q67" s="20" t="str">
        <x:v>3000rpm!D35</x:v>
      </x:c>
      <x:c r="R67" s="20" t="str">
        <x:v>3000rpm!C3</x:v>
      </x:c>
    </x:row>
    <x:row r="68">
      <x:c r="A68" s="21" t="n">
        <x:v>3000</x:v>
      </x:c>
      <x:c r="B68" s="21" t="n">
        <x:v>15</x:v>
      </x:c>
      <x:c r="C68" s="21" t="n">
        <x:v>6</x:v>
      </x:c>
      <x:c r="D68" s="21" t="n">
        <x:v>2</x:v>
      </x:c>
      <x:c r="E68" s="21" t="str">
        <x:v>3000rpm</x:v>
      </x:c>
      <x:c r="F68" s="21" t="n">
        <x:v>35</x:v>
      </x:c>
      <x:c r="G68" s="22" t="n">
        <x:f>IFERROR('3000rpm'!P35,"")</x:f>
        <x:v>4.094816602725071</x:v>
      </x:c>
      <x:c r="H68" s="22" t="n">
        <x:f>IFERROR('3000rpm'!N35,"")</x:f>
        <x:v>3106.58384967672</x:v>
      </x:c>
      <x:c r="I68" s="22" t="n">
        <x:f>IFERROR('3000rpm'!O35,"")</x:f>
        <x:v>1179.78708551483</x:v>
      </x:c>
      <x:c r="J68" s="22" t="n">
        <x:f>IFERROR('3000rpm'!C3,"")</x:f>
        <x:v>42</x:v>
      </x:c>
      <x:c r="K68" s="22" t="n">
        <x:f>IF(AND(ISNUMBER(I68),ISNUMBER(J68)),I68-J68,"")</x:f>
        <x:v>1137.78708551483</x:v>
      </x:c>
      <x:c r="L68" s="22" t="n">
        <x:f>IF(ISNUMBER(K68),K68*$B$2+$B$3,"")</x:f>
        <x:v>1070.649436502614</x:v>
      </x:c>
      <x:c r="M68" s="22" t="n">
        <x:f>IF(AND(ISNUMBER(G68),ISNUMBER(H68),H68&lt;&gt;0),G68/(H68/60)/$B$5,"")</x:f>
        <x:v>0.172980203632753</x:v>
      </x:c>
      <x:c r="N68" s="22" t="n">
        <x:f>IF(AND(ISNUMBER(L68),ISNUMBER(H68),H68&lt;&gt;0),L68*$B$6/$B$4/(H68/60)^2/$B$5^4/$B$7,"")</x:f>
        <x:v>0.07433575814978874</x:v>
      </x:c>
      <x:c r="O68" s="22" t="n">
        <x:f>IF(ISNUMBER(N68),N68*$B$8,"")</x:f>
        <x:v>0.009604368667271775</x:v>
      </x:c>
      <x:c r="P68" s="20" t="str">
        <x:v>3000rpm!P35</x:v>
      </x:c>
      <x:c r="Q68" s="20" t="str">
        <x:v>3000rpm!O35</x:v>
      </x:c>
      <x:c r="R68" s="20" t="str">
        <x:v>3000rpm!C3</x:v>
      </x:c>
    </x:row>
    <x:row r="69">
      <x:c r="A69" s="21" t="n">
        <x:v>3000</x:v>
      </x:c>
      <x:c r="B69" s="21" t="n">
        <x:v>15</x:v>
      </x:c>
      <x:c r="C69" s="21" t="n">
        <x:v>7</x:v>
      </x:c>
      <x:c r="D69" s="21" t="n">
        <x:v>1</x:v>
      </x:c>
      <x:c r="E69" s="21" t="str">
        <x:v>3000rpm</x:v>
      </x:c>
      <x:c r="F69" s="21" t="n">
        <x:v>36</x:v>
      </x:c>
      <x:c r="G69" s="22" t="n">
        <x:f>IFERROR('3000rpm'!E36,"")</x:f>
        <x:v>5.110058359355332</x:v>
      </x:c>
      <x:c r="H69" s="22" t="n">
        <x:f>IFERROR('3000rpm'!C36,"")</x:f>
        <x:v>3017.61572265625</x:v>
      </x:c>
      <x:c r="I69" s="22" t="n">
        <x:f>IFERROR('3000rpm'!D36,"")</x:f>
        <x:v>1138.2</x:v>
      </x:c>
      <x:c r="J69" s="22" t="n">
        <x:f>IFERROR('3000rpm'!C3,"")</x:f>
        <x:v>42</x:v>
      </x:c>
      <x:c r="K69" s="22" t="n">
        <x:f>IF(AND(ISNUMBER(I69),ISNUMBER(J69)),I69-J69,"")</x:f>
        <x:v>1096.2</x:v>
      </x:c>
      <x:c r="L69" s="22" t="n">
        <x:f>IF(ISNUMBER(K69),K69*$B$2+$B$3,"")</x:f>
        <x:v>1032.5678096</x:v>
      </x:c>
      <x:c r="M69" s="22" t="n">
        <x:f>IF(AND(ISNUMBER(G69),ISNUMBER(H69),H69&lt;&gt;0),G69/(H69/60)/$B$5,"")</x:f>
        <x:v>0.22223218424194413</x:v>
      </x:c>
      <x:c r="N69" s="22" t="n">
        <x:f>IF(AND(ISNUMBER(L69),ISNUMBER(H69),H69&lt;&gt;0),L69*$B$6/$B$4/(H69/60)^2/$B$5^4/$B$7,"")</x:f>
        <x:v>0.07598141141858056</x:v>
      </x:c>
      <x:c r="O69" s="22" t="n">
        <x:f>IF(ISNUMBER(N69),N69*$B$8,"")</x:f>
        <x:v>0.00981699124737823</x:v>
      </x:c>
      <x:c r="P69" s="20" t="str">
        <x:v>3000rpm!E36</x:v>
      </x:c>
      <x:c r="Q69" s="20" t="str">
        <x:v>3000rpm!D36</x:v>
      </x:c>
      <x:c r="R69" s="20" t="str">
        <x:v>3000rpm!C3</x:v>
      </x:c>
    </x:row>
    <x:row r="70">
      <x:c r="A70" s="21" t="n">
        <x:v>3000</x:v>
      </x:c>
      <x:c r="B70" s="21" t="n">
        <x:v>15</x:v>
      </x:c>
      <x:c r="C70" s="21" t="n">
        <x:v>7</x:v>
      </x:c>
      <x:c r="D70" s="21" t="n">
        <x:v>2</x:v>
      </x:c>
      <x:c r="E70" s="21" t="str">
        <x:v>3000rpm</x:v>
      </x:c>
      <x:c r="F70" s="21" t="n">
        <x:v>36</x:v>
      </x:c>
      <x:c r="G70" s="22" t="n">
        <x:f>IFERROR('3000rpm'!P36,"")</x:f>
        <x:v>5.1112174794597935</x:v>
      </x:c>
      <x:c r="H70" s="22" t="n">
        <x:f>IFERROR('3000rpm'!N36,"")</x:f>
        <x:v>3109.67719959077</x:v>
      </x:c>
      <x:c r="I70" s="22" t="n">
        <x:f>IFERROR('3000rpm'!O36,"")</x:f>
        <x:v>1185.67541766109</x:v>
      </x:c>
      <x:c r="J70" s="22" t="n">
        <x:f>IFERROR('3000rpm'!C3,"")</x:f>
        <x:v>42</x:v>
      </x:c>
      <x:c r="K70" s="22" t="n">
        <x:f>IF(AND(ISNUMBER(I70),ISNUMBER(J70)),I70-J70,"")</x:f>
        <x:v>1143.67541766109</x:v>
      </x:c>
      <x:c r="L70" s="22" t="n">
        <x:f>IF(ISNUMBER(K70),K70*$B$2+$B$3,"")</x:f>
        <x:v>1076.0414293556014</x:v>
      </x:c>
      <x:c r="M70" s="22" t="n">
        <x:f>IF(AND(ISNUMBER(G70),ISNUMBER(H70),H70&lt;&gt;0),G70/(H70/60)/$B$5,"")</x:f>
        <x:v>0.2157019541566167</x:v>
      </x:c>
      <x:c r="N70" s="22" t="n">
        <x:f>IF(AND(ISNUMBER(L70),ISNUMBER(H70),H70&lt;&gt;0),L70*$B$6/$B$4/(H70/60)^2/$B$5^4/$B$7,"")</x:f>
        <x:v>0.0745615652739591</x:v>
      </x:c>
      <x:c r="O70" s="22" t="n">
        <x:f>IF(ISNUMBER(N70),N70*$B$8,"")</x:f>
        <x:v>0.009633543520965451</x:v>
      </x:c>
      <x:c r="P70" s="20" t="str">
        <x:v>3000rpm!P36</x:v>
      </x:c>
      <x:c r="Q70" s="20" t="str">
        <x:v>3000rpm!O36</x:v>
      </x:c>
      <x:c r="R70" s="20" t="str">
        <x:v>3000rpm!C3</x:v>
      </x:c>
    </x:row>
    <x:row r="71">
      <x:c r="A71" s="21" t="n">
        <x:v>3000</x:v>
      </x:c>
      <x:c r="B71" s="21" t="n">
        <x:v>15</x:v>
      </x:c>
      <x:c r="C71" s="21" t="n">
        <x:v>8</x:v>
      </x:c>
      <x:c r="D71" s="21" t="n">
        <x:v>1</x:v>
      </x:c>
      <x:c r="E71" s="21" t="str">
        <x:v>3000rpm</x:v>
      </x:c>
      <x:c r="F71" s="21" t="n">
        <x:v>37</x:v>
      </x:c>
      <x:c r="G71" s="22" t="n">
        <x:f>IFERROR('3000rpm'!E37,"")</x:f>
        <x:v>6.1371474247167965</x:v>
      </x:c>
      <x:c r="H71" s="22" t="n">
        <x:f>IFERROR('3000rpm'!C37,"")</x:f>
        <x:v>3036.65735444568</x:v>
      </x:c>
      <x:c r="I71" s="22" t="n">
        <x:f>IFERROR('3000rpm'!D37,"")</x:f>
        <x:v>1153.59900990099</x:v>
      </x:c>
      <x:c r="J71" s="22" t="n">
        <x:f>IFERROR('3000rpm'!C3,"")</x:f>
        <x:v>42</x:v>
      </x:c>
      <x:c r="K71" s="22" t="n">
        <x:f>IF(AND(ISNUMBER(I71),ISNUMBER(J71)),I71-J71,"")</x:f>
        <x:v>1111.59900990099</x:v>
      </x:c>
      <x:c r="L71" s="22" t="n">
        <x:f>IF(ISNUMBER(K71),K71*$B$2+$B$3,"")</x:f>
        <x:v>1046.6688061584157</x:v>
      </x:c>
      <x:c r="M71" s="22" t="n">
        <x:f>IF(AND(ISNUMBER(G71),ISNUMBER(H71),H71&lt;&gt;0),G71/(H71/60)/$B$5,"")</x:f>
        <x:v>0.2652258159203927</x:v>
      </x:c>
      <x:c r="N71" s="22" t="n">
        <x:f>IF(AND(ISNUMBER(L71),ISNUMBER(H71),H71&lt;&gt;0),L71*$B$6/$B$4/(H71/60)^2/$B$5^4/$B$7,"")</x:f>
        <x:v>0.07605615095028631</x:v>
      </x:c>
      <x:c r="O71" s="22" t="n">
        <x:f>IF(ISNUMBER(N71),N71*$B$8,"")</x:f>
        <x:v>0.00982664778461398</x:v>
      </x:c>
      <x:c r="P71" s="20" t="str">
        <x:v>3000rpm!E37</x:v>
      </x:c>
      <x:c r="Q71" s="20" t="str">
        <x:v>3000rpm!D37</x:v>
      </x:c>
      <x:c r="R71" s="20" t="str">
        <x:v>3000rpm!C3</x:v>
      </x:c>
    </x:row>
    <x:row r="72">
      <x:c r="A72" s="21" t="n">
        <x:v>3000</x:v>
      </x:c>
      <x:c r="B72" s="21" t="n">
        <x:v>15</x:v>
      </x:c>
      <x:c r="C72" s="21" t="n">
        <x:v>8</x:v>
      </x:c>
      <x:c r="D72" s="21" t="n">
        <x:v>2</x:v>
      </x:c>
      <x:c r="E72" s="21" t="str">
        <x:v>3000rpm</x:v>
      </x:c>
      <x:c r="F72" s="21" t="n">
        <x:v>37</x:v>
      </x:c>
      <x:c r="G72" s="22" t="n">
        <x:f>IFERROR('3000rpm'!P37,"")</x:f>
        <x:v>6.142548751411974</x:v>
      </x:c>
      <x:c r="H72" s="22" t="n">
        <x:f>IFERROR('3000rpm'!N37,"")</x:f>
        <x:v>3067.94635881696</x:v>
      </x:c>
      <x:c r="I72" s="22" t="n">
        <x:f>IFERROR('3000rpm'!O37,"")</x:f>
        <x:v>1193.49530516431</x:v>
      </x:c>
      <x:c r="J72" s="22" t="n">
        <x:f>IFERROR('3000rpm'!C3,"")</x:f>
        <x:v>42</x:v>
      </x:c>
      <x:c r="K72" s="22" t="n">
        <x:f>IF(AND(ISNUMBER(I72),ISNUMBER(J72)),I72-J72,"")</x:f>
        <x:v>1151.49530516431</x:v>
      </x:c>
      <x:c r="L72" s="22" t="n">
        <x:f>IF(ISNUMBER(K72),K72*$B$2+$B$3,"")</x:f>
        <x:v>1083.2021629014</x:v>
      </x:c>
      <x:c r="M72" s="22" t="n">
        <x:f>IF(AND(ISNUMBER(G72),ISNUMBER(H72),H72&lt;&gt;0),G72/(H72/60)/$B$5,"")</x:f>
        <x:v>0.2627519081978552</x:v>
      </x:c>
      <x:c r="N72" s="22" t="n">
        <x:f>IF(AND(ISNUMBER(L72),ISNUMBER(H72),H72&lt;&gt;0),L72*$B$6/$B$4/(H72/60)^2/$B$5^4/$B$7,"")</x:f>
        <x:v>0.07711353943126262</x:v>
      </x:c>
      <x:c r="O72" s="22" t="n">
        <x:f>IF(ISNUMBER(N72),N72*$B$8,"")</x:f>
        <x:v>0.009963265060721656</x:v>
      </x:c>
      <x:c r="P72" s="20" t="str">
        <x:v>3000rpm!P37</x:v>
      </x:c>
      <x:c r="Q72" s="20" t="str">
        <x:v>3000rpm!O37</x:v>
      </x:c>
      <x:c r="R72" s="20" t="str">
        <x:v>3000rpm!C3</x:v>
      </x:c>
    </x:row>
    <x:row r="73">
      <x:c r="A73" s="21" t="n">
        <x:v>3000</x:v>
      </x:c>
      <x:c r="B73" s="21" t="n">
        <x:v>15</x:v>
      </x:c>
      <x:c r="C73" s="21" t="n">
        <x:v>9</x:v>
      </x:c>
      <x:c r="D73" s="21" t="n">
        <x:v>1</x:v>
      </x:c>
      <x:c r="E73" s="21" t="str">
        <x:v>3000rpm</x:v>
      </x:c>
      <x:c r="F73" s="21" t="n">
        <x:v>38</x:v>
      </x:c>
      <x:c r="G73" s="22" t="n">
        <x:f>IFERROR('3000rpm'!E38,"")</x:f>
        <x:v>7.148255798197518</x:v>
      </x:c>
      <x:c r="H73" s="22" t="n">
        <x:f>IFERROR('3000rpm'!C38,"")</x:f>
        <x:v>3039.37020263671</x:v>
      </x:c>
      <x:c r="I73" s="22" t="n">
        <x:f>IFERROR('3000rpm'!D38,"")</x:f>
        <x:v>1169.70153061224</x:v>
      </x:c>
      <x:c r="J73" s="22" t="n">
        <x:f>IFERROR('3000rpm'!C3,"")</x:f>
        <x:v>42</x:v>
      </x:c>
      <x:c r="K73" s="22" t="n">
        <x:f>IF(AND(ISNUMBER(I73),ISNUMBER(J73)),I73-J73,"")</x:f>
        <x:v>1127.70153061224</x:v>
      </x:c>
      <x:c r="L73" s="22" t="n">
        <x:f>IF(ISNUMBER(K73),K73*$B$2+$B$3,"")</x:f>
        <x:v>1061.4140131938732</x:v>
      </x:c>
      <x:c r="M73" s="22" t="n">
        <x:f>IF(AND(ISNUMBER(G73),ISNUMBER(H73),H73&lt;&gt;0),G73/(H73/60)/$B$5,"")</x:f>
        <x:v>0.30864661082930933</x:v>
      </x:c>
      <x:c r="N73" s="22" t="n">
        <x:f>IF(AND(ISNUMBER(L73),ISNUMBER(H73),H73&lt;&gt;0),L73*$B$6/$B$4/(H73/60)^2/$B$5^4/$B$7,"")</x:f>
        <x:v>0.07698998887441182</x:v>
      </x:c>
      <x:c r="O73" s="22" t="n">
        <x:f>IF(ISNUMBER(N73),N73*$B$8,"")</x:f>
        <x:v>0.009947302015121841</x:v>
      </x:c>
      <x:c r="P73" s="20" t="str">
        <x:v>3000rpm!E38</x:v>
      </x:c>
      <x:c r="Q73" s="20" t="str">
        <x:v>3000rpm!D38</x:v>
      </x:c>
      <x:c r="R73" s="20" t="str">
        <x:v>3000rpm!C3</x:v>
      </x:c>
    </x:row>
    <x:row r="74">
      <x:c r="A74" s="21" t="n">
        <x:v>3000</x:v>
      </x:c>
      <x:c r="B74" s="21" t="n">
        <x:v>15</x:v>
      </x:c>
      <x:c r="C74" s="21" t="n">
        <x:v>9</x:v>
      </x:c>
      <x:c r="D74" s="21" t="n">
        <x:v>2</x:v>
      </x:c>
      <x:c r="E74" s="21" t="str">
        <x:v>3000rpm</x:v>
      </x:c>
      <x:c r="F74" s="21" t="n">
        <x:v>38</x:v>
      </x:c>
      <x:c r="G74" s="22" t="n">
        <x:f>IFERROR('3000rpm'!P38,"")</x:f>
        <x:v>7.159523817800352</x:v>
      </x:c>
      <x:c r="H74" s="22" t="n">
        <x:f>IFERROR('3000rpm'!N38,"")</x:f>
        <x:v>3066.9268022017</x:v>
      </x:c>
      <x:c r="I74" s="22" t="n">
        <x:f>IFERROR('3000rpm'!O38,"")</x:f>
        <x:v>1216.62763466042</x:v>
      </x:c>
      <x:c r="J74" s="22" t="n">
        <x:f>IFERROR('3000rpm'!C3,"")</x:f>
        <x:v>42</x:v>
      </x:c>
      <x:c r="K74" s="22" t="n">
        <x:f>IF(AND(ISNUMBER(I74),ISNUMBER(J74)),I74-J74,"")</x:f>
        <x:v>1174.62763466042</x:v>
      </x:c>
      <x:c r="L74" s="22" t="n">
        <x:f>IF(ISNUMBER(K74),K74*$B$2+$B$3,"")</x:f>
        <x:v>1104.3846220796238</x:v>
      </x:c>
      <x:c r="M74" s="22" t="n">
        <x:f>IF(AND(ISNUMBER(G74),ISNUMBER(H74),H74&lt;&gt;0),G74/(H74/60)/$B$5,"")</x:f>
        <x:v>0.3063555524556177</x:v>
      </x:c>
      <x:c r="N74" s="22" t="n">
        <x:f>IF(AND(ISNUMBER(L74),ISNUMBER(H74),H74&lt;&gt;0),L74*$B$6/$B$4/(H74/60)^2/$B$5^4/$B$7,"")</x:f>
        <x:v>0.07867380800798053</x:v>
      </x:c>
      <x:c r="O74" s="22" t="n">
        <x:f>IF(ISNUMBER(N74),N74*$B$8,"")</x:f>
        <x:v>0.010164855721848191</x:v>
      </x:c>
      <x:c r="P74" s="20" t="str">
        <x:v>3000rpm!P38</x:v>
      </x:c>
      <x:c r="Q74" s="20" t="str">
        <x:v>3000rpm!O38</x:v>
      </x:c>
      <x:c r="R74" s="20" t="str">
        <x:v>3000rpm!C3</x:v>
      </x:c>
    </x:row>
    <x:row r="75">
      <x:c r="A75" s="21" t="n">
        <x:v>3000</x:v>
      </x:c>
      <x:c r="B75" s="21" t="n">
        <x:v>15</x:v>
      </x:c>
      <x:c r="C75" s="21" t="n">
        <x:v>10</x:v>
      </x:c>
      <x:c r="D75" s="21" t="n">
        <x:v>1</x:v>
      </x:c>
      <x:c r="E75" s="21" t="str">
        <x:v>3000rpm</x:v>
      </x:c>
      <x:c r="F75" s="21" t="n">
        <x:v>39</x:v>
      </x:c>
      <x:c r="G75" s="22" t="n">
        <x:f>IFERROR('3000rpm'!E39,"")</x:f>
        <x:v>8.175905525325305</x:v>
      </x:c>
      <x:c r="H75" s="22" t="n">
        <x:f>IFERROR('3000rpm'!C39,"")</x:f>
        <x:v>3026.15179217303</x:v>
      </x:c>
      <x:c r="I75" s="22" t="n">
        <x:f>IFERROR('3000rpm'!D39,"")</x:f>
        <x:v>1199.39622641509</x:v>
      </x:c>
      <x:c r="J75" s="22" t="n">
        <x:f>IFERROR('3000rpm'!C3,"")</x:f>
        <x:v>42</x:v>
      </x:c>
      <x:c r="K75" s="22" t="n">
        <x:f>IF(AND(ISNUMBER(I75),ISNUMBER(J75)),I75-J75,"")</x:f>
        <x:v>1157.39622641509</x:v>
      </x:c>
      <x:c r="L75" s="22" t="n">
        <x:f>IF(ISNUMBER(K75),K75*$B$2+$B$3,"")</x:f>
        <x:v>1088.6056836981093</x:v>
      </x:c>
      <x:c r="M75" s="22" t="n">
        <x:f>IF(AND(ISNUMBER(G75),ISNUMBER(H75),H75&lt;&gt;0),G75/(H75/60)/$B$5,"")</x:f>
        <x:v>0.35456036402038815</x:v>
      </x:c>
      <x:c r="N75" s="22" t="n">
        <x:f>IF(AND(ISNUMBER(L75),ISNUMBER(H75),H75&lt;&gt;0),L75*$B$6/$B$4/(H75/60)^2/$B$5^4/$B$7,"")</x:f>
        <x:v>0.0796536759869541</x:v>
      </x:c>
      <x:c r="O75" s="22" t="n">
        <x:f>IF(ISNUMBER(N75),N75*$B$8,"")</x:f>
        <x:v>0.010291457152297763</x:v>
      </x:c>
      <x:c r="P75" s="20" t="str">
        <x:v>3000rpm!E39</x:v>
      </x:c>
      <x:c r="Q75" s="20" t="str">
        <x:v>3000rpm!D39</x:v>
      </x:c>
      <x:c r="R75" s="20" t="str">
        <x:v>3000rpm!C3</x:v>
      </x:c>
    </x:row>
    <x:row r="76">
      <x:c r="A76" s="21" t="n">
        <x:v>3000</x:v>
      </x:c>
      <x:c r="B76" s="21" t="n">
        <x:v>15</x:v>
      </x:c>
      <x:c r="C76" s="21" t="n">
        <x:v>10</x:v>
      </x:c>
      <x:c r="D76" s="21" t="n">
        <x:v>2</x:v>
      </x:c>
      <x:c r="E76" s="21" t="str">
        <x:v>3000rpm</x:v>
      </x:c>
      <x:c r="F76" s="21" t="n">
        <x:v>39</x:v>
      </x:c>
      <x:c r="G76" s="22" t="n">
        <x:f>IFERROR('3000rpm'!P39,"")</x:f>
        <x:v>8.178752292362004</x:v>
      </x:c>
      <x:c r="H76" s="22" t="n">
        <x:f>IFERROR('3000rpm'!N39,"")</x:f>
        <x:v>3084.19072265625</x:v>
      </x:c>
      <x:c r="I76" s="22" t="n">
        <x:f>IFERROR('3000rpm'!O39,"")</x:f>
        <x:v>1237.03990024937</x:v>
      </x:c>
      <x:c r="J76" s="22" t="n">
        <x:f>IFERROR('3000rpm'!C3,"")</x:f>
        <x:v>42</x:v>
      </x:c>
      <x:c r="K76" s="22" t="n">
        <x:f>IF(AND(ISNUMBER(I76),ISNUMBER(J76)),I76-J76,"")</x:f>
        <x:v>1195.03990024937</x:v>
      </x:c>
      <x:c r="L76" s="22" t="n">
        <x:f>IF(ISNUMBER(K76),K76*$B$2+$B$3,"")</x:f>
        <x:v>1123.07629697755</x:v>
      </x:c>
      <x:c r="M76" s="22" t="n">
        <x:f>IF(AND(ISNUMBER(G76),ISNUMBER(H76),H76&lt;&gt;0),G76/(H76/60)/$B$5,"")</x:f>
        <x:v>0.3480093058460575</x:v>
      </x:c>
      <x:c r="N76" s="22" t="n">
        <x:f>IF(AND(ISNUMBER(L76),ISNUMBER(H76),H76&lt;&gt;0),L76*$B$6/$B$4/(H76/60)^2/$B$5^4/$B$7,"")</x:f>
        <x:v>0.07911219805023849</x:v>
      </x:c>
      <x:c r="O76" s="22" t="n">
        <x:f>IF(ISNUMBER(N76),N76*$B$8,"")</x:f>
        <x:v>0.01022149682823769</x:v>
      </x:c>
      <x:c r="P76" s="20" t="str">
        <x:v>3000rpm!P39</x:v>
      </x:c>
      <x:c r="Q76" s="20" t="str">
        <x:v>3000rpm!O39</x:v>
      </x:c>
      <x:c r="R76" s="20" t="str">
        <x:v>3000rpm!C3</x:v>
      </x:c>
    </x:row>
    <x:row r="77">
      <x:c r="A77" s="21" t="n">
        <x:v>3000</x:v>
      </x:c>
      <x:c r="B77" s="21" t="n">
        <x:v>15</x:v>
      </x:c>
      <x:c r="C77" s="21" t="n">
        <x:v>11</x:v>
      </x:c>
      <x:c r="D77" s="21" t="n">
        <x:v>1</x:v>
      </x:c>
      <x:c r="E77" s="21" t="str">
        <x:v>3000rpm</x:v>
      </x:c>
      <x:c r="F77" s="21" t="n">
        <x:v>40</x:v>
      </x:c>
      <x:c r="G77" s="22" t="n">
        <x:f>IFERROR('3000rpm'!E40,"")</x:f>
        <x:v>9.197932221354204</x:v>
      </x:c>
      <x:c r="H77" s="22" t="n">
        <x:f>IFERROR('3000rpm'!C40,"")</x:f>
        <x:v>3008.07594651442</x:v>
      </x:c>
      <x:c r="I77" s="22" t="n">
        <x:f>IFERROR('3000rpm'!D40,"")</x:f>
        <x:v>1208.80157170923</x:v>
      </x:c>
      <x:c r="J77" s="22" t="n">
        <x:f>IFERROR('3000rpm'!C3,"")</x:f>
        <x:v>42</x:v>
      </x:c>
      <x:c r="K77" s="22" t="n">
        <x:f>IF(AND(ISNUMBER(I77),ISNUMBER(J77)),I77-J77,"")</x:f>
        <x:v>1166.80157170923</x:v>
      </x:c>
      <x:c r="L77" s="22" t="n">
        <x:f>IF(ISNUMBER(K77),K77*$B$2+$B$3,"")</x:f>
        <x:v>1097.2182336267158</x:v>
      </x:c>
      <x:c r="M77" s="22" t="n">
        <x:f>IF(AND(ISNUMBER(G77),ISNUMBER(H77),H77&lt;&gt;0),G77/(H77/60)/$B$5,"")</x:f>
        <x:v>0.4012790038551095</x:v>
      </x:c>
      <x:c r="N77" s="22" t="n">
        <x:f>IF(AND(ISNUMBER(L77),ISNUMBER(H77),H77&lt;&gt;0),L77*$B$6/$B$4/(H77/60)^2/$B$5^4/$B$7,"")</x:f>
        <x:v>0.08125162677212687</x:v>
      </x:c>
      <x:c r="O77" s="22" t="n">
        <x:f>IF(ISNUMBER(N77),N77*$B$8,"")</x:f>
        <x:v>0.010497916450419541</x:v>
      </x:c>
      <x:c r="P77" s="20" t="str">
        <x:v>3000rpm!E40</x:v>
      </x:c>
      <x:c r="Q77" s="20" t="str">
        <x:v>3000rpm!D40</x:v>
      </x:c>
      <x:c r="R77" s="20" t="str">
        <x:v>3000rpm!C3</x:v>
      </x:c>
    </x:row>
    <x:row r="78">
      <x:c r="A78" s="21" t="n">
        <x:v>3000</x:v>
      </x:c>
      <x:c r="B78" s="21" t="n">
        <x:v>15</x:v>
      </x:c>
      <x:c r="C78" s="21" t="n">
        <x:v>11</x:v>
      </x:c>
      <x:c r="D78" s="21" t="n">
        <x:v>2</x:v>
      </x:c>
      <x:c r="E78" s="21" t="str">
        <x:v>3000rpm</x:v>
      </x:c>
      <x:c r="F78" s="21" t="n">
        <x:v>40</x:v>
      </x:c>
      <x:c r="G78" s="22" t="n">
        <x:f>IFERROR('3000rpm'!P40,"")</x:f>
        <x:v>9.2032752021704</x:v>
      </x:c>
      <x:c r="H78" s="22" t="n">
        <x:f>IFERROR('3000rpm'!N40,"")</x:f>
        <x:v>3058.51643554687</x:v>
      </x:c>
      <x:c r="I78" s="22" t="n">
        <x:f>IFERROR('3000rpm'!O40,"")</x:f>
        <x:v>1260.41520467836</x:v>
      </x:c>
      <x:c r="J78" s="22" t="n">
        <x:f>IFERROR('3000rpm'!C3,"")</x:f>
        <x:v>42</x:v>
      </x:c>
      <x:c r="K78" s="22" t="n">
        <x:f>IF(AND(ISNUMBER(I78),ISNUMBER(J78)),I78-J78,"")</x:f>
        <x:v>1218.41520467836</x:v>
      </x:c>
      <x:c r="L78" s="22" t="n">
        <x:f>IF(ISNUMBER(K78),K78*$B$2+$B$3,"")</x:f>
        <x:v>1144.4812502456116</x:v>
      </x:c>
      <x:c r="M78" s="22" t="n">
        <x:f>IF(AND(ISNUMBER(G78),ISNUMBER(H78),H78&lt;&gt;0),G78/(H78/60)/$B$5,"")</x:f>
        <x:v>0.3948904390002635</x:v>
      </x:c>
      <x:c r="N78" s="22" t="n">
        <x:f>IF(AND(ISNUMBER(L78),ISNUMBER(H78),H78&lt;&gt;0),L78*$B$6/$B$4/(H78/60)^2/$B$5^4/$B$7,"")</x:f>
        <x:v>0.08197920220147564</x:v>
      </x:c>
      <x:c r="O78" s="22" t="n">
        <x:f>IF(ISNUMBER(N78),N78*$B$8,"")</x:f>
        <x:v>0.010591921042968841</x:v>
      </x:c>
      <x:c r="P78" s="20" t="str">
        <x:v>3000rpm!P40</x:v>
      </x:c>
      <x:c r="Q78" s="20" t="str">
        <x:v>3000rpm!O40</x:v>
      </x:c>
      <x:c r="R78" s="20" t="str">
        <x:v>3000rpm!C3</x:v>
      </x:c>
    </x:row>
    <x:row r="79">
      <x:c r="A79" s="21" t="n">
        <x:v>3000</x:v>
      </x:c>
      <x:c r="B79" s="21" t="n">
        <x:v>15</x:v>
      </x:c>
      <x:c r="C79" s="21" t="n">
        <x:v>12</x:v>
      </x:c>
      <x:c r="D79" s="21" t="n">
        <x:v>1</x:v>
      </x:c>
      <x:c r="E79" s="21" t="str">
        <x:v>3000rpm</x:v>
      </x:c>
      <x:c r="F79" s="21" t="n">
        <x:v>41</x:v>
      </x:c>
      <x:c r="G79" s="22" t="n">
        <x:f>IFERROR('3000rpm'!E41,"")</x:f>
        <x:v>10.141243770947177</x:v>
      </x:c>
      <x:c r="H79" s="22" t="n">
        <x:f>IFERROR('3000rpm'!C41,"")</x:f>
        <x:v>3028.70954975328</x:v>
      </x:c>
      <x:c r="I79" s="22" t="n">
        <x:f>IFERROR('3000rpm'!D41,"")</x:f>
        <x:v>1221.65885416666</x:v>
      </x:c>
      <x:c r="J79" s="22" t="n">
        <x:f>IFERROR('3000rpm'!C3,"")</x:f>
        <x:v>42</x:v>
      </x:c>
      <x:c r="K79" s="22" t="n">
        <x:f>IF(AND(ISNUMBER(I79),ISNUMBER(J79)),I79-J79,"")</x:f>
        <x:v>1179.65885416666</x:v>
      </x:c>
      <x:c r="L79" s="22" t="n">
        <x:f>IF(ISNUMBER(K79),K79*$B$2+$B$3,"")</x:f>
        <x:v>1108.9917500312438</x:v>
      </x:c>
      <x:c r="M79" s="22" t="n">
        <x:f>IF(AND(ISNUMBER(G79),ISNUMBER(H79),H79&lt;&gt;0),G79/(H79/60)/$B$5,"")</x:f>
        <x:v>0.43941879011128243</x:v>
      </x:c>
      <x:c r="N79" s="22" t="n">
        <x:f>IF(AND(ISNUMBER(L79),ISNUMBER(H79),H79&lt;&gt;0),L79*$B$6/$B$4/(H79/60)^2/$B$5^4/$B$7,"")</x:f>
        <x:v>0.08100833465948605</x:v>
      </x:c>
      <x:c r="O79" s="22" t="n">
        <x:f>IF(ISNUMBER(N79),N79*$B$8,"")</x:f>
        <x:v>0.010466482491826783</x:v>
      </x:c>
      <x:c r="P79" s="20" t="str">
        <x:v>3000rpm!E41</x:v>
      </x:c>
      <x:c r="Q79" s="20" t="str">
        <x:v>3000rpm!D41</x:v>
      </x:c>
      <x:c r="R79" s="20" t="str">
        <x:v>3000rpm!C3</x:v>
      </x:c>
    </x:row>
    <x:row r="80">
      <x:c r="A80" s="21" t="n">
        <x:v>3000</x:v>
      </x:c>
      <x:c r="B80" s="21" t="n">
        <x:v>15</x:v>
      </x:c>
      <x:c r="C80" s="21" t="n">
        <x:v>12</x:v>
      </x:c>
      <x:c r="D80" s="21" t="n">
        <x:v>2</x:v>
      </x:c>
      <x:c r="E80" s="21" t="str">
        <x:v>3000rpm</x:v>
      </x:c>
      <x:c r="F80" s="21" t="n">
        <x:v>41</x:v>
      </x:c>
      <x:c r="G80" s="22" t="n">
        <x:f>IFERROR('3000rpm'!P41,"")</x:f>
        <x:v>10.129834887575893</x:v>
      </x:c>
      <x:c r="H80" s="22" t="n">
        <x:f>IFERROR('3000rpm'!N41,"")</x:f>
        <x:v>3058.77857384314</x:v>
      </x:c>
      <x:c r="I80" s="22" t="n">
        <x:f>IFERROR('3000rpm'!O41,"")</x:f>
        <x:v>1272.54990583804</x:v>
      </x:c>
      <x:c r="J80" s="22" t="n">
        <x:f>IFERROR('3000rpm'!C3,"")</x:f>
        <x:v>42</x:v>
      </x:c>
      <x:c r="K80" s="22" t="n">
        <x:f>IF(AND(ISNUMBER(I80),ISNUMBER(J80)),I80-J80,"")</x:f>
        <x:v>1230.54990583804</x:v>
      </x:c>
      <x:c r="L80" s="22" t="n">
        <x:f>IF(ISNUMBER(K80),K80*$B$2+$B$3,"")</x:f>
        <x:v>1155.59309317514</x:v>
      </x:c>
      <x:c r="M80" s="22" t="n">
        <x:f>IF(AND(ISNUMBER(G80),ISNUMBER(H80),H80&lt;&gt;0),G80/(H80/60)/$B$5,"")</x:f>
        <x:v>0.4346096407664857</x:v>
      </x:c>
      <x:c r="N80" s="22" t="n">
        <x:f>IF(AND(ISNUMBER(L80),ISNUMBER(H80),H80&lt;&gt;0),L80*$B$6/$B$4/(H80/60)^2/$B$5^4/$B$7,"")</x:f>
        <x:v>0.08276095650569736</x:v>
      </x:c>
      <x:c r="O80" s="22" t="n">
        <x:f>IF(ISNUMBER(N80),N80*$B$8,"")</x:f>
        <x:v>0.010692925683694272</x:v>
      </x:c>
      <x:c r="P80" s="20" t="str">
        <x:v>3000rpm!P41</x:v>
      </x:c>
      <x:c r="Q80" s="20" t="str">
        <x:v>3000rpm!O41</x:v>
      </x:c>
      <x:c r="R80" s="20" t="str">
        <x:v>3000rpm!C3</x:v>
      </x:c>
    </x:row>
    <x:row r="81">
      <x:c r="A81" s="21" t="n">
        <x:v>3000</x:v>
      </x:c>
      <x:c r="B81" s="21" t="n">
        <x:v>15</x:v>
      </x:c>
      <x:c r="C81" s="21" t="n">
        <x:v>13</x:v>
      </x:c>
      <x:c r="D81" s="21" t="n">
        <x:v>1</x:v>
      </x:c>
      <x:c r="E81" s="21" t="str">
        <x:v>3000rpm</x:v>
      </x:c>
      <x:c r="F81" s="21" t="n">
        <x:v>42</x:v>
      </x:c>
      <x:c r="G81" s="22" t="n">
        <x:f>IFERROR('3000rpm'!E42,"")</x:f>
        <x:v>9.207741384332898</x:v>
      </x:c>
      <x:c r="H81" s="22" t="n">
        <x:f>IFERROR('3000rpm'!C42,"")</x:f>
        <x:v>3005.90333048502</x:v>
      </x:c>
      <x:c r="I81" s="22" t="n">
        <x:f>IFERROR('3000rpm'!D42,"")</x:f>
        <x:v>1209.35222672064</x:v>
      </x:c>
      <x:c r="J81" s="22" t="n">
        <x:f>IFERROR('3000rpm'!C3,"")</x:f>
        <x:v>42</x:v>
      </x:c>
      <x:c r="K81" s="22" t="n">
        <x:f>IF(AND(ISNUMBER(I81),ISNUMBER(J81)),I81-J81,"")</x:f>
        <x:v>1167.35222672064</x:v>
      </x:c>
      <x:c r="L81" s="22" t="n">
        <x:f>IF(ISNUMBER(K81),K81*$B$2+$B$3,"")</x:f>
        <x:v>1097.7224728259039</x:v>
      </x:c>
      <x:c r="M81" s="22" t="n">
        <x:f>IF(AND(ISNUMBER(G81),ISNUMBER(H81),H81&lt;&gt;0),G81/(H81/60)/$B$5,"")</x:f>
        <x:v>0.40199729605819784</x:v>
      </x:c>
      <x:c r="N81" s="22" t="n">
        <x:f>IF(AND(ISNUMBER(L81),ISNUMBER(H81),H81&lt;&gt;0),L81*$B$6/$B$4/(H81/60)^2/$B$5^4/$B$7,"")</x:f>
        <x:v>0.0814065179315664</x:v>
      </x:c>
      <x:c r="O81" s="22" t="n">
        <x:f>IF(ISNUMBER(N81),N81*$B$8,"")</x:f>
        <x:v>0.01051792878143742</x:v>
      </x:c>
      <x:c r="P81" s="20" t="str">
        <x:v>3000rpm!E42</x:v>
      </x:c>
      <x:c r="Q81" s="20" t="str">
        <x:v>3000rpm!D42</x:v>
      </x:c>
      <x:c r="R81" s="20" t="str">
        <x:v>3000rpm!C3</x:v>
      </x:c>
    </x:row>
    <x:row r="82">
      <x:c r="A82" s="21" t="n">
        <x:v>3000</x:v>
      </x:c>
      <x:c r="B82" s="21" t="n">
        <x:v>15</x:v>
      </x:c>
      <x:c r="C82" s="21" t="n">
        <x:v>13</x:v>
      </x:c>
      <x:c r="D82" s="21" t="n">
        <x:v>2</x:v>
      </x:c>
      <x:c r="E82" s="21" t="str">
        <x:v>3000rpm</x:v>
      </x:c>
      <x:c r="F82" s="21" t="n">
        <x:v>42</x:v>
      </x:c>
      <x:c r="G82" s="22" t="n">
        <x:f>IFERROR('3000rpm'!P42,"")</x:f>
        <x:v>9.210144926813381</x:v>
      </x:c>
      <x:c r="H82" s="22" t="n">
        <x:f>IFERROR('3000rpm'!N42,"")</x:f>
        <x:v>3057.21124267578</x:v>
      </x:c>
      <x:c r="I82" s="22" t="n">
        <x:f>IFERROR('3000rpm'!O42,"")</x:f>
        <x:v>1251.22394366197</x:v>
      </x:c>
      <x:c r="J82" s="22" t="n">
        <x:f>IFERROR('3000rpm'!C3,"")</x:f>
        <x:v>42</x:v>
      </x:c>
      <x:c r="K82" s="22" t="n">
        <x:f>IF(AND(ISNUMBER(I82),ISNUMBER(J82)),I82-J82,"")</x:f>
        <x:v>1209.22394366197</x:v>
      </x:c>
      <x:c r="L82" s="22" t="n">
        <x:f>IF(ISNUMBER(K82),K82*$B$2+$B$3,"")</x:f>
        <x:v>1136.0647390028153</x:v>
      </x:c>
      <x:c r="M82" s="22" t="n">
        <x:f>IF(AND(ISNUMBER(G82),ISNUMBER(H82),H82&lt;&gt;0),G82/(H82/60)/$B$5,"")</x:f>
        <x:v>0.3953539159210348</x:v>
      </x:c>
      <x:c r="N82" s="22" t="n">
        <x:f>IF(AND(ISNUMBER(L82),ISNUMBER(H82),H82&lt;&gt;0),L82*$B$6/$B$4/(H82/60)^2/$B$5^4/$B$7,"")</x:f>
        <x:v>0.0814458250601583</x:v>
      </x:c>
      <x:c r="O82" s="22" t="n">
        <x:f>IF(ISNUMBER(N82),N82*$B$8,"")</x:f>
        <x:v>0.01052300736223951</x:v>
      </x:c>
      <x:c r="P82" s="20" t="str">
        <x:v>3000rpm!P42</x:v>
      </x:c>
      <x:c r="Q82" s="20" t="str">
        <x:v>3000rpm!O42</x:v>
      </x:c>
      <x:c r="R82" s="20" t="str">
        <x:v>3000rpm!C3</x:v>
      </x:c>
    </x:row>
    <x:row r="83">
      <x:c r="A83" s="21" t="n">
        <x:v>3000</x:v>
      </x:c>
      <x:c r="B83" s="21" t="n">
        <x:v>15</x:v>
      </x:c>
      <x:c r="C83" s="21" t="n">
        <x:v>14</x:v>
      </x:c>
      <x:c r="D83" s="21" t="n">
        <x:v>1</x:v>
      </x:c>
      <x:c r="E83" s="21" t="str">
        <x:v>3000rpm</x:v>
      </x:c>
      <x:c r="F83" s="21" t="n">
        <x:v>43</x:v>
      </x:c>
      <x:c r="G83" s="22" t="n">
        <x:f>IFERROR('3000rpm'!E43,"")</x:f>
        <x:v>8.384901372119355</x:v>
      </x:c>
      <x:c r="H83" s="22" t="n">
        <x:f>IFERROR('3000rpm'!C43,"")</x:f>
        <x:v>3020.7271484375</x:v>
      </x:c>
      <x:c r="I83" s="22" t="n">
        <x:f>IFERROR('3000rpm'!D43,"")</x:f>
        <x:v>1197.254180602</x:v>
      </x:c>
      <x:c r="J83" s="22" t="n">
        <x:f>IFERROR('3000rpm'!C3,"")</x:f>
        <x:v>42</x:v>
      </x:c>
      <x:c r="K83" s="22" t="n">
        <x:f>IF(AND(ISNUMBER(I83),ISNUMBER(J83)),I83-J83,"")</x:f>
        <x:v>1155.254180602</x:v>
      </x:c>
      <x:c r="L83" s="22" t="n">
        <x:f>IF(ISNUMBER(K83),K83*$B$2+$B$3,"")</x:f>
        <x:v>1086.6441952106961</x:v>
      </x:c>
      <x:c r="M83" s="22" t="n">
        <x:f>IF(AND(ISNUMBER(G83),ISNUMBER(H83),H83&lt;&gt;0),G83/(H83/60)/$B$5,"")</x:f>
        <x:v>0.3642767795380529</x:v>
      </x:c>
      <x:c r="N83" s="22" t="n">
        <x:f>IF(AND(ISNUMBER(L83),ISNUMBER(H83),H83&lt;&gt;0),L83*$B$6/$B$4/(H83/60)^2/$B$5^4/$B$7,"")</x:f>
        <x:v>0.07979597939131669</x:v>
      </x:c>
      <x:c r="O83" s="22" t="n">
        <x:f>IF(ISNUMBER(N83),N83*$B$8,"")</x:f>
        <x:v>0.010309843113403482</x:v>
      </x:c>
      <x:c r="P83" s="20" t="str">
        <x:v>3000rpm!E43</x:v>
      </x:c>
      <x:c r="Q83" s="20" t="str">
        <x:v>3000rpm!D43</x:v>
      </x:c>
      <x:c r="R83" s="20" t="str">
        <x:v>3000rpm!C3</x:v>
      </x:c>
    </x:row>
    <x:row r="84">
      <x:c r="A84" s="21" t="n">
        <x:v>3000</x:v>
      </x:c>
      <x:c r="B84" s="21" t="n">
        <x:v>15</x:v>
      </x:c>
      <x:c r="C84" s="21" t="n">
        <x:v>14</x:v>
      </x:c>
      <x:c r="D84" s="21" t="n">
        <x:v>2</x:v>
      </x:c>
      <x:c r="E84" s="21" t="str">
        <x:v>3000rpm</x:v>
      </x:c>
      <x:c r="F84" s="21" t="n">
        <x:v>43</x:v>
      </x:c>
      <x:c r="G84" s="22" t="n">
        <x:f>IFERROR('3000rpm'!P43,"")</x:f>
        <x:v>8.192999794008031</x:v>
      </x:c>
      <x:c r="H84" s="22" t="n">
        <x:f>IFERROR('3000rpm'!N43,"")</x:f>
        <x:v>3066.51408203125</x:v>
      </x:c>
      <x:c r="I84" s="22" t="n">
        <x:f>IFERROR('3000rpm'!O43,"")</x:f>
        <x:v>1232.43737574552</x:v>
      </x:c>
      <x:c r="J84" s="22" t="n">
        <x:f>IFERROR('3000rpm'!C3,"")</x:f>
        <x:v>42</x:v>
      </x:c>
      <x:c r="K84" s="22" t="n">
        <x:f>IF(AND(ISNUMBER(I84),ISNUMBER(J84)),I84-J84,"")</x:f>
        <x:v>1190.43737574552</x:v>
      </x:c>
      <x:c r="L84" s="22" t="n">
        <x:f>IF(ISNUMBER(K84),K84*$B$2+$B$3,"")</x:f>
        <x:v>1118.8617284691786</x:v>
      </x:c>
      <x:c r="M84" s="22" t="n">
        <x:f>IF(AND(ISNUMBER(G84),ISNUMBER(H84),H84&lt;&gt;0),G84/(H84/60)/$B$5,"")</x:f>
        <x:v>0.35062510544495096</x:v>
      </x:c>
      <x:c r="N84" s="22" t="n">
        <x:f>IF(AND(ISNUMBER(L84),ISNUMBER(H84),H84&lt;&gt;0),L84*$B$6/$B$4/(H84/60)^2/$B$5^4/$B$7,"")</x:f>
        <x:v>0.07972657997457806</x:v>
      </x:c>
      <x:c r="O84" s="22" t="n">
        <x:f>IF(ISNUMBER(N84),N84*$B$8,"")</x:f>
        <x:v>0.010300876532578298</x:v>
      </x:c>
      <x:c r="P84" s="20" t="str">
        <x:v>3000rpm!P43</x:v>
      </x:c>
      <x:c r="Q84" s="20" t="str">
        <x:v>3000rpm!O43</x:v>
      </x:c>
      <x:c r="R84" s="20" t="str">
        <x:v>3000rpm!C3</x:v>
      </x:c>
    </x:row>
    <x:row r="85">
      <x:c r="A85" s="21" t="n">
        <x:v>3000</x:v>
      </x:c>
      <x:c r="B85" s="21" t="n">
        <x:v>15</x:v>
      </x:c>
      <x:c r="C85" s="21" t="n">
        <x:v>15</x:v>
      </x:c>
      <x:c r="D85" s="21" t="n">
        <x:v>1</x:v>
      </x:c>
      <x:c r="E85" s="21" t="str">
        <x:v>3000rpm</x:v>
      </x:c>
      <x:c r="F85" s="21" t="n">
        <x:v>44</x:v>
      </x:c>
      <x:c r="G85" s="22" t="n">
        <x:f>IFERROR('3000rpm'!E44,"")</x:f>
        <x:v>7.183395827333545</x:v>
      </x:c>
      <x:c r="H85" s="22" t="n">
        <x:f>IFERROR('3000rpm'!C44,"")</x:f>
        <x:v>3007.9383719308</x:v>
      </x:c>
      <x:c r="I85" s="22" t="n">
        <x:f>IFERROR('3000rpm'!D44,"")</x:f>
        <x:v>1167.83414634146</x:v>
      </x:c>
      <x:c r="J85" s="22" t="n">
        <x:f>IFERROR('3000rpm'!C3,"")</x:f>
        <x:v>42</x:v>
      </x:c>
      <x:c r="K85" s="22" t="n">
        <x:f>IF(AND(ISNUMBER(I85),ISNUMBER(J85)),I85-J85,"")</x:f>
        <x:v>1125.83414634146</x:v>
      </x:c>
      <x:c r="L85" s="22" t="n">
        <x:f>IF(ISNUMBER(K85),K85*$B$2+$B$3,"")</x:f>
        <x:v>1059.7040344780457</x:v>
      </x:c>
      <x:c r="M85" s="22" t="n">
        <x:f>IF(AND(ISNUMBER(G85),ISNUMBER(H85),H85&lt;&gt;0),G85/(H85/60)/$B$5,"")</x:f>
        <x:v>0.3134049797284728</x:v>
      </x:c>
      <x:c r="N85" s="22" t="n">
        <x:f>IF(AND(ISNUMBER(L85),ISNUMBER(H85),H85&lt;&gt;0),L85*$B$6/$B$4/(H85/60)^2/$B$5^4/$B$7,"")</x:f>
        <x:v>0.07848078934949089</x:v>
      </x:c>
      <x:c r="O85" s="22" t="n">
        <x:f>IF(ISNUMBER(N85),N85*$B$8,"")</x:f>
        <x:v>0.010139917221159717</x:v>
      </x:c>
      <x:c r="P85" s="20" t="str">
        <x:v>3000rpm!E44</x:v>
      </x:c>
      <x:c r="Q85" s="20" t="str">
        <x:v>3000rpm!D44</x:v>
      </x:c>
      <x:c r="R85" s="20" t="str">
        <x:v>3000rpm!C3</x:v>
      </x:c>
    </x:row>
    <x:row r="86">
      <x:c r="A86" s="21" t="n">
        <x:v>3000</x:v>
      </x:c>
      <x:c r="B86" s="21" t="n">
        <x:v>15</x:v>
      </x:c>
      <x:c r="C86" s="21" t="n">
        <x:v>15</x:v>
      </x:c>
      <x:c r="D86" s="21" t="n">
        <x:v>2</x:v>
      </x:c>
      <x:c r="E86" s="21" t="str">
        <x:v>3000rpm</x:v>
      </x:c>
      <x:c r="F86" s="21" t="n">
        <x:v>44</x:v>
      </x:c>
      <x:c r="G86" s="22" t="n">
        <x:f>IFERROR('3000rpm'!P44,"")</x:f>
        <x:v>7.162570192684653</x:v>
      </x:c>
      <x:c r="H86" s="22" t="n">
        <x:f>IFERROR('3000rpm'!N44,"")</x:f>
        <x:v>3072.28600202287</x:v>
      </x:c>
      <x:c r="I86" s="22" t="n">
        <x:f>IFERROR('3000rpm'!O44,"")</x:f>
        <x:v>1215.17077464788</x:v>
      </x:c>
      <x:c r="J86" s="22" t="n">
        <x:f>IFERROR('3000rpm'!C3,"")</x:f>
        <x:v>42</x:v>
      </x:c>
      <x:c r="K86" s="22" t="n">
        <x:f>IF(AND(ISNUMBER(I86),ISNUMBER(J86)),I86-J86,"")</x:f>
        <x:v>1173.17077464788</x:v>
      </x:c>
      <x:c r="L86" s="22" t="n">
        <x:f>IF(ISNUMBER(K86),K86*$B$2+$B$3,"")</x:f>
        <x:v>1103.050563711261</x:v>
      </x:c>
      <x:c r="M86" s="22" t="n">
        <x:f>IF(AND(ISNUMBER(G86),ISNUMBER(H86),H86&lt;&gt;0),G86/(H86/60)/$B$5,"")</x:f>
        <x:v>0.3059512821855668</x:v>
      </x:c>
      <x:c r="N86" s="22" t="n">
        <x:f>IF(AND(ISNUMBER(L86),ISNUMBER(H86),H86&lt;&gt;0),L86*$B$6/$B$4/(H86/60)^2/$B$5^4/$B$7,"")</x:f>
        <x:v>0.07830487115653452</x:v>
      </x:c>
      <x:c r="O86" s="22" t="n">
        <x:f>IF(ISNUMBER(N86),N86*$B$8,"")</x:f>
        <x:v>0.010117188144030663</x:v>
      </x:c>
      <x:c r="P86" s="20" t="str">
        <x:v>3000rpm!P44</x:v>
      </x:c>
      <x:c r="Q86" s="20" t="str">
        <x:v>3000rpm!O44</x:v>
      </x:c>
      <x:c r="R86" s="20" t="str">
        <x:v>3000rpm!C3</x:v>
      </x:c>
    </x:row>
    <x:row r="87">
      <x:c r="A87" s="21" t="n">
        <x:v>3000</x:v>
      </x:c>
      <x:c r="B87" s="21" t="n">
        <x:v>15</x:v>
      </x:c>
      <x:c r="C87" s="21" t="n">
        <x:v>16</x:v>
      </x:c>
      <x:c r="D87" s="21" t="n">
        <x:v>1</x:v>
      </x:c>
      <x:c r="E87" s="21" t="str">
        <x:v>3000rpm</x:v>
      </x:c>
      <x:c r="F87" s="21" t="n">
        <x:v>45</x:v>
      </x:c>
      <x:c r="G87" s="22" t="n">
        <x:f>IFERROR('3000rpm'!E45,"")</x:f>
        <x:v>6.150186796872802</x:v>
      </x:c>
      <x:c r="H87" s="22" t="n">
        <x:f>IFERROR('3000rpm'!C45,"")</x:f>
        <x:v>3002.63114872685</x:v>
      </x:c>
      <x:c r="I87" s="22" t="n">
        <x:f>IFERROR('3000rpm'!D45,"")</x:f>
        <x:v>1150.20188679245</x:v>
      </x:c>
      <x:c r="J87" s="22" t="n">
        <x:f>IFERROR('3000rpm'!C3,"")</x:f>
        <x:v>42</x:v>
      </x:c>
      <x:c r="K87" s="22" t="n">
        <x:f>IF(AND(ISNUMBER(I87),ISNUMBER(J87)),I87-J87,"")</x:f>
        <x:v>1108.20188679245</x:v>
      </x:c>
      <x:c r="L87" s="22" t="n">
        <x:f>IF(ISNUMBER(K87),K87*$B$2+$B$3,"")</x:f>
        <x:v>1043.5580333509408</x:v>
      </x:c>
      <x:c r="M87" s="22" t="n">
        <x:f>IF(AND(ISNUMBER(G87),ISNUMBER(H87),H87&lt;&gt;0),G87/(H87/60)/$B$5,"")</x:f>
        <x:v>0.26880129067493186</x:v>
      </x:c>
      <x:c r="N87" s="22" t="n">
        <x:f>IF(AND(ISNUMBER(L87),ISNUMBER(H87),H87&lt;&gt;0),L87*$B$6/$B$4/(H87/60)^2/$B$5^4/$B$7,"")</x:f>
        <x:v>0.07755847785892436</x:v>
      </x:c>
      <x:c r="O87" s="22" t="n">
        <x:f>IF(ISNUMBER(N87),N87*$B$8,"")</x:f>
        <x:v>0.010020752235129545</x:v>
      </x:c>
      <x:c r="P87" s="20" t="str">
        <x:v>3000rpm!E45</x:v>
      </x:c>
      <x:c r="Q87" s="20" t="str">
        <x:v>3000rpm!D45</x:v>
      </x:c>
      <x:c r="R87" s="20" t="str">
        <x:v>3000rpm!C3</x:v>
      </x:c>
    </x:row>
    <x:row r="88">
      <x:c r="A88" s="21" t="n">
        <x:v>3000</x:v>
      </x:c>
      <x:c r="B88" s="21" t="n">
        <x:v>15</x:v>
      </x:c>
      <x:c r="C88" s="21" t="n">
        <x:v>16</x:v>
      </x:c>
      <x:c r="D88" s="21" t="n">
        <x:v>2</x:v>
      </x:c>
      <x:c r="E88" s="21" t="str">
        <x:v>3000rpm</x:v>
      </x:c>
      <x:c r="F88" s="21" t="n">
        <x:v>45</x:v>
      </x:c>
      <x:c r="G88" s="22" t="n">
        <x:f>IFERROR('3000rpm'!P45,"")</x:f>
        <x:v>6.159173634013072</x:v>
      </x:c>
      <x:c r="H88" s="22" t="n">
        <x:f>IFERROR('3000rpm'!N45,"")</x:f>
        <x:v>3074.68611653645</x:v>
      </x:c>
      <x:c r="I88" s="22" t="n">
        <x:f>IFERROR('3000rpm'!O45,"")</x:f>
        <x:v>1189.60706860706</x:v>
      </x:c>
      <x:c r="J88" s="22" t="n">
        <x:f>IFERROR('3000rpm'!C3,"")</x:f>
        <x:v>42</x:v>
      </x:c>
      <x:c r="K88" s="22" t="n">
        <x:f>IF(AND(ISNUMBER(I88),ISNUMBER(J88)),I88-J88,"")</x:f>
        <x:v>1147.60706860706</x:v>
      </x:c>
      <x:c r="L88" s="22" t="n">
        <x:f>IF(ISNUMBER(K88),K88*$B$2+$B$3,"")</x:f>
        <x:v>1079.6416735800337</x:v>
      </x:c>
      <x:c r="M88" s="22" t="n">
        <x:f>IF(AND(ISNUMBER(G88),ISNUMBER(H88),H88&lt;&gt;0),G88/(H88/60)/$B$5,"")</x:f>
        <x:v>0.26288553449541674</x:v>
      </x:c>
      <x:c r="N88" s="22" t="n">
        <x:f>IF(AND(ISNUMBER(L88),ISNUMBER(H88),H88&lt;&gt;0),L88*$B$6/$B$4/(H88/60)^2/$B$5^4/$B$7,"")</x:f>
        <x:v>0.07652347944203829</x:v>
      </x:c>
      <x:c r="O88" s="22" t="n">
        <x:f>IF(ISNUMBER(N88),N88*$B$8,"")</x:f>
        <x:v>0.009887027812143422</x:v>
      </x:c>
      <x:c r="P88" s="20" t="str">
        <x:v>3000rpm!P45</x:v>
      </x:c>
      <x:c r="Q88" s="20" t="str">
        <x:v>3000rpm!O45</x:v>
      </x:c>
      <x:c r="R88" s="20" t="str">
        <x:v>3000rpm!C3</x:v>
      </x:c>
    </x:row>
    <x:row r="89">
      <x:c r="A89" s="21" t="n">
        <x:v>3000</x:v>
      </x:c>
      <x:c r="B89" s="21" t="n">
        <x:v>15</x:v>
      </x:c>
      <x:c r="C89" s="21" t="n">
        <x:v>17</x:v>
      </x:c>
      <x:c r="D89" s="21" t="n">
        <x:v>1</x:v>
      </x:c>
      <x:c r="E89" s="21" t="str">
        <x:v>3000rpm</x:v>
      </x:c>
      <x:c r="F89" s="21" t="n">
        <x:v>46</x:v>
      </x:c>
      <x:c r="G89" s="22" t="n">
        <x:f>IFERROR('3000rpm'!E46,"")</x:f>
        <x:v>5.135381118423491</x:v>
      </x:c>
      <x:c r="H89" s="22" t="n">
        <x:f>IFERROR('3000rpm'!C46,"")</x:f>
        <x:v>2995.20176478794</x:v>
      </x:c>
      <x:c r="I89" s="22" t="n">
        <x:f>IFERROR('3000rpm'!D46,"")</x:f>
        <x:v>1138.626450116</x:v>
      </x:c>
      <x:c r="J89" s="22" t="n">
        <x:f>IFERROR('3000rpm'!C3,"")</x:f>
        <x:v>42</x:v>
      </x:c>
      <x:c r="K89" s="22" t="n">
        <x:f>IF(AND(ISNUMBER(I89),ISNUMBER(J89)),I89-J89,"")</x:f>
        <x:v>1096.626450116</x:v>
      </x:c>
      <x:c r="L89" s="22" t="n">
        <x:f>IF(ISNUMBER(K89),K89*$B$2+$B$3,"")</x:f>
        <x:v>1032.958313382822</x:v>
      </x:c>
      <x:c r="M89" s="22" t="n">
        <x:f>IF(AND(ISNUMBER(G89),ISNUMBER(H89),H89&lt;&gt;0),G89/(H89/60)/$B$5,"")</x:f>
        <x:v>0.2250047185133622</x:v>
      </x:c>
      <x:c r="N89" s="22" t="n">
        <x:f>IF(AND(ISNUMBER(L89),ISNUMBER(H89),H89&lt;&gt;0),L89*$B$6/$B$4/(H89/60)^2/$B$5^4/$B$7,"")</x:f>
        <x:v>0.07715201480148765</x:v>
      </x:c>
      <x:c r="O89" s="22" t="n">
        <x:f>IF(ISNUMBER(N89),N89*$B$8,"")</x:f>
        <x:v>0.009968236176231183</x:v>
      </x:c>
      <x:c r="P89" s="20" t="str">
        <x:v>3000rpm!E46</x:v>
      </x:c>
      <x:c r="Q89" s="20" t="str">
        <x:v>3000rpm!D46</x:v>
      </x:c>
      <x:c r="R89" s="20" t="str">
        <x:v>3000rpm!C3</x:v>
      </x:c>
    </x:row>
    <x:row r="90">
      <x:c r="A90" s="21" t="n">
        <x:v>3000</x:v>
      </x:c>
      <x:c r="B90" s="21" t="n">
        <x:v>15</x:v>
      </x:c>
      <x:c r="C90" s="21" t="n">
        <x:v>17</x:v>
      </x:c>
      <x:c r="D90" s="21" t="n">
        <x:v>2</x:v>
      </x:c>
      <x:c r="E90" s="21" t="str">
        <x:v>3000rpm</x:v>
      </x:c>
      <x:c r="F90" s="21" t="n">
        <x:v>46</x:v>
      </x:c>
      <x:c r="G90" s="22" t="n">
        <x:f>IFERROR('3000rpm'!P46,"")</x:f>
        <x:v>5.127354812607706</x:v>
      </x:c>
      <x:c r="H90" s="22" t="n">
        <x:f>IFERROR('3000rpm'!N46,"")</x:f>
        <x:v>3069.80840773809</x:v>
      </x:c>
      <x:c r="I90" s="22" t="n">
        <x:f>IFERROR('3000rpm'!O46,"")</x:f>
        <x:v>1182.38725490196</x:v>
      </x:c>
      <x:c r="J90" s="22" t="n">
        <x:f>IFERROR('3000rpm'!C3,"")</x:f>
        <x:v>42</x:v>
      </x:c>
      <x:c r="K90" s="22" t="n">
        <x:f>IF(AND(ISNUMBER(I90),ISNUMBER(J90)),I90-J90,"")</x:f>
        <x:v>1140.38725490196</x:v>
      </x:c>
      <x:c r="L90" s="22" t="n">
        <x:f>IF(ISNUMBER(K90),K90*$B$2+$B$3,"")</x:f>
        <x:v>1073.030432411764</x:v>
      </x:c>
      <x:c r="M90" s="22" t="n">
        <x:f>IF(AND(ISNUMBER(G90),ISNUMBER(H90),H90&lt;&gt;0),G90/(H90/60)/$B$5,"")</x:f>
        <x:v>0.21919322629630536</x:v>
      </x:c>
      <x:c r="N90" s="22" t="n">
        <x:f>IF(AND(ISNUMBER(L90),ISNUMBER(H90),H90&lt;&gt;0),L90*$B$6/$B$4/(H90/60)^2/$B$5^4/$B$7,"")</x:f>
        <x:v>0.0762967676866524</x:v>
      </x:c>
      <x:c r="O90" s="22" t="n">
        <x:f>IF(ISNUMBER(N90),N90*$B$8,"")</x:f>
        <x:v>0.009857736077800135</x:v>
      </x:c>
      <x:c r="P90" s="20" t="str">
        <x:v>3000rpm!P46</x:v>
      </x:c>
      <x:c r="Q90" s="20" t="str">
        <x:v>3000rpm!O46</x:v>
      </x:c>
      <x:c r="R90" s="20" t="str">
        <x:v>3000rpm!C3</x:v>
      </x:c>
    </x:row>
    <x:row r="91">
      <x:c r="A91" s="21" t="n">
        <x:v>3000</x:v>
      </x:c>
      <x:c r="B91" s="21" t="n">
        <x:v>15</x:v>
      </x:c>
      <x:c r="C91" s="21" t="n">
        <x:v>18</x:v>
      </x:c>
      <x:c r="D91" s="21" t="n">
        <x:v>1</x:v>
      </x:c>
      <x:c r="E91" s="21" t="str">
        <x:v>3000rpm</x:v>
      </x:c>
      <x:c r="F91" s="21" t="n">
        <x:v>47</x:v>
      </x:c>
      <x:c r="G91" s="22" t="n">
        <x:f>IFERROR('3000rpm'!E47,"")</x:f>
        <x:v>4.111700113696854</x:v>
      </x:c>
      <x:c r="H91" s="22" t="n">
        <x:f>IFERROR('3000rpm'!C47,"")</x:f>
        <x:v>3022.33353678385</x:v>
      </x:c>
      <x:c r="I91" s="22" t="n">
        <x:f>IFERROR('3000rpm'!D47,"")</x:f>
        <x:v>1127.73407202216</x:v>
      </x:c>
      <x:c r="J91" s="22" t="n">
        <x:f>IFERROR('3000rpm'!C3,"")</x:f>
        <x:v>42</x:v>
      </x:c>
      <x:c r="K91" s="22" t="n">
        <x:f>IF(AND(ISNUMBER(I91),ISNUMBER(J91)),I91-J91,"")</x:f>
        <x:v>1085.73407202216</x:v>
      </x:c>
      <x:c r="L91" s="22" t="n">
        <x:f>IF(ISNUMBER(K91),K91*$B$2+$B$3,"")</x:f>
        <x:v>1022.984075623268</x:v>
      </x:c>
      <x:c r="M91" s="22" t="n">
        <x:f>IF(AND(ISNUMBER(G91),ISNUMBER(H91),H91&lt;&gt;0),G91/(H91/60)/$B$5,"")</x:f>
        <x:v>0.1785352887782404</x:v>
      </x:c>
      <x:c r="N91" s="22" t="n">
        <x:f>IF(AND(ISNUMBER(L91),ISNUMBER(H91),H91&lt;&gt;0),L91*$B$6/$B$4/(H91/60)^2/$B$5^4/$B$7,"")</x:f>
        <x:v>0.07504136676238345</x:v>
      </x:c>
      <x:c r="O91" s="22" t="n">
        <x:f>IF(ISNUMBER(N91),N91*$B$8,"")</x:f>
        <x:v>0.009695535091329843</x:v>
      </x:c>
      <x:c r="P91" s="20" t="str">
        <x:v>3000rpm!E47</x:v>
      </x:c>
      <x:c r="Q91" s="20" t="str">
        <x:v>3000rpm!D47</x:v>
      </x:c>
      <x:c r="R91" s="20" t="str">
        <x:v>3000rpm!C3</x:v>
      </x:c>
    </x:row>
    <x:row r="92">
      <x:c r="A92" s="21" t="n">
        <x:v>3000</x:v>
      </x:c>
      <x:c r="B92" s="21" t="n">
        <x:v>15</x:v>
      </x:c>
      <x:c r="C92" s="21" t="n">
        <x:v>18</x:v>
      </x:c>
      <x:c r="D92" s="21" t="n">
        <x:v>2</x:v>
      </x:c>
      <x:c r="E92" s="21" t="str">
        <x:v>3000rpm</x:v>
      </x:c>
      <x:c r="F92" s="21" t="n">
        <x:v>47</x:v>
      </x:c>
      <x:c r="G92" s="22" t="n">
        <x:f>IFERROR('3000rpm'!P47,"")</x:f>
        <x:v>4.1149346736135595</x:v>
      </x:c>
      <x:c r="H92" s="22" t="n">
        <x:f>IFERROR('3000rpm'!N47,"")</x:f>
        <x:v>3052.96818595096</x:v>
      </x:c>
      <x:c r="I92" s="22" t="n">
        <x:f>IFERROR('3000rpm'!O47,"")</x:f>
        <x:v>1166.65095986038</x:v>
      </x:c>
      <x:c r="J92" s="22" t="n">
        <x:f>IFERROR('3000rpm'!C3,"")</x:f>
        <x:v>42</x:v>
      </x:c>
      <x:c r="K92" s="22" t="n">
        <x:f>IF(AND(ISNUMBER(I92),ISNUMBER(J92)),I92-J92,"")</x:f>
        <x:v>1124.65095986038</x:v>
      </x:c>
      <x:c r="L92" s="22" t="n">
        <x:f>IF(ISNUMBER(K92),K92*$B$2+$B$3,"")</x:f>
        <x:v>1058.620581151829</x:v>
      </x:c>
      <x:c r="M92" s="22" t="n">
        <x:f>IF(AND(ISNUMBER(G92),ISNUMBER(H92),H92&lt;&gt;0),G92/(H92/60)/$B$5,"")</x:f>
        <x:v>0.17688283690200277</x:v>
      </x:c>
      <x:c r="N92" s="22" t="n">
        <x:f>IF(AND(ISNUMBER(L92),ISNUMBER(H92),H92&lt;&gt;0),L92*$B$6/$B$4/(H92/60)^2/$B$5^4/$B$7,"")</x:f>
        <x:v>0.07610486473086651</x:v>
      </x:c>
      <x:c r="O92" s="22" t="n">
        <x:f>IF(ISNUMBER(N92),N92*$B$8,"")</x:f>
        <x:v>0.009832941728733393</x:v>
      </x:c>
      <x:c r="P92" s="20" t="str">
        <x:v>3000rpm!P47</x:v>
      </x:c>
      <x:c r="Q92" s="20" t="str">
        <x:v>3000rpm!O47</x:v>
      </x:c>
      <x:c r="R92" s="20" t="str">
        <x:v>3000rpm!C3</x:v>
      </x:c>
    </x:row>
    <x:row r="93">
      <x:c r="A93" s="21" t="n">
        <x:v>3000</x:v>
      </x:c>
      <x:c r="B93" s="21" t="n">
        <x:v>15</x:v>
      </x:c>
      <x:c r="C93" s="21" t="n">
        <x:v>19</x:v>
      </x:c>
      <x:c r="D93" s="21" t="n">
        <x:v>1</x:v>
      </x:c>
      <x:c r="E93" s="21" t="str">
        <x:v>3000rpm</x:v>
      </x:c>
      <x:c r="F93" s="21" t="n">
        <x:v>48</x:v>
      </x:c>
      <x:c r="G93" s="22" t="n">
        <x:f>IFERROR('3000rpm'!E48,"")</x:f>
        <x:v>3.099156933798116</x:v>
      </x:c>
      <x:c r="H93" s="22" t="n">
        <x:f>IFERROR('3000rpm'!C48,"")</x:f>
        <x:v>2981.50396437872</x:v>
      </x:c>
      <x:c r="I93" s="22" t="n">
        <x:f>IFERROR('3000rpm'!D48,"")</x:f>
        <x:v>1121.42180094786</x:v>
      </x:c>
      <x:c r="J93" s="22" t="n">
        <x:f>IFERROR('3000rpm'!C3,"")</x:f>
        <x:v>42</x:v>
      </x:c>
      <x:c r="K93" s="22" t="n">
        <x:f>IF(AND(ISNUMBER(I93),ISNUMBER(J93)),I93-J93,"")</x:f>
        <x:v>1079.42180094786</x:v>
      </x:c>
      <x:c r="L93" s="22" t="n">
        <x:f>IF(ISNUMBER(K93),K93*$B$2+$B$3,"")</x:f>
        <x:v>1017.203878502363</x:v>
      </x:c>
      <x:c r="M93" s="22" t="n">
        <x:f>IF(AND(ISNUMBER(G93),ISNUMBER(H93),H93&lt;&gt;0),G93/(H93/60)/$B$5,"")</x:f>
        <x:v>0.13641219774705426</x:v>
      </x:c>
      <x:c r="N93" s="22" t="n">
        <x:f>IF(AND(ISNUMBER(L93),ISNUMBER(H93),H93&lt;&gt;0),L93*$B$6/$B$4/(H93/60)^2/$B$5^4/$B$7,"")</x:f>
        <x:v>0.0766750146787955</x:v>
      </x:c>
      <x:c r="O93" s="22" t="n">
        <x:f>IF(ISNUMBER(N93),N93*$B$8,"")</x:f>
        <x:v>0.009906606549431148</x:v>
      </x:c>
      <x:c r="P93" s="20" t="str">
        <x:v>3000rpm!E48</x:v>
      </x:c>
      <x:c r="Q93" s="20" t="str">
        <x:v>3000rpm!D48</x:v>
      </x:c>
      <x:c r="R93" s="20" t="str">
        <x:v>3000rpm!C3</x:v>
      </x:c>
    </x:row>
    <x:row r="94">
      <x:c r="A94" s="21" t="n">
        <x:v>3000</x:v>
      </x:c>
      <x:c r="B94" s="21" t="n">
        <x:v>15</x:v>
      </x:c>
      <x:c r="C94" s="21" t="n">
        <x:v>19</x:v>
      </x:c>
      <x:c r="D94" s="21" t="n">
        <x:v>2</x:v>
      </x:c>
      <x:c r="E94" s="21" t="str">
        <x:v>3000rpm</x:v>
      </x:c>
      <x:c r="F94" s="21" t="n">
        <x:v>48</x:v>
      </x:c>
      <x:c r="G94" s="22" t="n">
        <x:f>IFERROR('3000rpm'!P48,"")</x:f>
        <x:v>3.0820607234624804</x:v>
      </x:c>
      <x:c r="H94" s="22" t="n">
        <x:f>IFERROR('3000rpm'!N48,"")</x:f>
        <x:v>3067.92671535326</x:v>
      </x:c>
      <x:c r="I94" s="22" t="n">
        <x:f>IFERROR('3000rpm'!O48,"")</x:f>
        <x:v>1161.9825708061</x:v>
      </x:c>
      <x:c r="J94" s="22" t="n">
        <x:f>IFERROR('3000rpm'!C3,"")</x:f>
        <x:v>42</x:v>
      </x:c>
      <x:c r="K94" s="22" t="n">
        <x:f>IF(AND(ISNUMBER(I94),ISNUMBER(J94)),I94-J94,"")</x:f>
        <x:v>1119.9825708061</x:v>
      </x:c>
      <x:c r="L94" s="22" t="n">
        <x:f>IF(ISNUMBER(K94),K94*$B$2+$B$3,"")</x:f>
        <x:v>1054.3456999477123</x:v>
      </x:c>
      <x:c r="M94" s="22" t="n">
        <x:f>IF(AND(ISNUMBER(G94),ISNUMBER(H94),H94&lt;&gt;0),G94/(H94/60)/$B$5,"")</x:f>
        <x:v>0.1318381919592155</x:v>
      </x:c>
      <x:c r="N94" s="22" t="n">
        <x:f>IF(AND(ISNUMBER(L94),ISNUMBER(H94),H94&lt;&gt;0),L94*$B$6/$B$4/(H94/60)^2/$B$5^4/$B$7,"")</x:f>
        <x:v>0.07506019896684811</x:v>
      </x:c>
      <x:c r="O94" s="22" t="n">
        <x:f>IF(ISNUMBER(N94),N94*$B$8,"")</x:f>
        <x:v>0.009697968259955522</x:v>
      </x:c>
      <x:c r="P94" s="20" t="str">
        <x:v>3000rpm!P48</x:v>
      </x:c>
      <x:c r="Q94" s="20" t="str">
        <x:v>3000rpm!O48</x:v>
      </x:c>
      <x:c r="R94" s="20" t="str">
        <x:v>3000rpm!C3</x:v>
      </x:c>
    </x:row>
    <x:row r="95">
      <x:c r="A95" s="21" t="n">
        <x:v>3000</x:v>
      </x:c>
      <x:c r="B95" s="21" t="n">
        <x:v>15</x:v>
      </x:c>
      <x:c r="C95" s="21" t="n">
        <x:v>20</x:v>
      </x:c>
      <x:c r="D95" s="21" t="n">
        <x:v>1</x:v>
      </x:c>
      <x:c r="E95" s="21" t="str">
        <x:v>3000rpm</x:v>
      </x:c>
      <x:c r="F95" s="21" t="n">
        <x:v>49</x:v>
      </x:c>
      <x:c r="G95" s="22" t="n">
        <x:f>IFERROR('3000rpm'!E49,"")</x:f>
        <x:v>2.057007980702277</x:v>
      </x:c>
      <x:c r="H95" s="22" t="n">
        <x:f>IFERROR('3000rpm'!C49,"")</x:f>
        <x:v>3007.2345703125</x:v>
      </x:c>
      <x:c r="I95" s="22" t="n">
        <x:f>IFERROR('3000rpm'!D49,"")</x:f>
        <x:v>1126.34203655352</x:v>
      </x:c>
      <x:c r="J95" s="22" t="n">
        <x:f>IFERROR('3000rpm'!C3,"")</x:f>
        <x:v>42</x:v>
      </x:c>
      <x:c r="K95" s="22" t="n">
        <x:f>IF(AND(ISNUMBER(I95),ISNUMBER(J95)),I95-J95,"")</x:f>
        <x:v>1084.34203655352</x:v>
      </x:c>
      <x:c r="L95" s="22" t="n">
        <x:f>IF(ISNUMBER(K95),K95*$B$2+$B$3,"")</x:f>
        <x:v>1021.7093776083507</x:v>
      </x:c>
      <x:c r="M95" s="22" t="n">
        <x:f>IF(AND(ISNUMBER(G95),ISNUMBER(H95),H95&lt;&gt;0),G95/(H95/60)/$B$5,"")</x:f>
        <x:v>0.08976637757588848</x:v>
      </x:c>
      <x:c r="N95" s="22" t="n">
        <x:f>IF(AND(ISNUMBER(L95),ISNUMBER(H95),H95&lt;&gt;0),L95*$B$6/$B$4/(H95/60)^2/$B$5^4/$B$7,"")</x:f>
        <x:v>0.07570235876619398</x:v>
      </x:c>
      <x:c r="O95" s="22" t="n">
        <x:f>IF(ISNUMBER(N95),N95*$B$8,"")</x:f>
        <x:v>0.009780936936265935</x:v>
      </x:c>
      <x:c r="P95" s="20" t="str">
        <x:v>3000rpm!E49</x:v>
      </x:c>
      <x:c r="Q95" s="20" t="str">
        <x:v>3000rpm!D49</x:v>
      </x:c>
      <x:c r="R95" s="20" t="str">
        <x:v>3000rpm!C3</x:v>
      </x:c>
    </x:row>
    <x:row r="96">
      <x:c r="A96" s="21" t="n">
        <x:v>3000</x:v>
      </x:c>
      <x:c r="B96" s="21" t="n">
        <x:v>15</x:v>
      </x:c>
      <x:c r="C96" s="21" t="n">
        <x:v>20</x:v>
      </x:c>
      <x:c r="D96" s="21" t="n">
        <x:v>2</x:v>
      </x:c>
      <x:c r="E96" s="21" t="str">
        <x:v>3000rpm</x:v>
      </x:c>
      <x:c r="F96" s="21" t="n">
        <x:v>49</x:v>
      </x:c>
      <x:c r="G96" s="22" t="n">
        <x:f>IFERROR('3000rpm'!P49,"")</x:f>
        <x:v>2.068168384705285</x:v>
      </x:c>
      <x:c r="H96" s="22" t="n">
        <x:f>IFERROR('3000rpm'!N49,"")</x:f>
        <x:v>3076.3535267223</x:v>
      </x:c>
      <x:c r="I96" s="22" t="n">
        <x:f>IFERROR('3000rpm'!O49,"")</x:f>
        <x:v>1169.99775280898</x:v>
      </x:c>
      <x:c r="J96" s="22" t="n">
        <x:f>IFERROR('3000rpm'!C3,"")</x:f>
        <x:v>42</x:v>
      </x:c>
      <x:c r="K96" s="22" t="n">
        <x:f>IF(AND(ISNUMBER(I96),ISNUMBER(J96)),I96-J96,"")</x:f>
        <x:v>1127.99775280898</x:v>
      </x:c>
      <x:c r="L96" s="22" t="n">
        <x:f>IF(ISNUMBER(K96),K96*$B$2+$B$3,"")</x:f>
        <x:v>1061.6852662292056</x:v>
      </x:c>
      <x:c r="M96" s="22" t="n">
        <x:f>IF(AND(ISNUMBER(G96),ISNUMBER(H96),H96&lt;&gt;0),G96/(H96/60)/$B$5,"")</x:f>
        <x:v>0.08822561239735506</x:v>
      </x:c>
      <x:c r="N96" s="22" t="n">
        <x:f>IF(AND(ISNUMBER(L96),ISNUMBER(H96),H96&lt;&gt;0),L96*$B$6/$B$4/(H96/60)^2/$B$5^4/$B$7,"")</x:f>
        <x:v>0.0751692035975843</x:v>
      </x:c>
      <x:c r="O96" s="22" t="n">
        <x:f>IF(ISNUMBER(N96),N96*$B$8,"")</x:f>
        <x:v>0.009712051934973952</x:v>
      </x:c>
      <x:c r="P96" s="20" t="str">
        <x:v>3000rpm!P49</x:v>
      </x:c>
      <x:c r="Q96" s="20" t="str">
        <x:v>3000rpm!O49</x:v>
      </x:c>
      <x:c r="R96" s="20" t="str">
        <x:v>3000rpm!C3</x:v>
      </x:c>
    </x:row>
    <x:row r="97">
      <x:c r="A97" s="21" t="n">
        <x:v>3000</x:v>
      </x:c>
      <x:c r="B97" s="21" t="n">
        <x:v>15</x:v>
      </x:c>
      <x:c r="C97" s="21" t="n">
        <x:v>21</x:v>
      </x:c>
      <x:c r="D97" s="21" t="n">
        <x:v>1</x:v>
      </x:c>
      <x:c r="E97" s="21" t="str">
        <x:v>3000rpm</x:v>
      </x:c>
      <x:c r="F97" s="21" t="n">
        <x:v>50</x:v>
      </x:c>
      <x:c r="G97" s="22" t="n">
        <x:f>IFERROR('3000rpm'!E50,"")</x:f>
        <x:v>0.9216367871599997</x:v>
      </x:c>
      <x:c r="H97" s="22" t="n">
        <x:f>IFERROR('3000rpm'!C50,"")</x:f>
        <x:v>3003.29190673828</x:v>
      </x:c>
      <x:c r="I97" s="22" t="n">
        <x:f>IFERROR('3000rpm'!D50,"")</x:f>
        <x:v>1125.45522388059</x:v>
      </x:c>
      <x:c r="J97" s="22" t="n">
        <x:f>IFERROR('3000rpm'!C3,"")</x:f>
        <x:v>42</x:v>
      </x:c>
      <x:c r="K97" s="22" t="n">
        <x:f>IF(AND(ISNUMBER(I97),ISNUMBER(J97)),I97-J97,"")</x:f>
        <x:v>1083.45522388059</x:v>
      </x:c>
      <x:c r="L97" s="22" t="n">
        <x:f>IF(ISNUMBER(K97),K97*$B$2+$B$3,"")</x:f>
        <x:v>1020.8973161492472</x:v>
      </x:c>
      <x:c r="M97" s="22" t="n">
        <x:f>IF(AND(ISNUMBER(G97),ISNUMBER(H97),H97&lt;&gt;0),G97/(H97/60)/$B$5,"")</x:f>
        <x:v>0.040272378895199384</x:v>
      </x:c>
      <x:c r="N97" s="22" t="n">
        <x:f>IF(AND(ISNUMBER(L97),ISNUMBER(H97),H97&lt;&gt;0),L97*$B$6/$B$4/(H97/60)^2/$B$5^4/$B$7,"")</x:f>
        <x:v>0.07584092359588435</x:v>
      </x:c>
      <x:c r="O97" s="22" t="n">
        <x:f>IF(ISNUMBER(N97),N97*$B$8,"")</x:f>
        <x:v>0.009798839864032977</x:v>
      </x:c>
      <x:c r="P97" s="20" t="str">
        <x:v>3000rpm!E50</x:v>
      </x:c>
      <x:c r="Q97" s="20" t="str">
        <x:v>3000rpm!D50</x:v>
      </x:c>
      <x:c r="R97" s="20" t="str">
        <x:v>3000rpm!C3</x:v>
      </x:c>
    </x:row>
    <x:row r="98">
      <x:c r="A98" s="21" t="n">
        <x:v>3000</x:v>
      </x:c>
      <x:c r="B98" s="21" t="n">
        <x:v>15</x:v>
      </x:c>
      <x:c r="C98" s="21" t="n">
        <x:v>21</x:v>
      </x:c>
      <x:c r="D98" s="21" t="n">
        <x:v>2</x:v>
      </x:c>
      <x:c r="E98" s="21" t="str">
        <x:v>3000rpm</x:v>
      </x:c>
      <x:c r="F98" s="21" t="n">
        <x:v>50</x:v>
      </x:c>
      <x:c r="G98" s="22" t="n">
        <x:f>IFERROR('3000rpm'!P50,"")</x:f>
        <x:v>1.0348246390721239</x:v>
      </x:c>
      <x:c r="H98" s="22" t="n">
        <x:f>IFERROR('3000rpm'!N50,"")</x:f>
        <x:v>3076.8335597826</x:v>
      </x:c>
      <x:c r="I98" s="22" t="n">
        <x:f>IFERROR('3000rpm'!O50,"")</x:f>
        <x:v>1174.02164502164</x:v>
      </x:c>
      <x:c r="J98" s="22" t="n">
        <x:f>IFERROR('3000rpm'!C3,"")</x:f>
        <x:v>42</x:v>
      </x:c>
      <x:c r="K98" s="22" t="n">
        <x:f>IF(AND(ISNUMBER(I98),ISNUMBER(J98)),I98-J98,"")</x:f>
        <x:v>1132.02164502164</x:v>
      </x:c>
      <x:c r="L98" s="22" t="n">
        <x:f>IF(ISNUMBER(K98),K98*$B$2+$B$3,"")</x:f>
        <x:v>1065.369976519476</x:v>
      </x:c>
      <x:c r="M98" s="22" t="n">
        <x:f>IF(AND(ISNUMBER(G98),ISNUMBER(H98),H98&lt;&gt;0),G98/(H98/60)/$B$5,"")</x:f>
        <x:v>0.04413750557830327</x:v>
      </x:c>
      <x:c r="N98" s="22" t="n">
        <x:f>IF(AND(ISNUMBER(L98),ISNUMBER(H98),H98&lt;&gt;0),L98*$B$6/$B$4/(H98/60)^2/$B$5^4/$B$7,"")</x:f>
        <x:v>0.07540655297733385</x:v>
      </x:c>
      <x:c r="O98" s="22" t="n">
        <x:f>IF(ISNUMBER(N98),N98*$B$8,"")</x:f>
        <x:v>0.009742718077390492</x:v>
      </x:c>
      <x:c r="P98" s="20" t="str">
        <x:v>3000rpm!P50</x:v>
      </x:c>
      <x:c r="Q98" s="20" t="str">
        <x:v>3000rpm!O50</x:v>
      </x:c>
      <x:c r="R98" s="20" t="str">
        <x:v>3000rpm!C3</x:v>
      </x:c>
    </x:row>
    <x:row r="99">
      <x:c r="A99" s="21" t="n">
        <x:v>3000</x:v>
      </x:c>
      <x:c r="B99" s="21" t="n">
        <x:v>15</x:v>
      </x:c>
      <x:c r="C99" s="21" t="n">
        <x:v>22</x:v>
      </x:c>
      <x:c r="D99" s="21" t="n">
        <x:v>1</x:v>
      </x:c>
      <x:c r="E99" s="21" t="str">
        <x:v>3000rpm</x:v>
      </x:c>
      <x:c r="F99" s="21" t="n">
        <x:v>51</x:v>
      </x:c>
      <x:c r="G99" s="22" t="n">
        <x:f>IFERROR('3000rpm'!E51,"")</x:f>
        <x:v>0.10849082187900885</x:v>
      </x:c>
      <x:c r="H99" s="22" t="n">
        <x:f>IFERROR('3000rpm'!C51,"")</x:f>
        <x:v>3008.09511990017</x:v>
      </x:c>
      <x:c r="I99" s="22" t="n">
        <x:f>IFERROR('3000rpm'!D51,"")</x:f>
        <x:v>1123.75741239892</x:v>
      </x:c>
      <x:c r="J99" s="22" t="n">
        <x:f>IFERROR('3000rpm'!C3,"")</x:f>
        <x:v>42</x:v>
      </x:c>
      <x:c r="K99" s="22" t="n">
        <x:f>IF(AND(ISNUMBER(I99),ISNUMBER(J99)),I99-J99,"")</x:f>
        <x:v>1081.75741239892</x:v>
      </x:c>
      <x:c r="L99" s="22" t="n">
        <x:f>IF(ISNUMBER(K99),K99*$B$2+$B$3,"")</x:f>
        <x:v>1019.3426165929901</x:v>
      </x:c>
      <x:c r="M99" s="22" t="n">
        <x:f>IF(AND(ISNUMBER(G99),ISNUMBER(H99),H99&lt;&gt;0),G99/(H99/60)/$B$5,"")</x:f>
        <x:v>0.004733108528499292</x:v>
      </x:c>
      <x:c r="N99" s="22" t="n">
        <x:f>IF(AND(ISNUMBER(L99),ISNUMBER(H99),H99&lt;&gt;0),L99*$B$6/$B$4/(H99/60)^2/$B$5^4/$B$7,"")</x:f>
        <x:v>0.07548378935237861</x:v>
      </x:c>
      <x:c r="O99" s="22" t="n">
        <x:f>IF(ISNUMBER(N99),N99*$B$8,"")</x:f>
        <x:v>0.009752697213124318</x:v>
      </x:c>
      <x:c r="P99" s="20" t="str">
        <x:v>3000rpm!E51</x:v>
      </x:c>
      <x:c r="Q99" s="20" t="str">
        <x:v>3000rpm!D51</x:v>
      </x:c>
      <x:c r="R99" s="20" t="str">
        <x:v>3000rpm!C3</x:v>
      </x:c>
    </x:row>
    <x:row r="100">
      <x:c r="A100" s="21" t="n">
        <x:v>3000</x:v>
      </x:c>
      <x:c r="B100" s="21" t="n">
        <x:v>15</x:v>
      </x:c>
      <x:c r="C100" s="21" t="n">
        <x:v>22</x:v>
      </x:c>
      <x:c r="D100" s="21" t="n">
        <x:v>2</x:v>
      </x:c>
      <x:c r="E100" s="21" t="str">
        <x:v>3000rpm</x:v>
      </x:c>
      <x:c r="F100" s="21" t="n">
        <x:v>51</x:v>
      </x:c>
      <x:c r="G100" s="22" t="n">
        <x:f>IFERROR('3000rpm'!P51,"")</x:f>
        <x:v>0.10823279736862237</x:v>
      </x:c>
      <x:c r="H100" s="22" t="n">
        <x:f>IFERROR('3000rpm'!N51,"")</x:f>
        <x:v>3076.65450032552</x:v>
      </x:c>
      <x:c r="I100" s="22" t="n">
        <x:f>IFERROR('3000rpm'!O51,"")</x:f>
        <x:v>1180.5254691689</x:v>
      </x:c>
      <x:c r="J100" s="22" t="n">
        <x:f>IFERROR('3000rpm'!C3,"")</x:f>
        <x:v>42</x:v>
      </x:c>
      <x:c r="K100" s="22" t="n">
        <x:f>IF(AND(ISNUMBER(I100),ISNUMBER(J100)),I100-J100,"")</x:f>
        <x:v>1138.5254691689</x:v>
      </x:c>
      <x:c r="L100" s="22" t="n">
        <x:f>IF(ISNUMBER(K100),K100*$B$2+$B$3,"")</x:f>
        <x:v>1071.325580321715</x:v>
      </x:c>
      <x:c r="M100" s="22" t="n">
        <x:f>IF(AND(ISNUMBER(G100),ISNUMBER(H100),H100&lt;&gt;0),G100/(H100/60)/$B$5,"")</x:f>
        <x:v>0.00461663120793417</x:v>
      </x:c>
      <x:c r="N100" s="22" t="n">
        <x:f>IF(AND(ISNUMBER(L100),ISNUMBER(H100),H100&lt;&gt;0),L100*$B$6/$B$4/(H100/60)^2/$B$5^4/$B$7,"")</x:f>
        <x:v>0.07583691530348668</x:v>
      </x:c>
      <x:c r="O100" s="22" t="n">
        <x:f>IF(ISNUMBER(N100),N100*$B$8,"")</x:f>
        <x:v>0.009798321982479449</x:v>
      </x:c>
      <x:c r="P100" s="20" t="str">
        <x:v>3000rpm!P51</x:v>
      </x:c>
      <x:c r="Q100" s="20" t="str">
        <x:v>3000rpm!O51</x:v>
      </x:c>
      <x:c r="R100" s="20" t="str">
        <x:v>3000rpm!C3</x:v>
      </x:c>
    </x:row>
    <x:row r="101">
      <x:c r="A101" s="21" t="n">
        <x:v>3000</x:v>
      </x:c>
      <x:c r="B101" s="21" t="n">
        <x:v>15</x:v>
      </x:c>
      <x:c r="C101" s="21" t="n">
        <x:v>23</x:v>
      </x:c>
      <x:c r="D101" s="21" t="n">
        <x:v>1</x:v>
      </x:c>
      <x:c r="E101" s="21" t="str">
        <x:v>3000rpm</x:v>
      </x:c>
      <x:c r="F101" s="21" t="n">
        <x:v>52</x:v>
      </x:c>
      <x:c r="G101" s="22" t="n">
        <x:f>IFERROR('3000rpm'!E52,"")</x:f>
        <x:v>-0.013916545027390682</x:v>
      </x:c>
      <x:c r="H101" s="22" t="n">
        <x:f>IFERROR('3000rpm'!C52,"")</x:f>
        <x:v>0</x:v>
      </x:c>
      <x:c r="I101" s="22" t="n">
        <x:f>IFERROR('3000rpm'!D52,"")</x:f>
        <x:v>57.9891443167305</x:v>
      </x:c>
      <x:c r="J101" s="22" t="n">
        <x:f>IFERROR('3000rpm'!C3,"")</x:f>
        <x:v>42</x:v>
      </x:c>
      <x:c r="K101" s="22" t="n">
        <x:f>IF(AND(ISNUMBER(I101),ISNUMBER(J101)),I101-J101,"")</x:f>
        <x:v>15.989144316730503</x:v>
      </x:c>
      <x:c r="L101" s="22" t="n">
        <x:f>IF(ISNUMBER(K101),K101*$B$2+$B$3,"")</x:f>
        <x:v>43.41008736398465</x:v>
      </x:c>
      <x:c r="M101" s="22" t="str">
        <x:f>IF(AND(ISNUMBER(G101),ISNUMBER(H101),H101&lt;&gt;0),G101/(H101/60)/$B$5,"")</x:f>
      </x:c>
      <x:c r="N101" s="22" t="str">
        <x:f>IF(AND(ISNUMBER(L101),ISNUMBER(H101),H101&lt;&gt;0),L101*$B$6/$B$4/(H101/60)^2/$B$5^4/$B$7,"")</x:f>
      </x:c>
      <x:c r="O101" s="22" t="str">
        <x:f>IF(ISNUMBER(N101),N101*$B$8,"")</x:f>
      </x:c>
      <x:c r="P101" s="20" t="str">
        <x:v>3000rpm!E52</x:v>
      </x:c>
      <x:c r="Q101" s="20" t="str">
        <x:v>3000rpm!D52</x:v>
      </x:c>
      <x:c r="R101" s="20" t="str">
        <x:v>3000rpm!C3</x:v>
      </x:c>
    </x:row>
    <x:row r="102">
      <x:c r="A102" s="21" t="n">
        <x:v>3000</x:v>
      </x:c>
      <x:c r="B102" s="21" t="n">
        <x:v>15</x:v>
      </x:c>
      <x:c r="C102" s="21" t="n">
        <x:v>23</x:v>
      </x:c>
      <x:c r="D102" s="21" t="n">
        <x:v>2</x:v>
      </x:c>
      <x:c r="E102" s="21" t="str">
        <x:v>3000rpm</x:v>
      </x:c>
      <x:c r="F102" s="21" t="n">
        <x:v>52</x:v>
      </x:c>
      <x:c r="G102" s="22" t="n">
        <x:f>IFERROR('3000rpm'!P52,"")</x:f>
        <x:v>-0.0021313508212107935</x:v>
      </x:c>
      <x:c r="H102" s="22" t="n">
        <x:f>IFERROR('3000rpm'!N52,"")</x:f>
        <x:v>0</x:v>
      </x:c>
      <x:c r="I102" s="22" t="n">
        <x:f>IFERROR('3000rpm'!O52,"")</x:f>
        <x:v>57.7026378896882</x:v>
      </x:c>
      <x:c r="J102" s="22" t="n">
        <x:f>IFERROR('3000rpm'!C3,"")</x:f>
        <x:v>42</x:v>
      </x:c>
      <x:c r="K102" s="22" t="n">
        <x:f>IF(AND(ISNUMBER(I102),ISNUMBER(J102)),I102-J102,"")</x:f>
        <x:v>15.702637889688198</x:v>
      </x:c>
      <x:c r="L102" s="22" t="n">
        <x:f>IF(ISNUMBER(K102),K102*$B$2+$B$3,"")</x:f>
        <x:v>43.147731136690595</x:v>
      </x:c>
      <x:c r="M102" s="22" t="str">
        <x:f>IF(AND(ISNUMBER(G102),ISNUMBER(H102),H102&lt;&gt;0),G102/(H102/60)/$B$5,"")</x:f>
      </x:c>
      <x:c r="N102" s="22" t="str">
        <x:f>IF(AND(ISNUMBER(L102),ISNUMBER(H102),H102&lt;&gt;0),L102*$B$6/$B$4/(H102/60)^2/$B$5^4/$B$7,"")</x:f>
      </x:c>
      <x:c r="O102" s="22" t="str">
        <x:f>IF(ISNUMBER(N102),N102*$B$8,"")</x:f>
      </x:c>
      <x:c r="P102" s="20" t="str">
        <x:v>3000rpm!P52</x:v>
      </x:c>
      <x:c r="Q102" s="20" t="str">
        <x:v>3000rpm!O52</x:v>
      </x:c>
      <x:c r="R102" s="20" t="str">
        <x:v>3000rpm!C3</x:v>
      </x:c>
    </x:row>
    <x:row r="103">
      <x:c r="A103" s="21" t="n">
        <x:v>3000</x:v>
      </x:c>
      <x:c r="B103" s="21" t="n">
        <x:v>30</x:v>
      </x:c>
      <x:c r="C103" s="21" t="n">
        <x:v>1</x:v>
      </x:c>
      <x:c r="D103" s="21" t="n">
        <x:v>1</x:v>
      </x:c>
      <x:c r="E103" s="21" t="str">
        <x:v>3000rpm</x:v>
      </x:c>
      <x:c r="F103" s="21" t="n">
        <x:v>58</x:v>
      </x:c>
      <x:c r="G103" s="22" t="n">
        <x:f>IFERROR('3000rpm'!D58,"")</x:f>
        <x:v>0.0305058964490253</x:v>
      </x:c>
      <x:c r="H103" s="22" t="n">
        <x:f>IFERROR('3000rpm'!B58,"")</x:f>
        <x:v>0</x:v>
      </x:c>
      <x:c r="I103" s="22" t="n">
        <x:f>IFERROR('3000rpm'!C58,"")</x:f>
        <x:v>90.1288471570161</x:v>
      </x:c>
      <x:c r="J103" s="22" t="n">
        <x:f>IFERROR('3000rpm'!C3,"")</x:f>
        <x:v>42</x:v>
      </x:c>
      <x:c r="K103" s="22" t="n">
        <x:f>IF(AND(ISNUMBER(I103),ISNUMBER(J103)),I103-J103,"")</x:f>
        <x:v>48.1288471570161</x:v>
      </x:c>
      <x:c r="L103" s="22" t="n">
        <x:f>IF(ISNUMBER(K103),K103*$B$2+$B$3,"")</x:f>
        <x:v>72.8406703724569</x:v>
      </x:c>
      <x:c r="M103" s="22" t="str">
        <x:f>IF(AND(ISNUMBER(G103),ISNUMBER(H103),H103&lt;&gt;0),G103/(H103/60)/$B$5,"")</x:f>
      </x:c>
      <x:c r="N103" s="22" t="str">
        <x:f>IF(AND(ISNUMBER(L103),ISNUMBER(H103),H103&lt;&gt;0),L103*$B$6/$B$4/(H103/60)^2/$B$5^4/$B$7,"")</x:f>
      </x:c>
      <x:c r="O103" s="22" t="str">
        <x:f>IF(ISNUMBER(N103),N103*$B$8,"")</x:f>
      </x:c>
      <x:c r="P103" s="20" t="str">
        <x:v>3000rpm!D58</x:v>
      </x:c>
      <x:c r="Q103" s="20" t="str">
        <x:v>3000rpm!C58</x:v>
      </x:c>
      <x:c r="R103" s="20" t="str">
        <x:v>3000rpm!C3</x:v>
      </x:c>
    </x:row>
    <x:row r="104">
      <x:c r="A104" s="21" t="n">
        <x:v>3000</x:v>
      </x:c>
      <x:c r="B104" s="21" t="n">
        <x:v>30</x:v>
      </x:c>
      <x:c r="C104" s="21" t="n">
        <x:v>1</x:v>
      </x:c>
      <x:c r="D104" s="21" t="n">
        <x:v>2</x:v>
      </x:c>
      <x:c r="E104" s="21" t="str">
        <x:v>3000rpm</x:v>
      </x:c>
      <x:c r="F104" s="21" t="n">
        <x:v>58</x:v>
      </x:c>
      <x:c r="G104" s="22" t="n">
        <x:f>IFERROR('3000rpm'!N58,"")</x:f>
        <x:v>0.03231655603335435</x:v>
      </x:c>
      <x:c r="H104" s="22" t="n">
        <x:f>IFERROR('3000rpm'!L58,"")</x:f>
        <x:v>0</x:v>
      </x:c>
      <x:c r="I104" s="22" t="n">
        <x:f>IFERROR('3000rpm'!M58,"")</x:f>
        <x:v>91.844968268359</x:v>
      </x:c>
      <x:c r="J104" s="22" t="n">
        <x:f>IFERROR('3000rpm'!C3,"")</x:f>
        <x:v>42</x:v>
      </x:c>
      <x:c r="K104" s="22" t="n">
        <x:f>IF(AND(ISNUMBER(I104),ISNUMBER(J104)),I104-J104,"")</x:f>
        <x:v>49.844968268359</x:v>
      </x:c>
      <x:c r="L104" s="22" t="n">
        <x:f>IF(ISNUMBER(K104),K104*$B$2+$B$3,"")</x:f>
        <x:v>74.41213620308248</x:v>
      </x:c>
      <x:c r="M104" s="22" t="str">
        <x:f>IF(AND(ISNUMBER(G104),ISNUMBER(H104),H104&lt;&gt;0),G104/(H104/60)/$B$5,"")</x:f>
      </x:c>
      <x:c r="N104" s="22" t="str">
        <x:f>IF(AND(ISNUMBER(L104),ISNUMBER(H104),H104&lt;&gt;0),L104*$B$6/$B$4/(H104/60)^2/$B$5^4/$B$7,"")</x:f>
      </x:c>
      <x:c r="O104" s="22" t="str">
        <x:f>IF(ISNUMBER(N104),N104*$B$8,"")</x:f>
      </x:c>
      <x:c r="P104" s="20" t="str">
        <x:v>3000rpm!N58</x:v>
      </x:c>
      <x:c r="Q104" s="20" t="str">
        <x:v>3000rpm!M58</x:v>
      </x:c>
      <x:c r="R104" s="20" t="str">
        <x:v>3000rpm!C3</x:v>
      </x:c>
    </x:row>
    <x:row r="105">
      <x:c r="A105" s="21" t="n">
        <x:v>3000</x:v>
      </x:c>
      <x:c r="B105" s="21" t="n">
        <x:v>30</x:v>
      </x:c>
      <x:c r="C105" s="21" t="n">
        <x:v>2</x:v>
      </x:c>
      <x:c r="D105" s="21" t="n">
        <x:v>1</x:v>
      </x:c>
      <x:c r="E105" s="21" t="str">
        <x:v>3000rpm</x:v>
      </x:c>
      <x:c r="F105" s="21" t="n">
        <x:v>59</x:v>
      </x:c>
      <x:c r="G105" s="22" t="n">
        <x:f>IFERROR('3000rpm'!D59,"")</x:f>
        <x:v>0.13147333491211516</x:v>
      </x:c>
      <x:c r="H105" s="22" t="n">
        <x:f>IFERROR('3000rpm'!B59,"")</x:f>
        <x:v>3070.30936686197</x:v>
      </x:c>
      <x:c r="I105" s="22" t="n">
        <x:f>IFERROR('3000rpm'!C59,"")</x:f>
        <x:v>1244.05555555555</x:v>
      </x:c>
      <x:c r="J105" s="22" t="n">
        <x:f>IFERROR('3000rpm'!C3,"")</x:f>
        <x:v>42</x:v>
      </x:c>
      <x:c r="K105" s="22" t="n">
        <x:f>IF(AND(ISNUMBER(I105),ISNUMBER(J105)),I105-J105,"")</x:f>
        <x:v>1202.05555555555</x:v>
      </x:c>
      <x:c r="L105" s="22" t="n">
        <x:f>IF(ISNUMBER(K105),K105*$B$2+$B$3,"")</x:f>
        <x:v>1129.5005886666615</x:v>
      </x:c>
      <x:c r="M105" s="22" t="n">
        <x:f>IF(AND(ISNUMBER(G105),ISNUMBER(H105),H105&lt;&gt;0),G105/(H105/60)/$B$5,"")</x:f>
        <x:v>0.005619537457242572</x:v>
      </x:c>
      <x:c r="N105" s="22" t="n">
        <x:f>IF(AND(ISNUMBER(L105),ISNUMBER(H105),H105&lt;&gt;0),L105*$B$6/$B$4/(H105/60)^2/$B$5^4/$B$7,"")</x:f>
        <x:v>0.08028581662839882</x:v>
      </x:c>
      <x:c r="O105" s="22" t="n">
        <x:f>IF(ISNUMBER(N105),N105*$B$8,"")</x:f>
        <x:v>0.010373131327971963</x:v>
      </x:c>
      <x:c r="P105" s="20" t="str">
        <x:v>3000rpm!D59</x:v>
      </x:c>
      <x:c r="Q105" s="20" t="str">
        <x:v>3000rpm!C59</x:v>
      </x:c>
      <x:c r="R105" s="20" t="str">
        <x:v>3000rpm!C3</x:v>
      </x:c>
    </x:row>
    <x:row r="106">
      <x:c r="A106" s="21" t="n">
        <x:v>3000</x:v>
      </x:c>
      <x:c r="B106" s="21" t="n">
        <x:v>30</x:v>
      </x:c>
      <x:c r="C106" s="21" t="n">
        <x:v>2</x:v>
      </x:c>
      <x:c r="D106" s="21" t="n">
        <x:v>2</x:v>
      </x:c>
      <x:c r="E106" s="21" t="str">
        <x:v>3000rpm</x:v>
      </x:c>
      <x:c r="F106" s="21" t="n">
        <x:v>59</x:v>
      </x:c>
      <x:c r="G106" s="22" t="n">
        <x:f>IFERROR('3000rpm'!N59,"")</x:f>
        <x:v>0.0743170169599611</x:v>
      </x:c>
      <x:c r="H106" s="22" t="n">
        <x:f>IFERROR('3000rpm'!L59,"")</x:f>
        <x:v>3079.52578735351</x:v>
      </x:c>
      <x:c r="I106" s="22" t="n">
        <x:f>IFERROR('3000rpm'!M59,"")</x:f>
        <x:v>1246.9387755102</x:v>
      </x:c>
      <x:c r="J106" s="22" t="n">
        <x:f>IFERROR('3000rpm'!C3,"")</x:f>
        <x:v>42</x:v>
      </x:c>
      <x:c r="K106" s="22" t="n">
        <x:f>IF(AND(ISNUMBER(I106),ISNUMBER(J106)),I106-J106,"")</x:f>
        <x:v>1204.9387755102</x:v>
      </x:c>
      <x:c r="L106" s="22" t="n">
        <x:f>IF(ISNUMBER(K106),K106*$B$2+$B$3,"")</x:f>
        <x:v>1132.1407762448944</x:v>
      </x:c>
      <x:c r="M106" s="22" t="n">
        <x:f>IF(AND(ISNUMBER(G106),ISNUMBER(H106),H106&lt;&gt;0),G106/(H106/60)/$B$5,"")</x:f>
        <x:v>0.0031670101302206503</x:v>
      </x:c>
      <x:c r="N106" s="22" t="n">
        <x:f>IF(AND(ISNUMBER(L106),ISNUMBER(H106),H106&lt;&gt;0),L106*$B$6/$B$4/(H106/60)^2/$B$5^4/$B$7,"")</x:f>
        <x:v>0.07999252118831206</x:v>
      </x:c>
      <x:c r="O106" s="22" t="n">
        <x:f>IF(ISNUMBER(N106),N106*$B$8,"")</x:f>
        <x:v>0.010335236812531</x:v>
      </x:c>
      <x:c r="P106" s="20" t="str">
        <x:v>3000rpm!N59</x:v>
      </x:c>
      <x:c r="Q106" s="20" t="str">
        <x:v>3000rpm!M59</x:v>
      </x:c>
      <x:c r="R106" s="20" t="str">
        <x:v>3000rpm!C3</x:v>
      </x:c>
    </x:row>
    <x:row r="107">
      <x:c r="A107" s="21" t="n">
        <x:v>3000</x:v>
      </x:c>
      <x:c r="B107" s="21" t="n">
        <x:v>30</x:v>
      </x:c>
      <x:c r="C107" s="21" t="n">
        <x:v>3</x:v>
      </x:c>
      <x:c r="D107" s="21" t="n">
        <x:v>1</x:v>
      </x:c>
      <x:c r="E107" s="21" t="str">
        <x:v>3000rpm</x:v>
      </x:c>
      <x:c r="F107" s="21" t="n">
        <x:v>60</x:v>
      </x:c>
      <x:c r="G107" s="22" t="n">
        <x:f>IFERROR('3000rpm'!D60,"")</x:f>
        <x:v>1.0269223878512506</x:v>
      </x:c>
      <x:c r="H107" s="22" t="n">
        <x:f>IFERROR('3000rpm'!B60,"")</x:f>
        <x:v>3079.79585404829</x:v>
      </x:c>
      <x:c r="I107" s="22" t="n">
        <x:f>IFERROR('3000rpm'!C60,"")</x:f>
        <x:v>1214.26386806596</x:v>
      </x:c>
      <x:c r="J107" s="22" t="n">
        <x:f>IFERROR('3000rpm'!C3,"")</x:f>
        <x:v>42</x:v>
      </x:c>
      <x:c r="K107" s="22" t="n">
        <x:f>IF(AND(ISNUMBER(I107),ISNUMBER(J107)),I107-J107,"")</x:f>
        <x:v>1172.26386806596</x:v>
      </x:c>
      <x:c r="L107" s="22" t="n">
        <x:f>IF(ISNUMBER(K107),K107*$B$2+$B$3,"")</x:f>
        <x:v>1102.2201020989442</x:v>
      </x:c>
      <x:c r="M107" s="22" t="n">
        <x:f>IF(AND(ISNUMBER(G107),ISNUMBER(H107),H107&lt;&gt;0),G107/(H107/60)/$B$5,"")</x:f>
        <x:v>0.04375832813354642</x:v>
      </x:c>
      <x:c r="N107" s="22" t="n">
        <x:f>IF(AND(ISNUMBER(L107),ISNUMBER(H107),H107&lt;&gt;0),L107*$B$6/$B$4/(H107/60)^2/$B$5^4/$B$7,"")</x:f>
        <x:v>0.07786478880573028</x:v>
      </x:c>
      <x:c r="O107" s="22" t="n">
        <x:f>IF(ISNUMBER(N107),N107*$B$8,"")</x:f>
        <x:v>0.010060328387080764</x:v>
      </x:c>
      <x:c r="P107" s="20" t="str">
        <x:v>3000rpm!D60</x:v>
      </x:c>
      <x:c r="Q107" s="20" t="str">
        <x:v>3000rpm!C60</x:v>
      </x:c>
      <x:c r="R107" s="20" t="str">
        <x:v>3000rpm!C3</x:v>
      </x:c>
    </x:row>
    <x:row r="108">
      <x:c r="A108" s="21" t="n">
        <x:v>3000</x:v>
      </x:c>
      <x:c r="B108" s="21" t="n">
        <x:v>30</x:v>
      </x:c>
      <x:c r="C108" s="21" t="n">
        <x:v>3</x:v>
      </x:c>
      <x:c r="D108" s="21" t="n">
        <x:v>2</x:v>
      </x:c>
      <x:c r="E108" s="21" t="str">
        <x:v>3000rpm</x:v>
      </x:c>
      <x:c r="F108" s="21" t="n">
        <x:v>60</x:v>
      </x:c>
      <x:c r="G108" s="22" t="n">
        <x:f>IFERROR('3000rpm'!N60,"")</x:f>
        <x:v>1.0006868022736335</x:v>
      </x:c>
      <x:c r="H108" s="22" t="n">
        <x:f>IFERROR('3000rpm'!L60,"")</x:f>
        <x:v>3056.42752075195</x:v>
      </x:c>
      <x:c r="I108" s="22" t="n">
        <x:f>IFERROR('3000rpm'!M60,"")</x:f>
        <x:v>1200.13479623824</x:v>
      </x:c>
      <x:c r="J108" s="22" t="n">
        <x:f>IFERROR('3000rpm'!C3,"")</x:f>
        <x:v>42</x:v>
      </x:c>
      <x:c r="K108" s="22" t="n">
        <x:f>IF(AND(ISNUMBER(I108),ISNUMBER(J108)),I108-J108,"")</x:f>
        <x:v>1158.13479623824</x:v>
      </x:c>
      <x:c r="L108" s="22" t="n">
        <x:f>IF(ISNUMBER(K108),K108*$B$2+$B$3,"")</x:f>
        <x:v>1089.2819979937262</x:v>
      </x:c>
      <x:c r="M108" s="22" t="n">
        <x:f>IF(AND(ISNUMBER(G108),ISNUMBER(H108),H108&lt;&gt;0),G108/(H108/60)/$B$5,"")</x:f>
        <x:v>0.04296641305604696</x:v>
      </x:c>
      <x:c r="N108" s="22" t="n">
        <x:f>IF(AND(ISNUMBER(L108),ISNUMBER(H108),H108&lt;&gt;0),L108*$B$6/$B$4/(H108/60)^2/$B$5^4/$B$7,"")</x:f>
        <x:v>0.07813196843827099</x:v>
      </x:c>
      <x:c r="O108" s="22" t="n">
        <x:f>IF(ISNUMBER(N108),N108*$B$8,"")</x:f>
        <x:v>0.010094848673887234</x:v>
      </x:c>
      <x:c r="P108" s="20" t="str">
        <x:v>3000rpm!N60</x:v>
      </x:c>
      <x:c r="Q108" s="20" t="str">
        <x:v>3000rpm!M60</x:v>
      </x:c>
      <x:c r="R108" s="20" t="str">
        <x:v>3000rpm!C3</x:v>
      </x:c>
    </x:row>
    <x:row r="109">
      <x:c r="A109" s="21" t="n">
        <x:v>3000</x:v>
      </x:c>
      <x:c r="B109" s="21" t="n">
        <x:v>30</x:v>
      </x:c>
      <x:c r="C109" s="21" t="n">
        <x:v>4</x:v>
      </x:c>
      <x:c r="D109" s="21" t="n">
        <x:v>1</x:v>
      </x:c>
      <x:c r="E109" s="21" t="str">
        <x:v>3000rpm</x:v>
      </x:c>
      <x:c r="F109" s="21" t="n">
        <x:v>61</x:v>
      </x:c>
      <x:c r="G109" s="22" t="n">
        <x:f>IFERROR('3000rpm'!D61,"")</x:f>
        <x:v>2.05634604271719</x:v>
      </x:c>
      <x:c r="H109" s="22" t="n">
        <x:f>IFERROR('3000rpm'!B61,"")</x:f>
        <x:v>3064.017421875</x:v>
      </x:c>
      <x:c r="I109" s="22" t="n">
        <x:f>IFERROR('3000rpm'!C61,"")</x:f>
        <x:v>1188.73622047244</x:v>
      </x:c>
      <x:c r="J109" s="22" t="n">
        <x:f>IFERROR('3000rpm'!C3,"")</x:f>
        <x:v>42</x:v>
      </x:c>
      <x:c r="K109" s="22" t="n">
        <x:f>IF(AND(ISNUMBER(I109),ISNUMBER(J109)),I109-J109,"")</x:f>
        <x:v>1146.73622047244</x:v>
      </x:c>
      <x:c r="L109" s="22" t="n">
        <x:f>IF(ISNUMBER(K109),K109*$B$2+$B$3,"")</x:f>
        <x:v>1078.844230976377</x:v>
      </x:c>
      <x:c r="M109" s="22" t="n">
        <x:f>IF(AND(ISNUMBER(G109),ISNUMBER(H109),H109&lt;&gt;0),G109/(H109/60)/$B$5,"")</x:f>
        <x:v>0.08807446180603537</x:v>
      </x:c>
      <x:c r="N109" s="22" t="n">
        <x:f>IF(AND(ISNUMBER(L109),ISNUMBER(H109),H109&lt;&gt;0),L109*$B$6/$B$4/(H109/60)^2/$B$5^4/$B$7,"")</x:f>
        <x:v>0.07700039012065917</x:v>
      </x:c>
      <x:c r="O109" s="22" t="n">
        <x:f>IF(ISNUMBER(N109),N109*$B$8,"")</x:f>
        <x:v>0.00994864588254238</x:v>
      </x:c>
      <x:c r="P109" s="20" t="str">
        <x:v>3000rpm!D61</x:v>
      </x:c>
      <x:c r="Q109" s="20" t="str">
        <x:v>3000rpm!C61</x:v>
      </x:c>
      <x:c r="R109" s="20" t="str">
        <x:v>3000rpm!C3</x:v>
      </x:c>
    </x:row>
    <x:row r="110">
      <x:c r="A110" s="21" t="n">
        <x:v>3000</x:v>
      </x:c>
      <x:c r="B110" s="21" t="n">
        <x:v>30</x:v>
      </x:c>
      <x:c r="C110" s="21" t="n">
        <x:v>4</x:v>
      </x:c>
      <x:c r="D110" s="21" t="n">
        <x:v>2</x:v>
      </x:c>
      <x:c r="E110" s="21" t="str">
        <x:v>3000rpm</x:v>
      </x:c>
      <x:c r="F110" s="21" t="n">
        <x:v>61</x:v>
      </x:c>
      <x:c r="G110" s="22" t="n">
        <x:f>IFERROR('3000rpm'!N61,"")</x:f>
        <x:v>2.045578299109455</x:v>
      </x:c>
      <x:c r="H110" s="22" t="n">
        <x:f>IFERROR('3000rpm'!L61,"")</x:f>
        <x:v>3055.03309368265</x:v>
      </x:c>
      <x:c r="I110" s="22" t="n">
        <x:f>IFERROR('3000rpm'!M61,"")</x:f>
        <x:v>1170.75684931506</x:v>
      </x:c>
      <x:c r="J110" s="22" t="n">
        <x:f>IFERROR('3000rpm'!C3,"")</x:f>
        <x:v>42</x:v>
      </x:c>
      <x:c r="K110" s="22" t="n">
        <x:f>IF(AND(ISNUMBER(I110),ISNUMBER(J110)),I110-J110,"")</x:f>
        <x:v>1128.75684931506</x:v>
      </x:c>
      <x:c r="L110" s="22" t="n">
        <x:f>IF(ISNUMBER(K110),K110*$B$2+$B$3,"")</x:f>
        <x:v>1062.380376972595</x:v>
      </x:c>
      <x:c r="M110" s="22" t="n">
        <x:f>IF(AND(ISNUMBER(G110),ISNUMBER(H110),H110&lt;&gt;0),G110/(H110/60)/$B$5,"")</x:f>
        <x:v>0.08787092887431136</x:v>
      </x:c>
      <x:c r="N110" s="22" t="n">
        <x:f>IF(AND(ISNUMBER(L110),ISNUMBER(H110),H110&lt;&gt;0),L110*$B$6/$B$4/(H110/60)^2/$B$5^4/$B$7,"")</x:f>
        <x:v>0.07627194910297491</x:v>
      </x:c>
      <x:c r="O110" s="22" t="n">
        <x:f>IF(ISNUMBER(N110),N110*$B$8,"")</x:f>
        <x:v>0.00985452945378269</x:v>
      </x:c>
      <x:c r="P110" s="20" t="str">
        <x:v>3000rpm!N61</x:v>
      </x:c>
      <x:c r="Q110" s="20" t="str">
        <x:v>3000rpm!M61</x:v>
      </x:c>
      <x:c r="R110" s="20" t="str">
        <x:v>3000rpm!C3</x:v>
      </x:c>
    </x:row>
    <x:row r="111">
      <x:c r="A111" s="21" t="n">
        <x:v>3000</x:v>
      </x:c>
      <x:c r="B111" s="21" t="n">
        <x:v>30</x:v>
      </x:c>
      <x:c r="C111" s="21" t="n">
        <x:v>5</x:v>
      </x:c>
      <x:c r="D111" s="21" t="n">
        <x:v>1</x:v>
      </x:c>
      <x:c r="E111" s="21" t="str">
        <x:v>3000rpm</x:v>
      </x:c>
      <x:c r="F111" s="21" t="n">
        <x:v>62</x:v>
      </x:c>
      <x:c r="G111" s="22" t="n">
        <x:f>IFERROR('3000rpm'!D62,"")</x:f>
        <x:v>3.079682090670555</x:v>
      </x:c>
      <x:c r="H111" s="22" t="n">
        <x:f>IFERROR('3000rpm'!B62,"")</x:f>
        <x:v>3081.06407581676</x:v>
      </x:c>
      <x:c r="I111" s="22" t="n">
        <x:f>IFERROR('3000rpm'!C62,"")</x:f>
        <x:v>1175.86574074074</x:v>
      </x:c>
      <x:c r="J111" s="22" t="n">
        <x:f>IFERROR('3000rpm'!C3,"")</x:f>
        <x:v>42</x:v>
      </x:c>
      <x:c r="K111" s="22" t="n">
        <x:f>IF(AND(ISNUMBER(I111),ISNUMBER(J111)),I111-J111,"")</x:f>
        <x:v>1133.86574074074</x:v>
      </x:c>
      <x:c r="L111" s="22" t="n">
        <x:f>IF(ISNUMBER(K111),K111*$B$2+$B$3,"")</x:f>
        <x:v>1067.0586297222217</x:v>
      </x:c>
      <x:c r="M111" s="22" t="n">
        <x:f>IF(AND(ISNUMBER(G111),ISNUMBER(H111),H111&lt;&gt;0),G111/(H111/60)/$B$5,"")</x:f>
        <x:v>0.13117473208473826</x:v>
      </x:c>
      <x:c r="N111" s="22" t="n">
        <x:f>IF(AND(ISNUMBER(L111),ISNUMBER(H111),H111&lt;&gt;0),L111*$B$6/$B$4/(H111/60)^2/$B$5^4/$B$7,"")</x:f>
        <x:v>0.07531881256629147</x:v>
      </x:c>
      <x:c r="O111" s="22" t="n">
        <x:f>IF(ISNUMBER(N111),N111*$B$8,"")</x:f>
        <x:v>0.009731381793539443</x:v>
      </x:c>
      <x:c r="P111" s="20" t="str">
        <x:v>3000rpm!D62</x:v>
      </x:c>
      <x:c r="Q111" s="20" t="str">
        <x:v>3000rpm!C62</x:v>
      </x:c>
      <x:c r="R111" s="20" t="str">
        <x:v>3000rpm!C3</x:v>
      </x:c>
    </x:row>
    <x:row r="112">
      <x:c r="A112" s="21" t="n">
        <x:v>3000</x:v>
      </x:c>
      <x:c r="B112" s="21" t="n">
        <x:v>30</x:v>
      </x:c>
      <x:c r="C112" s="21" t="n">
        <x:v>5</x:v>
      </x:c>
      <x:c r="D112" s="21" t="n">
        <x:v>2</x:v>
      </x:c>
      <x:c r="E112" s="21" t="str">
        <x:v>3000rpm</x:v>
      </x:c>
      <x:c r="F112" s="21" t="n">
        <x:v>62</x:v>
      </x:c>
      <x:c r="G112" s="22" t="n">
        <x:f>IFERROR('3000rpm'!N62,"")</x:f>
        <x:v>3.07883606030016</x:v>
      </x:c>
      <x:c r="H112" s="22" t="n">
        <x:f>IFERROR('3000rpm'!L62,"")</x:f>
        <x:v>3048.37577311197</x:v>
      </x:c>
      <x:c r="I112" s="22" t="n">
        <x:f>IFERROR('3000rpm'!M62,"")</x:f>
        <x:v>1161.04074702886</x:v>
      </x:c>
      <x:c r="J112" s="22" t="n">
        <x:f>IFERROR('3000rpm'!C3,"")</x:f>
        <x:v>42</x:v>
      </x:c>
      <x:c r="K112" s="22" t="n">
        <x:f>IF(AND(ISNUMBER(I112),ISNUMBER(J112)),I112-J112,"")</x:f>
        <x:v>1119.04074702886</x:v>
      </x:c>
      <x:c r="L112" s="22" t="n">
        <x:f>IF(ISNUMBER(K112),K112*$B$2+$B$3,"")</x:f>
        <x:v>1053.4832643803034</x:v>
      </x:c>
      <x:c r="M112" s="22" t="n">
        <x:f>IF(AND(ISNUMBER(G112),ISNUMBER(H112),H112&lt;&gt;0),G112/(H112/60)/$B$5,"")</x:f>
        <x:v>0.13254492134381318</x:v>
      </x:c>
      <x:c r="N112" s="22" t="n">
        <x:f>IF(AND(ISNUMBER(L112),ISNUMBER(H112),H112&lt;&gt;0),L112*$B$6/$B$4/(H112/60)^2/$B$5^4/$B$7,"")</x:f>
        <x:v>0.07596390476084623</x:v>
      </x:c>
      <x:c r="O112" s="22" t="n">
        <x:f>IF(ISNUMBER(N112),N112*$B$8,"")</x:f>
        <x:v>0.009814729342755242</x:v>
      </x:c>
      <x:c r="P112" s="20" t="str">
        <x:v>3000rpm!N62</x:v>
      </x:c>
      <x:c r="Q112" s="20" t="str">
        <x:v>3000rpm!M62</x:v>
      </x:c>
      <x:c r="R112" s="20" t="str">
        <x:v>3000rpm!C3</x:v>
      </x:c>
    </x:row>
    <x:row r="113">
      <x:c r="A113" s="21" t="n">
        <x:v>3000</x:v>
      </x:c>
      <x:c r="B113" s="21" t="n">
        <x:v>30</x:v>
      </x:c>
      <x:c r="C113" s="21" t="n">
        <x:v>6</x:v>
      </x:c>
      <x:c r="D113" s="21" t="n">
        <x:v>1</x:v>
      </x:c>
      <x:c r="E113" s="21" t="str">
        <x:v>3000rpm</x:v>
      </x:c>
      <x:c r="F113" s="21" t="n">
        <x:v>63</x:v>
      </x:c>
      <x:c r="G113" s="22" t="n">
        <x:f>IFERROR('3000rpm'!D63,"")</x:f>
        <x:v>4.109690431027095</x:v>
      </x:c>
      <x:c r="H113" s="22" t="n">
        <x:f>IFERROR('3000rpm'!B63,"")</x:f>
        <x:v>3077.74057241586</x:v>
      </x:c>
      <x:c r="I113" s="22" t="n">
        <x:f>IFERROR('3000rpm'!C63,"")</x:f>
        <x:v>1157.0484496124</x:v>
      </x:c>
      <x:c r="J113" s="22" t="n">
        <x:f>IFERROR('3000rpm'!C3,"")</x:f>
        <x:v>42</x:v>
      </x:c>
      <x:c r="K113" s="22" t="n">
        <x:f>IF(AND(ISNUMBER(I113),ISNUMBER(J113)),I113-J113,"")</x:f>
        <x:v>1115.0484496124</x:v>
      </x:c>
      <x:c r="L113" s="22" t="n">
        <x:f>IF(ISNUMBER(K113),K113*$B$2+$B$3,"")</x:f>
        <x:v>1049.8274856976716</x:v>
      </x:c>
      <x:c r="M113" s="22" t="n">
        <x:f>IF(AND(ISNUMBER(G113),ISNUMBER(H113),H113&lt;&gt;0),G113/(H113/60)/$B$5,"")</x:f>
        <x:v>0.17523551456039405</x:v>
      </x:c>
      <x:c r="N113" s="22" t="n">
        <x:f>IF(AND(ISNUMBER(L113),ISNUMBER(H113),H113&lt;&gt;0),L113*$B$6/$B$4/(H113/60)^2/$B$5^4/$B$7,"")</x:f>
        <x:v>0.07426267045467168</x:v>
      </x:c>
      <x:c r="O113" s="22" t="n">
        <x:f>IF(ISNUMBER(N113),N113*$B$8,"")</x:f>
        <x:v>0.009594925551516757</x:v>
      </x:c>
      <x:c r="P113" s="20" t="str">
        <x:v>3000rpm!D63</x:v>
      </x:c>
      <x:c r="Q113" s="20" t="str">
        <x:v>3000rpm!C63</x:v>
      </x:c>
      <x:c r="R113" s="20" t="str">
        <x:v>3000rpm!C3</x:v>
      </x:c>
    </x:row>
    <x:row r="114">
      <x:c r="A114" s="21" t="n">
        <x:v>3000</x:v>
      </x:c>
      <x:c r="B114" s="21" t="n">
        <x:v>30</x:v>
      </x:c>
      <x:c r="C114" s="21" t="n">
        <x:v>6</x:v>
      </x:c>
      <x:c r="D114" s="21" t="n">
        <x:v>2</x:v>
      </x:c>
      <x:c r="E114" s="21" t="str">
        <x:v>3000rpm</x:v>
      </x:c>
      <x:c r="F114" s="21" t="n">
        <x:v>63</x:v>
      </x:c>
      <x:c r="G114" s="22" t="n">
        <x:f>IFERROR('3000rpm'!N63,"")</x:f>
        <x:v>4.11028404831885</x:v>
      </x:c>
      <x:c r="H114" s="22" t="n">
        <x:f>IFERROR('3000rpm'!L63,"")</x:f>
        <x:v>3042.59013671875</x:v>
      </x:c>
      <x:c r="I114" s="22" t="n">
        <x:f>IFERROR('3000rpm'!M63,"")</x:f>
        <x:v>1136.97333333333</x:v>
      </x:c>
      <x:c r="J114" s="22" t="n">
        <x:f>IFERROR('3000rpm'!C3,"")</x:f>
        <x:v>42</x:v>
      </x:c>
      <x:c r="K114" s="22" t="n">
        <x:f>IF(AND(ISNUMBER(I114),ISNUMBER(J114)),I114-J114,"")</x:f>
        <x:v>1094.97333333333</x:v>
      </x:c>
      <x:c r="L114" s="22" t="n">
        <x:f>IF(ISNUMBER(K114),K114*$B$2+$B$3,"")</x:f>
        <x:v>1031.444541119997</x:v>
      </x:c>
      <x:c r="M114" s="22" t="n">
        <x:f>IF(AND(ISNUMBER(G114),ISNUMBER(H114),H114&lt;&gt;0),G114/(H114/60)/$B$5,"")</x:f>
        <x:v>0.17728557945176923</x:v>
      </x:c>
      <x:c r="N114" s="22" t="n">
        <x:f>IF(AND(ISNUMBER(L114),ISNUMBER(H114),H114&lt;&gt;0),L114*$B$6/$B$4/(H114/60)^2/$B$5^4/$B$7,"")</x:f>
        <x:v>0.07465787394774274</x:v>
      </x:c>
      <x:c r="O114" s="22" t="n">
        <x:f>IF(ISNUMBER(N114),N114*$B$8,"")</x:f>
        <x:v>0.009645986846114705</x:v>
      </x:c>
      <x:c r="P114" s="20" t="str">
        <x:v>3000rpm!N63</x:v>
      </x:c>
      <x:c r="Q114" s="20" t="str">
        <x:v>3000rpm!M63</x:v>
      </x:c>
      <x:c r="R114" s="20" t="str">
        <x:v>3000rpm!C3</x:v>
      </x:c>
    </x:row>
    <x:row r="115">
      <x:c r="A115" s="21" t="n">
        <x:v>3000</x:v>
      </x:c>
      <x:c r="B115" s="21" t="n">
        <x:v>30</x:v>
      </x:c>
      <x:c r="C115" s="21" t="n">
        <x:v>7</x:v>
      </x:c>
      <x:c r="D115" s="21" t="n">
        <x:v>1</x:v>
      </x:c>
      <x:c r="E115" s="21" t="str">
        <x:v>3000rpm</x:v>
      </x:c>
      <x:c r="F115" s="21" t="n">
        <x:v>64</x:v>
      </x:c>
      <x:c r="G115" s="22" t="n">
        <x:f>IFERROR('3000rpm'!D64,"")</x:f>
        <x:v>5.13722026957707</x:v>
      </x:c>
      <x:c r="H115" s="22" t="n">
        <x:f>IFERROR('3000rpm'!B64,"")</x:f>
        <x:v>3093.47241210937</x:v>
      </x:c>
      <x:c r="I115" s="22" t="n">
        <x:f>IFERROR('3000rpm'!C64,"")</x:f>
        <x:v>1132.8409090909</x:v>
      </x:c>
      <x:c r="J115" s="22" t="n">
        <x:f>IFERROR('3000rpm'!C3,"")</x:f>
        <x:v>42</x:v>
      </x:c>
      <x:c r="K115" s="22" t="n">
        <x:f>IF(AND(ISNUMBER(I115),ISNUMBER(J115)),I115-J115,"")</x:f>
        <x:v>1090.8409090909</x:v>
      </x:c>
      <x:c r="L115" s="22" t="n">
        <x:f>IF(ISNUMBER(K115),K115*$B$2+$B$3,"")</x:f>
        <x:v>1027.6604471818098</x:v>
      </x:c>
      <x:c r="M115" s="22" t="n">
        <x:f>IF(AND(ISNUMBER(G115),ISNUMBER(H115),H115&lt;&gt;0),G115/(H115/60)/$B$5,"")</x:f>
        <x:v>0.21793499297323146</x:v>
      </x:c>
      <x:c r="N115" s="22" t="n">
        <x:f>IF(AND(ISNUMBER(L115),ISNUMBER(H115),H115&lt;&gt;0),L115*$B$6/$B$4/(H115/60)^2/$B$5^4/$B$7,"")</x:f>
        <x:v>0.07195712278522069</x:v>
      </x:c>
      <x:c r="O115" s="22" t="n">
        <x:f>IF(ISNUMBER(N115),N115*$B$8,"")</x:f>
        <x:v>0.009297042939587824</x:v>
      </x:c>
      <x:c r="P115" s="20" t="str">
        <x:v>3000rpm!D64</x:v>
      </x:c>
      <x:c r="Q115" s="20" t="str">
        <x:v>3000rpm!C64</x:v>
      </x:c>
      <x:c r="R115" s="20" t="str">
        <x:v>3000rpm!C3</x:v>
      </x:c>
    </x:row>
    <x:row r="116">
      <x:c r="A116" s="21" t="n">
        <x:v>3000</x:v>
      </x:c>
      <x:c r="B116" s="21" t="n">
        <x:v>30</x:v>
      </x:c>
      <x:c r="C116" s="21" t="n">
        <x:v>7</x:v>
      </x:c>
      <x:c r="D116" s="21" t="n">
        <x:v>2</x:v>
      </x:c>
      <x:c r="E116" s="21" t="str">
        <x:v>3000rpm</x:v>
      </x:c>
      <x:c r="F116" s="21" t="n">
        <x:v>64</x:v>
      </x:c>
      <x:c r="G116" s="22" t="n">
        <x:f>IFERROR('3000rpm'!N64,"")</x:f>
        <x:v>5.135417719682055</x:v>
      </x:c>
      <x:c r="H116" s="22" t="n">
        <x:f>IFERROR('3000rpm'!L64,"")</x:f>
        <x:v>3051.57266235351</x:v>
      </x:c>
      <x:c r="I116" s="22" t="n">
        <x:f>IFERROR('3000rpm'!M64,"")</x:f>
        <x:v>1110.75460122699</x:v>
      </x:c>
      <x:c r="J116" s="22" t="n">
        <x:f>IFERROR('3000rpm'!C3,"")</x:f>
        <x:v>42</x:v>
      </x:c>
      <x:c r="K116" s="22" t="n">
        <x:f>IF(AND(ISNUMBER(I116),ISNUMBER(J116)),I116-J116,"")</x:f>
        <x:v>1068.75460122699</x:v>
      </x:c>
      <x:c r="L116" s="22" t="n">
        <x:f>IF(ISNUMBER(K116),K116*$B$2+$B$3,"")</x:f>
        <x:v>1007.4358383803644</x:v>
      </x:c>
      <x:c r="M116" s="22" t="n">
        <x:f>IF(AND(ISNUMBER(G116),ISNUMBER(H116),H116&lt;&gt;0),G116/(H116/60)/$B$5,"")</x:f>
        <x:v>0.22084983969276875</x:v>
      </x:c>
      <x:c r="N116" s="22" t="n">
        <x:f>IF(AND(ISNUMBER(L116),ISNUMBER(H116),H116&lt;&gt;0),L116*$B$6/$B$4/(H116/60)^2/$B$5^4/$B$7,"")</x:f>
        <x:v>0.07249142012846478</x:v>
      </x:c>
      <x:c r="O116" s="22" t="n">
        <x:f>IF(ISNUMBER(N116),N116*$B$8,"")</x:f>
        <x:v>0.009366075512742184</x:v>
      </x:c>
      <x:c r="P116" s="20" t="str">
        <x:v>3000rpm!N64</x:v>
      </x:c>
      <x:c r="Q116" s="20" t="str">
        <x:v>3000rpm!M64</x:v>
      </x:c>
      <x:c r="R116" s="20" t="str">
        <x:v>3000rpm!C3</x:v>
      </x:c>
    </x:row>
    <x:row r="117">
      <x:c r="A117" s="21" t="n">
        <x:v>3000</x:v>
      </x:c>
      <x:c r="B117" s="21" t="n">
        <x:v>30</x:v>
      </x:c>
      <x:c r="C117" s="21" t="n">
        <x:v>8</x:v>
      </x:c>
      <x:c r="D117" s="21" t="n">
        <x:v>1</x:v>
      </x:c>
      <x:c r="E117" s="21" t="str">
        <x:v>3000rpm</x:v>
      </x:c>
      <x:c r="F117" s="21" t="n">
        <x:v>65</x:v>
      </x:c>
      <x:c r="G117" s="22" t="n">
        <x:f>IFERROR('3000rpm'!D65,"")</x:f>
        <x:v>6.161228136221565</x:v>
      </x:c>
      <x:c r="H117" s="22" t="n">
        <x:f>IFERROR('3000rpm'!B65,"")</x:f>
        <x:v>3059.62099880642</x:v>
      </x:c>
      <x:c r="I117" s="22" t="n">
        <x:f>IFERROR('3000rpm'!C65,"")</x:f>
        <x:v>1106.23333333333</x:v>
      </x:c>
      <x:c r="J117" s="22" t="n">
        <x:f>IFERROR('3000rpm'!C3,"")</x:f>
        <x:v>42</x:v>
      </x:c>
      <x:c r="K117" s="22" t="n">
        <x:f>IF(AND(ISNUMBER(I117),ISNUMBER(J117)),I117-J117,"")</x:f>
        <x:v>1064.23333333333</x:v>
      </x:c>
      <x:c r="L117" s="22" t="n">
        <x:f>IF(ISNUMBER(K117),K117*$B$2+$B$3,"")</x:f>
        <x:v>1003.2956771999968</x:v>
      </x:c>
      <x:c r="M117" s="22" t="n">
        <x:f>IF(AND(ISNUMBER(G117),ISNUMBER(H117),H117&lt;&gt;0),G117/(H117/60)/$B$5,"")</x:f>
        <x:v>0.26426806561307675</x:v>
      </x:c>
      <x:c r="N117" s="22" t="n">
        <x:f>IF(AND(ISNUMBER(L117),ISNUMBER(H117),H117&lt;&gt;0),L117*$B$6/$B$4/(H117/60)^2/$B$5^4/$B$7,"")</x:f>
        <x:v>0.07181419851518585</x:v>
      </x:c>
      <x:c r="O117" s="22" t="n">
        <x:f>IF(ISNUMBER(N117),N117*$B$8,"")</x:f>
        <x:v>0.009278576761061074</x:v>
      </x:c>
      <x:c r="P117" s="20" t="str">
        <x:v>3000rpm!D65</x:v>
      </x:c>
      <x:c r="Q117" s="20" t="str">
        <x:v>3000rpm!C65</x:v>
      </x:c>
      <x:c r="R117" s="20" t="str">
        <x:v>3000rpm!C3</x:v>
      </x:c>
    </x:row>
    <x:row r="118">
      <x:c r="A118" s="21" t="n">
        <x:v>3000</x:v>
      </x:c>
      <x:c r="B118" s="21" t="n">
        <x:v>30</x:v>
      </x:c>
      <x:c r="C118" s="21" t="n">
        <x:v>8</x:v>
      </x:c>
      <x:c r="D118" s="21" t="n">
        <x:v>2</x:v>
      </x:c>
      <x:c r="E118" s="21" t="str">
        <x:v>3000rpm</x:v>
      </x:c>
      <x:c r="F118" s="21" t="n">
        <x:v>65</x:v>
      </x:c>
      <x:c r="G118" s="22" t="n">
        <x:f>IFERROR('3000rpm'!N65,"")</x:f>
        <x:v>6.1655638444991245</x:v>
      </x:c>
      <x:c r="H118" s="22" t="n">
        <x:f>IFERROR('3000rpm'!L65,"")</x:f>
        <x:v>3074.12252004523</x:v>
      </x:c>
      <x:c r="I118" s="22" t="n">
        <x:f>IFERROR('3000rpm'!M65,"")</x:f>
        <x:v>1088.11968085106</x:v>
      </x:c>
      <x:c r="J118" s="22" t="n">
        <x:f>IFERROR('3000rpm'!C3,"")</x:f>
        <x:v>42</x:v>
      </x:c>
      <x:c r="K118" s="22" t="n">
        <x:f>IF(AND(ISNUMBER(I118),ISNUMBER(J118)),I118-J118,"")</x:f>
        <x:v>1046.11968085106</x:v>
      </x:c>
      <x:c r="L118" s="22" t="n">
        <x:f>IF(ISNUMBER(K118),K118*$B$2+$B$3,"")</x:f>
        <x:v>986.7088607127623</x:v>
      </x:c>
      <x:c r="M118" s="22" t="n">
        <x:f>IF(AND(ISNUMBER(G118),ISNUMBER(H118),H118&lt;&gt;0),G118/(H118/60)/$B$5,"")</x:f>
        <x:v>0.2632065274481721</x:v>
      </x:c>
      <x:c r="N118" s="22" t="n">
        <x:f>IF(AND(ISNUMBER(L118),ISNUMBER(H118),H118&lt;&gt;0),L118*$B$6/$B$4/(H118/60)^2/$B$5^4/$B$7,"")</x:f>
        <x:v>0.06996217878975214</x:v>
      </x:c>
      <x:c r="O118" s="22" t="n">
        <x:f>IF(ISNUMBER(N118),N118*$B$8,"")</x:f>
        <x:v>0.009039291110859155</x:v>
      </x:c>
      <x:c r="P118" s="20" t="str">
        <x:v>3000rpm!N65</x:v>
      </x:c>
      <x:c r="Q118" s="20" t="str">
        <x:v>3000rpm!M65</x:v>
      </x:c>
      <x:c r="R118" s="20" t="str">
        <x:v>3000rpm!C3</x:v>
      </x:c>
    </x:row>
    <x:row r="119">
      <x:c r="A119" s="21" t="n">
        <x:v>3000</x:v>
      </x:c>
      <x:c r="B119" s="21" t="n">
        <x:v>30</x:v>
      </x:c>
      <x:c r="C119" s="21" t="n">
        <x:v>9</x:v>
      </x:c>
      <x:c r="D119" s="21" t="n">
        <x:v>1</x:v>
      </x:c>
      <x:c r="E119" s="21" t="str">
        <x:v>3000rpm</x:v>
      </x:c>
      <x:c r="F119" s="21" t="n">
        <x:v>66</x:v>
      </x:c>
      <x:c r="G119" s="22" t="n">
        <x:f>IFERROR('3000rpm'!D66,"")</x:f>
        <x:v>7.185256189136414</x:v>
      </x:c>
      <x:c r="H119" s="22" t="n">
        <x:f>IFERROR('3000rpm'!B66,"")</x:f>
        <x:v>3069.89996047247</x:v>
      </x:c>
      <x:c r="I119" s="22" t="n">
        <x:f>IFERROR('3000rpm'!C66,"")</x:f>
        <x:v>1090.10047846889</x:v>
      </x:c>
      <x:c r="J119" s="22" t="n">
        <x:f>IFERROR('3000rpm'!C3,"")</x:f>
        <x:v>42</x:v>
      </x:c>
      <x:c r="K119" s="22" t="n">
        <x:f>IF(AND(ISNUMBER(I119),ISNUMBER(J119)),I119-J119,"")</x:f>
        <x:v>1048.10047846889</x:v>
      </x:c>
      <x:c r="L119" s="22" t="n">
        <x:f>IF(ISNUMBER(K119),K119*$B$2+$B$3,"")</x:f>
        <x:v>988.5226929377903</x:v>
      </x:c>
      <x:c r="M119" s="22" t="n">
        <x:f>IF(AND(ISNUMBER(G119),ISNUMBER(H119),H119&lt;&gt;0),G119/(H119/60)/$B$5,"")</x:f>
        <x:v>0.30715887116504764</x:v>
      </x:c>
      <x:c r="N119" s="22" t="n">
        <x:f>IF(AND(ISNUMBER(L119),ISNUMBER(H119),H119&lt;&gt;0),L119*$B$6/$B$4/(H119/60)^2/$B$5^4/$B$7,"")</x:f>
        <x:v>0.07028373615774827</x:v>
      </x:c>
      <x:c r="O119" s="22" t="n">
        <x:f>IF(ISNUMBER(N119),N119*$B$8,"")</x:f>
        <x:v>0.009080837139133855</x:v>
      </x:c>
      <x:c r="P119" s="20" t="str">
        <x:v>3000rpm!D66</x:v>
      </x:c>
      <x:c r="Q119" s="20" t="str">
        <x:v>3000rpm!C66</x:v>
      </x:c>
      <x:c r="R119" s="20" t="str">
        <x:v>3000rpm!C3</x:v>
      </x:c>
    </x:row>
    <x:row r="120">
      <x:c r="A120" s="21" t="n">
        <x:v>3000</x:v>
      </x:c>
      <x:c r="B120" s="21" t="n">
        <x:v>30</x:v>
      </x:c>
      <x:c r="C120" s="21" t="n">
        <x:v>9</x:v>
      </x:c>
      <x:c r="D120" s="21" t="n">
        <x:v>2</x:v>
      </x:c>
      <x:c r="E120" s="21" t="str">
        <x:v>3000rpm</x:v>
      </x:c>
      <x:c r="F120" s="21" t="n">
        <x:v>66</x:v>
      </x:c>
      <x:c r="G120" s="22" t="n">
        <x:f>IFERROR('3000rpm'!N66,"")</x:f>
        <x:v>7.184119220365545</x:v>
      </x:c>
      <x:c r="H120" s="22" t="n">
        <x:f>IFERROR('3000rpm'!L66,"")</x:f>
        <x:v>3027.82271082261</x:v>
      </x:c>
      <x:c r="I120" s="22" t="n">
        <x:f>IFERROR('3000rpm'!M66,"")</x:f>
        <x:v>1064.00583090379</x:v>
      </x:c>
      <x:c r="J120" s="22" t="n">
        <x:f>IFERROR('3000rpm'!C3,"")</x:f>
        <x:v>42</x:v>
      </x:c>
      <x:c r="K120" s="22" t="n">
        <x:f>IF(AND(ISNUMBER(I120),ISNUMBER(J120)),I120-J120,"")</x:f>
        <x:v>1022.00583090379</x:v>
      </x:c>
      <x:c r="L120" s="22" t="n">
        <x:f>IF(ISNUMBER(K120),K120*$B$2+$B$3,"")</x:f>
        <x:v>964.6276154052476</x:v>
      </x:c>
      <x:c r="M120" s="22" t="n">
        <x:f>IF(AND(ISNUMBER(G120),ISNUMBER(H120),H120&lt;&gt;0),G120/(H120/60)/$B$5,"")</x:f>
        <x:v>0.31137813801921427</x:v>
      </x:c>
      <x:c r="N120" s="22" t="n">
        <x:f>IF(AND(ISNUMBER(L120),ISNUMBER(H120),H120&lt;&gt;0),L120*$B$6/$B$4/(H120/60)^2/$B$5^4/$B$7,"")</x:f>
        <x:v>0.07050427467603985</x:v>
      </x:c>
      <x:c r="O120" s="22" t="n">
        <x:f>IF(ISNUMBER(N120),N120*$B$8,"")</x:f>
        <x:v>0.009109331275572716</x:v>
      </x:c>
      <x:c r="P120" s="20" t="str">
        <x:v>3000rpm!N66</x:v>
      </x:c>
      <x:c r="Q120" s="20" t="str">
        <x:v>3000rpm!M66</x:v>
      </x:c>
      <x:c r="R120" s="20" t="str">
        <x:v>3000rpm!C3</x:v>
      </x:c>
    </x:row>
    <x:row r="121">
      <x:c r="A121" s="21" t="n">
        <x:v>3000</x:v>
      </x:c>
      <x:c r="B121" s="21" t="n">
        <x:v>30</x:v>
      </x:c>
      <x:c r="C121" s="21" t="n">
        <x:v>10</x:v>
      </x:c>
      <x:c r="D121" s="21" t="n">
        <x:v>1</x:v>
      </x:c>
      <x:c r="E121" s="21" t="str">
        <x:v>3000rpm</x:v>
      </x:c>
      <x:c r="F121" s="21" t="n">
        <x:v>67</x:v>
      </x:c>
      <x:c r="G121" s="22" t="n">
        <x:f>IFERROR('3000rpm'!D67,"")</x:f>
        <x:v>8.200802927925466</x:v>
      </x:c>
      <x:c r="H121" s="22" t="n">
        <x:f>IFERROR('3000rpm'!B67,"")</x:f>
        <x:v>3089.5677625868</x:v>
      </x:c>
      <x:c r="I121" s="22" t="n">
        <x:f>IFERROR('3000rpm'!C67,"")</x:f>
        <x:v>1075.78779840848</x:v>
      </x:c>
      <x:c r="J121" s="22" t="n">
        <x:f>IFERROR('3000rpm'!C3,"")</x:f>
        <x:v>42</x:v>
      </x:c>
      <x:c r="K121" s="22" t="n">
        <x:f>IF(AND(ISNUMBER(I121),ISNUMBER(J121)),I121-J121,"")</x:f>
        <x:v>1033.78779840848</x:v>
      </x:c>
      <x:c r="L121" s="22" t="n">
        <x:f>IF(ISNUMBER(K121),K121*$B$2+$B$3,"")</x:f>
        <x:v>975.4164573050324</x:v>
      </x:c>
      <x:c r="M121" s="22" t="n">
        <x:f>IF(AND(ISNUMBER(G121),ISNUMBER(H121),H121&lt;&gt;0),G121/(H121/60)/$B$5,"")</x:f>
        <x:v>0.34834026614196845</x:v>
      </x:c>
      <x:c r="N121" s="22" t="n">
        <x:f>IF(AND(ISNUMBER(L121),ISNUMBER(H121),H121&lt;&gt;0),L121*$B$6/$B$4/(H121/60)^2/$B$5^4/$B$7,"")</x:f>
        <x:v>0.06847172538982504</x:v>
      </x:c>
      <x:c r="O121" s="22" t="n">
        <x:f>IF(ISNUMBER(N121),N121*$B$8,"")</x:f>
        <x:v>0.008846720747812025</x:v>
      </x:c>
      <x:c r="P121" s="20" t="str">
        <x:v>3000rpm!D67</x:v>
      </x:c>
      <x:c r="Q121" s="20" t="str">
        <x:v>3000rpm!C67</x:v>
      </x:c>
      <x:c r="R121" s="20" t="str">
        <x:v>3000rpm!C3</x:v>
      </x:c>
    </x:row>
    <x:row r="122">
      <x:c r="A122" s="21" t="n">
        <x:v>3000</x:v>
      </x:c>
      <x:c r="B122" s="21" t="n">
        <x:v>30</x:v>
      </x:c>
      <x:c r="C122" s="21" t="n">
        <x:v>10</x:v>
      </x:c>
      <x:c r="D122" s="21" t="n">
        <x:v>2</x:v>
      </x:c>
      <x:c r="E122" s="21" t="str">
        <x:v>3000rpm</x:v>
      </x:c>
      <x:c r="F122" s="21" t="n">
        <x:v>67</x:v>
      </x:c>
      <x:c r="G122" s="22" t="n">
        <x:f>IFERROR('3000rpm'!N67,"")</x:f>
        <x:v>8.206578406794314</x:v>
      </x:c>
      <x:c r="H122" s="22" t="n">
        <x:f>IFERROR('3000rpm'!L67,"")</x:f>
        <x:v>3046.16829427083</x:v>
      </x:c>
      <x:c r="I122" s="22" t="n">
        <x:f>IFERROR('3000rpm'!M67,"")</x:f>
        <x:v>1048.40285714285</x:v>
      </x:c>
      <x:c r="J122" s="22" t="n">
        <x:f>IFERROR('3000rpm'!C3,"")</x:f>
        <x:v>42</x:v>
      </x:c>
      <x:c r="K122" s="22" t="n">
        <x:f>IF(AND(ISNUMBER(I122),ISNUMBER(J122)),I122-J122,"")</x:f>
        <x:v>1006.40285714285</x:v>
      </x:c>
      <x:c r="L122" s="22" t="n">
        <x:f>IF(ISNUMBER(K122),K122*$B$2+$B$3,"")</x:f>
        <x:v>950.3398475085648</x:v>
      </x:c>
      <x:c r="M122" s="22" t="n">
        <x:f>IF(AND(ISNUMBER(G122),ISNUMBER(H122),H122&lt;&gt;0),G122/(H122/60)/$B$5,"")</x:f>
        <x:v>0.35355196742350725</x:v>
      </x:c>
      <x:c r="N122" s="22" t="n">
        <x:f>IF(AND(ISNUMBER(L122),ISNUMBER(H122),H122&lt;&gt;0),L122*$B$6/$B$4/(H122/60)^2/$B$5^4/$B$7,"")</x:f>
        <x:v>0.06862585924252401</x:v>
      </x:c>
      <x:c r="O122" s="22" t="n">
        <x:f>IF(ISNUMBER(N122),N122*$B$8,"")</x:f>
        <x:v>0.008866635232876466</x:v>
      </x:c>
      <x:c r="P122" s="20" t="str">
        <x:v>3000rpm!N67</x:v>
      </x:c>
      <x:c r="Q122" s="20" t="str">
        <x:v>3000rpm!M67</x:v>
      </x:c>
      <x:c r="R122" s="20" t="str">
        <x:v>3000rpm!C3</x:v>
      </x:c>
    </x:row>
    <x:row r="123">
      <x:c r="A123" s="21" t="n">
        <x:v>3000</x:v>
      </x:c>
      <x:c r="B123" s="21" t="n">
        <x:v>30</x:v>
      </x:c>
      <x:c r="C123" s="21" t="n">
        <x:v>11</x:v>
      </x:c>
      <x:c r="D123" s="21" t="n">
        <x:v>1</x:v>
      </x:c>
      <x:c r="E123" s="21" t="str">
        <x:v>3000rpm</x:v>
      </x:c>
      <x:c r="F123" s="21" t="n">
        <x:v>68</x:v>
      </x:c>
      <x:c r="G123" s="22" t="n">
        <x:f>IFERROR('3000rpm'!D68,"")</x:f>
        <x:v>9.222237033044506</x:v>
      </x:c>
      <x:c r="H123" s="22" t="n">
        <x:f>IFERROR('3000rpm'!B68,"")</x:f>
        <x:v>3087.09986787683</x:v>
      </x:c>
      <x:c r="I123" s="22" t="n">
        <x:f>IFERROR('3000rpm'!C68,"")</x:f>
        <x:v>1078.23053892215</x:v>
      </x:c>
      <x:c r="J123" s="22" t="n">
        <x:f>IFERROR('3000rpm'!C3,"")</x:f>
        <x:v>42</x:v>
      </x:c>
      <x:c r="K123" s="22" t="n">
        <x:f>IF(AND(ISNUMBER(I123),ISNUMBER(J123)),I123-J123,"")</x:f>
        <x:v>1036.23053892215</x:v>
      </x:c>
      <x:c r="L123" s="22" t="n">
        <x:f>IF(ISNUMBER(K123),K123*$B$2+$B$3,"")</x:f>
        <x:v>977.653294335324</x:v>
      </x:c>
      <x:c r="M123" s="22" t="n">
        <x:f>IF(AND(ISNUMBER(G123),ISNUMBER(H123),H123&lt;&gt;0),G123/(H123/60)/$B$5,"")</x:f>
        <x:v>0.39204022512027215</x:v>
      </x:c>
      <x:c r="N123" s="22" t="n">
        <x:f>IF(AND(ISNUMBER(L123),ISNUMBER(H123),H123&lt;&gt;0),L123*$B$6/$B$4/(H123/60)^2/$B$5^4/$B$7,"")</x:f>
        <x:v>0.06873851607325555</x:v>
      </x:c>
      <x:c r="O123" s="22" t="n">
        <x:f>IF(ISNUMBER(N123),N123*$B$8,"")</x:f>
        <x:v>0.008881190781406043</x:v>
      </x:c>
      <x:c r="P123" s="20" t="str">
        <x:v>3000rpm!D68</x:v>
      </x:c>
      <x:c r="Q123" s="20" t="str">
        <x:v>3000rpm!C68</x:v>
      </x:c>
      <x:c r="R123" s="20" t="str">
        <x:v>3000rpm!C3</x:v>
      </x:c>
    </x:row>
    <x:row r="124">
      <x:c r="A124" s="21" t="n">
        <x:v>3000</x:v>
      </x:c>
      <x:c r="B124" s="21" t="n">
        <x:v>30</x:v>
      </x:c>
      <x:c r="C124" s="21" t="n">
        <x:v>11</x:v>
      </x:c>
      <x:c r="D124" s="21" t="n">
        <x:v>2</x:v>
      </x:c>
      <x:c r="E124" s="21" t="str">
        <x:v>3000rpm</x:v>
      </x:c>
      <x:c r="F124" s="21" t="n">
        <x:v>68</x:v>
      </x:c>
      <x:c r="G124" s="22" t="n">
        <x:f>IFERROR('3000rpm'!N68,"")</x:f>
        <x:v>9.223921624981621</x:v>
      </x:c>
      <x:c r="H124" s="22" t="n">
        <x:f>IFERROR('3000rpm'!L68,"")</x:f>
        <x:v>3054.26899414062</x:v>
      </x:c>
      <x:c r="I124" s="22" t="n">
        <x:f>IFERROR('3000rpm'!M68,"")</x:f>
        <x:v>1045.71768707482</x:v>
      </x:c>
      <x:c r="J124" s="22" t="n">
        <x:f>IFERROR('3000rpm'!C3,"")</x:f>
        <x:v>42</x:v>
      </x:c>
      <x:c r="K124" s="22" t="n">
        <x:f>IF(AND(ISNUMBER(I124),ISNUMBER(J124)),I124-J124,"")</x:f>
        <x:v>1003.7176870748201</x:v>
      </x:c>
      <x:c r="L124" s="22" t="n">
        <x:f>IF(ISNUMBER(K124),K124*$B$2+$B$3,"")</x:f>
        <x:v>947.8810157959093</x:v>
      </x:c>
      <x:c r="M124" s="22" t="n">
        <x:f>IF(AND(ISNUMBER(G124),ISNUMBER(H124),H124&lt;&gt;0),G124/(H124/60)/$B$5,"")</x:f>
        <x:v>0.3963267166548814</x:v>
      </x:c>
      <x:c r="N124" s="22" t="n">
        <x:f>IF(AND(ISNUMBER(L124),ISNUMBER(H124),H124&lt;&gt;0),L124*$B$6/$B$4/(H124/60)^2/$B$5^4/$B$7,"")</x:f>
        <x:v>0.06808569910643929</x:v>
      </x:c>
      <x:c r="O124" s="22" t="n">
        <x:f>IF(ISNUMBER(N124),N124*$B$8,"")</x:f>
        <x:v>0.008796845172003371</x:v>
      </x:c>
      <x:c r="P124" s="20" t="str">
        <x:v>3000rpm!N68</x:v>
      </x:c>
      <x:c r="Q124" s="20" t="str">
        <x:v>3000rpm!M68</x:v>
      </x:c>
      <x:c r="R124" s="20" t="str">
        <x:v>3000rpm!C3</x:v>
      </x:c>
    </x:row>
    <x:row r="125">
      <x:c r="A125" s="21" t="n">
        <x:v>3000</x:v>
      </x:c>
      <x:c r="B125" s="21" t="n">
        <x:v>30</x:v>
      </x:c>
      <x:c r="C125" s="21" t="n">
        <x:v>12</x:v>
      </x:c>
      <x:c r="D125" s="21" t="n">
        <x:v>1</x:v>
      </x:c>
      <x:c r="E125" s="21" t="str">
        <x:v>3000rpm</x:v>
      </x:c>
      <x:c r="F125" s="21" t="n">
        <x:v>69</x:v>
      </x:c>
      <x:c r="G125" s="22" t="n">
        <x:f>IFERROR('3000rpm'!D69,"")</x:f>
        <x:v>10.156121012641155</x:v>
      </x:c>
      <x:c r="H125" s="22" t="n">
        <x:f>IFERROR('3000rpm'!B69,"")</x:f>
        <x:v>3064.13950482536</x:v>
      </x:c>
      <x:c r="I125" s="22" t="n">
        <x:f>IFERROR('3000rpm'!C69,"")</x:f>
        <x:v>1050.46341463414</x:v>
      </x:c>
      <x:c r="J125" s="22" t="n">
        <x:f>IFERROR('3000rpm'!C3,"")</x:f>
        <x:v>42</x:v>
      </x:c>
      <x:c r="K125" s="22" t="n">
        <x:f>IF(AND(ISNUMBER(I125),ISNUMBER(J125)),I125-J125,"")</x:f>
        <x:v>1008.46341463414</x:v>
      </x:c>
      <x:c r="L125" s="22" t="n">
        <x:f>IF(ISNUMBER(K125),K125*$B$2+$B$3,"")</x:f>
        <x:v>952.226716487799</x:v>
      </x:c>
      <x:c r="M125" s="22" t="n">
        <x:f>IF(AND(ISNUMBER(G125),ISNUMBER(H125),H125&lt;&gt;0),G125/(H125/60)/$B$5,"")</x:f>
        <x:v>0.43497506486739784</x:v>
      </x:c>
      <x:c r="N125" s="22" t="n">
        <x:f>IF(AND(ISNUMBER(L125),ISNUMBER(H125),H125&lt;&gt;0),L125*$B$6/$B$4/(H125/60)^2/$B$5^4/$B$7,"")</x:f>
        <x:v>0.06795789792038125</x:v>
      </x:c>
      <x:c r="O125" s="22" t="n">
        <x:f>IF(ISNUMBER(N125),N125*$B$8,"")</x:f>
        <x:v>0.008780332934319016</x:v>
      </x:c>
      <x:c r="P125" s="20" t="str">
        <x:v>3000rpm!D69</x:v>
      </x:c>
      <x:c r="Q125" s="20" t="str">
        <x:v>3000rpm!C69</x:v>
      </x:c>
      <x:c r="R125" s="20" t="str">
        <x:v>3000rpm!C3</x:v>
      </x:c>
    </x:row>
    <x:row r="126">
      <x:c r="A126" s="21" t="n">
        <x:v>3000</x:v>
      </x:c>
      <x:c r="B126" s="21" t="n">
        <x:v>30</x:v>
      </x:c>
      <x:c r="C126" s="21" t="n">
        <x:v>12</x:v>
      </x:c>
      <x:c r="D126" s="21" t="n">
        <x:v>2</x:v>
      </x:c>
      <x:c r="E126" s="21" t="str">
        <x:v>3000rpm</x:v>
      </x:c>
      <x:c r="F126" s="21" t="n">
        <x:v>69</x:v>
      </x:c>
      <x:c r="G126" s="22" t="n">
        <x:f>IFERROR('3000rpm'!N69,"")</x:f>
        <x:v>10.163006298997425</x:v>
      </x:c>
      <x:c r="H126" s="22" t="n">
        <x:f>IFERROR('3000rpm'!L69,"")</x:f>
        <x:v>3036.24711339614</x:v>
      </x:c>
      <x:c r="I126" s="22" t="n">
        <x:f>IFERROR('3000rpm'!M69,"")</x:f>
        <x:v>1027.63202247191</x:v>
      </x:c>
      <x:c r="J126" s="22" t="n">
        <x:f>IFERROR('3000rpm'!C3,"")</x:f>
        <x:v>42</x:v>
      </x:c>
      <x:c r="K126" s="22" t="n">
        <x:f>IF(AND(ISNUMBER(I126),ISNUMBER(J126)),I126-J126,"")</x:f>
        <x:v>985.63202247191</x:v>
      </x:c>
      <x:c r="L126" s="22" t="n">
        <x:f>IF(ISNUMBER(K126),K126*$B$2+$B$3,"")</x:f>
        <x:v>931.3198280337077</x:v>
      </x:c>
      <x:c r="M126" s="22" t="n">
        <x:f>IF(AND(ISNUMBER(G126),ISNUMBER(H126),H126&lt;&gt;0),G126/(H126/60)/$B$5,"")</x:f>
        <x:v>0.43926854796380504</x:v>
      </x:c>
      <x:c r="N126" s="22" t="n">
        <x:f>IF(AND(ISNUMBER(L126),ISNUMBER(H126),H126&lt;&gt;0),L126*$B$6/$B$4/(H126/60)^2/$B$5^4/$B$7,"")</x:f>
        <x:v>0.0676926104275098</x:v>
      </x:c>
      <x:c r="O126" s="22" t="n">
        <x:f>IF(ISNUMBER(N126),N126*$B$8,"")</x:f>
        <x:v>0.008746057116761342</x:v>
      </x:c>
      <x:c r="P126" s="20" t="str">
        <x:v>3000rpm!N69</x:v>
      </x:c>
      <x:c r="Q126" s="20" t="str">
        <x:v>3000rpm!M69</x:v>
      </x:c>
      <x:c r="R126" s="20" t="str">
        <x:v>3000rpm!C3</x:v>
      </x:c>
    </x:row>
    <x:row r="127">
      <x:c r="A127" s="21" t="n">
        <x:v>3000</x:v>
      </x:c>
      <x:c r="B127" s="21" t="n">
        <x:v>30</x:v>
      </x:c>
      <x:c r="C127" s="21" t="n">
        <x:v>13</x:v>
      </x:c>
      <x:c r="D127" s="21" t="n">
        <x:v>1</x:v>
      </x:c>
      <x:c r="E127" s="21" t="str">
        <x:v>3000rpm</x:v>
      </x:c>
      <x:c r="F127" s="21" t="n">
        <x:v>70</x:v>
      </x:c>
      <x:c r="G127" s="22" t="n">
        <x:f>IFERROR('3000rpm'!D70,"")</x:f>
        <x:v>9.226261244445539</x:v>
      </x:c>
      <x:c r="H127" s="22" t="n">
        <x:f>IFERROR('3000rpm'!B70,"")</x:f>
        <x:v>3079.52809651692</x:v>
      </x:c>
      <x:c r="I127" s="22" t="n">
        <x:f>IFERROR('3000rpm'!C70,"")</x:f>
        <x:v>1070.93209876543</x:v>
      </x:c>
      <x:c r="J127" s="22" t="n">
        <x:f>IFERROR('3000rpm'!C3,"")</x:f>
        <x:v>42</x:v>
      </x:c>
      <x:c r="K127" s="22" t="n">
        <x:f>IF(AND(ISNUMBER(I127),ISNUMBER(J127)),I127-J127,"")</x:f>
        <x:v>1028.93209876543</x:v>
      </x:c>
      <x:c r="L127" s="22" t="n">
        <x:f>IF(ISNUMBER(K127),K127*$B$2+$B$3,"")</x:f>
        <x:v>970.9700542962944</x:v>
      </x:c>
      <x:c r="M127" s="22" t="n">
        <x:f>IF(AND(ISNUMBER(G127),ISNUMBER(H127),H127&lt;&gt;0),G127/(H127/60)/$B$5,"")</x:f>
        <x:v>0.3931756428113373</x:v>
      </x:c>
      <x:c r="N127" s="22" t="n">
        <x:f>IF(AND(ISNUMBER(L127),ISNUMBER(H127),H127&lt;&gt;0),L127*$B$6/$B$4/(H127/60)^2/$B$5^4/$B$7,"")</x:f>
        <x:v>0.06860474226359688</x:v>
      </x:c>
      <x:c r="O127" s="22" t="n">
        <x:f>IF(ISNUMBER(N127),N127*$B$8,"")</x:f>
        <x:v>0.008863906865589936</x:v>
      </x:c>
      <x:c r="P127" s="20" t="str">
        <x:v>3000rpm!D70</x:v>
      </x:c>
      <x:c r="Q127" s="20" t="str">
        <x:v>3000rpm!C70</x:v>
      </x:c>
      <x:c r="R127" s="20" t="str">
        <x:v>3000rpm!C3</x:v>
      </x:c>
    </x:row>
    <x:row r="128">
      <x:c r="A128" s="21" t="n">
        <x:v>3000</x:v>
      </x:c>
      <x:c r="B128" s="21" t="n">
        <x:v>30</x:v>
      </x:c>
      <x:c r="C128" s="21" t="n">
        <x:v>13</x:v>
      </x:c>
      <x:c r="D128" s="21" t="n">
        <x:v>2</x:v>
      </x:c>
      <x:c r="E128" s="21" t="str">
        <x:v>3000rpm</x:v>
      </x:c>
      <x:c r="F128" s="21" t="n">
        <x:v>70</x:v>
      </x:c>
      <x:c r="G128" s="22" t="n">
        <x:f>IFERROR('3000rpm'!N70,"")</x:f>
        <x:v>9.231085422246345</x:v>
      </x:c>
      <x:c r="H128" s="22" t="n">
        <x:f>IFERROR('3000rpm'!L70,"")</x:f>
        <x:v>3042.76365902549</x:v>
      </x:c>
      <x:c r="I128" s="22" t="n">
        <x:f>IFERROR('3000rpm'!M70,"")</x:f>
        <x:v>1047.64769647696</x:v>
      </x:c>
      <x:c r="J128" s="22" t="n">
        <x:f>IFERROR('3000rpm'!C3,"")</x:f>
        <x:v>42</x:v>
      </x:c>
      <x:c r="K128" s="22" t="n">
        <x:f>IF(AND(ISNUMBER(I128),ISNUMBER(J128)),I128-J128,"")</x:f>
        <x:v>1005.6476964769599</x:v>
      </x:c>
      <x:c r="L128" s="22" t="n">
        <x:f>IF(ISNUMBER(K128),K128*$B$2+$B$3,"")</x:f>
        <x:v>949.648340845524</x:v>
      </x:c>
      <x:c r="M128" s="22" t="n">
        <x:f>IF(AND(ISNUMBER(G128),ISNUMBER(H128),H128&lt;&gt;0),G128/(H128/60)/$B$5,"")</x:f>
        <x:v>0.3981342847676775</x:v>
      </x:c>
      <x:c r="N128" s="22" t="n">
        <x:f>IF(AND(ISNUMBER(L128),ISNUMBER(H128),H128&lt;&gt;0),L128*$B$6/$B$4/(H128/60)^2/$B$5^4/$B$7,"")</x:f>
        <x:v>0.06872947320420665</x:v>
      </x:c>
      <x:c r="O128" s="22" t="n">
        <x:f>IF(ISNUMBER(N128),N128*$B$8,"")</x:f>
        <x:v>0.00888002241976802</x:v>
      </x:c>
      <x:c r="P128" s="20" t="str">
        <x:v>3000rpm!N70</x:v>
      </x:c>
      <x:c r="Q128" s="20" t="str">
        <x:v>3000rpm!M70</x:v>
      </x:c>
      <x:c r="R128" s="20" t="str">
        <x:v>3000rpm!C3</x:v>
      </x:c>
    </x:row>
    <x:row r="129">
      <x:c r="A129" s="21" t="n">
        <x:v>3000</x:v>
      </x:c>
      <x:c r="B129" s="21" t="n">
        <x:v>30</x:v>
      </x:c>
      <x:c r="C129" s="21" t="n">
        <x:v>14</x:v>
      </x:c>
      <x:c r="D129" s="21" t="n">
        <x:v>1</x:v>
      </x:c>
      <x:c r="E129" s="21" t="str">
        <x:v>3000rpm</x:v>
      </x:c>
      <x:c r="F129" s="21" t="n">
        <x:v>71</x:v>
      </x:c>
      <x:c r="G129" s="22" t="n">
        <x:f>IFERROR('3000rpm'!D71,"")</x:f>
        <x:v>8.213528322184679</x:v>
      </x:c>
      <x:c r="H129" s="22" t="n">
        <x:f>IFERROR('3000rpm'!B71,"")</x:f>
        <x:v>3110.32718331473</x:v>
      </x:c>
      <x:c r="I129" s="22" t="n">
        <x:f>IFERROR('3000rpm'!C71,"")</x:f>
        <x:v>1093.72119815668</x:v>
      </x:c>
      <x:c r="J129" s="22" t="n">
        <x:f>IFERROR('3000rpm'!C3,"")</x:f>
        <x:v>42</x:v>
      </x:c>
      <x:c r="K129" s="22" t="n">
        <x:f>IF(AND(ISNUMBER(I129),ISNUMBER(J129)),I129-J129,"")</x:f>
        <x:v>1051.72119815668</x:v>
      </x:c>
      <x:c r="L129" s="22" t="n">
        <x:f>IF(ISNUMBER(K129),K129*$B$2+$B$3,"")</x:f>
        <x:v>991.838214921657</x:v>
      </x:c>
      <x:c r="M129" s="22" t="n">
        <x:f>IF(AND(ISNUMBER(G129),ISNUMBER(H129),H129&lt;&gt;0),G129/(H129/60)/$B$5,"")</x:f>
        <x:v>0.3465522410992855</x:v>
      </x:c>
      <x:c r="N129" s="22" t="n">
        <x:f>IF(AND(ISNUMBER(L129),ISNUMBER(H129),H129&lt;&gt;0),L129*$B$6/$B$4/(H129/60)^2/$B$5^4/$B$7,"")</x:f>
        <x:v>0.068698195262849</x:v>
      </x:c>
      <x:c r="O129" s="22" t="n">
        <x:f>IF(ISNUMBER(N129),N129*$B$8,"")</x:f>
        <x:v>0.008875981230340089</x:v>
      </x:c>
      <x:c r="P129" s="20" t="str">
        <x:v>3000rpm!D71</x:v>
      </x:c>
      <x:c r="Q129" s="20" t="str">
        <x:v>3000rpm!C71</x:v>
      </x:c>
      <x:c r="R129" s="20" t="str">
        <x:v>3000rpm!C3</x:v>
      </x:c>
    </x:row>
    <x:row r="130">
      <x:c r="A130" s="21" t="n">
        <x:v>3000</x:v>
      </x:c>
      <x:c r="B130" s="21" t="n">
        <x:v>30</x:v>
      </x:c>
      <x:c r="C130" s="21" t="n">
        <x:v>14</x:v>
      </x:c>
      <x:c r="D130" s="21" t="n">
        <x:v>2</x:v>
      </x:c>
      <x:c r="E130" s="21" t="str">
        <x:v>3000rpm</x:v>
      </x:c>
      <x:c r="F130" s="21" t="n">
        <x:v>71</x:v>
      </x:c>
      <x:c r="G130" s="22" t="n">
        <x:f>IFERROR('3000rpm'!N71,"")</x:f>
        <x:v>8.1912463804086</x:v>
      </x:c>
      <x:c r="H130" s="22" t="n">
        <x:f>IFERROR('3000rpm'!L71,"")</x:f>
        <x:v>3043.08365885416</x:v>
      </x:c>
      <x:c r="I130" s="22" t="n">
        <x:f>IFERROR('3000rpm'!M71,"")</x:f>
        <x:v>1066.26851851851</x:v>
      </x:c>
      <x:c r="J130" s="22" t="n">
        <x:f>IFERROR('3000rpm'!C3,"")</x:f>
        <x:v>42</x:v>
      </x:c>
      <x:c r="K130" s="22" t="n">
        <x:f>IF(AND(ISNUMBER(I130),ISNUMBER(J130)),I130-J130,"")</x:f>
        <x:v>1024.26851851851</x:v>
      </x:c>
      <x:c r="L130" s="22" t="n">
        <x:f>IF(ISNUMBER(K130),K130*$B$2+$B$3,"")</x:f>
        <x:v>966.6995765555478</x:v>
      </x:c>
      <x:c r="M130" s="22" t="n">
        <x:f>IF(AND(ISNUMBER(G130),ISNUMBER(H130),H130&lt;&gt;0),G130/(H130/60)/$B$5,"")</x:f>
        <x:v>0.3532491502365801</x:v>
      </x:c>
      <x:c r="N130" s="22" t="n">
        <x:f>IF(AND(ISNUMBER(L130),ISNUMBER(H130),H130&lt;&gt;0),L130*$B$6/$B$4/(H130/60)^2/$B$5^4/$B$7,"")</x:f>
        <x:v>0.06994881913191404</x:v>
      </x:c>
      <x:c r="O130" s="22" t="n">
        <x:f>IF(ISNUMBER(N130),N130*$B$8,"")</x:f>
        <x:v>0.009037565009150646</x:v>
      </x:c>
      <x:c r="P130" s="20" t="str">
        <x:v>3000rpm!N71</x:v>
      </x:c>
      <x:c r="Q130" s="20" t="str">
        <x:v>3000rpm!M71</x:v>
      </x:c>
      <x:c r="R130" s="20" t="str">
        <x:v>3000rpm!C3</x:v>
      </x:c>
    </x:row>
    <x:row r="131">
      <x:c r="A131" s="21" t="n">
        <x:v>3000</x:v>
      </x:c>
      <x:c r="B131" s="21" t="n">
        <x:v>30</x:v>
      </x:c>
      <x:c r="C131" s="21" t="n">
        <x:v>15</x:v>
      </x:c>
      <x:c r="D131" s="21" t="n">
        <x:v>1</x:v>
      </x:c>
      <x:c r="E131" s="21" t="str">
        <x:v>3000rpm</x:v>
      </x:c>
      <x:c r="F131" s="21" t="n">
        <x:v>72</x:v>
      </x:c>
      <x:c r="G131" s="22" t="n">
        <x:f>IFERROR('3000rpm'!D72,"")</x:f>
        <x:v>7.1898206395487545</x:v>
      </x:c>
      <x:c r="H131" s="22" t="n">
        <x:f>IFERROR('3000rpm'!B72,"")</x:f>
        <x:v>3084.05638363486</x:v>
      </x:c>
      <x:c r="I131" s="22" t="n">
        <x:f>IFERROR('3000rpm'!C72,"")</x:f>
        <x:v>1102.50670241286</x:v>
      </x:c>
      <x:c r="J131" s="22" t="n">
        <x:f>IFERROR('3000rpm'!C3,"")</x:f>
        <x:v>42</x:v>
      </x:c>
      <x:c r="K131" s="22" t="n">
        <x:f>IF(AND(ISNUMBER(I131),ISNUMBER(J131)),I131-J131,"")</x:f>
        <x:v>1060.50670241286</x:v>
      </x:c>
      <x:c r="L131" s="22" t="n">
        <x:f>IF(ISNUMBER(K131),K131*$B$2+$B$3,"")</x:f>
        <x:v>999.8831714530752</x:v>
      </x:c>
      <x:c r="M131" s="22" t="n">
        <x:f>IF(AND(ISNUMBER(G131),ISNUMBER(H131),H131&lt;&gt;0),G131/(H131/60)/$B$5,"")</x:f>
        <x:v>0.3059431794748034</x:v>
      </x:c>
      <x:c r="N131" s="22" t="n">
        <x:f>IF(AND(ISNUMBER(L131),ISNUMBER(H131),H131&lt;&gt;0),L131*$B$6/$B$4/(H131/60)^2/$B$5^4/$B$7,"")</x:f>
        <x:v>0.07044031395963452</x:v>
      </x:c>
      <x:c r="O131" s="22" t="n">
        <x:f>IF(ISNUMBER(N131),N131*$B$8,"")</x:f>
        <x:v>0.009101067388637685</x:v>
      </x:c>
      <x:c r="P131" s="20" t="str">
        <x:v>3000rpm!D72</x:v>
      </x:c>
      <x:c r="Q131" s="20" t="str">
        <x:v>3000rpm!C72</x:v>
      </x:c>
      <x:c r="R131" s="20" t="str">
        <x:v>3000rpm!C3</x:v>
      </x:c>
    </x:row>
    <x:row r="132">
      <x:c r="A132" s="21" t="n">
        <x:v>3000</x:v>
      </x:c>
      <x:c r="B132" s="21" t="n">
        <x:v>30</x:v>
      </x:c>
      <x:c r="C132" s="21" t="n">
        <x:v>15</x:v>
      </x:c>
      <x:c r="D132" s="21" t="n">
        <x:v>2</x:v>
      </x:c>
      <x:c r="E132" s="21" t="str">
        <x:v>3000rpm</x:v>
      </x:c>
      <x:c r="F132" s="21" t="n">
        <x:v>72</x:v>
      </x:c>
      <x:c r="G132" s="22" t="n">
        <x:f>IFERROR('3000rpm'!N72,"")</x:f>
        <x:v>7.19185172136012</x:v>
      </x:c>
      <x:c r="H132" s="22" t="n">
        <x:f>IFERROR('3000rpm'!L72,"")</x:f>
        <x:v>3062.57942708333</x:v>
      </x:c>
      <x:c r="I132" s="22" t="n">
        <x:f>IFERROR('3000rpm'!M72,"")</x:f>
        <x:v>1081.35251798561</x:v>
      </x:c>
      <x:c r="J132" s="22" t="n">
        <x:f>IFERROR('3000rpm'!C3,"")</x:f>
        <x:v>42</x:v>
      </x:c>
      <x:c r="K132" s="22" t="n">
        <x:f>IF(AND(ISNUMBER(I132),ISNUMBER(J132)),I132-J132,"")</x:f>
        <x:v>1039.35251798561</x:v>
      </x:c>
      <x:c r="L132" s="22" t="n">
        <x:f>IF(ISNUMBER(K132),K132*$B$2+$B$3,"")</x:f>
        <x:v>980.5121155395668</x:v>
      </x:c>
      <x:c r="M132" s="22" t="n">
        <x:f>IF(AND(ISNUMBER(G132),ISNUMBER(H132),H132&lt;&gt;0),G132/(H132/60)/$B$5,"")</x:f>
        <x:v>0.3081757010159016</x:v>
      </x:c>
      <x:c r="N132" s="22" t="n">
        <x:f>IF(AND(ISNUMBER(L132),ISNUMBER(H132),H132&lt;&gt;0),L132*$B$6/$B$4/(H132/60)^2/$B$5^4/$B$7,"")</x:f>
        <x:v>0.07004786217040955</x:v>
      </x:c>
      <x:c r="O132" s="22" t="n">
        <x:f>IF(ISNUMBER(N132),N132*$B$8,"")</x:f>
        <x:v>0.009050361621162335</x:v>
      </x:c>
      <x:c r="P132" s="20" t="str">
        <x:v>3000rpm!N72</x:v>
      </x:c>
      <x:c r="Q132" s="20" t="str">
        <x:v>3000rpm!M72</x:v>
      </x:c>
      <x:c r="R132" s="20" t="str">
        <x:v>3000rpm!C3</x:v>
      </x:c>
    </x:row>
    <x:row r="133">
      <x:c r="A133" s="21" t="n">
        <x:v>3000</x:v>
      </x:c>
      <x:c r="B133" s="21" t="n">
        <x:v>30</x:v>
      </x:c>
      <x:c r="C133" s="21" t="n">
        <x:v>16</x:v>
      </x:c>
      <x:c r="D133" s="21" t="n">
        <x:v>1</x:v>
      </x:c>
      <x:c r="E133" s="21" t="str">
        <x:v>3000rpm</x:v>
      </x:c>
      <x:c r="F133" s="21" t="n">
        <x:v>73</x:v>
      </x:c>
      <x:c r="G133" s="22" t="n">
        <x:f>IFERROR('3000rpm'!D73,"")</x:f>
        <x:v>6.17183070243159</x:v>
      </x:c>
      <x:c r="H133" s="22" t="n">
        <x:f>IFERROR('3000rpm'!B73,"")</x:f>
        <x:v>3087.46836344401</x:v>
      </x:c>
      <x:c r="I133" s="22" t="n">
        <x:f>IFERROR('3000rpm'!C73,"")</x:f>
        <x:v>1097.78361344537</x:v>
      </x:c>
      <x:c r="J133" s="22" t="n">
        <x:f>IFERROR('3000rpm'!C3,"")</x:f>
        <x:v>42</x:v>
      </x:c>
      <x:c r="K133" s="22" t="n">
        <x:f>IF(AND(ISNUMBER(I133),ISNUMBER(J133)),I133-J133,"")</x:f>
        <x:v>1055.78361344537</x:v>
      </x:c>
      <x:c r="L133" s="22" t="n">
        <x:f>IF(ISNUMBER(K133),K133*$B$2+$B$3,"")</x:f>
        <x:v>995.5582011008329</x:v>
      </x:c>
      <x:c r="M133" s="22" t="n">
        <x:f>IF(AND(ISNUMBER(G133),ISNUMBER(H133),H133&lt;&gt;0),G133/(H133/60)/$B$5,"")</x:f>
        <x:v>0.2623351692739913</x:v>
      </x:c>
      <x:c r="N133" s="22" t="n">
        <x:f>IF(AND(ISNUMBER(L133),ISNUMBER(H133),H133&lt;&gt;0),L133*$B$6/$B$4/(H133/60)^2/$B$5^4/$B$7,"")</x:f>
        <x:v>0.06998069714546534</x:v>
      </x:c>
      <x:c r="O133" s="22" t="n">
        <x:f>IF(ISNUMBER(N133),N133*$B$8,"")</x:f>
        <x:v>0.009041683729429385</x:v>
      </x:c>
      <x:c r="P133" s="20" t="str">
        <x:v>3000rpm!D73</x:v>
      </x:c>
      <x:c r="Q133" s="20" t="str">
        <x:v>3000rpm!C73</x:v>
      </x:c>
      <x:c r="R133" s="20" t="str">
        <x:v>3000rpm!C3</x:v>
      </x:c>
    </x:row>
    <x:row r="134">
      <x:c r="A134" s="21" t="n">
        <x:v>3000</x:v>
      </x:c>
      <x:c r="B134" s="21" t="n">
        <x:v>30</x:v>
      </x:c>
      <x:c r="C134" s="21" t="n">
        <x:v>16</x:v>
      </x:c>
      <x:c r="D134" s="21" t="n">
        <x:v>2</x:v>
      </x:c>
      <x:c r="E134" s="21" t="str">
        <x:v>3000rpm</x:v>
      </x:c>
      <x:c r="F134" s="21" t="n">
        <x:v>73</x:v>
      </x:c>
      <x:c r="G134" s="22" t="n">
        <x:f>IFERROR('3000rpm'!N73,"")</x:f>
        <x:v>6.1775550344097</x:v>
      </x:c>
      <x:c r="H134" s="22" t="n">
        <x:f>IFERROR('3000rpm'!L73,"")</x:f>
        <x:v>3032.821875</x:v>
      </x:c>
      <x:c r="I134" s="22" t="n">
        <x:f>IFERROR('3000rpm'!M73,"")</x:f>
        <x:v>1072.81296758104</x:v>
      </x:c>
      <x:c r="J134" s="22" t="n">
        <x:f>IFERROR('3000rpm'!C3,"")</x:f>
        <x:v>42</x:v>
      </x:c>
      <x:c r="K134" s="22" t="n">
        <x:f>IF(AND(ISNUMBER(I134),ISNUMBER(J134)),I134-J134,"")</x:f>
        <x:v>1030.81296758104</x:v>
      </x:c>
      <x:c r="L134" s="22" t="n">
        <x:f>IF(ISNUMBER(K134),K134*$B$2+$B$3,"")</x:f>
        <x:v>972.692380917699</x:v>
      </x:c>
      <x:c r="M134" s="22" t="n">
        <x:f>IF(AND(ISNUMBER(G134),ISNUMBER(H134),H134&lt;&gt;0),G134/(H134/60)/$B$5,"")</x:f>
        <x:v>0.26730971808926973</x:v>
      </x:c>
      <x:c r="N134" s="22" t="n">
        <x:f>IF(AND(ISNUMBER(L134),ISNUMBER(H134),H134&lt;&gt;0),L134*$B$6/$B$4/(H134/60)^2/$B$5^4/$B$7,"")</x:f>
        <x:v>0.0708595433048645</x:v>
      </x:c>
      <x:c r="O134" s="22" t="n">
        <x:f>IF(ISNUMBER(N134),N134*$B$8,"")</x:f>
        <x:v>0.009155232884328391</x:v>
      </x:c>
      <x:c r="P134" s="20" t="str">
        <x:v>3000rpm!N73</x:v>
      </x:c>
      <x:c r="Q134" s="20" t="str">
        <x:v>3000rpm!M73</x:v>
      </x:c>
      <x:c r="R134" s="20" t="str">
        <x:v>3000rpm!C3</x:v>
      </x:c>
    </x:row>
    <x:row r="135">
      <x:c r="A135" s="21" t="n">
        <x:v>3000</x:v>
      </x:c>
      <x:c r="B135" s="21" t="n">
        <x:v>30</x:v>
      </x:c>
      <x:c r="C135" s="21" t="n">
        <x:v>17</x:v>
      </x:c>
      <x:c r="D135" s="21" t="n">
        <x:v>1</x:v>
      </x:c>
      <x:c r="E135" s="21" t="str">
        <x:v>3000rpm</x:v>
      </x:c>
      <x:c r="F135" s="21" t="n">
        <x:v>74</x:v>
      </x:c>
      <x:c r="G135" s="22" t="n">
        <x:f>IFERROR('3000rpm'!D74,"")</x:f>
        <x:v>5.14762163013219</x:v>
      </x:c>
      <x:c r="H135" s="22" t="n">
        <x:f>IFERROR('3000rpm'!B74,"")</x:f>
        <x:v>3096.84032185872</x:v>
      </x:c>
      <x:c r="I135" s="22" t="n">
        <x:f>IFERROR('3000rpm'!C74,"")</x:f>
        <x:v>1119.53541666666</x:v>
      </x:c>
      <x:c r="J135" s="22" t="n">
        <x:f>IFERROR('3000rpm'!C3,"")</x:f>
        <x:v>42</x:v>
      </x:c>
      <x:c r="K135" s="22" t="n">
        <x:f>IF(AND(ISNUMBER(I135),ISNUMBER(J135)),I135-J135,"")</x:f>
        <x:v>1077.53541666666</x:v>
      </x:c>
      <x:c r="L135" s="22" t="n">
        <x:f>IF(ISNUMBER(K135),K135*$B$2+$B$3,"")</x:f>
        <x:v>1015.4765013249938</x:v>
      </x:c>
      <x:c r="M135" s="22" t="n">
        <x:f>IF(AND(ISNUMBER(G135),ISNUMBER(H135),H135&lt;&gt;0),G135/(H135/60)/$B$5,"")</x:f>
        <x:v>0.21813875632352533</x:v>
      </x:c>
      <x:c r="N135" s="22" t="n">
        <x:f>IF(AND(ISNUMBER(L135),ISNUMBER(H135),H135&lt;&gt;0),L135*$B$6/$B$4/(H135/60)^2/$B$5^4/$B$7,"")</x:f>
        <x:v>0.07094942738082442</x:v>
      </x:c>
      <x:c r="O135" s="22" t="n">
        <x:f>IF(ISNUMBER(N135),N135*$B$8,"")</x:f>
        <x:v>0.009166846135128855</x:v>
      </x:c>
      <x:c r="P135" s="20" t="str">
        <x:v>3000rpm!D74</x:v>
      </x:c>
      <x:c r="Q135" s="20" t="str">
        <x:v>3000rpm!C74</x:v>
      </x:c>
      <x:c r="R135" s="20" t="str">
        <x:v>3000rpm!C3</x:v>
      </x:c>
    </x:row>
    <x:row r="136">
      <x:c r="A136" s="21" t="n">
        <x:v>3000</x:v>
      </x:c>
      <x:c r="B136" s="21" t="n">
        <x:v>30</x:v>
      </x:c>
      <x:c r="C136" s="21" t="n">
        <x:v>17</x:v>
      </x:c>
      <x:c r="D136" s="21" t="n">
        <x:v>2</x:v>
      </x:c>
      <x:c r="E136" s="21" t="str">
        <x:v>3000rpm</x:v>
      </x:c>
      <x:c r="F136" s="21" t="n">
        <x:v>74</x:v>
      </x:c>
      <x:c r="G136" s="22" t="n">
        <x:f>IFERROR('3000rpm'!N74,"")</x:f>
        <x:v>5.151893108277705</x:v>
      </x:c>
      <x:c r="H136" s="22" t="n">
        <x:f>IFERROR('3000rpm'!L74,"")</x:f>
        <x:v>3054.47897061434</x:v>
      </x:c>
      <x:c r="I136" s="22" t="n">
        <x:f>IFERROR('3000rpm'!M74,"")</x:f>
        <x:v>1097.64798206278</x:v>
      </x:c>
      <x:c r="J136" s="22" t="n">
        <x:f>IFERROR('3000rpm'!C3,"")</x:f>
        <x:v>42</x:v>
      </x:c>
      <x:c r="K136" s="22" t="n">
        <x:f>IF(AND(ISNUMBER(I136),ISNUMBER(J136)),I136-J136,"")</x:f>
        <x:v>1055.64798206278</x:v>
      </x:c>
      <x:c r="L136" s="22" t="n">
        <x:f>IF(ISNUMBER(K136),K136*$B$2+$B$3,"")</x:f>
        <x:v>995.4340023587441</x:v>
      </x:c>
      <x:c r="M136" s="22" t="n">
        <x:f>IF(AND(ISNUMBER(G136),ISNUMBER(H136),H136&lt;&gt;0),G136/(H136/60)/$B$5,"")</x:f>
        <x:v>0.2213475569102523</x:v>
      </x:c>
      <x:c r="N136" s="22" t="n">
        <x:f>IF(AND(ISNUMBER(L136),ISNUMBER(H136),H136&lt;&gt;0),L136*$B$6/$B$4/(H136/60)^2/$B$5^4/$B$7,"")</x:f>
        <x:v>0.07149157010149547</x:v>
      </x:c>
      <x:c r="O136" s="22" t="n">
        <x:f>IF(ISNUMBER(N136),N136*$B$8,"")</x:f>
        <x:v>0.00923689235096364</x:v>
      </x:c>
      <x:c r="P136" s="20" t="str">
        <x:v>3000rpm!N74</x:v>
      </x:c>
      <x:c r="Q136" s="20" t="str">
        <x:v>3000rpm!M74</x:v>
      </x:c>
      <x:c r="R136" s="20" t="str">
        <x:v>3000rpm!C3</x:v>
      </x:c>
    </x:row>
    <x:row r="137">
      <x:c r="A137" s="21" t="n">
        <x:v>3000</x:v>
      </x:c>
      <x:c r="B137" s="21" t="n">
        <x:v>30</x:v>
      </x:c>
      <x:c r="C137" s="21" t="n">
        <x:v>18</x:v>
      </x:c>
      <x:c r="D137" s="21" t="n">
        <x:v>1</x:v>
      </x:c>
      <x:c r="E137" s="21" t="str">
        <x:v>3000rpm</x:v>
      </x:c>
      <x:c r="F137" s="21" t="n">
        <x:v>75</x:v>
      </x:c>
      <x:c r="G137" s="22" t="n">
        <x:f>IFERROR('3000rpm'!D75,"")</x:f>
        <x:v>4.1247388501962</x:v>
      </x:c>
      <x:c r="H137" s="22" t="n">
        <x:f>IFERROR('3000rpm'!B75,"")</x:f>
        <x:v>3064.42932128906</x:v>
      </x:c>
      <x:c r="I137" s="22" t="n">
        <x:f>IFERROR('3000rpm'!C75,"")</x:f>
        <x:v>1137.27900552486</x:v>
      </x:c>
      <x:c r="J137" s="22" t="n">
        <x:f>IFERROR('3000rpm'!C3,"")</x:f>
        <x:v>42</x:v>
      </x:c>
      <x:c r="K137" s="22" t="n">
        <x:f>IF(AND(ISNUMBER(I137),ISNUMBER(J137)),I137-J137,"")</x:f>
        <x:v>1095.27900552486</x:v>
      </x:c>
      <x:c r="L137" s="22" t="n">
        <x:f>IF(ISNUMBER(K137),K137*$B$2+$B$3,"")</x:f>
        <x:v>1031.7244475911584</x:v>
      </x:c>
      <x:c r="M137" s="22" t="n">
        <x:f>IF(AND(ISNUMBER(G137),ISNUMBER(H137),H137&lt;&gt;0),G137/(H137/60)/$B$5,"")</x:f>
        <x:v>0.176641147272951</x:v>
      </x:c>
      <x:c r="N137" s="22" t="n">
        <x:f>IF(AND(ISNUMBER(L137),ISNUMBER(H137),H137&lt;&gt;0),L137*$B$6/$B$4/(H137/60)^2/$B$5^4/$B$7,"")</x:f>
        <x:v>0.07361751373228152</x:v>
      </x:c>
      <x:c r="O137" s="22" t="n">
        <x:f>IF(ISNUMBER(N137),N137*$B$8,"")</x:f>
        <x:v>0.009511569665140808</x:v>
      </x:c>
      <x:c r="P137" s="20" t="str">
        <x:v>3000rpm!D75</x:v>
      </x:c>
      <x:c r="Q137" s="20" t="str">
        <x:v>3000rpm!C75</x:v>
      </x:c>
      <x:c r="R137" s="20" t="str">
        <x:v>3000rpm!C3</x:v>
      </x:c>
    </x:row>
    <x:row r="138">
      <x:c r="A138" s="21" t="n">
        <x:v>3000</x:v>
      </x:c>
      <x:c r="B138" s="21" t="n">
        <x:v>30</x:v>
      </x:c>
      <x:c r="C138" s="21" t="n">
        <x:v>18</x:v>
      </x:c>
      <x:c r="D138" s="21" t="n">
        <x:v>2</x:v>
      </x:c>
      <x:c r="E138" s="21" t="str">
        <x:v>3000rpm</x:v>
      </x:c>
      <x:c r="F138" s="21" t="n">
        <x:v>75</x:v>
      </x:c>
      <x:c r="G138" s="22" t="n">
        <x:f>IFERROR('3000rpm'!N75,"")</x:f>
        <x:v>4.12700785398483</x:v>
      </x:c>
      <x:c r="H138" s="22" t="n">
        <x:f>IFERROR('3000rpm'!L75,"")</x:f>
        <x:v>3025.22258649553</x:v>
      </x:c>
      <x:c r="I138" s="22" t="n">
        <x:f>IFERROR('3000rpm'!M75,"")</x:f>
        <x:v>1118.68171021377</x:v>
      </x:c>
      <x:c r="J138" s="22" t="n">
        <x:f>IFERROR('3000rpm'!C3,"")</x:f>
        <x:v>42</x:v>
      </x:c>
      <x:c r="K138" s="22" t="n">
        <x:f>IF(AND(ISNUMBER(I138),ISNUMBER(J138)),I138-J138,"")</x:f>
        <x:v>1076.68171021377</x:v>
      </x:c>
      <x:c r="L138" s="22" t="n">
        <x:f>IF(ISNUMBER(K138),K138*$B$2+$B$3,"")</x:f>
        <x:v>1014.6947554964308</x:v>
      </x:c>
      <x:c r="M138" s="22" t="n">
        <x:f>IF(AND(ISNUMBER(G138),ISNUMBER(H138),H138&lt;&gt;0),G138/(H138/60)/$B$5,"")</x:f>
        <x:v>0.17902883675175726</x:v>
      </x:c>
      <x:c r="N138" s="22" t="n">
        <x:f>IF(AND(ISNUMBER(L138),ISNUMBER(H138),H138&lt;&gt;0),L138*$B$6/$B$4/(H138/60)^2/$B$5^4/$B$7,"")</x:f>
        <x:v>0.07429120282908569</x:v>
      </x:c>
      <x:c r="O138" s="22" t="n">
        <x:f>IF(ISNUMBER(N138),N138*$B$8,"")</x:f>
        <x:v>0.009598612006725469</x:v>
      </x:c>
      <x:c r="P138" s="20" t="str">
        <x:v>3000rpm!N75</x:v>
      </x:c>
      <x:c r="Q138" s="20" t="str">
        <x:v>3000rpm!M75</x:v>
      </x:c>
      <x:c r="R138" s="20" t="str">
        <x:v>3000rpm!C3</x:v>
      </x:c>
    </x:row>
    <x:row r="139">
      <x:c r="A139" s="21" t="n">
        <x:v>3000</x:v>
      </x:c>
      <x:c r="B139" s="21" t="n">
        <x:v>30</x:v>
      </x:c>
      <x:c r="C139" s="21" t="n">
        <x:v>19</x:v>
      </x:c>
      <x:c r="D139" s="21" t="n">
        <x:v>1</x:v>
      </x:c>
      <x:c r="E139" s="21" t="str">
        <x:v>3000rpm</x:v>
      </x:c>
      <x:c r="F139" s="21" t="n">
        <x:v>76</x:v>
      </x:c>
      <x:c r="G139" s="22" t="n">
        <x:f>IFERROR('3000rpm'!D76,"")</x:f>
        <x:v>3.0935878413064053</x:v>
      </x:c>
      <x:c r="H139" s="22" t="n">
        <x:f>IFERROR('3000rpm'!B76,"")</x:f>
        <x:v>3069.9146484375</x:v>
      </x:c>
      <x:c r="I139" s="22" t="n">
        <x:f>IFERROR('3000rpm'!C76,"")</x:f>
        <x:v>1153.46899224806</x:v>
      </x:c>
      <x:c r="J139" s="22" t="n">
        <x:f>IFERROR('3000rpm'!C3,"")</x:f>
        <x:v>42</x:v>
      </x:c>
      <x:c r="K139" s="22" t="n">
        <x:f>IF(AND(ISNUMBER(I139),ISNUMBER(J139)),I139-J139,"")</x:f>
        <x:v>1111.46899224806</x:v>
      </x:c>
      <x:c r="L139" s="22" t="n">
        <x:f>IF(ISNUMBER(K139),K139*$B$2+$B$3,"")</x:f>
        <x:v>1046.5497479534865</x:v>
      </x:c>
      <x:c r="M139" s="22" t="n">
        <x:f>IF(AND(ISNUMBER(G139),ISNUMBER(H139),H139&lt;&gt;0),G139/(H139/60)/$B$5,"")</x:f>
        <x:v>0.13224558426927505</x:v>
      </x:c>
      <x:c r="N139" s="22" t="n">
        <x:f>IF(AND(ISNUMBER(L139),ISNUMBER(H139),H139&lt;&gt;0),L139*$B$6/$B$4/(H139/60)^2/$B$5^4/$B$7,"")</x:f>
        <x:v>0.07440873440580935</x:v>
      </x:c>
      <x:c r="O139" s="22" t="n">
        <x:f>IF(ISNUMBER(N139),N139*$B$8,"")</x:f>
        <x:v>0.009613797384812623</x:v>
      </x:c>
      <x:c r="P139" s="20" t="str">
        <x:v>3000rpm!D76</x:v>
      </x:c>
      <x:c r="Q139" s="20" t="str">
        <x:v>3000rpm!C76</x:v>
      </x:c>
      <x:c r="R139" s="20" t="str">
        <x:v>3000rpm!C3</x:v>
      </x:c>
    </x:row>
    <x:row r="140">
      <x:c r="A140" s="21" t="n">
        <x:v>3000</x:v>
      </x:c>
      <x:c r="B140" s="21" t="n">
        <x:v>30</x:v>
      </x:c>
      <x:c r="C140" s="21" t="n">
        <x:v>19</x:v>
      </x:c>
      <x:c r="D140" s="21" t="n">
        <x:v>2</x:v>
      </x:c>
      <x:c r="E140" s="21" t="str">
        <x:v>3000rpm</x:v>
      </x:c>
      <x:c r="F140" s="21" t="n">
        <x:v>76</x:v>
      </x:c>
      <x:c r="G140" s="22" t="n">
        <x:f>IFERROR('3000rpm'!N76,"")</x:f>
        <x:v>3.097769735688735</x:v>
      </x:c>
      <x:c r="H140" s="22" t="n">
        <x:f>IFERROR('3000rpm'!L76,"")</x:f>
        <x:v>3032.08814538043</x:v>
      </x:c>
      <x:c r="I140" s="22" t="n">
        <x:f>IFERROR('3000rpm'!M76,"")</x:f>
        <x:v>1139.67755991285</x:v>
      </x:c>
      <x:c r="J140" s="22" t="n">
        <x:f>IFERROR('3000rpm'!C3,"")</x:f>
        <x:v>42</x:v>
      </x:c>
      <x:c r="K140" s="22" t="n">
        <x:f>IF(AND(ISNUMBER(I140),ISNUMBER(J140)),I140-J140,"")</x:f>
        <x:v>1097.67755991285</x:v>
      </x:c>
      <x:c r="L140" s="22" t="n">
        <x:f>IF(ISNUMBER(K140),K140*$B$2+$B$3,"")</x:f>
        <x:v>1033.920823032676</x:v>
      </x:c>
      <x:c r="M140" s="22" t="n">
        <x:f>IF(AND(ISNUMBER(G140),ISNUMBER(H140),H140&lt;&gt;0),G140/(H140/60)/$B$5,"")</x:f>
        <x:v>0.134076399459511</x:v>
      </x:c>
      <x:c r="N140" s="22" t="n">
        <x:f>IF(AND(ISNUMBER(L140),ISNUMBER(H140),H140&lt;&gt;0),L140*$B$6/$B$4/(H140/60)^2/$B$5^4/$B$7,"")</x:f>
        <x:v>0.07535642378207437</x:v>
      </x:c>
      <x:c r="O140" s="22" t="n">
        <x:f>IF(ISNUMBER(N140),N140*$B$8,"")</x:f>
        <x:v>0.00973624125810124</x:v>
      </x:c>
      <x:c r="P140" s="20" t="str">
        <x:v>3000rpm!N76</x:v>
      </x:c>
      <x:c r="Q140" s="20" t="str">
        <x:v>3000rpm!M76</x:v>
      </x:c>
      <x:c r="R140" s="20" t="str">
        <x:v>3000rpm!C3</x:v>
      </x:c>
    </x:row>
    <x:row r="141">
      <x:c r="A141" s="21" t="n">
        <x:v>3000</x:v>
      </x:c>
      <x:c r="B141" s="21" t="n">
        <x:v>30</x:v>
      </x:c>
      <x:c r="C141" s="21" t="n">
        <x:v>20</x:v>
      </x:c>
      <x:c r="D141" s="21" t="n">
        <x:v>1</x:v>
      </x:c>
      <x:c r="E141" s="21" t="str">
        <x:v>3000rpm</x:v>
      </x:c>
      <x:c r="F141" s="21" t="n">
        <x:v>77</x:v>
      </x:c>
      <x:c r="G141" s="22" t="n">
        <x:f>IFERROR('3000rpm'!D77,"")</x:f>
        <x:v>2.0664151476830552</x:v>
      </x:c>
      <x:c r="H141" s="22" t="n">
        <x:f>IFERROR('3000rpm'!B77,"")</x:f>
        <x:v>3051.5022141029</x:v>
      </x:c>
      <x:c r="I141" s="22" t="n">
        <x:f>IFERROR('3000rpm'!C77,"")</x:f>
        <x:v>1178.44845360824</x:v>
      </x:c>
      <x:c r="J141" s="22" t="n">
        <x:f>IFERROR('3000rpm'!C3,"")</x:f>
        <x:v>42</x:v>
      </x:c>
      <x:c r="K141" s="22" t="n">
        <x:f>IF(AND(ISNUMBER(I141),ISNUMBER(J141)),I141-J141,"")</x:f>
        <x:v>1136.44845360824</x:v>
      </x:c>
      <x:c r="L141" s="22" t="n">
        <x:f>IF(ISNUMBER(K141),K141*$B$2+$B$3,"")</x:f>
        <x:v>1069.4236405566942</x:v>
      </x:c>
      <x:c r="M141" s="22" t="n">
        <x:f>IF(AND(ISNUMBER(G141),ISNUMBER(H141),H141&lt;&gt;0),G141/(H141/60)/$B$5,"")</x:f>
        <x:v>0.0888687181657</x:v>
      </x:c>
      <x:c r="N141" s="22" t="n">
        <x:f>IF(AND(ISNUMBER(L141),ISNUMBER(H141),H141&lt;&gt;0),L141*$B$6/$B$4/(H141/60)^2/$B$5^4/$B$7,"")</x:f>
        <x:v>0.07695539012521403</x:v>
      </x:c>
      <x:c r="O141" s="22" t="n">
        <x:f>IF(ISNUMBER(N141),N141*$B$8,"")</x:f>
        <x:v>0.009942831768890513</x:v>
      </x:c>
      <x:c r="P141" s="20" t="str">
        <x:v>3000rpm!D77</x:v>
      </x:c>
      <x:c r="Q141" s="20" t="str">
        <x:v>3000rpm!C77</x:v>
      </x:c>
      <x:c r="R141" s="20" t="str">
        <x:v>3000rpm!C3</x:v>
      </x:c>
    </x:row>
    <x:row r="142">
      <x:c r="A142" s="21" t="n">
        <x:v>3000</x:v>
      </x:c>
      <x:c r="B142" s="21" t="n">
        <x:v>30</x:v>
      </x:c>
      <x:c r="C142" s="21" t="n">
        <x:v>20</x:v>
      </x:c>
      <x:c r="D142" s="21" t="n">
        <x:v>2</x:v>
      </x:c>
      <x:c r="E142" s="21" t="str">
        <x:v>3000rpm</x:v>
      </x:c>
      <x:c r="F142" s="21" t="n">
        <x:v>77</x:v>
      </x:c>
      <x:c r="G142" s="22" t="n">
        <x:f>IFERROR('3000rpm'!N77,"")</x:f>
        <x:v>2.07013502410638</x:v>
      </x:c>
      <x:c r="H142" s="22" t="n">
        <x:f>IFERROR('3000rpm'!L77,"")</x:f>
        <x:v>3053.06662713913</x:v>
      </x:c>
      <x:c r="I142" s="22" t="n">
        <x:f>IFERROR('3000rpm'!M77,"")</x:f>
        <x:v>1154.92523364485</x:v>
      </x:c>
      <x:c r="J142" s="22" t="n">
        <x:f>IFERROR('3000rpm'!C3,"")</x:f>
        <x:v>42</x:v>
      </x:c>
      <x:c r="K142" s="22" t="n">
        <x:f>IF(AND(ISNUMBER(I142),ISNUMBER(J142)),I142-J142,"")</x:f>
        <x:v>1112.92523364485</x:v>
      </x:c>
      <x:c r="L142" s="22" t="n">
        <x:f>IF(ISNUMBER(K142),K142*$B$2+$B$3,"")</x:f>
        <x:v>1047.8832398504583</x:v>
      </x:c>
      <x:c r="M142" s="22" t="n">
        <x:f>IF(AND(ISNUMBER(G142),ISNUMBER(H142),H142&lt;&gt;0),G142/(H142/60)/$B$5,"")</x:f>
        <x:v>0.08898307707770389</x:v>
      </x:c>
      <x:c r="N142" s="22" t="n">
        <x:f>IF(AND(ISNUMBER(L142),ISNUMBER(H142),H142&lt;&gt;0),L142*$B$6/$B$4/(H142/60)^2/$B$5^4/$B$7,"")</x:f>
        <x:v>0.07532809296344466</x:v>
      </x:c>
      <x:c r="O142" s="22" t="n">
        <x:f>IF(ISNUMBER(N142),N142*$B$8,"")</x:f>
        <x:v>0.009732580844411545</x:v>
      </x:c>
      <x:c r="P142" s="20" t="str">
        <x:v>3000rpm!N77</x:v>
      </x:c>
      <x:c r="Q142" s="20" t="str">
        <x:v>3000rpm!M77</x:v>
      </x:c>
      <x:c r="R142" s="20" t="str">
        <x:v>3000rpm!C3</x:v>
      </x:c>
    </x:row>
    <x:row r="143">
      <x:c r="A143" s="21" t="n">
        <x:v>3000</x:v>
      </x:c>
      <x:c r="B143" s="21" t="n">
        <x:v>30</x:v>
      </x:c>
      <x:c r="C143" s="21" t="n">
        <x:v>21</x:v>
      </x:c>
      <x:c r="D143" s="21" t="n">
        <x:v>1</x:v>
      </x:c>
      <x:c r="E143" s="21" t="str">
        <x:v>3000rpm</x:v>
      </x:c>
      <x:c r="F143" s="21" t="n">
        <x:v>78</x:v>
      </x:c>
      <x:c r="G143" s="22" t="n">
        <x:f>IFERROR('3000rpm'!D78,"")</x:f>
        <x:v>1.03773918715152</x:v>
      </x:c>
      <x:c r="H143" s="22" t="n">
        <x:f>IFERROR('3000rpm'!B78,"")</x:f>
        <x:v>3071.66368272569</x:v>
      </x:c>
      <x:c r="I143" s="22" t="n">
        <x:f>IFERROR('3000rpm'!C78,"")</x:f>
        <x:v>1210.94505494505</x:v>
      </x:c>
      <x:c r="J143" s="22" t="n">
        <x:f>IFERROR('3000rpm'!C3,"")</x:f>
        <x:v>42</x:v>
      </x:c>
      <x:c r="K143" s="22" t="n">
        <x:f>IF(AND(ISNUMBER(I143),ISNUMBER(J143)),I143-J143,"")</x:f>
        <x:v>1168.94505494505</x:v>
      </x:c>
      <x:c r="L143" s="22" t="n">
        <x:f>IF(ISNUMBER(K143),K143*$B$2+$B$3,"")</x:f>
        <x:v>1099.181038373622</x:v>
      </x:c>
      <x:c r="M143" s="22" t="n">
        <x:f>IF(AND(ISNUMBER(G143),ISNUMBER(H143),H143&lt;&gt;0),G143/(H143/60)/$B$5,"")</x:f>
        <x:v>0.04433631383503575</x:v>
      </x:c>
      <x:c r="N143" s="22" t="n">
        <x:f>IF(AND(ISNUMBER(L143),ISNUMBER(H143),H143&lt;&gt;0),L143*$B$6/$B$4/(H143/60)^2/$B$5^4/$B$7,"")</x:f>
        <x:v>0.07806179700973497</x:v>
      </x:c>
      <x:c r="O143" s="22" t="n">
        <x:f>IF(ISNUMBER(N143),N143*$B$8,"")</x:f>
        <x:v>0.01008578234717794</x:v>
      </x:c>
      <x:c r="P143" s="20" t="str">
        <x:v>3000rpm!D78</x:v>
      </x:c>
      <x:c r="Q143" s="20" t="str">
        <x:v>3000rpm!C78</x:v>
      </x:c>
      <x:c r="R143" s="20" t="str">
        <x:v>3000rpm!C3</x:v>
      </x:c>
    </x:row>
    <x:row r="144">
      <x:c r="A144" s="21" t="n">
        <x:v>3000</x:v>
      </x:c>
      <x:c r="B144" s="21" t="n">
        <x:v>30</x:v>
      </x:c>
      <x:c r="C144" s="21" t="n">
        <x:v>21</x:v>
      </x:c>
      <x:c r="D144" s="21" t="n">
        <x:v>2</x:v>
      </x:c>
      <x:c r="E144" s="21" t="str">
        <x:v>3000rpm</x:v>
      </x:c>
      <x:c r="F144" s="21" t="n">
        <x:v>78</x:v>
      </x:c>
      <x:c r="G144" s="22" t="n">
        <x:f>IFERROR('3000rpm'!N78,"")</x:f>
        <x:v>1.0400288204694614</x:v>
      </x:c>
      <x:c r="H144" s="22" t="n">
        <x:f>IFERROR('3000rpm'!L78,"")</x:f>
        <x:v>3020.21898572198</x:v>
      </x:c>
      <x:c r="I144" s="22" t="n">
        <x:f>IFERROR('3000rpm'!M78,"")</x:f>
        <x:v>1191.98106712564</x:v>
      </x:c>
      <x:c r="J144" s="22" t="n">
        <x:f>IFERROR('3000rpm'!C3,"")</x:f>
        <x:v>42</x:v>
      </x:c>
      <x:c r="K144" s="22" t="n">
        <x:f>IF(AND(ISNUMBER(I144),ISNUMBER(J144)),I144-J144,"")</x:f>
        <x:v>1149.98106712564</x:v>
      </x:c>
      <x:c r="L144" s="22" t="n">
        <x:f>IF(ISNUMBER(K144),K144*$B$2+$B$3,"")</x:f>
        <x:v>1081.8155630154856</x:v>
      </x:c>
      <x:c r="M144" s="22" t="n">
        <x:f>IF(AND(ISNUMBER(G144),ISNUMBER(H144),H144&lt;&gt;0),G144/(H144/60)/$B$5,"")</x:f>
        <x:v>0.04519100187490511</x:v>
      </x:c>
      <x:c r="N144" s="22" t="n">
        <x:f>IF(AND(ISNUMBER(L144),ISNUMBER(H144),H144&lt;&gt;0),L144*$B$6/$B$4/(H144/60)^2/$B$5^4/$B$7,"")</x:f>
        <x:v>0.07946813135574503</x:v>
      </x:c>
      <x:c r="O144" s="22" t="n">
        <x:f>IF(ISNUMBER(N144),N144*$B$8,"")</x:f>
        <x:v>0.010267484314908064</x:v>
      </x:c>
      <x:c r="P144" s="20" t="str">
        <x:v>3000rpm!N78</x:v>
      </x:c>
      <x:c r="Q144" s="20" t="str">
        <x:v>3000rpm!M78</x:v>
      </x:c>
      <x:c r="R144" s="20" t="str">
        <x:v>3000rpm!C3</x:v>
      </x:c>
    </x:row>
    <x:row r="145">
      <x:c r="A145" s="21" t="n">
        <x:v>3000</x:v>
      </x:c>
      <x:c r="B145" s="21" t="n">
        <x:v>30</x:v>
      </x:c>
      <x:c r="C145" s="21" t="n">
        <x:v>22</x:v>
      </x:c>
      <x:c r="D145" s="21" t="n">
        <x:v>1</x:v>
      </x:c>
      <x:c r="E145" s="21" t="str">
        <x:v>3000rpm</x:v>
      </x:c>
      <x:c r="F145" s="21" t="n">
        <x:v>79</x:v>
      </x:c>
      <x:c r="G145" s="22" t="n">
        <x:f>IFERROR('3000rpm'!D79,"")</x:f>
        <x:v>0.12260725909448039</x:v>
      </x:c>
      <x:c r="H145" s="22" t="n">
        <x:f>IFERROR('3000rpm'!B79,"")</x:f>
        <x:v>3047.66746012369</x:v>
      </x:c>
      <x:c r="I145" s="22" t="n">
        <x:f>IFERROR('3000rpm'!C79,"")</x:f>
        <x:v>1232.35039370078</x:v>
      </x:c>
      <x:c r="J145" s="22" t="n">
        <x:f>IFERROR('3000rpm'!C3,"")</x:f>
        <x:v>42</x:v>
      </x:c>
      <x:c r="K145" s="22" t="n">
        <x:f>IF(AND(ISNUMBER(I145),ISNUMBER(J145)),I145-J145,"")</x:f>
        <x:v>1190.35039370078</x:v>
      </x:c>
      <x:c r="L145" s="22" t="n">
        <x:f>IF(ISNUMBER(K145),K145*$B$2+$B$3,"")</x:f>
        <x:v>1118.7820783149539</x:v>
      </x:c>
      <x:c r="M145" s="22" t="n">
        <x:f>IF(AND(ISNUMBER(G145),ISNUMBER(H145),H145&lt;&gt;0),G145/(H145/60)/$B$5,"")</x:f>
        <x:v>0.00527951021321803</x:v>
      </x:c>
      <x:c r="N145" s="22" t="n">
        <x:f>IF(AND(ISNUMBER(L145),ISNUMBER(H145),H145&lt;&gt;0),L145*$B$6/$B$4/(H145/60)^2/$B$5^4/$B$7,"")</x:f>
        <x:v>0.08070993308573106</x:v>
      </x:c>
      <x:c r="O145" s="22" t="n">
        <x:f>IF(ISNUMBER(N145),N145*$B$8,"")</x:f>
        <x:v>0.01042792825095307</x:v>
      </x:c>
      <x:c r="P145" s="20" t="str">
        <x:v>3000rpm!D79</x:v>
      </x:c>
      <x:c r="Q145" s="20" t="str">
        <x:v>3000rpm!C79</x:v>
      </x:c>
      <x:c r="R145" s="20" t="str">
        <x:v>3000rpm!C3</x:v>
      </x:c>
    </x:row>
    <x:row r="146">
      <x:c r="A146" s="21" t="n">
        <x:v>3000</x:v>
      </x:c>
      <x:c r="B146" s="21" t="n">
        <x:v>30</x:v>
      </x:c>
      <x:c r="C146" s="21" t="n">
        <x:v>22</x:v>
      </x:c>
      <x:c r="D146" s="21" t="n">
        <x:v>2</x:v>
      </x:c>
      <x:c r="E146" s="21" t="str">
        <x:v>3000rpm</x:v>
      </x:c>
      <x:c r="F146" s="21" t="n">
        <x:v>79</x:v>
      </x:c>
      <x:c r="G146" s="22" t="n">
        <x:f>IFERROR('3000rpm'!N79,"")</x:f>
        <x:v>0.13132856985715424</x:v>
      </x:c>
      <x:c r="H146" s="22" t="n">
        <x:f>IFERROR('3000rpm'!L79,"")</x:f>
        <x:v>3028.56751427283</x:v>
      </x:c>
      <x:c r="I146" s="22" t="n">
        <x:f>IFERROR('3000rpm'!M79,"")</x:f>
        <x:v>1215.50588235294</x:v>
      </x:c>
      <x:c r="J146" s="22" t="n">
        <x:f>IFERROR('3000rpm'!C3,"")</x:f>
        <x:v>42</x:v>
      </x:c>
      <x:c r="K146" s="22" t="n">
        <x:f>IF(AND(ISNUMBER(I146),ISNUMBER(J146)),I146-J146,"")</x:f>
        <x:v>1173.50588235294</x:v>
      </x:c>
      <x:c r="L146" s="22" t="n">
        <x:f>IF(ISNUMBER(K146),K146*$B$2+$B$3,"")</x:f>
        <x:v>1103.357424517646</x:v>
      </x:c>
      <x:c r="M146" s="22" t="n">
        <x:f>IF(AND(ISNUMBER(G146),ISNUMBER(H146),H146&lt;&gt;0),G146/(H146/60)/$B$5,"")</x:f>
        <x:v>0.005690716938774568</x:v>
      </x:c>
      <x:c r="N146" s="22" t="n">
        <x:f>IF(AND(ISNUMBER(L146),ISNUMBER(H146),H146&lt;&gt;0),L146*$B$6/$B$4/(H146/60)^2/$B$5^4/$B$7,"")</x:f>
        <x:v>0.08060432495023537</x:v>
      </x:c>
      <x:c r="O146" s="22" t="n">
        <x:f>IF(ISNUMBER(N146),N146*$B$8,"")</x:f>
        <x:v>0.01041428341174231</x:v>
      </x:c>
      <x:c r="P146" s="20" t="str">
        <x:v>3000rpm!N79</x:v>
      </x:c>
      <x:c r="Q146" s="20" t="str">
        <x:v>3000rpm!M79</x:v>
      </x:c>
      <x:c r="R146" s="20" t="str">
        <x:v>3000rpm!C3</x:v>
      </x:c>
    </x:row>
    <x:row r="147">
      <x:c r="A147" s="21" t="n">
        <x:v>3000</x:v>
      </x:c>
      <x:c r="B147" s="21" t="n">
        <x:v>30</x:v>
      </x:c>
      <x:c r="C147" s="21" t="n">
        <x:v>23</x:v>
      </x:c>
      <x:c r="D147" s="21" t="n">
        <x:v>1</x:v>
      </x:c>
      <x:c r="E147" s="21" t="str">
        <x:v>3000rpm</x:v>
      </x:c>
      <x:c r="F147" s="21" t="n">
        <x:v>80</x:v>
      </x:c>
      <x:c r="G147" s="22" t="n">
        <x:f>IFERROR('3000rpm'!D80,"")</x:f>
        <x:v>0.00779803078198296</x:v>
      </x:c>
      <x:c r="H147" s="22" t="n">
        <x:f>IFERROR('3000rpm'!B80,"")</x:f>
        <x:v>0</x:v>
      </x:c>
      <x:c r="I147" s="22" t="n">
        <x:f>IFERROR('3000rpm'!C80,"")</x:f>
        <x:v>92.2575757575757</x:v>
      </x:c>
      <x:c r="J147" s="22" t="n">
        <x:f>IFERROR('3000rpm'!C3,"")</x:f>
        <x:v>42</x:v>
      </x:c>
      <x:c r="K147" s="22" t="n">
        <x:f>IF(AND(ISNUMBER(I147),ISNUMBER(J147)),I147-J147,"")</x:f>
        <x:v>50.257575757575694</x:v>
      </x:c>
      <x:c r="L147" s="22" t="n">
        <x:f>IF(ISNUMBER(K147),K147*$B$2+$B$3,"")</x:f>
        <x:v>74.78996418181812</x:v>
      </x:c>
      <x:c r="M147" s="22" t="str">
        <x:f>IF(AND(ISNUMBER(G147),ISNUMBER(H147),H147&lt;&gt;0),G147/(H147/60)/$B$5,"")</x:f>
      </x:c>
      <x:c r="N147" s="22" t="str">
        <x:f>IF(AND(ISNUMBER(L147),ISNUMBER(H147),H147&lt;&gt;0),L147*$B$6/$B$4/(H147/60)^2/$B$5^4/$B$7,"")</x:f>
      </x:c>
      <x:c r="O147" s="22" t="str">
        <x:f>IF(ISNUMBER(N147),N147*$B$8,"")</x:f>
      </x:c>
      <x:c r="P147" s="20" t="str">
        <x:v>3000rpm!D80</x:v>
      </x:c>
      <x:c r="Q147" s="20" t="str">
        <x:v>3000rpm!C80</x:v>
      </x:c>
      <x:c r="R147" s="20" t="str">
        <x:v>3000rpm!C3</x:v>
      </x:c>
    </x:row>
    <x:row r="148">
      <x:c r="A148" s="21" t="n">
        <x:v>3000</x:v>
      </x:c>
      <x:c r="B148" s="21" t="n">
        <x:v>30</x:v>
      </x:c>
      <x:c r="C148" s="21" t="n">
        <x:v>23</x:v>
      </x:c>
      <x:c r="D148" s="21" t="n">
        <x:v>2</x:v>
      </x:c>
      <x:c r="E148" s="21" t="str">
        <x:v>3000rpm</x:v>
      </x:c>
      <x:c r="F148" s="21" t="n">
        <x:v>80</x:v>
      </x:c>
      <x:c r="G148" s="22" t="n">
        <x:f>IFERROR('3000rpm'!N80,"")</x:f>
        <x:v>0.1120733085519342</x:v>
      </x:c>
      <x:c r="H148" s="22" t="n">
        <x:f>IFERROR('3000rpm'!L80,"")</x:f>
        <x:v>0</x:v>
      </x:c>
      <x:c r="I148" s="22" t="n">
        <x:f>IFERROR('3000rpm'!M80,"")</x:f>
        <x:v>89.6691449814126</x:v>
      </x:c>
      <x:c r="J148" s="22" t="n">
        <x:f>IFERROR('3000rpm'!C3,"")</x:f>
        <x:v>42</x:v>
      </x:c>
      <x:c r="K148" s="22" t="n">
        <x:f>IF(AND(ISNUMBER(I148),ISNUMBER(J148)),I148-J148,"")</x:f>
        <x:v>47.6691449814126</x:v>
      </x:c>
      <x:c r="L148" s="22" t="n">
        <x:f>IF(ISNUMBER(K148),K148*$B$2+$B$3,"")</x:f>
        <x:v>72.41971741263937</x:v>
      </x:c>
      <x:c r="M148" s="22" t="str">
        <x:f>IF(AND(ISNUMBER(G148),ISNUMBER(H148),H148&lt;&gt;0),G148/(H148/60)/$B$5,"")</x:f>
      </x:c>
      <x:c r="N148" s="22" t="str">
        <x:f>IF(AND(ISNUMBER(L148),ISNUMBER(H148),H148&lt;&gt;0),L148*$B$6/$B$4/(H148/60)^2/$B$5^4/$B$7,"")</x:f>
      </x:c>
      <x:c r="O148" s="22" t="str">
        <x:f>IF(ISNUMBER(N148),N148*$B$8,"")</x:f>
      </x:c>
      <x:c r="P148" s="20" t="str">
        <x:v>3000rpm!N80</x:v>
      </x:c>
      <x:c r="Q148" s="20" t="str">
        <x:v>3000rpm!M80</x:v>
      </x:c>
      <x:c r="R148" s="20" t="str">
        <x:v>3000rpm!C3</x:v>
      </x:c>
    </x:row>
    <x:row r="149">
      <x:c r="A149" s="21" t="n">
        <x:v>3000</x:v>
      </x:c>
      <x:c r="B149" s="21" t="n">
        <x:v>45</x:v>
      </x:c>
      <x:c r="C149" s="21" t="n">
        <x:v>1</x:v>
      </x:c>
      <x:c r="D149" s="21" t="n">
        <x:v>1</x:v>
      </x:c>
      <x:c r="E149" s="21" t="str">
        <x:v>3000rpm</x:v>
      </x:c>
      <x:c r="F149" s="21" t="n">
        <x:v>86</x:v>
      </x:c>
      <x:c r="G149" s="22" t="n">
        <x:f>IFERROR('3000rpm'!D86,"")</x:f>
        <x:v>0.0191162177885721</x:v>
      </x:c>
      <x:c r="H149" s="22" t="n">
        <x:f>IFERROR('3000rpm'!B86,"")</x:f>
        <x:v>0</x:v>
      </x:c>
      <x:c r="I149" s="22" t="n">
        <x:f>IFERROR('3000rpm'!C86,"")</x:f>
        <x:v>157.798955613577</x:v>
      </x:c>
      <x:c r="J149" s="22" t="n">
        <x:f>IFERROR('3000rpm'!C86,"")</x:f>
        <x:v>157.798955613577</x:v>
      </x:c>
      <x:c r="K149" s="22" t="n">
        <x:f>IF(AND(ISNUMBER(I149),ISNUMBER(J149)),I149-J149,"")</x:f>
        <x:v>0</x:v>
      </x:c>
      <x:c r="L149" s="22" t="n">
        <x:f>IF(ISNUMBER(K149),K149*$B$2+$B$3,"")</x:f>
        <x:v>28.7687</x:v>
      </x:c>
      <x:c r="M149" s="22" t="str">
        <x:f>IF(AND(ISNUMBER(G149),ISNUMBER(H149),H149&lt;&gt;0),G149/(H149/60)/$B$5,"")</x:f>
      </x:c>
      <x:c r="N149" s="22" t="str">
        <x:f>IF(AND(ISNUMBER(L149),ISNUMBER(H149),H149&lt;&gt;0),L149*$B$6/$B$4/(H149/60)^2/$B$5^4/$B$7,"")</x:f>
      </x:c>
      <x:c r="O149" s="22" t="str">
        <x:f>IF(ISNUMBER(N149),N149*$B$8,"")</x:f>
      </x:c>
      <x:c r="P149" s="20" t="str">
        <x:v>3000rpm!D86</x:v>
      </x:c>
      <x:c r="Q149" s="20" t="str">
        <x:v>3000rpm!C86</x:v>
      </x:c>
      <x:c r="R149" s="20" t="str">
        <x:v>3000rpm!C86</x:v>
      </x:c>
    </x:row>
    <x:row r="150">
      <x:c r="A150" s="21" t="n">
        <x:v>3000</x:v>
      </x:c>
      <x:c r="B150" s="21" t="n">
        <x:v>45</x:v>
      </x:c>
      <x:c r="C150" s="21" t="n">
        <x:v>1</x:v>
      </x:c>
      <x:c r="D150" s="21" t="n">
        <x:v>2</x:v>
      </x:c>
      <x:c r="E150" s="21" t="str">
        <x:v>3000rpm</x:v>
      </x:c>
      <x:c r="F150" s="21" t="n">
        <x:v>86</x:v>
      </x:c>
      <x:c r="G150" s="22" t="n">
        <x:f>IFERROR('3000rpm'!N86,"")</x:f>
        <x:v>0.01961376130717185</x:v>
      </x:c>
      <x:c r="H150" s="22" t="n">
        <x:f>IFERROR('3000rpm'!L86,"")</x:f>
        <x:v>0</x:v>
      </x:c>
      <x:c r="I150" s="22" t="n">
        <x:f>IFERROR('3000rpm'!M86,"")</x:f>
        <x:v>157.341463414634</x:v>
      </x:c>
      <x:c r="J150" s="22" t="n">
        <x:f>IFERROR('3000rpm'!C86,"")</x:f>
        <x:v>157.798955613577</x:v>
      </x:c>
      <x:c r="K150" s="22" t="n">
        <x:f>IF(AND(ISNUMBER(I150),ISNUMBER(J150)),I150-J150,"")</x:f>
        <x:v>-0.45749219894298676</x:v>
      </x:c>
      <x:c r="L150" s="22" t="n">
        <x:f>IF(ISNUMBER(K150),K150*$B$2+$B$3,"")</x:f>
        <x:v>28.349770733490313</x:v>
      </x:c>
      <x:c r="M150" s="22" t="str">
        <x:f>IF(AND(ISNUMBER(G150),ISNUMBER(H150),H150&lt;&gt;0),G150/(H150/60)/$B$5,"")</x:f>
      </x:c>
      <x:c r="N150" s="22" t="str">
        <x:f>IF(AND(ISNUMBER(L150),ISNUMBER(H150),H150&lt;&gt;0),L150*$B$6/$B$4/(H150/60)^2/$B$5^4/$B$7,"")</x:f>
      </x:c>
      <x:c r="O150" s="22" t="str">
        <x:f>IF(ISNUMBER(N150),N150*$B$8,"")</x:f>
      </x:c>
      <x:c r="P150" s="20" t="str">
        <x:v>3000rpm!N86</x:v>
      </x:c>
      <x:c r="Q150" s="20" t="str">
        <x:v>3000rpm!M86</x:v>
      </x:c>
      <x:c r="R150" s="20" t="str">
        <x:v>3000rpm!C86</x:v>
      </x:c>
    </x:row>
    <x:row r="151">
      <x:c r="A151" s="21" t="n">
        <x:v>3000</x:v>
      </x:c>
      <x:c r="B151" s="21" t="n">
        <x:v>45</x:v>
      </x:c>
      <x:c r="C151" s="21" t="n">
        <x:v>2</x:v>
      </x:c>
      <x:c r="D151" s="21" t="n">
        <x:v>1</x:v>
      </x:c>
      <x:c r="E151" s="21" t="str">
        <x:v>3000rpm</x:v>
      </x:c>
      <x:c r="F151" s="21" t="n">
        <x:v>87</x:v>
      </x:c>
      <x:c r="G151" s="22" t="n">
        <x:f>IFERROR('3000rpm'!D87,"")</x:f>
        <x:v>0.06692499182043735</x:v>
      </x:c>
      <x:c r="H151" s="22" t="n">
        <x:f>IFERROR('3000rpm'!B87,"")</x:f>
        <x:v>3043.65319430443</x:v>
      </x:c>
      <x:c r="I151" s="22" t="n">
        <x:f>IFERROR('3000rpm'!C87,"")</x:f>
        <x:v>1308.05929487179</x:v>
      </x:c>
      <x:c r="J151" s="22" t="n">
        <x:f>IFERROR('3000rpm'!C86,"")</x:f>
        <x:v>157.798955613577</x:v>
      </x:c>
      <x:c r="K151" s="22" t="n">
        <x:f>IF(AND(ISNUMBER(I151),ISNUMBER(J151)),I151-J151,"")</x:f>
        <x:v>1150.260339258213</x:v>
      </x:c>
      <x:c r="L151" s="22" t="n">
        <x:f>IF(ISNUMBER(K151),K151*$B$2+$B$3,"")</x:f>
        <x:v>1082.0712947414597</x:v>
      </x:c>
      <x:c r="M151" s="22" t="n">
        <x:f>IF(AND(ISNUMBER(G151),ISNUMBER(H151),H151&lt;&gt;0),G151/(H151/60)/$B$5,"")</x:f>
        <x:v>0.002885613690137867</x:v>
      </x:c>
      <x:c r="N151" s="22" t="n">
        <x:f>IF(AND(ISNUMBER(L151),ISNUMBER(H151),H151&lt;&gt;0),L151*$B$6/$B$4/(H151/60)^2/$B$5^4/$B$7,"")</x:f>
        <x:v>0.07826763074916016</x:v>
      </x:c>
      <x:c r="O151" s="22" t="n">
        <x:f>IF(ISNUMBER(N151),N151*$B$8,"")</x:f>
        <x:v>0.01011237658885661</x:v>
      </x:c>
      <x:c r="P151" s="20" t="str">
        <x:v>3000rpm!D87</x:v>
      </x:c>
      <x:c r="Q151" s="20" t="str">
        <x:v>3000rpm!C87</x:v>
      </x:c>
      <x:c r="R151" s="20" t="str">
        <x:v>3000rpm!C86</x:v>
      </x:c>
    </x:row>
    <x:row r="152">
      <x:c r="A152" s="21" t="n">
        <x:v>3000</x:v>
      </x:c>
      <x:c r="B152" s="21" t="n">
        <x:v>45</x:v>
      </x:c>
      <x:c r="C152" s="21" t="n">
        <x:v>2</x:v>
      </x:c>
      <x:c r="D152" s="21" t="n">
        <x:v>2</x:v>
      </x:c>
      <x:c r="E152" s="21" t="str">
        <x:v>3000rpm</x:v>
      </x:c>
      <x:c r="F152" s="21" t="n">
        <x:v>87</x:v>
      </x:c>
      <x:c r="G152" s="22" t="n">
        <x:f>IFERROR('3000rpm'!N87,"")</x:f>
        <x:v>0.08286049141763491</x:v>
      </x:c>
      <x:c r="H152" s="22" t="n">
        <x:f>IFERROR('3000rpm'!L87,"")</x:f>
        <x:v>3124.27589448969</x:v>
      </x:c>
      <x:c r="I152" s="22" t="n">
        <x:f>IFERROR('3000rpm'!M87,"")</x:f>
        <x:v>1364.65277777777</x:v>
      </x:c>
      <x:c r="J152" s="22" t="n">
        <x:f>IFERROR('3000rpm'!C86,"")</x:f>
        <x:v>157.798955613577</x:v>
      </x:c>
      <x:c r="K152" s="22" t="n">
        <x:f>IF(AND(ISNUMBER(I152),ISNUMBER(J152)),I152-J152,"")</x:f>
        <x:v>1206.8538221641932</x:v>
      </x:c>
      <x:c r="L152" s="22" t="n">
        <x:f>IF(ISNUMBER(K152),K152*$B$2+$B$3,"")</x:f>
        <x:v>1133.8943997863291</x:v>
      </x:c>
      <x:c r="M152" s="22" t="n">
        <x:f>IF(AND(ISNUMBER(G152),ISNUMBER(H152),H152&lt;&gt;0),G152/(H152/60)/$B$5,"")</x:f>
        <x:v>0.003480512158901672</x:v>
      </x:c>
      <x:c r="N152" s="22" t="n">
        <x:f>IF(AND(ISNUMBER(L152),ISNUMBER(H152),H152&lt;&gt;0),L152*$B$6/$B$4/(H152/60)^2/$B$5^4/$B$7,"")</x:f>
        <x:v>0.07783779003712786</x:v>
      </x:c>
      <x:c r="O152" s="22" t="n">
        <x:f>IF(ISNUMBER(N152),N152*$B$8,"")</x:f>
        <x:v>0.010056840077636237</x:v>
      </x:c>
      <x:c r="P152" s="20" t="str">
        <x:v>3000rpm!N87</x:v>
      </x:c>
      <x:c r="Q152" s="20" t="str">
        <x:v>3000rpm!M87</x:v>
      </x:c>
      <x:c r="R152" s="20" t="str">
        <x:v>3000rpm!C86</x:v>
      </x:c>
    </x:row>
    <x:row r="153">
      <x:c r="A153" s="21" t="n">
        <x:v>3000</x:v>
      </x:c>
      <x:c r="B153" s="21" t="n">
        <x:v>45</x:v>
      </x:c>
      <x:c r="C153" s="21" t="n">
        <x:v>3</x:v>
      </x:c>
      <x:c r="D153" s="21" t="n">
        <x:v>1</x:v>
      </x:c>
      <x:c r="E153" s="21" t="str">
        <x:v>3000rpm</x:v>
      </x:c>
      <x:c r="F153" s="21" t="n">
        <x:v>88</x:v>
      </x:c>
      <x:c r="G153" s="22" t="n">
        <x:f>IFERROR('3000rpm'!D88,"")</x:f>
        <x:v>1.0012722132564735</x:v>
      </x:c>
      <x:c r="H153" s="22" t="n">
        <x:f>IFERROR('3000rpm'!B88,"")</x:f>
        <x:v>3039.7094190644</x:v>
      </x:c>
      <x:c r="I153" s="22" t="n">
        <x:f>IFERROR('3000rpm'!C88,"")</x:f>
        <x:v>1260.30097087378</x:v>
      </x:c>
      <x:c r="J153" s="22" t="n">
        <x:f>IFERROR('3000rpm'!C86,"")</x:f>
        <x:v>157.798955613577</x:v>
      </x:c>
      <x:c r="K153" s="22" t="n">
        <x:f>IF(AND(ISNUMBER(I153),ISNUMBER(J153)),I153-J153,"")</x:f>
        <x:v>1102.502015260203</x:v>
      </x:c>
      <x:c r="L153" s="22" t="n">
        <x:f>IF(ISNUMBER(K153),K153*$B$2+$B$3,"")</x:f>
        <x:v>1038.33861538989</x:v>
      </x:c>
      <x:c r="M153" s="22" t="n">
        <x:f>IF(AND(ISNUMBER(G153),ISNUMBER(H153),H153&lt;&gt;0),G153/(H153/60)/$B$5,"")</x:f>
        <x:v>0.043227998076619166</x:v>
      </x:c>
      <x:c r="N153" s="22" t="n">
        <x:f>IF(AND(ISNUMBER(L153),ISNUMBER(H153),H153&lt;&gt;0),L153*$B$6/$B$4/(H153/60)^2/$B$5^4/$B$7,"")</x:f>
        <x:v>0.07529939897409452</x:v>
      </x:c>
      <x:c r="O153" s="22" t="n">
        <x:f>IF(ISNUMBER(N153),N153*$B$8,"")</x:f>
        <x:v>0.009728873508142798</x:v>
      </x:c>
      <x:c r="P153" s="20" t="str">
        <x:v>3000rpm!D88</x:v>
      </x:c>
      <x:c r="Q153" s="20" t="str">
        <x:v>3000rpm!C88</x:v>
      </x:c>
      <x:c r="R153" s="20" t="str">
        <x:v>3000rpm!C86</x:v>
      </x:c>
    </x:row>
    <x:row r="154">
      <x:c r="A154" s="21" t="n">
        <x:v>3000</x:v>
      </x:c>
      <x:c r="B154" s="21" t="n">
        <x:v>45</x:v>
      </x:c>
      <x:c r="C154" s="21" t="n">
        <x:v>3</x:v>
      </x:c>
      <x:c r="D154" s="21" t="n">
        <x:v>2</x:v>
      </x:c>
      <x:c r="E154" s="21" t="str">
        <x:v>3000rpm</x:v>
      </x:c>
      <x:c r="F154" s="21" t="n">
        <x:v>88</x:v>
      </x:c>
      <x:c r="G154" s="22" t="n">
        <x:f>IFERROR('3000rpm'!N88,"")</x:f>
        <x:v>1.0141805050701929</x:v>
      </x:c>
      <x:c r="H154" s="22" t="n">
        <x:f>IFERROR('3000rpm'!L88,"")</x:f>
        <x:v>3107.66401672363</x:v>
      </x:c>
      <x:c r="I154" s="22" t="n">
        <x:f>IFERROR('3000rpm'!M88,"")</x:f>
        <x:v>1331.0234375</x:v>
      </x:c>
      <x:c r="J154" s="22" t="n">
        <x:f>IFERROR('3000rpm'!C86,"")</x:f>
        <x:v>157.798955613577</x:v>
      </x:c>
      <x:c r="K154" s="22" t="n">
        <x:f>IF(AND(ISNUMBER(I154),ISNUMBER(J154)),I154-J154,"")</x:f>
        <x:v>1173.224481886423</x:v>
      </x:c>
      <x:c r="L154" s="22" t="n">
        <x:f>IF(ISNUMBER(K154),K154*$B$2+$B$3,"")</x:f>
        <x:v>1103.0997438592528</x:v>
      </x:c>
      <x:c r="M154" s="22" t="n">
        <x:f>IF(AND(ISNUMBER(G154),ISNUMBER(H154),H154&lt;&gt;0),G154/(H154/60)/$B$5,"")</x:f>
        <x:v>0.04282784553121473</x:v>
      </x:c>
      <x:c r="N154" s="22" t="n">
        <x:f>IF(AND(ISNUMBER(L154),ISNUMBER(H154),H154&lt;&gt;0),L154*$B$6/$B$4/(H154/60)^2/$B$5^4/$B$7,"")</x:f>
        <x:v>0.07653556772506255</x:v>
      </x:c>
      <x:c r="O154" s="22" t="n">
        <x:f>IF(ISNUMBER(N154),N154*$B$8,"")</x:f>
        <x:v>0.009888589648998376</x:v>
      </x:c>
      <x:c r="P154" s="20" t="str">
        <x:v>3000rpm!N88</x:v>
      </x:c>
      <x:c r="Q154" s="20" t="str">
        <x:v>3000rpm!M88</x:v>
      </x:c>
      <x:c r="R154" s="20" t="str">
        <x:v>3000rpm!C86</x:v>
      </x:c>
    </x:row>
    <x:row r="155">
      <x:c r="A155" s="21" t="n">
        <x:v>3000</x:v>
      </x:c>
      <x:c r="B155" s="21" t="n">
        <x:v>45</x:v>
      </x:c>
      <x:c r="C155" s="21" t="n">
        <x:v>4</x:v>
      </x:c>
      <x:c r="D155" s="21" t="n">
        <x:v>1</x:v>
      </x:c>
      <x:c r="E155" s="21" t="str">
        <x:v>3000rpm</x:v>
      </x:c>
      <x:c r="F155" s="21" t="n">
        <x:v>89</x:v>
      </x:c>
      <x:c r="G155" s="22" t="n">
        <x:f>IFERROR('3000rpm'!D89,"")</x:f>
        <x:v>2.041509319345155</x:v>
      </x:c>
      <x:c r="H155" s="22" t="n">
        <x:f>IFERROR('3000rpm'!B89,"")</x:f>
        <x:v>3036.42179361979</x:v>
      </x:c>
      <x:c r="I155" s="22" t="n">
        <x:f>IFERROR('3000rpm'!C89,"")</x:f>
        <x:v>1214.1307371349</x:v>
      </x:c>
      <x:c r="J155" s="22" t="n">
        <x:f>IFERROR('3000rpm'!C86,"")</x:f>
        <x:v>157.798955613577</x:v>
      </x:c>
      <x:c r="K155" s="22" t="n">
        <x:f>IF(AND(ISNUMBER(I155),ISNUMBER(J155)),I155-J155,"")</x:f>
        <x:v>1056.3317815213231</x:v>
      </x:c>
      <x:c r="L155" s="22" t="n">
        <x:f>IF(ISNUMBER(K155),K155*$B$2+$B$3,"")</x:f>
        <x:v>996.0601629933277</x:v>
      </x:c>
      <x:c r="M155" s="22" t="n">
        <x:f>IF(AND(ISNUMBER(G155),ISNUMBER(H155),H155&lt;&gt;0),G155/(H155/60)/$B$5,"")</x:f>
        <x:v>0.08823366022497141</x:v>
      </x:c>
      <x:c r="N155" s="22" t="n">
        <x:f>IF(AND(ISNUMBER(L155),ISNUMBER(H155),H155&lt;&gt;0),L155*$B$6/$B$4/(H155/60)^2/$B$5^4/$B$7,"")</x:f>
        <x:v>0.07238990620798431</x:v>
      </x:c>
      <x:c r="O155" s="22" t="n">
        <x:f>IF(ISNUMBER(N155),N155*$B$8,"")</x:f>
        <x:v>0.009352959656505271</x:v>
      </x:c>
      <x:c r="P155" s="20" t="str">
        <x:v>3000rpm!D89</x:v>
      </x:c>
      <x:c r="Q155" s="20" t="str">
        <x:v>3000rpm!C89</x:v>
      </x:c>
      <x:c r="R155" s="20" t="str">
        <x:v>3000rpm!C86</x:v>
      </x:c>
    </x:row>
    <x:row r="156">
      <x:c r="A156" s="21" t="n">
        <x:v>3000</x:v>
      </x:c>
      <x:c r="B156" s="21" t="n">
        <x:v>45</x:v>
      </x:c>
      <x:c r="C156" s="21" t="n">
        <x:v>4</x:v>
      </x:c>
      <x:c r="D156" s="21" t="n">
        <x:v>2</x:v>
      </x:c>
      <x:c r="E156" s="21" t="str">
        <x:v>3000rpm</x:v>
      </x:c>
      <x:c r="F156" s="21" t="n">
        <x:v>89</x:v>
      </x:c>
      <x:c r="G156" s="22" t="n">
        <x:f>IFERROR('3000rpm'!N89,"")</x:f>
        <x:v>2.053618229481855</x:v>
      </x:c>
      <x:c r="H156" s="22" t="n">
        <x:f>IFERROR('3000rpm'!L89,"")</x:f>
        <x:v>3090.60031890869</x:v>
      </x:c>
      <x:c r="I156" s="22" t="n">
        <x:f>IFERROR('3000rpm'!M89,"")</x:f>
        <x:v>1275.97965571205</x:v>
      </x:c>
      <x:c r="J156" s="22" t="n">
        <x:f>IFERROR('3000rpm'!C86,"")</x:f>
        <x:v>157.798955613577</x:v>
      </x:c>
      <x:c r="K156" s="22" t="n">
        <x:f>IF(AND(ISNUMBER(I156),ISNUMBER(J156)),I156-J156,"")</x:f>
        <x:v>1118.1807000984732</x:v>
      </x:c>
      <x:c r="L156" s="22" t="n">
        <x:f>IF(ISNUMBER(K156),K156*$B$2+$B$3,"")</x:f>
        <x:v>1052.6957125257727</x:v>
      </x:c>
      <x:c r="M156" s="22" t="n">
        <x:f>IF(AND(ISNUMBER(G156),ISNUMBER(H156),H156&lt;&gt;0),G156/(H156/60)/$B$5,"")</x:f>
        <x:v>0.08720108614742357</x:v>
      </x:c>
      <x:c r="N156" s="22" t="n">
        <x:f>IF(AND(ISNUMBER(L156),ISNUMBER(H156),H156&lt;&gt;0),L156*$B$6/$B$4/(H156/60)^2/$B$5^4/$B$7,"")</x:f>
        <x:v>0.0738471614737837</x:v>
      </x:c>
      <x:c r="O156" s="22" t="n">
        <x:f>IF(ISNUMBER(N156),N156*$B$8,"")</x:f>
        <x:v>0.009541240736343834</x:v>
      </x:c>
      <x:c r="P156" s="20" t="str">
        <x:v>3000rpm!N89</x:v>
      </x:c>
      <x:c r="Q156" s="20" t="str">
        <x:v>3000rpm!M89</x:v>
      </x:c>
      <x:c r="R156" s="20" t="str">
        <x:v>3000rpm!C86</x:v>
      </x:c>
    </x:row>
    <x:row r="157">
      <x:c r="A157" s="21" t="n">
        <x:v>3000</x:v>
      </x:c>
      <x:c r="B157" s="21" t="n">
        <x:v>45</x:v>
      </x:c>
      <x:c r="C157" s="21" t="n">
        <x:v>5</x:v>
      </x:c>
      <x:c r="D157" s="21" t="n">
        <x:v>1</x:v>
      </x:c>
      <x:c r="E157" s="21" t="str">
        <x:v>3000rpm</x:v>
      </x:c>
      <x:c r="F157" s="21" t="n">
        <x:v>90</x:v>
      </x:c>
      <x:c r="G157" s="22" t="n">
        <x:f>IFERROR('3000rpm'!D90,"")</x:f>
        <x:v>3.075651315542355</x:v>
      </x:c>
      <x:c r="H157" s="22" t="n">
        <x:f>IFERROR('3000rpm'!B90,"")</x:f>
        <x:v>3046.03058126698</x:v>
      </x:c>
      <x:c r="I157" s="22" t="n">
        <x:f>IFERROR('3000rpm'!C90,"")</x:f>
        <x:v>1164.30277185501</x:v>
      </x:c>
      <x:c r="J157" s="22" t="n">
        <x:f>IFERROR('3000rpm'!C86,"")</x:f>
        <x:v>157.798955613577</x:v>
      </x:c>
      <x:c r="K157" s="22" t="n">
        <x:f>IF(AND(ISNUMBER(I157),ISNUMBER(J157)),I157-J157,"")</x:f>
        <x:v>1006.503816241433</x:v>
      </x:c>
      <x:c r="L157" s="22" t="n">
        <x:f>IF(ISNUMBER(K157),K157*$B$2+$B$3,"")</x:f>
        <x:v>950.43229656281</x:v>
      </x:c>
      <x:c r="M157" s="22" t="n">
        <x:f>IF(AND(ISNUMBER(G157),ISNUMBER(H157),H157&lt;&gt;0),G157/(H157/60)/$B$5,"")</x:f>
        <x:v>0.1325097600954981</x:v>
      </x:c>
      <x:c r="N157" s="22" t="n">
        <x:f>IF(AND(ISNUMBER(L157),ISNUMBER(H157),H157&lt;&gt;0),L157*$B$6/$B$4/(H157/60)^2/$B$5^4/$B$7,"")</x:f>
        <x:v>0.0686387411481658</x:v>
      </x:c>
      <x:c r="O157" s="22" t="n">
        <x:f>IF(ISNUMBER(N157),N157*$B$8,"")</x:f>
        <x:v>0.008868299607788356</x:v>
      </x:c>
      <x:c r="P157" s="20" t="str">
        <x:v>3000rpm!D90</x:v>
      </x:c>
      <x:c r="Q157" s="20" t="str">
        <x:v>3000rpm!C90</x:v>
      </x:c>
      <x:c r="R157" s="20" t="str">
        <x:v>3000rpm!C86</x:v>
      </x:c>
    </x:row>
    <x:row r="158">
      <x:c r="A158" s="21" t="n">
        <x:v>3000</x:v>
      </x:c>
      <x:c r="B158" s="21" t="n">
        <x:v>45</x:v>
      </x:c>
      <x:c r="C158" s="21" t="n">
        <x:v>5</x:v>
      </x:c>
      <x:c r="D158" s="21" t="n">
        <x:v>2</x:v>
      </x:c>
      <x:c r="E158" s="21" t="str">
        <x:v>3000rpm</x:v>
      </x:c>
      <x:c r="F158" s="21" t="n">
        <x:v>90</x:v>
      </x:c>
      <x:c r="G158" s="22" t="n">
        <x:f>IFERROR('3000rpm'!N90,"")</x:f>
        <x:v>2.867027955595395</x:v>
      </x:c>
      <x:c r="H158" s="22" t="n">
        <x:f>IFERROR('3000rpm'!L90,"")</x:f>
        <x:v>3116.89921875</x:v>
      </x:c>
      <x:c r="I158" s="22" t="n">
        <x:f>IFERROR('3000rpm'!M90,"")</x:f>
        <x:v>1237.26120857699</x:v>
      </x:c>
      <x:c r="J158" s="22" t="n">
        <x:f>IFERROR('3000rpm'!C86,"")</x:f>
        <x:v>157.798955613577</x:v>
      </x:c>
      <x:c r="K158" s="22" t="n">
        <x:f>IF(AND(ISNUMBER(I158),ISNUMBER(J158)),I158-J158,"")</x:f>
        <x:v>1079.462252963413</x:v>
      </x:c>
      <x:c r="L158" s="22" t="n">
        <x:f>IF(ISNUMBER(K158),K158*$B$2+$B$3,"")</x:f>
        <x:v>1017.2409207366209</x:v>
      </x:c>
      <x:c r="M158" s="22" t="n">
        <x:f>IF(AND(ISNUMBER(G158),ISNUMBER(H158),H158&lt;&gt;0),G158/(H158/60)/$B$5,"")</x:f>
        <x:v>0.12071304250392245</x:v>
      </x:c>
      <x:c r="N158" s="22" t="n">
        <x:f>IF(AND(ISNUMBER(L158),ISNUMBER(H158),H158&lt;&gt;0),L158*$B$6/$B$4/(H158/60)^2/$B$5^4/$B$7,"")</x:f>
        <x:v>0.07016086661849423</x:v>
      </x:c>
      <x:c r="O158" s="22" t="n">
        <x:f>IF(ISNUMBER(N158),N158*$B$8,"")</x:f>
        <x:v>0.009064962082736426</x:v>
      </x:c>
      <x:c r="P158" s="20" t="str">
        <x:v>3000rpm!N90</x:v>
      </x:c>
      <x:c r="Q158" s="20" t="str">
        <x:v>3000rpm!M90</x:v>
      </x:c>
      <x:c r="R158" s="20" t="str">
        <x:v>3000rpm!C86</x:v>
      </x:c>
    </x:row>
    <x:row r="159">
      <x:c r="A159" s="21" t="n">
        <x:v>3000</x:v>
      </x:c>
      <x:c r="B159" s="21" t="n">
        <x:v>45</x:v>
      </x:c>
      <x:c r="C159" s="21" t="n">
        <x:v>6</x:v>
      </x:c>
      <x:c r="D159" s="21" t="n">
        <x:v>1</x:v>
      </x:c>
      <x:c r="E159" s="21" t="str">
        <x:v>3000rpm</x:v>
      </x:c>
      <x:c r="F159" s="21" t="n">
        <x:v>91</x:v>
      </x:c>
      <x:c r="G159" s="22" t="n">
        <x:f>IFERROR('3000rpm'!D91,"")</x:f>
        <x:v>4.11125231493003</x:v>
      </x:c>
      <x:c r="H159" s="22" t="n">
        <x:f>IFERROR('3000rpm'!B91,"")</x:f>
        <x:v>3036.1985224971</x:v>
      </x:c>
      <x:c r="I159" s="22" t="n">
        <x:f>IFERROR('3000rpm'!C91,"")</x:f>
        <x:v>1118.42988929889</x:v>
      </x:c>
      <x:c r="J159" s="22" t="n">
        <x:f>IFERROR('3000rpm'!C86,"")</x:f>
        <x:v>157.798955613577</x:v>
      </x:c>
      <x:c r="K159" s="22" t="n">
        <x:f>IF(AND(ISNUMBER(I159),ISNUMBER(J159)),I159-J159,"")</x:f>
        <x:v>960.630933685313</x:v>
      </x:c>
      <x:c r="L159" s="22" t="n">
        <x:f>IF(ISNUMBER(K159),K159*$B$2+$B$3,"")</x:f>
        <x:v>908.4261310231105</x:v>
      </x:c>
      <x:c r="M159" s="22" t="n">
        <x:f>IF(AND(ISNUMBER(G159),ISNUMBER(H159),H159&lt;&gt;0),G159/(H159/60)/$B$5,"")</x:f>
        <x:v>0.1777006412900049</x:v>
      </x:c>
      <x:c r="N159" s="22" t="n">
        <x:f>IF(AND(ISNUMBER(L159),ISNUMBER(H159),H159&lt;&gt;0),L159*$B$6/$B$4/(H159/60)^2/$B$5^4/$B$7,"")</x:f>
        <x:v>0.06603070462862626</x:v>
      </x:c>
      <x:c r="O159" s="22" t="n">
        <x:f>IF(ISNUMBER(N159),N159*$B$8,"")</x:f>
        <x:v>0.008531334668507147</x:v>
      </x:c>
      <x:c r="P159" s="20" t="str">
        <x:v>3000rpm!D91</x:v>
      </x:c>
      <x:c r="Q159" s="20" t="str">
        <x:v>3000rpm!C91</x:v>
      </x:c>
      <x:c r="R159" s="20" t="str">
        <x:v>3000rpm!C86</x:v>
      </x:c>
    </x:row>
    <x:row r="160">
      <x:c r="A160" s="21" t="n">
        <x:v>3000</x:v>
      </x:c>
      <x:c r="B160" s="21" t="n">
        <x:v>45</x:v>
      </x:c>
      <x:c r="C160" s="21" t="n">
        <x:v>6</x:v>
      </x:c>
      <x:c r="D160" s="21" t="n">
        <x:v>2</x:v>
      </x:c>
      <x:c r="E160" s="21" t="str">
        <x:v>3000rpm</x:v>
      </x:c>
      <x:c r="F160" s="21" t="n">
        <x:v>91</x:v>
      </x:c>
      <x:c r="G160" s="22" t="n">
        <x:f>IFERROR('3000rpm'!N91,"")</x:f>
        <x:v>4.117048497402915</x:v>
      </x:c>
      <x:c r="H160" s="22" t="n">
        <x:f>IFERROR('3000rpm'!L91,"")</x:f>
        <x:v>3113.72445015285</x:v>
      </x:c>
      <x:c r="I160" s="22" t="n">
        <x:f>IFERROR('3000rpm'!M91,"")</x:f>
        <x:v>1175.12127659574</x:v>
      </x:c>
      <x:c r="J160" s="22" t="n">
        <x:f>IFERROR('3000rpm'!C86,"")</x:f>
        <x:v>157.798955613577</x:v>
      </x:c>
      <x:c r="K160" s="22" t="n">
        <x:f>IF(AND(ISNUMBER(I160),ISNUMBER(J160)),I160-J160,"")</x:f>
        <x:v>1017.3223209821631</x:v>
      </x:c>
      <x:c r="L160" s="22" t="n">
        <x:f>IF(ISNUMBER(K160),K160*$B$2+$B$3,"")</x:f>
        <x:v>960.3388879019345</x:v>
      </x:c>
      <x:c r="M160" s="22" t="n">
        <x:f>IF(AND(ISNUMBER(G160),ISNUMBER(H160),H160&lt;&gt;0),G160/(H160/60)/$B$5,"")</x:f>
        <x:v>0.1735205176465792</x:v>
      </x:c>
      <x:c r="N160" s="22" t="n">
        <x:f>IF(AND(ISNUMBER(L160),ISNUMBER(H160),H160&lt;&gt;0),L160*$B$6/$B$4/(H160/60)^2/$B$5^4/$B$7,"")</x:f>
        <x:v>0.066371373379601</x:v>
      </x:c>
      <x:c r="O160" s="22" t="n">
        <x:f>IF(ISNUMBER(N160),N160*$B$8,"")</x:f>
        <x:v>0.008575349935980272</x:v>
      </x:c>
      <x:c r="P160" s="20" t="str">
        <x:v>3000rpm!N91</x:v>
      </x:c>
      <x:c r="Q160" s="20" t="str">
        <x:v>3000rpm!M91</x:v>
      </x:c>
      <x:c r="R160" s="20" t="str">
        <x:v>3000rpm!C86</x:v>
      </x:c>
    </x:row>
    <x:row r="161">
      <x:c r="A161" s="21" t="n">
        <x:v>3000</x:v>
      </x:c>
      <x:c r="B161" s="21" t="n">
        <x:v>45</x:v>
      </x:c>
      <x:c r="C161" s="21" t="n">
        <x:v>7</x:v>
      </x:c>
      <x:c r="D161" s="21" t="n">
        <x:v>1</x:v>
      </x:c>
      <x:c r="E161" s="21" t="str">
        <x:v>3000rpm</x:v>
      </x:c>
      <x:c r="F161" s="21" t="n">
        <x:v>92</x:v>
      </x:c>
      <x:c r="G161" s="22" t="n">
        <x:f>IFERROR('3000rpm'!D92,"")</x:f>
        <x:v>5.139208597796295</x:v>
      </x:c>
      <x:c r="H161" s="22" t="n">
        <x:f>IFERROR('3000rpm'!B92,"")</x:f>
        <x:v>3044.26960245768</x:v>
      </x:c>
      <x:c r="I161" s="22" t="n">
        <x:f>IFERROR('3000rpm'!C92,"")</x:f>
        <x:v>1073.58613445378</x:v>
      </x:c>
      <x:c r="J161" s="22" t="n">
        <x:f>IFERROR('3000rpm'!C86,"")</x:f>
        <x:v>157.798955613577</x:v>
      </x:c>
      <x:c r="K161" s="22" t="n">
        <x:f>IF(AND(ISNUMBER(I161),ISNUMBER(J161)),I161-J161,"")</x:f>
        <x:v>915.7871788402031</x:v>
      </x:c>
      <x:c r="L161" s="22" t="n">
        <x:f>IF(ISNUMBER(K161),K161*$B$2+$B$3,"")</x:f>
        <x:v>867.3623459614046</x:v>
      </x:c>
      <x:c r="M161" s="22" t="n">
        <x:f>IF(AND(ISNUMBER(G161),ISNUMBER(H161),H161&lt;&gt;0),G161/(H161/60)/$B$5,"")</x:f>
        <x:v>0.2215430667879414</x:v>
      </x:c>
      <x:c r="N161" s="22" t="n">
        <x:f>IF(AND(ISNUMBER(L161),ISNUMBER(H161),H161&lt;&gt;0),L161*$B$6/$B$4/(H161/60)^2/$B$5^4/$B$7,"")</x:f>
        <x:v>0.06271204814267384</x:v>
      </x:c>
      <x:c r="O161" s="22" t="n">
        <x:f>IF(ISNUMBER(N161),N161*$B$8,"")</x:f>
        <x:v>0.008102555825532364</x:v>
      </x:c>
      <x:c r="P161" s="20" t="str">
        <x:v>3000rpm!D92</x:v>
      </x:c>
      <x:c r="Q161" s="20" t="str">
        <x:v>3000rpm!C92</x:v>
      </x:c>
      <x:c r="R161" s="20" t="str">
        <x:v>3000rpm!C86</x:v>
      </x:c>
    </x:row>
    <x:row r="162">
      <x:c r="A162" s="21" t="n">
        <x:v>3000</x:v>
      </x:c>
      <x:c r="B162" s="21" t="n">
        <x:v>45</x:v>
      </x:c>
      <x:c r="C162" s="21" t="n">
        <x:v>7</x:v>
      </x:c>
      <x:c r="D162" s="21" t="n">
        <x:v>2</x:v>
      </x:c>
      <x:c r="E162" s="21" t="str">
        <x:v>3000rpm</x:v>
      </x:c>
      <x:c r="F162" s="21" t="n">
        <x:v>92</x:v>
      </x:c>
      <x:c r="G162" s="22" t="n">
        <x:f>IFERROR('3000rpm'!N92,"")</x:f>
        <x:v>5.140581899500905</x:v>
      </x:c>
      <x:c r="H162" s="22" t="n">
        <x:f>IFERROR('3000rpm'!L92,"")</x:f>
        <x:v>3117.5763898577</x:v>
      </x:c>
      <x:c r="I162" s="22" t="n">
        <x:f>IFERROR('3000rpm'!M92,"")</x:f>
        <x:v>1133.51504424778</x:v>
      </x:c>
      <x:c r="J162" s="22" t="n">
        <x:f>IFERROR('3000rpm'!C86,"")</x:f>
        <x:v>157.798955613577</x:v>
      </x:c>
      <x:c r="K162" s="22" t="n">
        <x:f>IF(AND(ISNUMBER(I162),ISNUMBER(J162)),I162-J162,"")</x:f>
        <x:v>975.7160886342031</x:v>
      </x:c>
      <x:c r="L162" s="22" t="n">
        <x:f>IF(ISNUMBER(K162),K162*$B$2+$B$3,"")</x:f>
        <x:v>922.2397280910487</x:v>
      </x:c>
      <x:c r="M162" s="22" t="n">
        <x:f>IF(AND(ISNUMBER(G162),ISNUMBER(H162),H162&lt;&gt;0),G162/(H162/60)/$B$5,"")</x:f>
        <x:v>0.21639150507211435</x:v>
      </x:c>
      <x:c r="N162" s="22" t="n">
        <x:f>IF(AND(ISNUMBER(L162),ISNUMBER(H162),H162&lt;&gt;0),L162*$B$6/$B$4/(H162/60)^2/$B$5^4/$B$7,"")</x:f>
        <x:v>0.06358084007811361</x:v>
      </x:c>
      <x:c r="O162" s="22" t="n">
        <x:f>IF(ISNUMBER(N162),N162*$B$8,"")</x:f>
        <x:v>0.008214805949171412</x:v>
      </x:c>
      <x:c r="P162" s="20" t="str">
        <x:v>3000rpm!N92</x:v>
      </x:c>
      <x:c r="Q162" s="20" t="str">
        <x:v>3000rpm!M92</x:v>
      </x:c>
      <x:c r="R162" s="20" t="str">
        <x:v>3000rpm!C86</x:v>
      </x:c>
    </x:row>
    <x:row r="163">
      <x:c r="A163" s="21" t="n">
        <x:v>3000</x:v>
      </x:c>
      <x:c r="B163" s="21" t="n">
        <x:v>45</x:v>
      </x:c>
      <x:c r="C163" s="21" t="n">
        <x:v>8</x:v>
      </x:c>
      <x:c r="D163" s="21" t="n">
        <x:v>1</x:v>
      </x:c>
      <x:c r="E163" s="21" t="str">
        <x:v>3000rpm</x:v>
      </x:c>
      <x:c r="F163" s="21" t="n">
        <x:v>93</x:v>
      </x:c>
      <x:c r="G163" s="22" t="n">
        <x:f>IFERROR('3000rpm'!D93,"")</x:f>
        <x:v>6.165229777010476</x:v>
      </x:c>
      <x:c r="H163" s="22" t="n">
        <x:f>IFERROR('3000rpm'!B93,"")</x:f>
        <x:v>3057.50725301106</x:v>
      </x:c>
      <x:c r="I163" s="22" t="n">
        <x:f>IFERROR('3000rpm'!C93,"")</x:f>
        <x:v>1033.41547861507</x:v>
      </x:c>
      <x:c r="J163" s="22" t="n">
        <x:f>IFERROR('3000rpm'!C86,"")</x:f>
        <x:v>157.798955613577</x:v>
      </x:c>
      <x:c r="K163" s="22" t="n">
        <x:f>IF(AND(ISNUMBER(I163),ISNUMBER(J163)),I163-J163,"")</x:f>
        <x:v>875.6165230014931</x:v>
      </x:c>
      <x:c r="L163" s="22" t="n">
        <x:f>IF(ISNUMBER(K163),K163*$B$2+$B$3,"")</x:f>
        <x:v>830.5777550446512</x:v>
      </x:c>
      <x:c r="M163" s="22" t="n">
        <x:f>IF(AND(ISNUMBER(G163),ISNUMBER(H163),H163&lt;&gt;0),G163/(H163/60)/$B$5,"")</x:f>
        <x:v>0.26462251946475646</x:v>
      </x:c>
      <x:c r="N163" s="22" t="n">
        <x:f>IF(AND(ISNUMBER(L163),ISNUMBER(H163),H163&lt;&gt;0),L163*$B$6/$B$4/(H163/60)^2/$B$5^4/$B$7,"")</x:f>
        <x:v>0.05953357272769415</x:v>
      </x:c>
      <x:c r="O163" s="22" t="n">
        <x:f>IF(ISNUMBER(N163),N163*$B$8,"")</x:f>
        <x:v>0.007691888732801417</x:v>
      </x:c>
      <x:c r="P163" s="20" t="str">
        <x:v>3000rpm!D93</x:v>
      </x:c>
      <x:c r="Q163" s="20" t="str">
        <x:v>3000rpm!C93</x:v>
      </x:c>
      <x:c r="R163" s="20" t="str">
        <x:v>3000rpm!C86</x:v>
      </x:c>
    </x:row>
    <x:row r="164">
      <x:c r="A164" s="21" t="n">
        <x:v>3000</x:v>
      </x:c>
      <x:c r="B164" s="21" t="n">
        <x:v>45</x:v>
      </x:c>
      <x:c r="C164" s="21" t="n">
        <x:v>8</x:v>
      </x:c>
      <x:c r="D164" s="21" t="n">
        <x:v>2</x:v>
      </x:c>
      <x:c r="E164" s="21" t="str">
        <x:v>3000rpm</x:v>
      </x:c>
      <x:c r="F164" s="21" t="n">
        <x:v>93</x:v>
      </x:c>
      <x:c r="G164" s="22" t="n">
        <x:f>IFERROR('3000rpm'!N93,"")</x:f>
        <x:v>6.168036422387356</x:v>
      </x:c>
      <x:c r="H164" s="22" t="n">
        <x:f>IFERROR('3000rpm'!L93,"")</x:f>
        <x:v>3132.83446155894</x:v>
      </x:c>
      <x:c r="I164" s="22" t="n">
        <x:f>IFERROR('3000rpm'!M93,"")</x:f>
        <x:v>1091.87472035794</x:v>
      </x:c>
      <x:c r="J164" s="22" t="n">
        <x:f>IFERROR('3000rpm'!C86,"")</x:f>
        <x:v>157.798955613577</x:v>
      </x:c>
      <x:c r="K164" s="22" t="n">
        <x:f>IF(AND(ISNUMBER(I164),ISNUMBER(J164)),I164-J164,"")</x:f>
        <x:v>934.0757647443631</x:v>
      </x:c>
      <x:c r="L164" s="22" t="n">
        <x:f>IF(ISNUMBER(K164),K164*$B$2+$B$3,"")</x:f>
        <x:v>884.1093503825313</x:v>
      </x:c>
      <x:c r="M164" s="22" t="n">
        <x:f>IF(AND(ISNUMBER(G164),ISNUMBER(H164),H164&lt;&gt;0),G164/(H164/60)/$B$5,"")</x:f>
        <x:v>0.2583773923170212</x:v>
      </x:c>
      <x:c r="N164" s="22" t="n">
        <x:f>IF(AND(ISNUMBER(L164),ISNUMBER(H164),H164&lt;&gt;0),L164*$B$6/$B$4/(H164/60)^2/$B$5^4/$B$7,"")</x:f>
        <x:v>0.060359791577505276</x:v>
      </x:c>
      <x:c r="O164" s="22" t="n">
        <x:f>IF(ISNUMBER(N164),N164*$B$8,"")</x:f>
        <x:v>0.0077986383056980225</x:v>
      </x:c>
      <x:c r="P164" s="20" t="str">
        <x:v>3000rpm!N93</x:v>
      </x:c>
      <x:c r="Q164" s="20" t="str">
        <x:v>3000rpm!M93</x:v>
      </x:c>
      <x:c r="R164" s="20" t="str">
        <x:v>3000rpm!C86</x:v>
      </x:c>
    </x:row>
    <x:row r="165">
      <x:c r="A165" s="21" t="n">
        <x:v>3000</x:v>
      </x:c>
      <x:c r="B165" s="21" t="n">
        <x:v>45</x:v>
      </x:c>
      <x:c r="C165" s="21" t="n">
        <x:v>9</x:v>
      </x:c>
      <x:c r="D165" s="21" t="n">
        <x:v>1</x:v>
      </x:c>
      <x:c r="E165" s="21" t="str">
        <x:v>3000rpm</x:v>
      </x:c>
      <x:c r="F165" s="21" t="n">
        <x:v>94</x:v>
      </x:c>
      <x:c r="G165" s="22" t="n">
        <x:f>IFERROR('3000rpm'!D94,"")</x:f>
        <x:v>7.192389364940356</x:v>
      </x:c>
      <x:c r="H165" s="22" t="n">
        <x:f>IFERROR('3000rpm'!B94,"")</x:f>
        <x:v>3063.56025390625</x:v>
      </x:c>
      <x:c r="I165" s="22" t="n">
        <x:f>IFERROR('3000rpm'!C94,"")</x:f>
        <x:v>995.60294117647</x:v>
      </x:c>
      <x:c r="J165" s="22" t="n">
        <x:f>IFERROR('3000rpm'!C86,"")</x:f>
        <x:v>157.798955613577</x:v>
      </x:c>
      <x:c r="K165" s="22" t="n">
        <x:f>IF(AND(ISNUMBER(I165),ISNUMBER(J165)),I165-J165,"")</x:f>
        <x:v>837.8039855628931</x:v>
      </x:c>
      <x:c r="L165" s="22" t="n">
        <x:f>IF(ISNUMBER(K165),K165*$B$2+$B$3,"")</x:f>
        <x:v>795.9525120118257</x:v>
      </x:c>
      <x:c r="M165" s="22" t="n">
        <x:f>IF(AND(ISNUMBER(G165),ISNUMBER(H165),H165&lt;&gt;0),G165/(H165/60)/$B$5,"")</x:f>
        <x:v>0.30810006676221263</x:v>
      </x:c>
      <x:c r="N165" s="22" t="n">
        <x:f>IF(AND(ISNUMBER(L165),ISNUMBER(H165),H165&lt;&gt;0),L165*$B$6/$B$4/(H165/60)^2/$B$5^4/$B$7,"")</x:f>
        <x:v>0.05682650513710654</x:v>
      </x:c>
      <x:c r="O165" s="22" t="n">
        <x:f>IF(ISNUMBER(N165),N165*$B$8,"")</x:f>
        <x:v>0.007342128727733111</x:v>
      </x:c>
      <x:c r="P165" s="20" t="str">
        <x:v>3000rpm!D94</x:v>
      </x:c>
      <x:c r="Q165" s="20" t="str">
        <x:v>3000rpm!C94</x:v>
      </x:c>
      <x:c r="R165" s="20" t="str">
        <x:v>3000rpm!C86</x:v>
      </x:c>
    </x:row>
    <x:row r="166">
      <x:c r="A166" s="21" t="n">
        <x:v>3000</x:v>
      </x:c>
      <x:c r="B166" s="21" t="n">
        <x:v>45</x:v>
      </x:c>
      <x:c r="C166" s="21" t="n">
        <x:v>9</x:v>
      </x:c>
      <x:c r="D166" s="21" t="n">
        <x:v>2</x:v>
      </x:c>
      <x:c r="E166" s="21" t="str">
        <x:v>3000rpm</x:v>
      </x:c>
      <x:c r="F166" s="21" t="n">
        <x:v>94</x:v>
      </x:c>
      <x:c r="G166" s="22" t="n">
        <x:f>IFERROR('3000rpm'!N94,"")</x:f>
        <x:v>7.187154792506115</x:v>
      </x:c>
      <x:c r="H166" s="22" t="n">
        <x:f>IFERROR('3000rpm'!L94,"")</x:f>
        <x:v>3156.10599949048</x:v>
      </x:c>
      <x:c r="I166" s="22" t="n">
        <x:f>IFERROR('3000rpm'!M94,"")</x:f>
        <x:v>1048.14008620689</x:v>
      </x:c>
      <x:c r="J166" s="22" t="n">
        <x:f>IFERROR('3000rpm'!C86,"")</x:f>
        <x:v>157.798955613577</x:v>
      </x:c>
      <x:c r="K166" s="22" t="n">
        <x:f>IF(AND(ISNUMBER(I166),ISNUMBER(J166)),I166-J166,"")</x:f>
        <x:v>890.341130593313</x:v>
      </x:c>
      <x:c r="L166" s="22" t="n">
        <x:f>IF(ISNUMBER(K166),K166*$B$2+$B$3,"")</x:f>
        <x:v>844.0611960133414</x:v>
      </x:c>
      <x:c r="M166" s="22" t="n">
        <x:f>IF(AND(ISNUMBER(G166),ISNUMBER(H166),H166&lt;&gt;0),G166/(H166/60)/$B$5,"")</x:f>
        <x:v>0.2988480637683976</x:v>
      </x:c>
      <x:c r="N166" s="22" t="n">
        <x:f>IF(AND(ISNUMBER(L166),ISNUMBER(H166),H166&lt;&gt;0),L166*$B$6/$B$4/(H166/60)^2/$B$5^4/$B$7,"")</x:f>
        <x:v>0.05677895771916948</x:v>
      </x:c>
      <x:c r="O166" s="22" t="n">
        <x:f>IF(ISNUMBER(N166),N166*$B$8,"")</x:f>
        <x:v>0.007335985480628208</x:v>
      </x:c>
      <x:c r="P166" s="20" t="str">
        <x:v>3000rpm!N94</x:v>
      </x:c>
      <x:c r="Q166" s="20" t="str">
        <x:v>3000rpm!M94</x:v>
      </x:c>
      <x:c r="R166" s="20" t="str">
        <x:v>3000rpm!C86</x:v>
      </x:c>
    </x:row>
    <x:row r="167">
      <x:c r="A167" s="21" t="n">
        <x:v>3000</x:v>
      </x:c>
      <x:c r="B167" s="21" t="n">
        <x:v>45</x:v>
      </x:c>
      <x:c r="C167" s="21" t="n">
        <x:v>10</x:v>
      </x:c>
      <x:c r="D167" s="21" t="n">
        <x:v>1</x:v>
      </x:c>
      <x:c r="E167" s="21" t="str">
        <x:v>3000rpm</x:v>
      </x:c>
      <x:c r="F167" s="21" t="n">
        <x:v>95</x:v>
      </x:c>
      <x:c r="G167" s="22" t="n">
        <x:f>IFERROR('3000rpm'!D95,"")</x:f>
        <x:v>8.204516980510485</x:v>
      </x:c>
      <x:c r="H167" s="22" t="n">
        <x:f>IFERROR('3000rpm'!B95,"")</x:f>
        <x:v>3058.01925223214</x:v>
      </x:c>
      <x:c r="I167" s="22" t="n">
        <x:f>IFERROR('3000rpm'!C95,"")</x:f>
        <x:v>954.405275779376</x:v>
      </x:c>
      <x:c r="J167" s="22" t="n">
        <x:f>IFERROR('3000rpm'!C86,"")</x:f>
        <x:v>157.798955613577</x:v>
      </x:c>
      <x:c r="K167" s="22" t="n">
        <x:f>IF(AND(ISNUMBER(I167),ISNUMBER(J167)),I167-J167,"")</x:f>
        <x:v>796.6063201657989</x:v>
      </x:c>
      <x:c r="L167" s="22" t="n">
        <x:f>IF(ISNUMBER(K167),K167*$B$2+$B$3,"")</x:f>
        <x:v>758.2274802263834</x:v>
      </x:c>
      <x:c r="M167" s="22" t="n">
        <x:f>IF(AND(ISNUMBER(G167),ISNUMBER(H167),H167&lt;&gt;0),G167/(H167/60)/$B$5,"")</x:f>
        <x:v>0.3520933572844365</x:v>
      </x:c>
      <x:c r="N167" s="22" t="n">
        <x:f>IF(AND(ISNUMBER(L167),ISNUMBER(H167),H167&lt;&gt;0),L167*$B$6/$B$4/(H167/60)^2/$B$5^4/$B$7,"")</x:f>
        <x:v>0.054329503045408296</x:v>
      </x:c>
      <x:c r="O167" s="22" t="n">
        <x:f>IF(ISNUMBER(N167),N167*$B$8,"")</x:f>
        <x:v>0.007019509718409307</x:v>
      </x:c>
      <x:c r="P167" s="20" t="str">
        <x:v>3000rpm!D95</x:v>
      </x:c>
      <x:c r="Q167" s="20" t="str">
        <x:v>3000rpm!C95</x:v>
      </x:c>
      <x:c r="R167" s="20" t="str">
        <x:v>3000rpm!C86</x:v>
      </x:c>
    </x:row>
    <x:row r="168">
      <x:c r="A168" s="21" t="n">
        <x:v>3000</x:v>
      </x:c>
      <x:c r="B168" s="21" t="n">
        <x:v>45</x:v>
      </x:c>
      <x:c r="C168" s="21" t="n">
        <x:v>10</x:v>
      </x:c>
      <x:c r="D168" s="21" t="n">
        <x:v>2</x:v>
      </x:c>
      <x:c r="E168" s="21" t="str">
        <x:v>3000rpm</x:v>
      </x:c>
      <x:c r="F168" s="21" t="n">
        <x:v>95</x:v>
      </x:c>
      <x:c r="G168" s="22" t="n">
        <x:f>IFERROR('3000rpm'!N95,"")</x:f>
        <x:v>8.20538712369984</x:v>
      </x:c>
      <x:c r="H168" s="22" t="n">
        <x:f>IFERROR('3000rpm'!L95,"")</x:f>
        <x:v>3117.5936748798</x:v>
      </x:c>
      <x:c r="I168" s="22" t="n">
        <x:f>IFERROR('3000rpm'!M95,"")</x:f>
        <x:v>1004.85086042065</x:v>
      </x:c>
      <x:c r="J168" s="22" t="n">
        <x:f>IFERROR('3000rpm'!C86,"")</x:f>
        <x:v>157.798955613577</x:v>
      </x:c>
      <x:c r="K168" s="22" t="n">
        <x:f>IF(AND(ISNUMBER(I168),ISNUMBER(J168)),I168-J168,"")</x:f>
        <x:v>847.051904807073</x:v>
      </x:c>
      <x:c r="L168" s="22" t="n">
        <x:f>IF(ISNUMBER(K168),K168*$B$2+$B$3,"")</x:f>
        <x:v>804.4209056470752</x:v>
      </x:c>
      <x:c r="M168" s="22" t="n">
        <x:f>IF(AND(ISNUMBER(G168),ISNUMBER(H168),H168&lt;&gt;0),G168/(H168/60)/$B$5,"")</x:f>
        <x:v>0.3454017968585897</x:v>
      </x:c>
      <x:c r="N168" s="22" t="n">
        <x:f>IF(AND(ISNUMBER(L168),ISNUMBER(H168),H168&lt;&gt;0),L168*$B$6/$B$4/(H168/60)^2/$B$5^4/$B$7,"")</x:f>
        <x:v>0.05545758685238621</x:v>
      </x:c>
      <x:c r="O168" s="22" t="n">
        <x:f>IF(ISNUMBER(N168),N168*$B$8,"")</x:f>
        <x:v>0.007165261010108834</x:v>
      </x:c>
      <x:c r="P168" s="20" t="str">
        <x:v>3000rpm!N95</x:v>
      </x:c>
      <x:c r="Q168" s="20" t="str">
        <x:v>3000rpm!M95</x:v>
      </x:c>
      <x:c r="R168" s="20" t="str">
        <x:v>3000rpm!C86</x:v>
      </x:c>
    </x:row>
    <x:row r="169">
      <x:c r="A169" s="21" t="n">
        <x:v>3000</x:v>
      </x:c>
      <x:c r="B169" s="21" t="n">
        <x:v>45</x:v>
      </x:c>
      <x:c r="C169" s="21" t="n">
        <x:v>11</x:v>
      </x:c>
      <x:c r="D169" s="21" t="n">
        <x:v>1</x:v>
      </x:c>
      <x:c r="E169" s="21" t="str">
        <x:v>3000rpm</x:v>
      </x:c>
      <x:c r="F169" s="21" t="n">
        <x:v>96</x:v>
      </x:c>
      <x:c r="G169" s="22" t="n">
        <x:f>IFERROR('3000rpm'!D96,"")</x:f>
        <x:v>9.22486936129056</x:v>
      </x:c>
      <x:c r="H169" s="22" t="n">
        <x:f>IFERROR('3000rpm'!B96,"")</x:f>
        <x:v>3090.95319010416</x:v>
      </x:c>
      <x:c r="I169" s="22" t="n">
        <x:f>IFERROR('3000rpm'!C96,"")</x:f>
        <x:v>916.951505016722</x:v>
      </x:c>
      <x:c r="J169" s="22" t="n">
        <x:f>IFERROR('3000rpm'!C86,"")</x:f>
        <x:v>157.798955613577</x:v>
      </x:c>
      <x:c r="K169" s="22" t="n">
        <x:f>IF(AND(ISNUMBER(I169),ISNUMBER(J169)),I169-J169,"")</x:f>
        <x:v>759.152549403145</x:v>
      </x:c>
      <x:c r="L169" s="22" t="n">
        <x:f>IF(ISNUMBER(K169),K169*$B$2+$B$3,"")</x:f>
        <x:v>723.9307627088551</x:v>
      </x:c>
      <x:c r="M169" s="22" t="n">
        <x:f>IF(AND(ISNUMBER(G169),ISNUMBER(H169),H169&lt;&gt;0),G169/(H169/60)/$B$5,"")</x:f>
        <x:v>0.39166325162997906</x:v>
      </x:c>
      <x:c r="N169" s="22" t="n">
        <x:f>IF(AND(ISNUMBER(L169),ISNUMBER(H169),H169&lt;&gt;0),L169*$B$6/$B$4/(H169/60)^2/$B$5^4/$B$7,"")</x:f>
        <x:v>0.050772531581746015</x:v>
      </x:c>
      <x:c r="O169" s="22" t="n">
        <x:f>IF(ISNUMBER(N169),N169*$B$8,"")</x:f>
        <x:v>0.006559939975310172</x:v>
      </x:c>
      <x:c r="P169" s="20" t="str">
        <x:v>3000rpm!D96</x:v>
      </x:c>
      <x:c r="Q169" s="20" t="str">
        <x:v>3000rpm!C96</x:v>
      </x:c>
      <x:c r="R169" s="20" t="str">
        <x:v>3000rpm!C86</x:v>
      </x:c>
    </x:row>
    <x:row r="170">
      <x:c r="A170" s="21" t="n">
        <x:v>3000</x:v>
      </x:c>
      <x:c r="B170" s="21" t="n">
        <x:v>45</x:v>
      </x:c>
      <x:c r="C170" s="21" t="n">
        <x:v>11</x:v>
      </x:c>
      <x:c r="D170" s="21" t="n">
        <x:v>2</x:v>
      </x:c>
      <x:c r="E170" s="21" t="str">
        <x:v>3000rpm</x:v>
      </x:c>
      <x:c r="F170" s="21" t="n">
        <x:v>96</x:v>
      </x:c>
      <x:c r="G170" s="22" t="n">
        <x:f>IFERROR('3000rpm'!N96,"")</x:f>
        <x:v>9.22765955214804</x:v>
      </x:c>
      <x:c r="H170" s="22" t="n">
        <x:f>IFERROR('3000rpm'!L96,"")</x:f>
        <x:v>3148.48740641276</x:v>
      </x:c>
      <x:c r="I170" s="22" t="n">
        <x:f>IFERROR('3000rpm'!M96,"")</x:f>
        <x:v>960.906581740976</x:v>
      </x:c>
      <x:c r="J170" s="22" t="n">
        <x:f>IFERROR('3000rpm'!C86,"")</x:f>
        <x:v>157.798955613577</x:v>
      </x:c>
      <x:c r="K170" s="22" t="n">
        <x:f>IF(AND(ISNUMBER(I170),ISNUMBER(J170)),I170-J170,"")</x:f>
        <x:v>803.107626127399</x:v>
      </x:c>
      <x:c r="L170" s="22" t="n">
        <x:f>IF(ISNUMBER(K170),K170*$B$2+$B$3,"")</x:f>
        <x:v>764.1807781058683</x:v>
      </x:c>
      <x:c r="M170" s="22" t="n">
        <x:f>IF(AND(ISNUMBER(G170),ISNUMBER(H170),H170&lt;&gt;0),G170/(H170/60)/$B$5,"")</x:f>
        <x:v>0.38462245120782673</x:v>
      </x:c>
      <x:c r="N170" s="22" t="n">
        <x:f>IF(AND(ISNUMBER(L170),ISNUMBER(H170),H170&lt;&gt;0),L170*$B$6/$B$4/(H170/60)^2/$B$5^4/$B$7,"")</x:f>
        <x:v>0.051654579568883814</x:v>
      </x:c>
      <x:c r="O170" s="22" t="n">
        <x:f>IF(ISNUMBER(N170),N170*$B$8,"")</x:f>
        <x:v>0.00667390281448141</x:v>
      </x:c>
      <x:c r="P170" s="20" t="str">
        <x:v>3000rpm!N96</x:v>
      </x:c>
      <x:c r="Q170" s="20" t="str">
        <x:v>3000rpm!M96</x:v>
      </x:c>
      <x:c r="R170" s="20" t="str">
        <x:v>3000rpm!C86</x:v>
      </x:c>
    </x:row>
    <x:row r="171">
      <x:c r="A171" s="21" t="n">
        <x:v>3000</x:v>
      </x:c>
      <x:c r="B171" s="21" t="n">
        <x:v>45</x:v>
      </x:c>
      <x:c r="C171" s="21" t="n">
        <x:v>12</x:v>
      </x:c>
      <x:c r="D171" s="21" t="n">
        <x:v>1</x:v>
      </x:c>
      <x:c r="E171" s="21" t="str">
        <x:v>3000rpm</x:v>
      </x:c>
      <x:c r="F171" s="21" t="n">
        <x:v>97</x:v>
      </x:c>
      <x:c r="G171" s="22" t="n">
        <x:f>IFERROR('3000rpm'!D97,"")</x:f>
        <x:v>10.160260488589605</x:v>
      </x:c>
      <x:c r="H171" s="22" t="n">
        <x:f>IFERROR('3000rpm'!B97,"")</x:f>
        <x:v>3103.84811837332</x:v>
      </x:c>
      <x:c r="I171" s="22" t="n">
        <x:f>IFERROR('3000rpm'!C97,"")</x:f>
        <x:v>862.211805555555</x:v>
      </x:c>
      <x:c r="J171" s="22" t="n">
        <x:f>IFERROR('3000rpm'!C86,"")</x:f>
        <x:v>157.798955613577</x:v>
      </x:c>
      <x:c r="K171" s="22" t="n">
        <x:f>IF(AND(ISNUMBER(I171),ISNUMBER(J171)),I171-J171,"")</x:f>
        <x:v>704.412849941978</x:v>
      </x:c>
      <x:c r="L171" s="22" t="n">
        <x:f>IF(ISNUMBER(K171),K171*$B$2+$B$3,"")</x:f>
        <x:v>673.8051819946687</x:v>
      </x:c>
      <x:c r="M171" s="22" t="n">
        <x:f>IF(AND(ISNUMBER(G171),ISNUMBER(H171),H171&lt;&gt;0),G171/(H171/60)/$B$5,"")</x:f>
        <x:v>0.42958529777752463</x:v>
      </x:c>
      <x:c r="N171" s="22" t="n">
        <x:f>IF(AND(ISNUMBER(L171),ISNUMBER(H171),H171&lt;&gt;0),L171*$B$6/$B$4/(H171/60)^2/$B$5^4/$B$7,"")</x:f>
        <x:v>0.04686515589813081</x:v>
      </x:c>
      <x:c r="O171" s="22" t="n">
        <x:f>IF(ISNUMBER(N171),N171*$B$8,"")</x:f>
        <x:v>0.006055097117430742</x:v>
      </x:c>
      <x:c r="P171" s="20" t="str">
        <x:v>3000rpm!D97</x:v>
      </x:c>
      <x:c r="Q171" s="20" t="str">
        <x:v>3000rpm!C97</x:v>
      </x:c>
      <x:c r="R171" s="20" t="str">
        <x:v>3000rpm!C86</x:v>
      </x:c>
    </x:row>
    <x:row r="172">
      <x:c r="A172" s="21" t="n">
        <x:v>3000</x:v>
      </x:c>
      <x:c r="B172" s="21" t="n">
        <x:v>45</x:v>
      </x:c>
      <x:c r="C172" s="21" t="n">
        <x:v>12</x:v>
      </x:c>
      <x:c r="D172" s="21" t="n">
        <x:v>2</x:v>
      </x:c>
      <x:c r="E172" s="21" t="str">
        <x:v>3000rpm</x:v>
      </x:c>
      <x:c r="F172" s="21" t="n">
        <x:v>97</x:v>
      </x:c>
      <x:c r="G172" s="22" t="n">
        <x:f>IFERROR('3000rpm'!N97,"")</x:f>
        <x:v>10.170850906081979</x:v>
      </x:c>
      <x:c r="H172" s="22" t="n">
        <x:f>IFERROR('3000rpm'!L97,"")</x:f>
        <x:v>3163.00762469951</x:v>
      </x:c>
      <x:c r="I172" s="22" t="n">
        <x:f>IFERROR('3000rpm'!M97,"")</x:f>
        <x:v>906.562737642585</x:v>
      </x:c>
      <x:c r="J172" s="22" t="n">
        <x:f>IFERROR('3000rpm'!C86,"")</x:f>
        <x:v>157.798955613577</x:v>
      </x:c>
      <x:c r="K172" s="22" t="n">
        <x:f>IF(AND(ISNUMBER(I172),ISNUMBER(J172)),I172-J172,"")</x:f>
        <x:v>748.7637820290081</x:v>
      </x:c>
      <x:c r="L172" s="22" t="n">
        <x:f>IF(ISNUMBER(K172),K172*$B$2+$B$3,"")</x:f>
        <x:v>714.4176853142189</x:v>
      </x:c>
      <x:c r="M172" s="22" t="n">
        <x:f>IF(AND(ISNUMBER(G172),ISNUMBER(H172),H172&lt;&gt;0),G172/(H172/60)/$B$5,"")</x:f>
        <x:v>0.4219899207112942</x:v>
      </x:c>
      <x:c r="N172" s="22" t="n">
        <x:f>IF(AND(ISNUMBER(L172),ISNUMBER(H172),H172&lt;&gt;0),L172*$B$6/$B$4/(H172/60)^2/$B$5^4/$B$7,"")</x:f>
        <x:v>0.04784850377649664</x:v>
      </x:c>
      <x:c r="O172" s="22" t="n">
        <x:f>IF(ISNUMBER(N172),N172*$B$8,"")</x:f>
        <x:v>0.006182148159716126</x:v>
      </x:c>
      <x:c r="P172" s="20" t="str">
        <x:v>3000rpm!N97</x:v>
      </x:c>
      <x:c r="Q172" s="20" t="str">
        <x:v>3000rpm!M97</x:v>
      </x:c>
      <x:c r="R172" s="20" t="str">
        <x:v>3000rpm!C86</x:v>
      </x:c>
    </x:row>
    <x:row r="173">
      <x:c r="A173" s="21" t="n">
        <x:v>3000</x:v>
      </x:c>
      <x:c r="B173" s="21" t="n">
        <x:v>45</x:v>
      </x:c>
      <x:c r="C173" s="21" t="n">
        <x:v>13</x:v>
      </x:c>
      <x:c r="D173" s="21" t="n">
        <x:v>1</x:v>
      </x:c>
      <x:c r="E173" s="21" t="str">
        <x:v>3000rpm</x:v>
      </x:c>
      <x:c r="F173" s="21" t="n">
        <x:v>98</x:v>
      </x:c>
      <x:c r="G173" s="22" t="n">
        <x:f>IFERROR('3000rpm'!D98,"")</x:f>
        <x:v>9.230619210263956</x:v>
      </x:c>
      <x:c r="H173" s="22" t="n">
        <x:f>IFERROR('3000rpm'!B98,"")</x:f>
        <x:v>3094.77072482638</x:v>
      </x:c>
      <x:c r="I173" s="22" t="n">
        <x:f>IFERROR('3000rpm'!C98,"")</x:f>
        <x:v>908.757685352622</x:v>
      </x:c>
      <x:c r="J173" s="22" t="n">
        <x:f>IFERROR('3000rpm'!C86,"")</x:f>
        <x:v>157.798955613577</x:v>
      </x:c>
      <x:c r="K173" s="22" t="n">
        <x:f>IF(AND(ISNUMBER(I173),ISNUMBER(J173)),I173-J173,"")</x:f>
        <x:v>750.9587297390451</x:v>
      </x:c>
      <x:c r="L173" s="22" t="n">
        <x:f>IF(ISNUMBER(K173),K173*$B$2+$B$3,"")</x:f>
        <x:v>716.4276164918815</x:v>
      </x:c>
      <x:c r="M173" s="22" t="n">
        <x:f>IF(AND(ISNUMBER(G173),ISNUMBER(H173),H173&lt;&gt;0),G173/(H173/60)/$B$5,"")</x:f>
        <x:v>0.3914239399741962</x:v>
      </x:c>
      <x:c r="N173" s="22" t="n">
        <x:f>IF(AND(ISNUMBER(L173),ISNUMBER(H173),H173&lt;&gt;0),L173*$B$6/$B$4/(H173/60)^2/$B$5^4/$B$7,"")</x:f>
        <x:v>0.05012241651917702</x:v>
      </x:c>
      <x:c r="O173" s="22" t="n">
        <x:f>IF(ISNUMBER(N173),N173*$B$8,"")</x:f>
        <x:v>0.006475943458795504</x:v>
      </x:c>
      <x:c r="P173" s="20" t="str">
        <x:v>3000rpm!D98</x:v>
      </x:c>
      <x:c r="Q173" s="20" t="str">
        <x:v>3000rpm!C98</x:v>
      </x:c>
      <x:c r="R173" s="20" t="str">
        <x:v>3000rpm!C86</x:v>
      </x:c>
    </x:row>
    <x:row r="174">
      <x:c r="A174" s="21" t="n">
        <x:v>3000</x:v>
      </x:c>
      <x:c r="B174" s="21" t="n">
        <x:v>45</x:v>
      </x:c>
      <x:c r="C174" s="21" t="n">
        <x:v>13</x:v>
      </x:c>
      <x:c r="D174" s="21" t="n">
        <x:v>2</x:v>
      </x:c>
      <x:c r="E174" s="21" t="str">
        <x:v>3000rpm</x:v>
      </x:c>
      <x:c r="F174" s="21" t="n">
        <x:v>98</x:v>
      </x:c>
      <x:c r="G174" s="22" t="n">
        <x:f>IFERROR('3000rpm'!N98,"")</x:f>
        <x:v>9.23293831337631</x:v>
      </x:c>
      <x:c r="H174" s="22" t="n">
        <x:f>IFERROR('3000rpm'!L98,"")</x:f>
        <x:v>3148.95989435369</x:v>
      </x:c>
      <x:c r="I174" s="22" t="n">
        <x:f>IFERROR('3000rpm'!M98,"")</x:f>
        <x:v>945.097505668934</x:v>
      </x:c>
      <x:c r="J174" s="22" t="n">
        <x:f>IFERROR('3000rpm'!C86,"")</x:f>
        <x:v>157.798955613577</x:v>
      </x:c>
      <x:c r="K174" s="22" t="n">
        <x:f>IF(AND(ISNUMBER(I174),ISNUMBER(J174)),I174-J174,"")</x:f>
        <x:v>787.298550055357</x:v>
      </x:c>
      <x:c r="L174" s="22" t="n">
        <x:f>IF(ISNUMBER(K174),K174*$B$2+$B$3,"")</x:f>
        <x:v>749.7042806740908</x:v>
      </x:c>
      <x:c r="M174" s="22" t="n">
        <x:f>IF(AND(ISNUMBER(G174),ISNUMBER(H174),H174&lt;&gt;0),G174/(H174/60)/$B$5,"")</x:f>
        <x:v>0.3847847337914405</x:v>
      </x:c>
      <x:c r="N174" s="22" t="n">
        <x:f>IF(AND(ISNUMBER(L174),ISNUMBER(H174),H174&lt;&gt;0),L174*$B$6/$B$4/(H174/60)^2/$B$5^4/$B$7,"")</x:f>
        <x:v>0.05066083858909093</x:v>
      </x:c>
      <x:c r="O174" s="22" t="n">
        <x:f>IF(ISNUMBER(N174),N174*$B$8,"")</x:f>
        <x:v>0.006545508957106944</x:v>
      </x:c>
      <x:c r="P174" s="20" t="str">
        <x:v>3000rpm!N98</x:v>
      </x:c>
      <x:c r="Q174" s="20" t="str">
        <x:v>3000rpm!M98</x:v>
      </x:c>
      <x:c r="R174" s="20" t="str">
        <x:v>3000rpm!C86</x:v>
      </x:c>
    </x:row>
    <x:row r="175">
      <x:c r="A175" s="21" t="n">
        <x:v>3000</x:v>
      </x:c>
      <x:c r="B175" s="21" t="n">
        <x:v>45</x:v>
      </x:c>
      <x:c r="C175" s="21" t="n">
        <x:v>14</x:v>
      </x:c>
      <x:c r="D175" s="21" t="n">
        <x:v>1</x:v>
      </x:c>
      <x:c r="E175" s="21" t="str">
        <x:v>3000rpm</x:v>
      </x:c>
      <x:c r="F175" s="21" t="n">
        <x:v>99</x:v>
      </x:c>
      <x:c r="G175" s="22" t="n">
        <x:f>IFERROR('3000rpm'!D99,"")</x:f>
        <x:v>8.21749861029129</x:v>
      </x:c>
      <x:c r="H175" s="22" t="n">
        <x:f>IFERROR('3000rpm'!B99,"")</x:f>
        <x:v>3078.87360636393</x:v>
      </x:c>
      <x:c r="I175" s="22" t="n">
        <x:f>IFERROR('3000rpm'!C99,"")</x:f>
        <x:v>951.987341772151</x:v>
      </x:c>
      <x:c r="J175" s="22" t="n">
        <x:f>IFERROR('3000rpm'!C86,"")</x:f>
        <x:v>157.798955613577</x:v>
      </x:c>
      <x:c r="K175" s="22" t="n">
        <x:f>IF(AND(ISNUMBER(I175),ISNUMBER(J175)),I175-J175,"")</x:f>
        <x:v>794.1883861585741</x:v>
      </x:c>
      <x:c r="L175" s="22" t="n">
        <x:f>IF(ISNUMBER(K175),K175*$B$2+$B$3,"")</x:f>
        <x:v>756.0133587124955</x:v>
      </x:c>
      <x:c r="M175" s="22" t="n">
        <x:f>IF(AND(ISNUMBER(G175),ISNUMBER(H175),H175&lt;&gt;0),G175/(H175/60)/$B$5,"")</x:f>
        <x:v>0.35026182591104127</x:v>
      </x:c>
      <x:c r="N175" s="22" t="n">
        <x:f>IF(AND(ISNUMBER(L175),ISNUMBER(H175),H175&lt;&gt;0),L175*$B$6/$B$4/(H175/60)^2/$B$5^4/$B$7,"")</x:f>
        <x:v>0.053439500592467215</x:v>
      </x:c>
      <x:c r="O175" s="22" t="n">
        <x:f>IF(ISNUMBER(N175),N175*$B$8,"")</x:f>
        <x:v>0.006904519142062483</x:v>
      </x:c>
      <x:c r="P175" s="20" t="str">
        <x:v>3000rpm!D99</x:v>
      </x:c>
      <x:c r="Q175" s="20" t="str">
        <x:v>3000rpm!C99</x:v>
      </x:c>
      <x:c r="R175" s="20" t="str">
        <x:v>3000rpm!C86</x:v>
      </x:c>
    </x:row>
    <x:row r="176">
      <x:c r="A176" s="21" t="n">
        <x:v>3000</x:v>
      </x:c>
      <x:c r="B176" s="21" t="n">
        <x:v>45</x:v>
      </x:c>
      <x:c r="C176" s="21" t="n">
        <x:v>14</x:v>
      </x:c>
      <x:c r="D176" s="21" t="n">
        <x:v>2</x:v>
      </x:c>
      <x:c r="E176" s="21" t="str">
        <x:v>3000rpm</x:v>
      </x:c>
      <x:c r="F176" s="21" t="n">
        <x:v>99</x:v>
      </x:c>
      <x:c r="G176" s="22" t="n">
        <x:f>IFERROR('3000rpm'!N99,"")</x:f>
        <x:v>8.219976520303426</x:v>
      </x:c>
      <x:c r="H176" s="22" t="n">
        <x:f>IFERROR('3000rpm'!L99,"")</x:f>
        <x:v>3121.04741210937</x:v>
      </x:c>
      <x:c r="I176" s="22" t="n">
        <x:f>IFERROR('3000rpm'!M99,"")</x:f>
        <x:v>999.164619164619</x:v>
      </x:c>
      <x:c r="J176" s="22" t="n">
        <x:f>IFERROR('3000rpm'!C86,"")</x:f>
        <x:v>157.798955613577</x:v>
      </x:c>
      <x:c r="K176" s="22" t="n">
        <x:f>IF(AND(ISNUMBER(I176),ISNUMBER(J176)),I176-J176,"")</x:f>
        <x:v>841.365663551042</x:v>
      </x:c>
      <x:c r="L176" s="22" t="n">
        <x:f>IF(ISNUMBER(K176),K176*$B$2+$B$3,"")</x:f>
        <x:v>799.2139690389974</x:v>
      </x:c>
      <x:c r="M176" s="22" t="n">
        <x:f>IF(AND(ISNUMBER(G176),ISNUMBER(H176),H176&lt;&gt;0),G176/(H176/60)/$B$5,"")</x:f>
        <x:v>0.34563303074791724</x:v>
      </x:c>
      <x:c r="N176" s="22" t="n">
        <x:f>IF(AND(ISNUMBER(L176),ISNUMBER(H176),H176&lt;&gt;0),L176*$B$6/$B$4/(H176/60)^2/$B$5^4/$B$7,"")</x:f>
        <x:v>0.054976739106204604</x:v>
      </x:c>
      <x:c r="O176" s="22" t="n">
        <x:f>IF(ISNUMBER(N176),N176*$B$8,"")</x:f>
        <x:v>0.007103134260586094</x:v>
      </x:c>
      <x:c r="P176" s="20" t="str">
        <x:v>3000rpm!N99</x:v>
      </x:c>
      <x:c r="Q176" s="20" t="str">
        <x:v>3000rpm!M99</x:v>
      </x:c>
      <x:c r="R176" s="20" t="str">
        <x:v>3000rpm!C86</x:v>
      </x:c>
    </x:row>
    <x:row r="177">
      <x:c r="A177" s="21" t="n">
        <x:v>3000</x:v>
      </x:c>
      <x:c r="B177" s="21" t="n">
        <x:v>45</x:v>
      </x:c>
      <x:c r="C177" s="21" t="n">
        <x:v>15</x:v>
      </x:c>
      <x:c r="D177" s="21" t="n">
        <x:v>1</x:v>
      </x:c>
      <x:c r="E177" s="21" t="str">
        <x:v>3000rpm</x:v>
      </x:c>
      <x:c r="F177" s="21" t="n">
        <x:v>100</x:v>
      </x:c>
      <x:c r="G177" s="22" t="n">
        <x:f>IFERROR('3000rpm'!D100,"")</x:f>
        <x:v>7.306008608200965</x:v>
      </x:c>
      <x:c r="H177" s="22" t="n">
        <x:f>IFERROR('3000rpm'!B100,"")</x:f>
        <x:v>3064.18053710937</x:v>
      </x:c>
      <x:c r="I177" s="22" t="n">
        <x:f>IFERROR('3000rpm'!C100,"")</x:f>
        <x:v>985.388235294117</x:v>
      </x:c>
      <x:c r="J177" s="22" t="n">
        <x:f>IFERROR('3000rpm'!C86,"")</x:f>
        <x:v>157.798955613577</x:v>
      </x:c>
      <x:c r="K177" s="22" t="n">
        <x:f>IF(AND(ISNUMBER(I177),ISNUMBER(J177)),I177-J177,"")</x:f>
        <x:v>827.5892796805399</x:v>
      </x:c>
      <x:c r="L177" s="22" t="n">
        <x:f>IF(ISNUMBER(K177),K177*$B$2+$B$3,"")</x:f>
        <x:v>786.5988241177077</x:v>
      </x:c>
      <x:c r="M177" s="22" t="n">
        <x:f>IF(AND(ISNUMBER(G177),ISNUMBER(H177),H177&lt;&gt;0),G177/(H177/60)/$B$5,"")</x:f>
        <x:v>0.31290381522633465</x:v>
      </x:c>
      <x:c r="N177" s="22" t="n">
        <x:f>IF(AND(ISNUMBER(L177),ISNUMBER(H177),H177&lt;&gt;0),L177*$B$6/$B$4/(H177/60)^2/$B$5^4/$B$7,"")</x:f>
        <x:v>0.05613597059949989</x:v>
      </x:c>
      <x:c r="O177" s="22" t="n">
        <x:f>IF(ISNUMBER(N177),N177*$B$8,"")</x:f>
        <x:v>0.007252909912431673</x:v>
      </x:c>
      <x:c r="P177" s="20" t="str">
        <x:v>3000rpm!D100</x:v>
      </x:c>
      <x:c r="Q177" s="20" t="str">
        <x:v>3000rpm!C100</x:v>
      </x:c>
      <x:c r="R177" s="20" t="str">
        <x:v>3000rpm!C86</x:v>
      </x:c>
    </x:row>
    <x:row r="178">
      <x:c r="A178" s="21" t="n">
        <x:v>3000</x:v>
      </x:c>
      <x:c r="B178" s="21" t="n">
        <x:v>45</x:v>
      </x:c>
      <x:c r="C178" s="21" t="n">
        <x:v>15</x:v>
      </x:c>
      <x:c r="D178" s="21" t="n">
        <x:v>2</x:v>
      </x:c>
      <x:c r="E178" s="21" t="str">
        <x:v>3000rpm</x:v>
      </x:c>
      <x:c r="F178" s="21" t="n">
        <x:v>100</x:v>
      </x:c>
      <x:c r="G178" s="22" t="n">
        <x:f>IFERROR('3000rpm'!N100,"")</x:f>
        <x:v>7.201331585237416</x:v>
      </x:c>
      <x:c r="H178" s="22" t="n">
        <x:f>IFERROR('3000rpm'!L100,"")</x:f>
        <x:v>3110.79213530441</x:v>
      </x:c>
      <x:c r="I178" s="22" t="n">
        <x:f>IFERROR('3000rpm'!M100,"")</x:f>
        <x:v>1037.74828767123</x:v>
      </x:c>
      <x:c r="J178" s="22" t="n">
        <x:f>IFERROR('3000rpm'!C86,"")</x:f>
        <x:v>157.798955613577</x:v>
      </x:c>
      <x:c r="K178" s="22" t="n">
        <x:f>IF(AND(ISNUMBER(I178),ISNUMBER(J178)),I178-J178,"")</x:f>
        <x:v>879.949332057653</x:v>
      </x:c>
      <x:c r="L178" s="22" t="n">
        <x:f>IF(ISNUMBER(K178),K178*$B$2+$B$3,"")</x:f>
        <x:v>834.5453429598492</x:v>
      </x:c>
      <x:c r="M178" s="22" t="n">
        <x:f>IF(AND(ISNUMBER(G178),ISNUMBER(H178),H178&lt;&gt;0),G178/(H178/60)/$B$5,"")</x:f>
        <x:v>0.30379935314775414</x:v>
      </x:c>
      <x:c r="N178" s="22" t="n">
        <x:f>IF(AND(ISNUMBER(L178),ISNUMBER(H178),H178&lt;&gt;0),L178*$B$6/$B$4/(H178/60)^2/$B$5^4/$B$7,"")</x:f>
        <x:v>0.05778626116276205</x:v>
      </x:c>
      <x:c r="O178" s="22" t="n">
        <x:f>IF(ISNUMBER(N178),N178*$B$8,"")</x:f>
        <x:v>0.007466131642756279</x:v>
      </x:c>
      <x:c r="P178" s="20" t="str">
        <x:v>3000rpm!N100</x:v>
      </x:c>
      <x:c r="Q178" s="20" t="str">
        <x:v>3000rpm!M100</x:v>
      </x:c>
      <x:c r="R178" s="20" t="str">
        <x:v>3000rpm!C86</x:v>
      </x:c>
    </x:row>
    <x:row r="179">
      <x:c r="A179" s="21" t="n">
        <x:v>3000</x:v>
      </x:c>
      <x:c r="B179" s="21" t="n">
        <x:v>45</x:v>
      </x:c>
      <x:c r="C179" s="21" t="n">
        <x:v>16</x:v>
      </x:c>
      <x:c r="D179" s="21" t="n">
        <x:v>1</x:v>
      </x:c>
      <x:c r="E179" s="21" t="str">
        <x:v>3000rpm</x:v>
      </x:c>
      <x:c r="F179" s="21" t="n">
        <x:v>101</x:v>
      </x:c>
      <x:c r="G179" s="22" t="n">
        <x:f>IFERROR('3000rpm'!D101,"")</x:f>
        <x:v>6.176827605626745</x:v>
      </x:c>
      <x:c r="H179" s="22" t="n">
        <x:f>IFERROR('3000rpm'!B101,"")</x:f>
        <x:v>3043.28909067007</x:v>
      </x:c>
      <x:c r="I179" s="22" t="n">
        <x:f>IFERROR('3000rpm'!C101,"")</x:f>
        <x:v>1028.42084942084</x:v>
      </x:c>
      <x:c r="J179" s="22" t="n">
        <x:f>IFERROR('3000rpm'!C86,"")</x:f>
        <x:v>157.798955613577</x:v>
      </x:c>
      <x:c r="K179" s="22" t="n">
        <x:f>IF(AND(ISNUMBER(I179),ISNUMBER(J179)),I179-J179,"")</x:f>
        <x:v>870.6218938072632</x:v>
      </x:c>
      <x:c r="L179" s="22" t="n">
        <x:f>IF(ISNUMBER(K179),K179*$B$2+$B$3,"")</x:f>
        <x:v>826.0041331344613</x:v>
      </x:c>
      <x:c r="M179" s="22" t="n">
        <x:f>IF(AND(ISNUMBER(G179),ISNUMBER(H179),H179&lt;&gt;0),G179/(H179/60)/$B$5,"")</x:f>
        <x:v>0.2663589534794623</x:v>
      </x:c>
      <x:c r="N179" s="22" t="n">
        <x:f>IF(AND(ISNUMBER(L179),ISNUMBER(H179),H179&lt;&gt;0),L179*$B$6/$B$4/(H179/60)^2/$B$5^4/$B$7,"")</x:f>
        <x:v>0.05976025537934131</x:v>
      </x:c>
      <x:c r="O179" s="22" t="n">
        <x:f>IF(ISNUMBER(N179),N179*$B$8,"")</x:f>
        <x:v>0.007721176706867774</x:v>
      </x:c>
      <x:c r="P179" s="20" t="str">
        <x:v>3000rpm!D101</x:v>
      </x:c>
      <x:c r="Q179" s="20" t="str">
        <x:v>3000rpm!C101</x:v>
      </x:c>
      <x:c r="R179" s="20" t="str">
        <x:v>3000rpm!C86</x:v>
      </x:c>
    </x:row>
    <x:row r="180">
      <x:c r="A180" s="21" t="n">
        <x:v>3000</x:v>
      </x:c>
      <x:c r="B180" s="21" t="n">
        <x:v>45</x:v>
      </x:c>
      <x:c r="C180" s="21" t="n">
        <x:v>16</x:v>
      </x:c>
      <x:c r="D180" s="21" t="n">
        <x:v>2</x:v>
      </x:c>
      <x:c r="E180" s="21" t="str">
        <x:v>3000rpm</x:v>
      </x:c>
      <x:c r="F180" s="21" t="n">
        <x:v>101</x:v>
      </x:c>
      <x:c r="G180" s="22" t="n">
        <x:f>IFERROR('3000rpm'!N101,"")</x:f>
        <x:v>6.182615851627951</x:v>
      </x:c>
      <x:c r="H180" s="22" t="n">
        <x:f>IFERROR('3000rpm'!L101,"")</x:f>
        <x:v>3107.50659179687</x:v>
      </x:c>
      <x:c r="I180" s="22" t="n">
        <x:f>IFERROR('3000rpm'!M101,"")</x:f>
        <x:v>1079.6570881226</x:v>
      </x:c>
      <x:c r="J180" s="22" t="n">
        <x:f>IFERROR('3000rpm'!C86,"")</x:f>
        <x:v>157.798955613577</x:v>
      </x:c>
      <x:c r="K180" s="22" t="n">
        <x:f>IF(AND(ISNUMBER(I180),ISNUMBER(J180)),I180-J180,"")</x:f>
        <x:v>921.8581325090231</x:v>
      </x:c>
      <x:c r="L180" s="22" t="n">
        <x:f>IF(ISNUMBER(K180),K180*$B$2+$B$3,"")</x:f>
        <x:v>872.9215668035724</x:v>
      </x:c>
      <x:c r="M180" s="22" t="n">
        <x:f>IF(AND(ISNUMBER(G180),ISNUMBER(H180),H180&lt;&gt;0),G180/(H180/60)/$B$5,"")</x:f>
        <x:v>0.2610990148192412</x:v>
      </x:c>
      <x:c r="N180" s="22" t="n">
        <x:f>IF(AND(ISNUMBER(L180),ISNUMBER(H180),H180&lt;&gt;0),L180*$B$6/$B$4/(H180/60)^2/$B$5^4/$B$7,"")</x:f>
        <x:v>0.06057141915152371</x:v>
      </x:c>
      <x:c r="O180" s="22" t="n">
        <x:f>IF(ISNUMBER(N180),N180*$B$8,"")</x:f>
        <x:v>0.007825981125514803</x:v>
      </x:c>
      <x:c r="P180" s="20" t="str">
        <x:v>3000rpm!N101</x:v>
      </x:c>
      <x:c r="Q180" s="20" t="str">
        <x:v>3000rpm!M101</x:v>
      </x:c>
      <x:c r="R180" s="20" t="str">
        <x:v>3000rpm!C86</x:v>
      </x:c>
    </x:row>
    <x:row r="181">
      <x:c r="A181" s="21" t="n">
        <x:v>3000</x:v>
      </x:c>
      <x:c r="B181" s="21" t="n">
        <x:v>45</x:v>
      </x:c>
      <x:c r="C181" s="21" t="n">
        <x:v>17</x:v>
      </x:c>
      <x:c r="D181" s="21" t="n">
        <x:v>1</x:v>
      </x:c>
      <x:c r="E181" s="21" t="str">
        <x:v>3000rpm</x:v>
      </x:c>
      <x:c r="F181" s="21" t="n">
        <x:v>102</x:v>
      </x:c>
      <x:c r="G181" s="22" t="n">
        <x:f>IFERROR('3000rpm'!D102,"")</x:f>
        <x:v>5.152666989299985</x:v>
      </x:c>
      <x:c r="H181" s="22" t="n">
        <x:f>IFERROR('3000rpm'!B102,"")</x:f>
        <x:v>3037.44844193892</x:v>
      </x:c>
      <x:c r="I181" s="22" t="n">
        <x:f>IFERROR('3000rpm'!C102,"")</x:f>
        <x:v>1063.11600928074</x:v>
      </x:c>
      <x:c r="J181" s="22" t="n">
        <x:f>IFERROR('3000rpm'!C86,"")</x:f>
        <x:v>157.798955613577</x:v>
      </x:c>
      <x:c r="K181" s="22" t="n">
        <x:f>IF(AND(ISNUMBER(I181),ISNUMBER(J181)),I181-J181,"")</x:f>
        <x:v>905.317053667163</x:v>
      </x:c>
      <x:c r="L181" s="22" t="n">
        <x:f>IF(ISNUMBER(K181),K181*$B$2+$B$3,"")</x:f>
        <x:v>857.7747685794504</x:v>
      </x:c>
      <x:c r="M181" s="22" t="n">
        <x:f>IF(AND(ISNUMBER(G181),ISNUMBER(H181),H181&lt;&gt;0),G181/(H181/60)/$B$5,"")</x:f>
        <x:v>0.2226220559440527</x:v>
      </x:c>
      <x:c r="N181" s="22" t="n">
        <x:f>IF(AND(ISNUMBER(L181),ISNUMBER(H181),H181&lt;&gt;0),L181*$B$6/$B$4/(H181/60)^2/$B$5^4/$B$7,"")</x:f>
        <x:v>0.0622977096361398</x:v>
      </x:c>
      <x:c r="O181" s="22" t="n">
        <x:f>IF(ISNUMBER(N181),N181*$B$8,"")</x:f>
        <x:v>0.008049022238617424</x:v>
      </x:c>
      <x:c r="P181" s="20" t="str">
        <x:v>3000rpm!D102</x:v>
      </x:c>
      <x:c r="Q181" s="20" t="str">
        <x:v>3000rpm!C102</x:v>
      </x:c>
      <x:c r="R181" s="20" t="str">
        <x:v>3000rpm!C86</x:v>
      </x:c>
    </x:row>
    <x:row r="182">
      <x:c r="A182" s="21" t="n">
        <x:v>3000</x:v>
      </x:c>
      <x:c r="B182" s="21" t="n">
        <x:v>45</x:v>
      </x:c>
      <x:c r="C182" s="21" t="n">
        <x:v>17</x:v>
      </x:c>
      <x:c r="D182" s="21" t="n">
        <x:v>2</x:v>
      </x:c>
      <x:c r="E182" s="21" t="str">
        <x:v>3000rpm</x:v>
      </x:c>
      <x:c r="F182" s="21" t="n">
        <x:v>102</x:v>
      </x:c>
      <x:c r="G182" s="22" t="n">
        <x:f>IFERROR('3000rpm'!N102,"")</x:f>
        <x:v>5.1555661288174655</x:v>
      </x:c>
      <x:c r="H182" s="22" t="n">
        <x:f>IFERROR('3000rpm'!L102,"")</x:f>
        <x:v>3098.76429239908</x:v>
      </x:c>
      <x:c r="I182" s="22" t="n">
        <x:f>IFERROR('3000rpm'!M102,"")</x:f>
        <x:v>1122.03679653679</x:v>
      </x:c>
      <x:c r="J182" s="22" t="n">
        <x:f>IFERROR('3000rpm'!C86,"")</x:f>
        <x:v>157.798955613577</x:v>
      </x:c>
      <x:c r="K182" s="22" t="n">
        <x:f>IF(AND(ISNUMBER(I182),ISNUMBER(J182)),I182-J182,"")</x:f>
        <x:v>964.2378409232131</x:v>
      </x:c>
      <x:c r="L182" s="22" t="n">
        <x:f>IF(ISNUMBER(K182),K182*$B$2+$B$3,"")</x:f>
        <x:v>911.7290048361135</x:v>
      </x:c>
      <x:c r="M182" s="22" t="n">
        <x:f>IF(AND(ISNUMBER(G182),ISNUMBER(H182),H182&lt;&gt;0),G182/(H182/60)/$B$5,"")</x:f>
        <x:v>0.21833976954352138</x:v>
      </x:c>
      <x:c r="N182" s="22" t="n">
        <x:f>IF(AND(ISNUMBER(L182),ISNUMBER(H182),H182&lt;&gt;0),L182*$B$6/$B$4/(H182/60)^2/$B$5^4/$B$7,"")</x:f>
        <x:v>0.06362170859540135</x:v>
      </x:c>
      <x:c r="O182" s="22" t="n">
        <x:f>IF(ISNUMBER(N182),N182*$B$8,"")</x:f>
        <x:v>0.008220086265356865</x:v>
      </x:c>
      <x:c r="P182" s="20" t="str">
        <x:v>3000rpm!N102</x:v>
      </x:c>
      <x:c r="Q182" s="20" t="str">
        <x:v>3000rpm!M102</x:v>
      </x:c>
      <x:c r="R182" s="20" t="str">
        <x:v>3000rpm!C86</x:v>
      </x:c>
    </x:row>
    <x:row r="183">
      <x:c r="A183" s="21" t="n">
        <x:v>3000</x:v>
      </x:c>
      <x:c r="B183" s="21" t="n">
        <x:v>45</x:v>
      </x:c>
      <x:c r="C183" s="21" t="n">
        <x:v>18</x:v>
      </x:c>
      <x:c r="D183" s="21" t="n">
        <x:v>1</x:v>
      </x:c>
      <x:c r="E183" s="21" t="str">
        <x:v>3000rpm</x:v>
      </x:c>
      <x:c r="F183" s="21" t="n">
        <x:v>103</x:v>
      </x:c>
      <x:c r="G183" s="22" t="n">
        <x:f>IFERROR('3000rpm'!D103,"")</x:f>
        <x:v>4.229881711006155</x:v>
      </x:c>
      <x:c r="H183" s="22" t="n">
        <x:f>IFERROR('3000rpm'!B103,"")</x:f>
        <x:v>3025.783203125</x:v>
      </x:c>
      <x:c r="I183" s="22" t="n">
        <x:f>IFERROR('3000rpm'!C103,"")</x:f>
        <x:v>1107.63938053097</x:v>
      </x:c>
      <x:c r="J183" s="22" t="n">
        <x:f>IFERROR('3000rpm'!C86,"")</x:f>
        <x:v>157.798955613577</x:v>
      </x:c>
      <x:c r="K183" s="22" t="n">
        <x:f>IF(AND(ISNUMBER(I183),ISNUMBER(J183)),I183-J183,"")</x:f>
        <x:v>949.840424917393</x:v>
      </x:c>
      <x:c r="L183" s="22" t="n">
        <x:f>IF(ISNUMBER(K183),K183*$B$2+$B$3,"")</x:f>
        <x:v>898.545175820256</x:v>
      </x:c>
      <x:c r="M183" s="22" t="n">
        <x:f>IF(AND(ISNUMBER(G183),ISNUMBER(H183),H183&lt;&gt;0),G183/(H183/60)/$B$5,"")</x:f>
        <x:v>0.18345748835306835</x:v>
      </x:c>
      <x:c r="N183" s="22" t="n">
        <x:f>IF(AND(ISNUMBER(L183),ISNUMBER(H183),H183&lt;&gt;0),L183*$B$6/$B$4/(H183/60)^2/$B$5^4/$B$7,"")</x:f>
        <x:v>0.06576289814883633</x:v>
      </x:c>
      <x:c r="O183" s="22" t="n">
        <x:f>IF(ISNUMBER(N183),N183*$B$8,"")</x:f>
        <x:v>0.008496733391444716</x:v>
      </x:c>
      <x:c r="P183" s="20" t="str">
        <x:v>3000rpm!D103</x:v>
      </x:c>
      <x:c r="Q183" s="20" t="str">
        <x:v>3000rpm!C103</x:v>
      </x:c>
      <x:c r="R183" s="20" t="str">
        <x:v>3000rpm!C86</x:v>
      </x:c>
    </x:row>
    <x:row r="184">
      <x:c r="A184" s="21" t="n">
        <x:v>3000</x:v>
      </x:c>
      <x:c r="B184" s="21" t="n">
        <x:v>45</x:v>
      </x:c>
      <x:c r="C184" s="21" t="n">
        <x:v>18</x:v>
      </x:c>
      <x:c r="D184" s="21" t="n">
        <x:v>2</x:v>
      </x:c>
      <x:c r="E184" s="21" t="str">
        <x:v>3000rpm</x:v>
      </x:c>
      <x:c r="F184" s="21" t="n">
        <x:v>103</x:v>
      </x:c>
      <x:c r="G184" s="22" t="n">
        <x:f>IFERROR('3000rpm'!N103,"")</x:f>
        <x:v>4.131799600073985</x:v>
      </x:c>
      <x:c r="H184" s="22" t="n">
        <x:f>IFERROR('3000rpm'!L103,"")</x:f>
        <x:v>3095.7137493265</x:v>
      </x:c>
      <x:c r="I184" s="22" t="n">
        <x:f>IFERROR('3000rpm'!M103,"")</x:f>
        <x:v>1162.53345070422</x:v>
      </x:c>
      <x:c r="J184" s="22" t="n">
        <x:f>IFERROR('3000rpm'!C86,"")</x:f>
        <x:v>157.798955613577</x:v>
      </x:c>
      <x:c r="K184" s="22" t="n">
        <x:f>IF(AND(ISNUMBER(I184),ISNUMBER(J184)),I184-J184,"")</x:f>
        <x:v>1004.7344950906431</x:v>
      </x:c>
      <x:c r="L184" s="22" t="n">
        <x:f>IF(ISNUMBER(K184),K184*$B$2+$B$3,"")</x:f>
        <x:v>948.8121150304626</x:v>
      </x:c>
      <x:c r="M184" s="22" t="n">
        <x:f>IF(AND(ISNUMBER(G184),ISNUMBER(H184),H184&lt;&gt;0),G184/(H184/60)/$B$5,"")</x:f>
        <x:v>0.17515538016486412</x:v>
      </x:c>
      <x:c r="N184" s="22" t="n">
        <x:f>IF(AND(ISNUMBER(L184),ISNUMBER(H184),H184&lt;&gt;0),L184*$B$6/$B$4/(H184/60)^2/$B$5^4/$B$7,"")</x:f>
        <x:v>0.06633997017654658</x:v>
      </x:c>
      <x:c r="O184" s="22" t="n">
        <x:f>IF(ISNUMBER(N184),N184*$B$8,"")</x:f>
        <x:v>0.008571292562423118</x:v>
      </x:c>
      <x:c r="P184" s="20" t="str">
        <x:v>3000rpm!N103</x:v>
      </x:c>
      <x:c r="Q184" s="20" t="str">
        <x:v>3000rpm!M103</x:v>
      </x:c>
      <x:c r="R184" s="20" t="str">
        <x:v>3000rpm!C86</x:v>
      </x:c>
    </x:row>
    <x:row r="185">
      <x:c r="A185" s="21" t="n">
        <x:v>3000</x:v>
      </x:c>
      <x:c r="B185" s="21" t="n">
        <x:v>45</x:v>
      </x:c>
      <x:c r="C185" s="21" t="n">
        <x:v>19</x:v>
      </x:c>
      <x:c r="D185" s="21" t="n">
        <x:v>1</x:v>
      </x:c>
      <x:c r="E185" s="21" t="str">
        <x:v>3000rpm</x:v>
      </x:c>
      <x:c r="F185" s="21" t="n">
        <x:v>104</x:v>
      </x:c>
      <x:c r="G185" s="22" t="n">
        <x:f>IFERROR('3000rpm'!D104,"")</x:f>
        <x:v>3.09992901545304</x:v>
      </x:c>
      <x:c r="H185" s="22" t="n">
        <x:f>IFERROR('3000rpm'!B104,"")</x:f>
        <x:v>3029.91970343338</x:v>
      </x:c>
      <x:c r="I185" s="22" t="n">
        <x:f>IFERROR('3000rpm'!C104,"")</x:f>
        <x:v>1156.24484536082</x:v>
      </x:c>
      <x:c r="J185" s="22" t="n">
        <x:f>IFERROR('3000rpm'!C86,"")</x:f>
        <x:v>157.798955613577</x:v>
      </x:c>
      <x:c r="K185" s="22" t="n">
        <x:f>IF(AND(ISNUMBER(I185),ISNUMBER(J185)),I185-J185,"")</x:f>
        <x:v>998.445889747243</x:v>
      </x:c>
      <x:c r="L185" s="22" t="n">
        <x:f>IF(ISNUMBER(K185),K185*$B$2+$B$3,"")</x:f>
        <x:v>943.0535888086683</x:v>
      </x:c>
      <x:c r="M185" s="22" t="n">
        <x:f>IF(AND(ISNUMBER(G185),ISNUMBER(H185),H185&lt;&gt;0),G185/(H185/60)/$B$5,"")</x:f>
        <x:v>0.1342658787172801</x:v>
      </x:c>
      <x:c r="N185" s="22" t="n">
        <x:f>IF(AND(ISNUMBER(L185),ISNUMBER(H185),H185&lt;&gt;0),L185*$B$6/$B$4/(H185/60)^2/$B$5^4/$B$7,"")</x:f>
        <x:v>0.06883206140450437</x:v>
      </x:c>
      <x:c r="O185" s="22" t="n">
        <x:f>IF(ISNUMBER(N185),N185*$B$8,"")</x:f>
        <x:v>0.00889327707568457</x:v>
      </x:c>
      <x:c r="P185" s="20" t="str">
        <x:v>3000rpm!D104</x:v>
      </x:c>
      <x:c r="Q185" s="20" t="str">
        <x:v>3000rpm!C104</x:v>
      </x:c>
      <x:c r="R185" s="20" t="str">
        <x:v>3000rpm!C86</x:v>
      </x:c>
    </x:row>
    <x:row r="186">
      <x:c r="A186" s="21" t="n">
        <x:v>3000</x:v>
      </x:c>
      <x:c r="B186" s="21" t="n">
        <x:v>45</x:v>
      </x:c>
      <x:c r="C186" s="21" t="n">
        <x:v>19</x:v>
      </x:c>
      <x:c r="D186" s="21" t="n">
        <x:v>2</x:v>
      </x:c>
      <x:c r="E186" s="21" t="str">
        <x:v>3000rpm</x:v>
      </x:c>
      <x:c r="F186" s="21" t="n">
        <x:v>104</x:v>
      </x:c>
      <x:c r="G186" s="22" t="n">
        <x:f>IFERROR('3000rpm'!N104,"")</x:f>
        <x:v>3.1007229626633706</x:v>
      </x:c>
      <x:c r="H186" s="22" t="n">
        <x:f>IFERROR('3000rpm'!L104,"")</x:f>
        <x:v>3085.80350296585</x:v>
      </x:c>
      <x:c r="I186" s="22" t="n">
        <x:f>IFERROR('3000rpm'!M104,"")</x:f>
        <x:v>1205.54961832061</x:v>
      </x:c>
      <x:c r="J186" s="22" t="n">
        <x:f>IFERROR('3000rpm'!C86,"")</x:f>
        <x:v>157.798955613577</x:v>
      </x:c>
      <x:c r="K186" s="22" t="n">
        <x:f>IF(AND(ISNUMBER(I186),ISNUMBER(J186)),I186-J186,"")</x:f>
        <x:v>1047.7506627070331</x:v>
      </x:c>
      <x:c r="L186" s="22" t="n">
        <x:f>IF(ISNUMBER(K186),K186*$B$2+$B$3,"")</x:f>
        <x:v>988.2023638461318</x:v>
      </x:c>
      <x:c r="M186" s="22" t="n">
        <x:f>IF(AND(ISNUMBER(G186),ISNUMBER(H186),H186&lt;&gt;0),G186/(H186/60)/$B$5,"")</x:f>
        <x:v>0.13186809321477208</x:v>
      </x:c>
      <x:c r="N186" s="22" t="n">
        <x:f>IF(AND(ISNUMBER(L186),ISNUMBER(H186),H186&lt;&gt;0),L186*$B$6/$B$4/(H186/60)^2/$B$5^4/$B$7,"")</x:f>
        <x:v>0.06953860844421089</x:v>
      </x:c>
      <x:c r="O186" s="22" t="n">
        <x:f>IF(ISNUMBER(N186),N186*$B$8,"")</x:f>
        <x:v>0.008984564746907847</x:v>
      </x:c>
      <x:c r="P186" s="20" t="str">
        <x:v>3000rpm!N104</x:v>
      </x:c>
      <x:c r="Q186" s="20" t="str">
        <x:v>3000rpm!M104</x:v>
      </x:c>
      <x:c r="R186" s="20" t="str">
        <x:v>3000rpm!C86</x:v>
      </x:c>
    </x:row>
    <x:row r="187">
      <x:c r="A187" s="21" t="n">
        <x:v>3000</x:v>
      </x:c>
      <x:c r="B187" s="21" t="n">
        <x:v>45</x:v>
      </x:c>
      <x:c r="C187" s="21" t="n">
        <x:v>20</x:v>
      </x:c>
      <x:c r="D187" s="21" t="n">
        <x:v>1</x:v>
      </x:c>
      <x:c r="E187" s="21" t="str">
        <x:v>3000rpm</x:v>
      </x:c>
      <x:c r="F187" s="21" t="n">
        <x:v>105</x:v>
      </x:c>
      <x:c r="G187" s="22" t="n">
        <x:f>IFERROR('3000rpm'!D105,"")</x:f>
        <x:v>2.073374055141255</x:v>
      </x:c>
      <x:c r="H187" s="22" t="n">
        <x:f>IFERROR('3000rpm'!B105,"")</x:f>
        <x:v>3042.40161132812</x:v>
      </x:c>
      <x:c r="I187" s="22" t="n">
        <x:f>IFERROR('3000rpm'!C105,"")</x:f>
        <x:v>1199.06995884773</x:v>
      </x:c>
      <x:c r="J187" s="22" t="n">
        <x:f>IFERROR('3000rpm'!C86,"")</x:f>
        <x:v>157.798955613577</x:v>
      </x:c>
      <x:c r="K187" s="22" t="n">
        <x:f>IF(AND(ISNUMBER(I187),ISNUMBER(J187)),I187-J187,"")</x:f>
        <x:v>1041.271003234153</x:v>
      </x:c>
      <x:c r="L187" s="22" t="n">
        <x:f>IF(ISNUMBER(K187),K187*$B$2+$B$3,"")</x:f>
        <x:v>982.2688878295398</x:v>
      </x:c>
      <x:c r="M187" s="22" t="n">
        <x:f>IF(AND(ISNUMBER(G187),ISNUMBER(H187),H187&lt;&gt;0),G187/(H187/60)/$B$5,"")</x:f>
        <x:v>0.08943471883612458</x:v>
      </x:c>
      <x:c r="N187" s="22" t="n">
        <x:f>IF(AND(ISNUMBER(L187),ISNUMBER(H187),H187&lt;&gt;0),L187*$B$6/$B$4/(H187/60)^2/$B$5^4/$B$7,"")</x:f>
        <x:v>0.07110726035893294</x:v>
      </x:c>
      <x:c r="O187" s="22" t="n">
        <x:f>IF(ISNUMBER(N187),N187*$B$8,"")</x:f>
        <x:v>0.009187238556587088</x:v>
      </x:c>
      <x:c r="P187" s="20" t="str">
        <x:v>3000rpm!D105</x:v>
      </x:c>
      <x:c r="Q187" s="20" t="str">
        <x:v>3000rpm!C105</x:v>
      </x:c>
      <x:c r="R187" s="20" t="str">
        <x:v>3000rpm!C86</x:v>
      </x:c>
    </x:row>
    <x:row r="188">
      <x:c r="A188" s="21" t="n">
        <x:v>3000</x:v>
      </x:c>
      <x:c r="B188" s="21" t="n">
        <x:v>45</x:v>
      </x:c>
      <x:c r="C188" s="21" t="n">
        <x:v>20</x:v>
      </x:c>
      <x:c r="D188" s="21" t="n">
        <x:v>2</x:v>
      </x:c>
      <x:c r="E188" s="21" t="str">
        <x:v>3000rpm</x:v>
      </x:c>
      <x:c r="F188" s="21" t="n">
        <x:v>105</x:v>
      </x:c>
      <x:c r="G188" s="22" t="n">
        <x:f>IFERROR('3000rpm'!N105,"")</x:f>
        <x:v>2.074784700849405</x:v>
      </x:c>
      <x:c r="H188" s="22" t="n">
        <x:f>IFERROR('3000rpm'!L105,"")</x:f>
        <x:v>3071.39636761209</x:v>
      </x:c>
      <x:c r="I188" s="22" t="n">
        <x:f>IFERROR('3000rpm'!M105,"")</x:f>
        <x:v>1248.73951434878</x:v>
      </x:c>
      <x:c r="J188" s="22" t="n">
        <x:f>IFERROR('3000rpm'!C86,"")</x:f>
        <x:v>157.798955613577</x:v>
      </x:c>
      <x:c r="K188" s="22" t="n">
        <x:f>IF(AND(ISNUMBER(I188),ISNUMBER(J188)),I188-J188,"")</x:f>
        <x:v>1090.940558735203</x:v>
      </x:c>
      <x:c r="L188" s="22" t="n">
        <x:f>IF(ISNUMBER(K188),K188*$B$2+$B$3,"")</x:f>
        <x:v>1027.7516971582952</x:v>
      </x:c>
      <x:c r="M188" s="22" t="n">
        <x:f>IF(AND(ISNUMBER(G188),ISNUMBER(H188),H188&lt;&gt;0),G188/(H188/60)/$B$5,"")</x:f>
        <x:v>0.08865070613340399</x:v>
      </x:c>
      <x:c r="N188" s="22" t="n">
        <x:f>IF(AND(ISNUMBER(L188),ISNUMBER(H188),H188&lt;&gt;0),L188*$B$6/$B$4/(H188/60)^2/$B$5^4/$B$7,"")</x:f>
        <x:v>0.07300172335339625</x:v>
      </x:c>
      <x:c r="O188" s="22" t="n">
        <x:f>IF(ISNUMBER(N188),N188*$B$8,"")</x:f>
        <x:v>0.009432007984897288</x:v>
      </x:c>
      <x:c r="P188" s="20" t="str">
        <x:v>3000rpm!N105</x:v>
      </x:c>
      <x:c r="Q188" s="20" t="str">
        <x:v>3000rpm!M105</x:v>
      </x:c>
      <x:c r="R188" s="20" t="str">
        <x:v>3000rpm!C86</x:v>
      </x:c>
    </x:row>
    <x:row r="189">
      <x:c r="A189" s="21" t="n">
        <x:v>3000</x:v>
      </x:c>
      <x:c r="B189" s="21" t="n">
        <x:v>45</x:v>
      </x:c>
      <x:c r="C189" s="21" t="n">
        <x:v>21</x:v>
      </x:c>
      <x:c r="D189" s="21" t="n">
        <x:v>1</x:v>
      </x:c>
      <x:c r="E189" s="21" t="str">
        <x:v>3000rpm</x:v>
      </x:c>
      <x:c r="F189" s="21" t="n">
        <x:v>106</x:v>
      </x:c>
      <x:c r="G189" s="22" t="n">
        <x:f>IFERROR('3000rpm'!D106,"")</x:f>
        <x:v>1.0459011961485585</x:v>
      </x:c>
      <x:c r="H189" s="22" t="n">
        <x:f>IFERROR('3000rpm'!B106,"")</x:f>
        <x:v>3018.71974534254</x:v>
      </x:c>
      <x:c r="I189" s="22" t="n">
        <x:f>IFERROR('3000rpm'!C106,"")</x:f>
        <x:v>1247.49809160305</x:v>
      </x:c>
      <x:c r="J189" s="22" t="n">
        <x:f>IFERROR('3000rpm'!C86,"")</x:f>
        <x:v>157.798955613577</x:v>
      </x:c>
      <x:c r="K189" s="22" t="n">
        <x:f>IF(AND(ISNUMBER(I189),ISNUMBER(J189)),I189-J189,"")</x:f>
        <x:v>1089.699135989473</x:v>
      </x:c>
      <x:c r="L189" s="22" t="n">
        <x:f>IF(ISNUMBER(K189),K189*$B$2+$B$3,"")</x:f>
        <x:v>1026.6149164186484</x:v>
      </x:c>
      <x:c r="M189" s="22" t="n">
        <x:f>IF(AND(ISNUMBER(G189),ISNUMBER(H189),H189&lt;&gt;0),G189/(H189/60)/$B$5,"")</x:f>
        <x:v>0.045468737213653</x:v>
      </x:c>
      <x:c r="N189" s="22" t="n">
        <x:f>IF(AND(ISNUMBER(L189),ISNUMBER(H189),H189&lt;&gt;0),L189*$B$6/$B$4/(H189/60)^2/$B$5^4/$B$7,"")</x:f>
        <x:v>0.07548812213472743</x:v>
      </x:c>
      <x:c r="O189" s="22" t="n">
        <x:f>IF(ISNUMBER(N189),N189*$B$8,"")</x:f>
        <x:v>0.00975325701960331</x:v>
      </x:c>
      <x:c r="P189" s="20" t="str">
        <x:v>3000rpm!D106</x:v>
      </x:c>
      <x:c r="Q189" s="20" t="str">
        <x:v>3000rpm!C106</x:v>
      </x:c>
      <x:c r="R189" s="20" t="str">
        <x:v>3000rpm!C86</x:v>
      </x:c>
    </x:row>
    <x:row r="190">
      <x:c r="A190" s="21" t="n">
        <x:v>3000</x:v>
      </x:c>
      <x:c r="B190" s="21" t="n">
        <x:v>45</x:v>
      </x:c>
      <x:c r="C190" s="21" t="n">
        <x:v>21</x:v>
      </x:c>
      <x:c r="D190" s="21" t="n">
        <x:v>2</x:v>
      </x:c>
      <x:c r="E190" s="21" t="str">
        <x:v>3000rpm</x:v>
      </x:c>
      <x:c r="F190" s="21" t="n">
        <x:v>106</x:v>
      </x:c>
      <x:c r="G190" s="22" t="n">
        <x:f>IFERROR('3000rpm'!N106,"")</x:f>
        <x:v>1.044455198166162</x:v>
      </x:c>
      <x:c r="H190" s="22" t="n">
        <x:f>IFERROR('3000rpm'!L106,"")</x:f>
        <x:v>3073.90003313337</x:v>
      </x:c>
      <x:c r="I190" s="22" t="n">
        <x:f>IFERROR('3000rpm'!M106,"")</x:f>
        <x:v>1299.10344827586</x:v>
      </x:c>
      <x:c r="J190" s="22" t="n">
        <x:f>IFERROR('3000rpm'!C86,"")</x:f>
        <x:v>157.798955613577</x:v>
      </x:c>
      <x:c r="K190" s="22" t="n">
        <x:f>IF(AND(ISNUMBER(I190),ISNUMBER(J190)),I190-J190,"")</x:f>
        <x:v>1141.304492662283</x:v>
      </x:c>
      <x:c r="L190" s="22" t="n">
        <x:f>IF(ISNUMBER(K190),K190*$B$2+$B$3,"")</x:f>
        <x:v>1073.870354366794</x:v>
      </x:c>
      <x:c r="M190" s="22" t="n">
        <x:f>IF(AND(ISNUMBER(G190),ISNUMBER(H190),H190&lt;&gt;0),G190/(H190/60)/$B$5,"")</x:f>
        <x:v>0.04459078363982314</x:v>
      </x:c>
      <x:c r="N190" s="22" t="n">
        <x:f>IF(AND(ISNUMBER(L190),ISNUMBER(H190),H190&lt;&gt;0),L190*$B$6/$B$4/(H190/60)^2/$B$5^4/$B$7,"")</x:f>
        <x:v>0.07615335068112064</x:v>
      </x:c>
      <x:c r="O190" s="22" t="n">
        <x:f>IF(ISNUMBER(N190),N190*$B$8,"")</x:f>
        <x:v>0.009839206236596287</x:v>
      </x:c>
      <x:c r="P190" s="20" t="str">
        <x:v>3000rpm!N106</x:v>
      </x:c>
      <x:c r="Q190" s="20" t="str">
        <x:v>3000rpm!M106</x:v>
      </x:c>
      <x:c r="R190" s="20" t="str">
        <x:v>3000rpm!C86</x:v>
      </x:c>
    </x:row>
    <x:row r="191">
      <x:c r="A191" s="21" t="n">
        <x:v>3000</x:v>
      </x:c>
      <x:c r="B191" s="21" t="n">
        <x:v>45</x:v>
      </x:c>
      <x:c r="C191" s="21" t="n">
        <x:v>22</x:v>
      </x:c>
      <x:c r="D191" s="21" t="n">
        <x:v>1</x:v>
      </x:c>
      <x:c r="E191" s="21" t="str">
        <x:v>3000rpm</x:v>
      </x:c>
      <x:c r="F191" s="21" t="n">
        <x:v>107</x:v>
      </x:c>
      <x:c r="G191" s="22" t="n">
        <x:f>IFERROR('3000rpm'!D107,"")</x:f>
        <x:v>0.13592735739702674</x:v>
      </x:c>
      <x:c r="H191" s="22" t="n">
        <x:f>IFERROR('3000rpm'!B107,"")</x:f>
        <x:v>3009.10304090711</x:v>
      </x:c>
      <x:c r="I191" s="22" t="n">
        <x:f>IFERROR('3000rpm'!C107,"")</x:f>
        <x:v>1300.1135734072</x:v>
      </x:c>
      <x:c r="J191" s="22" t="n">
        <x:f>IFERROR('3000rpm'!C86,"")</x:f>
        <x:v>157.798955613577</x:v>
      </x:c>
      <x:c r="K191" s="22" t="n">
        <x:f>IF(AND(ISNUMBER(I191),ISNUMBER(J191)),I191-J191,"")</x:f>
        <x:v>1142.314617793623</x:v>
      </x:c>
      <x:c r="L191" s="22" t="n">
        <x:f>IF(ISNUMBER(K191),K191*$B$2+$B$3,"")</x:f>
        <x:v>1074.795334030563</x:v>
      </x:c>
      <x:c r="M191" s="22" t="n">
        <x:f>IF(AND(ISNUMBER(G191),ISNUMBER(H191),H191&lt;&gt;0),G191/(H191/60)/$B$5,"")</x:f>
        <x:v>0.005928090742116119</x:v>
      </x:c>
      <x:c r="N191" s="22" t="n">
        <x:f>IF(AND(ISNUMBER(L191),ISNUMBER(H191),H191&lt;&gt;0),L191*$B$6/$B$4/(H191/60)^2/$B$5^4/$B$7,"")</x:f>
        <x:v>0.07953683330297105</x:v>
      </x:c>
      <x:c r="O191" s="22" t="n">
        <x:f>IF(ISNUMBER(N191),N191*$B$8,"")</x:f>
        <x:v>0.01027636078090157</x:v>
      </x:c>
      <x:c r="P191" s="20" t="str">
        <x:v>3000rpm!D107</x:v>
      </x:c>
      <x:c r="Q191" s="20" t="str">
        <x:v>3000rpm!C107</x:v>
      </x:c>
      <x:c r="R191" s="20" t="str">
        <x:v>3000rpm!C86</x:v>
      </x:c>
    </x:row>
    <x:row r="192">
      <x:c r="A192" s="21" t="n">
        <x:v>3000</x:v>
      </x:c>
      <x:c r="B192" s="21" t="n">
        <x:v>45</x:v>
      </x:c>
      <x:c r="C192" s="21" t="n">
        <x:v>22</x:v>
      </x:c>
      <x:c r="D192" s="21" t="n">
        <x:v>2</x:v>
      </x:c>
      <x:c r="E192" s="21" t="str">
        <x:v>3000rpm</x:v>
      </x:c>
      <x:c r="F192" s="21" t="n">
        <x:v>107</x:v>
      </x:c>
      <x:c r="G192" s="22" t="n">
        <x:f>IFERROR('3000rpm'!N107,"")</x:f>
        <x:v>0.1361061976446459</x:v>
      </x:c>
      <x:c r="H192" s="22" t="n">
        <x:f>IFERROR('3000rpm'!L107,"")</x:f>
        <x:v>3091.6807454427</x:v>
      </x:c>
      <x:c r="I192" s="22" t="n">
        <x:f>IFERROR('3000rpm'!M107,"")</x:f>
        <x:v>1324.56597222222</x:v>
      </x:c>
      <x:c r="J192" s="22" t="n">
        <x:f>IFERROR('3000rpm'!C86,"")</x:f>
        <x:v>157.798955613577</x:v>
      </x:c>
      <x:c r="K192" s="22" t="n">
        <x:f>IF(AND(ISNUMBER(I192),ISNUMBER(J192)),I192-J192,"")</x:f>
        <x:v>1166.767016608643</x:v>
      </x:c>
      <x:c r="L192" s="22" t="n">
        <x:f>IF(ISNUMBER(K192),K192*$B$2+$B$3,"")</x:f>
        <x:v>1097.1865912446672</x:v>
      </x:c>
      <x:c r="M192" s="22" t="n">
        <x:f>IF(AND(ISNUMBER(G192),ISNUMBER(H192),H192&lt;&gt;0),G192/(H192/60)/$B$5,"")</x:f>
        <x:v>0.005777344816075501</x:v>
      </x:c>
      <x:c r="N192" s="22" t="n">
        <x:f>IF(AND(ISNUMBER(L192),ISNUMBER(H192),H192&lt;&gt;0),L192*$B$6/$B$4/(H192/60)^2/$B$5^4/$B$7,"")</x:f>
        <x:v>0.07691443455080203</x:v>
      </x:c>
      <x:c r="O192" s="22" t="n">
        <x:f>IF(ISNUMBER(N192),N192*$B$8,"")</x:f>
        <x:v>0.009937540204703596</x:v>
      </x:c>
      <x:c r="P192" s="20" t="str">
        <x:v>3000rpm!N107</x:v>
      </x:c>
      <x:c r="Q192" s="20" t="str">
        <x:v>3000rpm!M107</x:v>
      </x:c>
      <x:c r="R192" s="20" t="str">
        <x:v>3000rpm!C86</x:v>
      </x:c>
    </x:row>
    <x:row r="193">
      <x:c r="A193" s="21" t="n">
        <x:v>3000</x:v>
      </x:c>
      <x:c r="B193" s="21" t="n">
        <x:v>45</x:v>
      </x:c>
      <x:c r="C193" s="21" t="n">
        <x:v>23</x:v>
      </x:c>
      <x:c r="D193" s="21" t="n">
        <x:v>1</x:v>
      </x:c>
      <x:c r="E193" s="21" t="str">
        <x:v>3000rpm</x:v>
      </x:c>
      <x:c r="F193" s="21" t="n">
        <x:v>108</x:v>
      </x:c>
      <x:c r="G193" s="22" t="n">
        <x:f>IFERROR('3000rpm'!D108,"")</x:f>
        <x:v>0.1258180583471388</x:v>
      </x:c>
      <x:c r="H193" s="22" t="n">
        <x:f>IFERROR('3000rpm'!B108,"")</x:f>
        <x:v>0</x:v>
      </x:c>
      <x:c r="I193" s="22" t="n">
        <x:f>IFERROR('3000rpm'!C108,"")</x:f>
        <x:v>155.028315946348</x:v>
      </x:c>
      <x:c r="J193" s="22" t="n">
        <x:f>IFERROR('3000rpm'!C86,"")</x:f>
        <x:v>157.798955613577</x:v>
      </x:c>
      <x:c r="K193" s="22" t="n">
        <x:f>IF(AND(ISNUMBER(I193),ISNUMBER(J193)),I193-J193,"")</x:f>
        <x:v>-2.7706396672290055</x:v>
      </x:c>
      <x:c r="L193" s="22" t="n">
        <x:f>IF(ISNUMBER(K193),K193*$B$2+$B$3,"")</x:f>
        <x:v>26.231603091601063</x:v>
      </x:c>
      <x:c r="M193" s="22" t="str">
        <x:f>IF(AND(ISNUMBER(G193),ISNUMBER(H193),H193&lt;&gt;0),G193/(H193/60)/$B$5,"")</x:f>
      </x:c>
      <x:c r="N193" s="22" t="str">
        <x:f>IF(AND(ISNUMBER(L193),ISNUMBER(H193),H193&lt;&gt;0),L193*$B$6/$B$4/(H193/60)^2/$B$5^4/$B$7,"")</x:f>
      </x:c>
      <x:c r="O193" s="22" t="str">
        <x:f>IF(ISNUMBER(N193),N193*$B$8,"")</x:f>
      </x:c>
      <x:c r="P193" s="20" t="str">
        <x:v>3000rpm!D108</x:v>
      </x:c>
      <x:c r="Q193" s="20" t="str">
        <x:v>3000rpm!C108</x:v>
      </x:c>
      <x:c r="R193" s="20" t="str">
        <x:v>3000rpm!C86</x:v>
      </x:c>
    </x:row>
    <x:row r="194">
      <x:c r="A194" s="21" t="n">
        <x:v>3000</x:v>
      </x:c>
      <x:c r="B194" s="21" t="n">
        <x:v>45</x:v>
      </x:c>
      <x:c r="C194" s="21" t="n">
        <x:v>23</x:v>
      </x:c>
      <x:c r="D194" s="21" t="n">
        <x:v>2</x:v>
      </x:c>
      <x:c r="E194" s="21" t="str">
        <x:v>3000rpm</x:v>
      </x:c>
      <x:c r="F194" s="21" t="n">
        <x:v>108</x:v>
      </x:c>
      <x:c r="G194" s="22" t="n">
        <x:f>IFERROR('3000rpm'!N108,"")</x:f>
        <x:v>-0.019539508231119003</x:v>
      </x:c>
      <x:c r="H194" s="22" t="n">
        <x:f>IFERROR('3000rpm'!L108,"")</x:f>
        <x:v>0</x:v>
      </x:c>
      <x:c r="I194" s="22" t="n">
        <x:f>IFERROR('3000rpm'!M108,"")</x:f>
        <x:v>158.453302961275</x:v>
      </x:c>
      <x:c r="J194" s="22" t="n">
        <x:f>IFERROR('3000rpm'!C86,"")</x:f>
        <x:v>157.798955613577</x:v>
      </x:c>
      <x:c r="K194" s="22" t="n">
        <x:f>IF(AND(ISNUMBER(I194),ISNUMBER(J194)),I194-J194,"")</x:f>
        <x:v>0.6543473476980068</x:v>
      </x:c>
      <x:c r="L194" s="22" t="n">
        <x:f>IF(ISNUMBER(K194),K194*$B$2+$B$3,"")</x:f>
        <x:v>29.367891101065844</x:v>
      </x:c>
      <x:c r="M194" s="22" t="str">
        <x:f>IF(AND(ISNUMBER(G194),ISNUMBER(H194),H194&lt;&gt;0),G194/(H194/60)/$B$5,"")</x:f>
      </x:c>
      <x:c r="N194" s="22" t="str">
        <x:f>IF(AND(ISNUMBER(L194),ISNUMBER(H194),H194&lt;&gt;0),L194*$B$6/$B$4/(H194/60)^2/$B$5^4/$B$7,"")</x:f>
      </x:c>
      <x:c r="O194" s="22" t="str">
        <x:f>IF(ISNUMBER(N194),N194*$B$8,"")</x:f>
      </x:c>
      <x:c r="P194" s="20" t="str">
        <x:v>3000rpm!N108</x:v>
      </x:c>
      <x:c r="Q194" s="20" t="str">
        <x:v>3000rpm!M108</x:v>
      </x:c>
      <x:c r="R194" s="20" t="str">
        <x:v>3000rpm!C86</x:v>
      </x:c>
    </x:row>
    <x:row r="195">
      <x:c r="A195" s="21" t="n">
        <x:v>3000</x:v>
      </x:c>
      <x:c r="B195" s="21" t="n">
        <x:v>60</x:v>
      </x:c>
      <x:c r="C195" s="21" t="n">
        <x:v>1</x:v>
      </x:c>
      <x:c r="D195" s="21" t="n">
        <x:v>1</x:v>
      </x:c>
      <x:c r="E195" s="21" t="str">
        <x:v>3000rpm</x:v>
      </x:c>
      <x:c r="F195" s="21" t="n">
        <x:v>115</x:v>
      </x:c>
      <x:c r="G195" s="22" t="n">
        <x:f>IFERROR('3000rpm'!D115,"")</x:f>
        <x:v>0.023565859951356752</x:v>
      </x:c>
      <x:c r="H195" s="22" t="n">
        <x:f>IFERROR('3000rpm'!B115,"")</x:f>
        <x:v>0</x:v>
      </x:c>
      <x:c r="I195" s="22" t="n">
        <x:f>IFERROR('3000rpm'!C115,"")</x:f>
        <x:v>237.743758212877</x:v>
      </x:c>
      <x:c r="J195" s="22" t="n">
        <x:f>IFERROR('3000rpm'!C115,"")</x:f>
        <x:v>237.743758212877</x:v>
      </x:c>
      <x:c r="K195" s="22" t="n">
        <x:f>IF(AND(ISNUMBER(I195),ISNUMBER(J195)),I195-J195,"")</x:f>
        <x:v>0</x:v>
      </x:c>
      <x:c r="L195" s="22" t="n">
        <x:f>IF(ISNUMBER(K195),K195*$B$2+$B$3,"")</x:f>
        <x:v>28.7687</x:v>
      </x:c>
      <x:c r="M195" s="22" t="str">
        <x:f>IF(AND(ISNUMBER(G195),ISNUMBER(H195),H195&lt;&gt;0),G195/(H195/60)/$B$5,"")</x:f>
      </x:c>
      <x:c r="N195" s="22" t="str">
        <x:f>IF(AND(ISNUMBER(L195),ISNUMBER(H195),H195&lt;&gt;0),L195*$B$6/$B$4/(H195/60)^2/$B$5^4/$B$7,"")</x:f>
      </x:c>
      <x:c r="O195" s="22" t="str">
        <x:f>IF(ISNUMBER(N195),N195*$B$8,"")</x:f>
      </x:c>
      <x:c r="P195" s="20" t="str">
        <x:v>3000rpm!D115</x:v>
      </x:c>
      <x:c r="Q195" s="20" t="str">
        <x:v>3000rpm!C115</x:v>
      </x:c>
      <x:c r="R195" s="20" t="str">
        <x:v>3000rpm!C115</x:v>
      </x:c>
    </x:row>
    <x:row r="196">
      <x:c r="A196" s="21" t="n">
        <x:v>3000</x:v>
      </x:c>
      <x:c r="B196" s="21" t="n">
        <x:v>60</x:v>
      </x:c>
      <x:c r="C196" s="21" t="n">
        <x:v>1</x:v>
      </x:c>
      <x:c r="D196" s="21" t="n">
        <x:v>2</x:v>
      </x:c>
      <x:c r="E196" s="21" t="str">
        <x:v>3000rpm</x:v>
      </x:c>
      <x:c r="F196" s="21" t="n">
        <x:v>115</x:v>
      </x:c>
      <x:c r="G196" s="22" t="n">
        <x:f>IFERROR('3000rpm'!N115,"")</x:f>
        <x:v>0.1918757496667755</x:v>
      </x:c>
      <x:c r="H196" s="22" t="n">
        <x:f>IFERROR('3000rpm'!L115,"")</x:f>
        <x:v>0</x:v>
      </x:c>
      <x:c r="I196" s="22" t="n">
        <x:f>IFERROR('3000rpm'!M115,"")</x:f>
        <x:v>241.619047619047</x:v>
      </x:c>
      <x:c r="J196" s="22" t="n">
        <x:f>IFERROR('3000rpm'!M115,"")</x:f>
        <x:v>241.619047619047</x:v>
      </x:c>
      <x:c r="K196" s="22" t="n">
        <x:f>IF(AND(ISNUMBER(I196),ISNUMBER(J196)),I196-J196,"")</x:f>
        <x:v>0</x:v>
      </x:c>
      <x:c r="L196" s="22" t="n">
        <x:f>IF(ISNUMBER(K196),K196*$B$2+$B$3,"")</x:f>
        <x:v>28.7687</x:v>
      </x:c>
      <x:c r="M196" s="22" t="str">
        <x:f>IF(AND(ISNUMBER(G196),ISNUMBER(H196),H196&lt;&gt;0),G196/(H196/60)/$B$5,"")</x:f>
      </x:c>
      <x:c r="N196" s="22" t="str">
        <x:f>IF(AND(ISNUMBER(L196),ISNUMBER(H196),H196&lt;&gt;0),L196*$B$6/$B$4/(H196/60)^2/$B$5^4/$B$7,"")</x:f>
      </x:c>
      <x:c r="O196" s="22" t="str">
        <x:f>IF(ISNUMBER(N196),N196*$B$8,"")</x:f>
      </x:c>
      <x:c r="P196" s="20" t="str">
        <x:v>3000rpm!N115</x:v>
      </x:c>
      <x:c r="Q196" s="20" t="str">
        <x:v>3000rpm!M115</x:v>
      </x:c>
      <x:c r="R196" s="20" t="str">
        <x:v>3000rpm!M115</x:v>
      </x:c>
    </x:row>
    <x:row r="197">
      <x:c r="A197" s="21" t="n">
        <x:v>3000</x:v>
      </x:c>
      <x:c r="B197" s="21" t="n">
        <x:v>60</x:v>
      </x:c>
      <x:c r="C197" s="21" t="n">
        <x:v>2</x:v>
      </x:c>
      <x:c r="D197" s="21" t="n">
        <x:v>1</x:v>
      </x:c>
      <x:c r="E197" s="21" t="str">
        <x:v>3000rpm</x:v>
      </x:c>
      <x:c r="F197" s="21" t="n">
        <x:v>116</x:v>
      </x:c>
      <x:c r="G197" s="22" t="n">
        <x:f>IFERROR('3000rpm'!D116,"")</x:f>
        <x:v>0.110679</x:v>
      </x:c>
      <x:c r="H197" s="22" t="n">
        <x:f>IFERROR('3000rpm'!B116,"")</x:f>
        <x:v>3010.242</x:v>
      </x:c>
      <x:c r="I197" s="22" t="n">
        <x:f>IFERROR('3000rpm'!C116,"")</x:f>
        <x:v>1315.9</x:v>
      </x:c>
      <x:c r="J197" s="22" t="n">
        <x:f>IFERROR('3000rpm'!C115,"")</x:f>
        <x:v>237.743758212877</x:v>
      </x:c>
      <x:c r="K197" s="22" t="n">
        <x:f>IF(AND(ISNUMBER(I197),ISNUMBER(J197)),I197-J197,"")</x:f>
        <x:v>1078.156241787123</x:v>
      </x:c>
      <x:c r="L197" s="22" t="n">
        <x:f>IF(ISNUMBER(K197),K197*$B$2+$B$3,"")</x:f>
        <x:v>1016.0449958544027</x:v>
      </x:c>
      <x:c r="M197" s="22" t="n">
        <x:f>IF(AND(ISNUMBER(G197),ISNUMBER(H197),H197&lt;&gt;0),G197/(H197/60)/$B$5,"")</x:f>
        <x:v>0.004825128062662836</x:v>
      </x:c>
      <x:c r="N197" s="22" t="n">
        <x:f>IF(AND(ISNUMBER(L197),ISNUMBER(H197),H197&lt;&gt;0),L197*$B$6/$B$4/(H197/60)^2/$B$5^4/$B$7,"")</x:f>
        <x:v>0.07513231352081556</x:v>
      </x:c>
      <x:c r="O197" s="22" t="n">
        <x:f>IF(ISNUMBER(N197),N197*$B$8,"")</x:f>
        <x:v>0.009707285643403521</x:v>
      </x:c>
      <x:c r="P197" s="20" t="str">
        <x:v>3000rpm!D116</x:v>
      </x:c>
      <x:c r="Q197" s="20" t="str">
        <x:v>3000rpm!C116</x:v>
      </x:c>
      <x:c r="R197" s="20" t="str">
        <x:v>3000rpm!C115</x:v>
      </x:c>
    </x:row>
    <x:row r="198">
      <x:c r="A198" s="21" t="n">
        <x:v>3000</x:v>
      </x:c>
      <x:c r="B198" s="21" t="n">
        <x:v>60</x:v>
      </x:c>
      <x:c r="C198" s="21" t="n">
        <x:v>2</x:v>
      </x:c>
      <x:c r="D198" s="21" t="n">
        <x:v>2</x:v>
      </x:c>
      <x:c r="E198" s="21" t="str">
        <x:v>3000rpm</x:v>
      </x:c>
      <x:c r="F198" s="21" t="n">
        <x:v>116</x:v>
      </x:c>
      <x:c r="G198" s="22" t="n">
        <x:f>IFERROR('3000rpm'!N116,"")</x:f>
        <x:v>0.21994499999999997</x:v>
      </x:c>
      <x:c r="H198" s="22" t="n">
        <x:f>IFERROR('3000rpm'!L116,"")</x:f>
        <x:v>3104.2</x:v>
      </x:c>
      <x:c r="I198" s="22" t="n">
        <x:f>IFERROR('3000rpm'!M116,"")</x:f>
        <x:v>1394.8</x:v>
      </x:c>
      <x:c r="J198" s="22" t="n">
        <x:f>IFERROR('3000rpm'!M115,"")</x:f>
        <x:v>241.619047619047</x:v>
      </x:c>
      <x:c r="K198" s="22" t="n">
        <x:f>IF(AND(ISNUMBER(I198),ISNUMBER(J198)),I198-J198,"")</x:f>
        <x:v>1153.180952380953</x:v>
      </x:c>
      <x:c r="L198" s="22" t="n">
        <x:f>IF(ISNUMBER(K198),K198*$B$2+$B$3,"")</x:f>
        <x:v>1084.7457235428576</x:v>
      </x:c>
      <x:c r="M198" s="22" t="n">
        <x:f>IF(AND(ISNUMBER(G198),ISNUMBER(H198),H198&lt;&gt;0),G198/(H198/60)/$B$5,"")</x:f>
        <x:v>0.009298425754895449</x:v>
      </x:c>
      <x:c r="N198" s="22" t="n">
        <x:f>IF(AND(ISNUMBER(L198),ISNUMBER(H198),H198&lt;&gt;0),L198*$B$6/$B$4/(H198/60)^2/$B$5^4/$B$7,"")</x:f>
        <x:v>0.07543018974074438</x:v>
      </x:c>
      <x:c r="O198" s="22" t="n">
        <x:f>IF(ISNUMBER(N198),N198*$B$8,"")</x:f>
        <x:v>0.00974577200722919</x:v>
      </x:c>
      <x:c r="P198" s="20" t="str">
        <x:v>3000rpm!N116</x:v>
      </x:c>
      <x:c r="Q198" s="20" t="str">
        <x:v>3000rpm!M116</x:v>
      </x:c>
      <x:c r="R198" s="20" t="str">
        <x:v>3000rpm!M115</x:v>
      </x:c>
    </x:row>
    <x:row r="199">
      <x:c r="A199" s="21" t="n">
        <x:v>3000</x:v>
      </x:c>
      <x:c r="B199" s="21" t="n">
        <x:v>60</x:v>
      </x:c>
      <x:c r="C199" s="21" t="n">
        <x:v>3</x:v>
      </x:c>
      <x:c r="D199" s="21" t="n">
        <x:v>1</x:v>
      </x:c>
      <x:c r="E199" s="21" t="str">
        <x:v>3000rpm</x:v>
      </x:c>
      <x:c r="F199" s="21" t="n">
        <x:v>117</x:v>
      </x:c>
      <x:c r="G199" s="22" t="n">
        <x:f>IFERROR('3000rpm'!D117,"")</x:f>
        <x:v>1.0336198703996056</x:v>
      </x:c>
      <x:c r="H199" s="22" t="n">
        <x:f>IFERROR('3000rpm'!B117,"")</x:f>
        <x:v>2990.77325704823</x:v>
      </x:c>
      <x:c r="I199" s="22" t="n">
        <x:f>IFERROR('3000rpm'!C117,"")</x:f>
        <x:v>1280.87284482758</x:v>
      </x:c>
      <x:c r="J199" s="22" t="n">
        <x:f>IFERROR('3000rpm'!C115,"")</x:f>
        <x:v>237.743758212877</x:v>
      </x:c>
      <x:c r="K199" s="22" t="n">
        <x:f>IF(AND(ISNUMBER(I199),ISNUMBER(J199)),I199-J199,"")</x:f>
        <x:v>1043.1290866147028</x:v>
      </x:c>
      <x:c r="L199" s="22" t="n">
        <x:f>IF(ISNUMBER(K199),K199*$B$2+$B$3,"")</x:f>
        <x:v>983.9703496457762</x:v>
      </x:c>
      <x:c r="M199" s="22" t="n">
        <x:f>IF(AND(ISNUMBER(G199),ISNUMBER(H199),H199&lt;&gt;0),G199/(H199/60)/$B$5,"")</x:f>
        <x:v>0.0453547095099043</x:v>
      </x:c>
      <x:c r="N199" s="22" t="n">
        <x:f>IF(AND(ISNUMBER(L199),ISNUMBER(H199),H199&lt;&gt;0),L199*$B$6/$B$4/(H199/60)^2/$B$5^4/$B$7,"")</x:f>
        <x:v>0.07371089378729452</x:v>
      </x:c>
      <x:c r="O199" s="22" t="n">
        <x:f>IF(ISNUMBER(N199),N199*$B$8,"")</x:f>
        <x:v>0.009523634605310085</x:v>
      </x:c>
      <x:c r="P199" s="20" t="str">
        <x:v>3000rpm!D117</x:v>
      </x:c>
      <x:c r="Q199" s="20" t="str">
        <x:v>3000rpm!C117</x:v>
      </x:c>
      <x:c r="R199" s="20" t="str">
        <x:v>3000rpm!C115</x:v>
      </x:c>
    </x:row>
    <x:row r="200">
      <x:c r="A200" s="21" t="n">
        <x:v>3000</x:v>
      </x:c>
      <x:c r="B200" s="21" t="n">
        <x:v>60</x:v>
      </x:c>
      <x:c r="C200" s="21" t="n">
        <x:v>3</x:v>
      </x:c>
      <x:c r="D200" s="21" t="n">
        <x:v>2</x:v>
      </x:c>
      <x:c r="E200" s="21" t="str">
        <x:v>3000rpm</x:v>
      </x:c>
      <x:c r="F200" s="21" t="n">
        <x:v>117</x:v>
      </x:c>
      <x:c r="G200" s="22" t="n">
        <x:f>IFERROR('3000rpm'!N117,"")</x:f>
        <x:v>1.0384247002834006</x:v>
      </x:c>
      <x:c r="H200" s="22" t="n">
        <x:f>IFERROR('3000rpm'!L117,"")</x:f>
        <x:v>3085.08549442997</x:v>
      </x:c>
      <x:c r="I200" s="22" t="n">
        <x:f>IFERROR('3000rpm'!M117,"")</x:f>
        <x:v>1353.39673913043</x:v>
      </x:c>
      <x:c r="J200" s="22" t="n">
        <x:f>IFERROR('3000rpm'!M115,"")</x:f>
        <x:v>241.619047619047</x:v>
      </x:c>
      <x:c r="K200" s="22" t="n">
        <x:f>IF(AND(ISNUMBER(I200),ISNUMBER(J200)),I200-J200,"")</x:f>
        <x:v>1111.777691511383</x:v>
      </x:c>
      <x:c r="L200" s="22" t="n">
        <x:f>IF(ISNUMBER(K200),K200*$B$2+$B$3,"")</x:f>
        <x:v>1046.8324263385055</x:v>
      </x:c>
      <x:c r="M200" s="22" t="n">
        <x:f>IF(AND(ISNUMBER(G200),ISNUMBER(H200),H200&lt;&gt;0),G200/(H200/60)/$B$5,"")</x:f>
        <x:v>0.044172586993882566</x:v>
      </x:c>
      <x:c r="N200" s="22" t="n">
        <x:f>IF(AND(ISNUMBER(L200),ISNUMBER(H200),H200&lt;&gt;0),L200*$B$6/$B$4/(H200/60)^2/$B$5^4/$B$7,"")</x:f>
        <x:v>0.07369862781013128</x:v>
      </x:c>
      <x:c r="O200" s="22" t="n">
        <x:f>IF(ISNUMBER(N200),N200*$B$8,"")</x:f>
        <x:v>0.009522049809921267</x:v>
      </x:c>
      <x:c r="P200" s="20" t="str">
        <x:v>3000rpm!N117</x:v>
      </x:c>
      <x:c r="Q200" s="20" t="str">
        <x:v>3000rpm!M117</x:v>
      </x:c>
      <x:c r="R200" s="20" t="str">
        <x:v>3000rpm!M115</x:v>
      </x:c>
    </x:row>
    <x:row r="201">
      <x:c r="A201" s="21" t="n">
        <x:v>3000</x:v>
      </x:c>
      <x:c r="B201" s="21" t="n">
        <x:v>60</x:v>
      </x:c>
      <x:c r="C201" s="21" t="n">
        <x:v>4</x:v>
      </x:c>
      <x:c r="D201" s="21" t="n">
        <x:v>1</x:v>
      </x:c>
      <x:c r="E201" s="21" t="str">
        <x:v>3000rpm</x:v>
      </x:c>
      <x:c r="F201" s="21" t="n">
        <x:v>118</x:v>
      </x:c>
      <x:c r="G201" s="22" t="n">
        <x:f>IFERROR('3000rpm'!D118,"")</x:f>
        <x:v>2.05803522467613</x:v>
      </x:c>
      <x:c r="H201" s="22" t="n">
        <x:f>IFERROR('3000rpm'!B118,"")</x:f>
        <x:v>3009.96922144396</x:v>
      </x:c>
      <x:c r="I201" s="22" t="n">
        <x:f>IFERROR('3000rpm'!C118,"")</x:f>
        <x:v>1216.38160136286</x:v>
      </x:c>
      <x:c r="J201" s="22" t="n">
        <x:f>IFERROR('3000rpm'!C115,"")</x:f>
        <x:v>237.743758212877</x:v>
      </x:c>
      <x:c r="K201" s="22" t="n">
        <x:f>IF(AND(ISNUMBER(I201),ISNUMBER(J201)),I201-J201,"")</x:f>
        <x:v>978.637843149983</x:v>
      </x:c>
      <x:c r="L201" s="22" t="n">
        <x:f>IF(ISNUMBER(K201),K201*$B$2+$B$3,"")</x:f>
        <x:v>924.9152020751847</x:v>
      </x:c>
      <x:c r="M201" s="22" t="n">
        <x:f>IF(AND(ISNUMBER(G201),ISNUMBER(H201),H201&lt;&gt;0),G201/(H201/60)/$B$5,"")</x:f>
        <x:v>0.0897296094904332</x:v>
      </x:c>
      <x:c r="N201" s="22" t="n">
        <x:f>IF(AND(ISNUMBER(L201),ISNUMBER(H201),H201&lt;&gt;0),L201*$B$6/$B$4/(H201/60)^2/$B$5^4/$B$7,"")</x:f>
        <x:v>0.0684060401344168</x:v>
      </x:c>
      <x:c r="O201" s="22" t="n">
        <x:f>IF(ISNUMBER(N201),N201*$B$8,"")</x:f>
        <x:v>0.008838234046059774</x:v>
      </x:c>
      <x:c r="P201" s="20" t="str">
        <x:v>3000rpm!D118</x:v>
      </x:c>
      <x:c r="Q201" s="20" t="str">
        <x:v>3000rpm!C118</x:v>
      </x:c>
      <x:c r="R201" s="20" t="str">
        <x:v>3000rpm!C115</x:v>
      </x:c>
    </x:row>
    <x:row r="202">
      <x:c r="A202" s="21" t="n">
        <x:v>3000</x:v>
      </x:c>
      <x:c r="B202" s="21" t="n">
        <x:v>60</x:v>
      </x:c>
      <x:c r="C202" s="21" t="n">
        <x:v>4</x:v>
      </x:c>
      <x:c r="D202" s="21" t="n">
        <x:v>2</x:v>
      </x:c>
      <x:c r="E202" s="21" t="str">
        <x:v>3000rpm</x:v>
      </x:c>
      <x:c r="F202" s="21" t="n">
        <x:v>118</x:v>
      </x:c>
      <x:c r="G202" s="22" t="n">
        <x:f>IFERROR('3000rpm'!N118,"")</x:f>
        <x:v>2.065015941858285</x:v>
      </x:c>
      <x:c r="H202" s="22" t="n">
        <x:f>IFERROR('3000rpm'!L118,"")</x:f>
        <x:v>3092.17761230468</x:v>
      </x:c>
      <x:c r="I202" s="22" t="n">
        <x:f>IFERROR('3000rpm'!M118,"")</x:f>
        <x:v>1291.0136286201</x:v>
      </x:c>
      <x:c r="J202" s="22" t="n">
        <x:f>IFERROR('3000rpm'!M115,"")</x:f>
        <x:v>241.619047619047</x:v>
      </x:c>
      <x:c r="K202" s="22" t="n">
        <x:f>IF(AND(ISNUMBER(I202),ISNUMBER(J202)),I202-J202,"")</x:f>
        <x:v>1049.394581001053</x:v>
      </x:c>
      <x:c r="L202" s="22" t="n">
        <x:f>IF(ISNUMBER(K202),K202*$B$2+$B$3,"")</x:f>
        <x:v>989.7077129793122</x:v>
      </x:c>
      <x:c r="M202" s="22" t="n">
        <x:f>IF(AND(ISNUMBER(G202),ISNUMBER(H202),H202&lt;&gt;0),G202/(H202/60)/$B$5,"")</x:f>
        <x:v>0.08764033034748206</x:v>
      </x:c>
      <x:c r="N202" s="22" t="n">
        <x:f>IF(AND(ISNUMBER(L202),ISNUMBER(H202),H202&lt;&gt;0),L202*$B$6/$B$4/(H202/60)^2/$B$5^4/$B$7,"")</x:f>
        <x:v>0.06935770823763054</x:v>
      </x:c>
      <x:c r="O202" s="22" t="n">
        <x:f>IF(ISNUMBER(N202),N202*$B$8,"")</x:f>
        <x:v>0.008961191980970862</x:v>
      </x:c>
      <x:c r="P202" s="20" t="str">
        <x:v>3000rpm!N118</x:v>
      </x:c>
      <x:c r="Q202" s="20" t="str">
        <x:v>3000rpm!M118</x:v>
      </x:c>
      <x:c r="R202" s="20" t="str">
        <x:v>3000rpm!M115</x:v>
      </x:c>
    </x:row>
    <x:row r="203">
      <x:c r="A203" s="21" t="n">
        <x:v>3000</x:v>
      </x:c>
      <x:c r="B203" s="21" t="n">
        <x:v>60</x:v>
      </x:c>
      <x:c r="C203" s="21" t="n">
        <x:v>5</x:v>
      </x:c>
      <x:c r="D203" s="21" t="n">
        <x:v>1</x:v>
      </x:c>
      <x:c r="E203" s="21" t="str">
        <x:v>3000rpm</x:v>
      </x:c>
      <x:c r="F203" s="21" t="n">
        <x:v>119</x:v>
      </x:c>
      <x:c r="G203" s="22" t="n">
        <x:f>IFERROR('3000rpm'!D119,"")</x:f>
        <x:v>3.083045126467335</x:v>
      </x:c>
      <x:c r="H203" s="22" t="n">
        <x:f>IFERROR('3000rpm'!B119,"")</x:f>
        <x:v>3012.63045898437</x:v>
      </x:c>
      <x:c r="I203" s="22" t="n">
        <x:f>IFERROR('3000rpm'!C119,"")</x:f>
        <x:v>1149.72244897959</x:v>
      </x:c>
      <x:c r="J203" s="22" t="n">
        <x:f>IFERROR('3000rpm'!C115,"")</x:f>
        <x:v>237.743758212877</x:v>
      </x:c>
      <x:c r="K203" s="22" t="n">
        <x:f>IF(AND(ISNUMBER(I203),ISNUMBER(J203)),I203-J203,"")</x:f>
        <x:v>911.9786907667129</x:v>
      </x:c>
      <x:c r="L203" s="22" t="n">
        <x:f>IF(ISNUMBER(K203),K203*$B$2+$B$3,"")</x:f>
        <x:v>863.8748829646051</x:v>
      </x:c>
      <x:c r="M203" s="22" t="n">
        <x:f>IF(AND(ISNUMBER(G203),ISNUMBER(H203),H203&lt;&gt;0),G203/(H203/60)/$B$5,"")</x:f>
        <x:v>0.13430093848881572</x:v>
      </x:c>
      <x:c r="N203" s="22" t="n">
        <x:f>IF(AND(ISNUMBER(L203),ISNUMBER(H203),H203&lt;&gt;0),L203*$B$6/$B$4/(H203/60)^2/$B$5^4/$B$7,"")</x:f>
        <x:v>0.06377871492759167</x:v>
      </x:c>
      <x:c r="O203" s="22" t="n">
        <x:f>IF(ISNUMBER(N203),N203*$B$8,"")</x:f>
        <x:v>0.00824037188206388</x:v>
      </x:c>
      <x:c r="P203" s="20" t="str">
        <x:v>3000rpm!D119</x:v>
      </x:c>
      <x:c r="Q203" s="20" t="str">
        <x:v>3000rpm!C119</x:v>
      </x:c>
      <x:c r="R203" s="20" t="str">
        <x:v>3000rpm!C115</x:v>
      </x:c>
    </x:row>
    <x:row r="204">
      <x:c r="A204" s="21" t="n">
        <x:v>3000</x:v>
      </x:c>
      <x:c r="B204" s="21" t="n">
        <x:v>60</x:v>
      </x:c>
      <x:c r="C204" s="21" t="n">
        <x:v>5</x:v>
      </x:c>
      <x:c r="D204" s="21" t="n">
        <x:v>2</x:v>
      </x:c>
      <x:c r="E204" s="21" t="str">
        <x:v>3000rpm</x:v>
      </x:c>
      <x:c r="F204" s="21" t="n">
        <x:v>119</x:v>
      </x:c>
      <x:c r="G204" s="22" t="n">
        <x:f>IFERROR('3000rpm'!N119,"")</x:f>
        <x:v>3.086478438439845</x:v>
      </x:c>
      <x:c r="H204" s="22" t="n">
        <x:f>IFERROR('3000rpm'!L119,"")</x:f>
        <x:v>3096.36720872961</x:v>
      </x:c>
      <x:c r="I204" s="22" t="n">
        <x:f>IFERROR('3000rpm'!M119,"")</x:f>
        <x:v>1222.78213507625</x:v>
      </x:c>
      <x:c r="J204" s="22" t="n">
        <x:f>IFERROR('3000rpm'!M115,"")</x:f>
        <x:v>241.619047619047</x:v>
      </x:c>
      <x:c r="K204" s="22" t="n">
        <x:f>IF(AND(ISNUMBER(I204),ISNUMBER(J204)),I204-J204,"")</x:f>
        <x:v>981.1630874572029</x:v>
      </x:c>
      <x:c r="L204" s="22" t="n">
        <x:f>IF(ISNUMBER(K204),K204*$B$2+$B$3,"")</x:f>
        <x:v>927.2275884892603</x:v>
      </x:c>
      <x:c r="M204" s="22" t="n">
        <x:f>IF(AND(ISNUMBER(G204),ISNUMBER(H204),H204&lt;&gt;0),G204/(H204/60)/$B$5,"")</x:f>
        <x:v>0.13081447920495043</x:v>
      </x:c>
      <x:c r="N204" s="22" t="n">
        <x:f>IF(AND(ISNUMBER(L204),ISNUMBER(H204),H204&lt;&gt;0),L204*$B$6/$B$4/(H204/60)^2/$B$5^4/$B$7,"")</x:f>
        <x:v>0.06480344122930703</x:v>
      </x:c>
      <x:c r="O204" s="22" t="n">
        <x:f>IF(ISNUMBER(N204),N204*$B$8,"")</x:f>
        <x:v>0.008372769121692387</x:v>
      </x:c>
      <x:c r="P204" s="20" t="str">
        <x:v>3000rpm!N119</x:v>
      </x:c>
      <x:c r="Q204" s="20" t="str">
        <x:v>3000rpm!M119</x:v>
      </x:c>
      <x:c r="R204" s="20" t="str">
        <x:v>3000rpm!M115</x:v>
      </x:c>
    </x:row>
    <x:row r="205">
      <x:c r="A205" s="21" t="n">
        <x:v>3000</x:v>
      </x:c>
      <x:c r="B205" s="21" t="n">
        <x:v>60</x:v>
      </x:c>
      <x:c r="C205" s="21" t="n">
        <x:v>6</x:v>
      </x:c>
      <x:c r="D205" s="21" t="n">
        <x:v>1</x:v>
      </x:c>
      <x:c r="E205" s="21" t="str">
        <x:v>3000rpm</x:v>
      </x:c>
      <x:c r="F205" s="21" t="n">
        <x:v>120</x:v>
      </x:c>
      <x:c r="G205" s="22" t="n">
        <x:f>IFERROR('3000rpm'!D120,"")</x:f>
        <x:v>4.1082786578398345</x:v>
      </x:c>
      <x:c r="H205" s="22" t="n">
        <x:f>IFERROR('3000rpm'!B120,"")</x:f>
        <x:v>3034.09711914062</x:v>
      </x:c>
      <x:c r="I205" s="22" t="n">
        <x:f>IFERROR('3000rpm'!C120,"")</x:f>
        <x:v>1086.273657289</x:v>
      </x:c>
      <x:c r="J205" s="22" t="n">
        <x:f>IFERROR('3000rpm'!C115,"")</x:f>
        <x:v>237.743758212877</x:v>
      </x:c>
      <x:c r="K205" s="22" t="n">
        <x:f>IF(AND(ISNUMBER(I205),ISNUMBER(J205)),I205-J205,"")</x:f>
        <x:v>848.5298990761231</x:v>
      </x:c>
      <x:c r="L205" s="22" t="n">
        <x:f>IF(ISNUMBER(K205),K205*$B$2+$B$3,"")</x:f>
        <x:v>805.7743168231984</x:v>
      </x:c>
      <x:c r="M205" s="22" t="n">
        <x:f>IF(AND(ISNUMBER(G205),ISNUMBER(H205),H205&lt;&gt;0),G205/(H205/60)/$B$5,"")</x:f>
        <x:v>0.17769509664594504</x:v>
      </x:c>
      <x:c r="N205" s="22" t="n">
        <x:f>IF(AND(ISNUMBER(L205),ISNUMBER(H205),H205&lt;&gt;0),L205*$B$6/$B$4/(H205/60)^2/$B$5^4/$B$7,"")</x:f>
        <x:v>0.05865041737607121</x:v>
      </x:c>
      <x:c r="O205" s="22" t="n">
        <x:f>IF(ISNUMBER(N205),N205*$B$8,"")</x:f>
        <x:v>0.007577782819327461</x:v>
      </x:c>
      <x:c r="P205" s="20" t="str">
        <x:v>3000rpm!D120</x:v>
      </x:c>
      <x:c r="Q205" s="20" t="str">
        <x:v>3000rpm!C120</x:v>
      </x:c>
      <x:c r="R205" s="20" t="str">
        <x:v>3000rpm!C115</x:v>
      </x:c>
    </x:row>
    <x:row r="206">
      <x:c r="A206" s="21" t="n">
        <x:v>3000</x:v>
      </x:c>
      <x:c r="B206" s="21" t="n">
        <x:v>60</x:v>
      </x:c>
      <x:c r="C206" s="21" t="n">
        <x:v>6</x:v>
      </x:c>
      <x:c r="D206" s="21" t="n">
        <x:v>2</x:v>
      </x:c>
      <x:c r="E206" s="21" t="str">
        <x:v>3000rpm</x:v>
      </x:c>
      <x:c r="F206" s="21" t="n">
        <x:v>120</x:v>
      </x:c>
      <x:c r="G206" s="22" t="n">
        <x:f>IFERROR('3000rpm'!N120,"")</x:f>
        <x:v>4.11901079337609</x:v>
      </x:c>
      <x:c r="H206" s="22" t="n">
        <x:f>IFERROR('3000rpm'!L120,"")</x:f>
        <x:v>3108.47899169921</x:v>
      </x:c>
      <x:c r="I206" s="22" t="n">
        <x:f>IFERROR('3000rpm'!M120,"")</x:f>
        <x:v>1157.02791878172</x:v>
      </x:c>
      <x:c r="J206" s="22" t="n">
        <x:f>IFERROR('3000rpm'!M115,"")</x:f>
        <x:v>241.619047619047</x:v>
      </x:c>
      <x:c r="K206" s="22" t="n">
        <x:f>IF(AND(ISNUMBER(I206),ISNUMBER(J206)),I206-J206,"")</x:f>
        <x:v>915.408871162673</x:v>
      </x:c>
      <x:c r="L206" s="22" t="n">
        <x:f>IF(ISNUMBER(K206),K206*$B$2+$B$3,"")</x:f>
        <x:v>867.0159265946289</x:v>
      </x:c>
      <x:c r="M206" s="22" t="n">
        <x:f>IF(AND(ISNUMBER(G206),ISNUMBER(H206),H206&lt;&gt;0),G206/(H206/60)/$B$5,"")</x:f>
        <x:v>0.17389617205050864</x:v>
      </x:c>
      <x:c r="N206" s="22" t="n">
        <x:f>IF(AND(ISNUMBER(L206),ISNUMBER(H206),H206&lt;&gt;0),L206*$B$6/$B$4/(H206/60)^2/$B$5^4/$B$7,"")</x:f>
        <x:v>0.060123997044725305</x:v>
      </x:c>
      <x:c r="O206" s="22" t="n">
        <x:f>IF(ISNUMBER(N206),N206*$B$8,"")</x:f>
        <x:v>0.007768173053457202</x:v>
      </x:c>
      <x:c r="P206" s="20" t="str">
        <x:v>3000rpm!N120</x:v>
      </x:c>
      <x:c r="Q206" s="20" t="str">
        <x:v>3000rpm!M120</x:v>
      </x:c>
      <x:c r="R206" s="20" t="str">
        <x:v>3000rpm!M115</x:v>
      </x:c>
    </x:row>
    <x:row r="207">
      <x:c r="A207" s="21" t="n">
        <x:v>3000</x:v>
      </x:c>
      <x:c r="B207" s="21" t="n">
        <x:v>60</x:v>
      </x:c>
      <x:c r="C207" s="21" t="n">
        <x:v>7</x:v>
      </x:c>
      <x:c r="D207" s="21" t="n">
        <x:v>1</x:v>
      </x:c>
      <x:c r="E207" s="21" t="str">
        <x:v>3000rpm</x:v>
      </x:c>
      <x:c r="F207" s="21" t="n">
        <x:v>121</x:v>
      </x:c>
      <x:c r="G207" s="22" t="n">
        <x:f>IFERROR('3000rpm'!D121,"")</x:f>
        <x:v>5.1324912424547104</x:v>
      </x:c>
      <x:c r="H207" s="22" t="n">
        <x:f>IFERROR('3000rpm'!B121,"")</x:f>
        <x:v>3037.64688476562</x:v>
      </x:c>
      <x:c r="I207" s="22" t="n">
        <x:f>IFERROR('3000rpm'!C121,"")</x:f>
        <x:v>1029.50501002004</x:v>
      </x:c>
      <x:c r="J207" s="22" t="n">
        <x:f>IFERROR('3000rpm'!C115,"")</x:f>
        <x:v>237.743758212877</x:v>
      </x:c>
      <x:c r="K207" s="22" t="n">
        <x:f>IF(AND(ISNUMBER(I207),ISNUMBER(J207)),I207-J207,"")</x:f>
        <x:v>791.7612518071629</x:v>
      </x:c>
      <x:c r="L207" s="22" t="n">
        <x:f>IF(ISNUMBER(K207),K207*$B$2+$B$3,"")</x:f>
        <x:v>753.7908123698335</x:v>
      </x:c>
      <x:c r="M207" s="22" t="n">
        <x:f>IF(AND(ISNUMBER(G207),ISNUMBER(H207),H207&lt;&gt;0),G207/(H207/60)/$B$5,"")</x:f>
        <x:v>0.22173587211207596</x:v>
      </x:c>
      <x:c r="N207" s="22" t="n">
        <x:f>IF(AND(ISNUMBER(L207),ISNUMBER(H207),H207&lt;&gt;0),L207*$B$6/$B$4/(H207/60)^2/$B$5^4/$B$7,"")</x:f>
        <x:v>0.054738501947805024</x:v>
      </x:c>
      <x:c r="O207" s="22" t="n">
        <x:f>IF(ISNUMBER(N207),N207*$B$8,"")</x:f>
        <x:v>0.007072353414914188</x:v>
      </x:c>
      <x:c r="P207" s="20" t="str">
        <x:v>3000rpm!D121</x:v>
      </x:c>
      <x:c r="Q207" s="20" t="str">
        <x:v>3000rpm!C121</x:v>
      </x:c>
      <x:c r="R207" s="20" t="str">
        <x:v>3000rpm!C115</x:v>
      </x:c>
    </x:row>
    <x:row r="208">
      <x:c r="A208" s="21" t="n">
        <x:v>3000</x:v>
      </x:c>
      <x:c r="B208" s="21" t="n">
        <x:v>60</x:v>
      </x:c>
      <x:c r="C208" s="21" t="n">
        <x:v>7</x:v>
      </x:c>
      <x:c r="D208" s="21" t="n">
        <x:v>2</x:v>
      </x:c>
      <x:c r="E208" s="21" t="str">
        <x:v>3000rpm</x:v>
      </x:c>
      <x:c r="F208" s="21" t="n">
        <x:v>121</x:v>
      </x:c>
      <x:c r="G208" s="22" t="n">
        <x:f>IFERROR('3000rpm'!N121,"")</x:f>
        <x:v>5.143066545607335</x:v>
      </x:c>
      <x:c r="H208" s="22" t="n">
        <x:f>IFERROR('3000rpm'!L121,"")</x:f>
        <x:v>3118.33697219122</x:v>
      </x:c>
      <x:c r="I208" s="22" t="n">
        <x:f>IFERROR('3000rpm'!M121,"")</x:f>
        <x:v>1094.62763466042</x:v>
      </x:c>
      <x:c r="J208" s="22" t="n">
        <x:f>IFERROR('3000rpm'!M115,"")</x:f>
        <x:v>241.619047619047</x:v>
      </x:c>
      <x:c r="K208" s="22" t="n">
        <x:f>IF(AND(ISNUMBER(I208),ISNUMBER(J208)),I208-J208,"")</x:f>
        <x:v>853.008587041373</x:v>
      </x:c>
      <x:c r="L208" s="22" t="n">
        <x:f>IF(ISNUMBER(K208),K208*$B$2+$B$3,"")</x:f>
        <x:v>809.8754872224815</x:v>
      </x:c>
      <x:c r="M208" s="22" t="n">
        <x:f>IF(AND(ISNUMBER(G208),ISNUMBER(H208),H208&lt;&gt;0),G208/(H208/60)/$B$5,"")</x:f>
        <x:v>0.21644329084395267</x:v>
      </x:c>
      <x:c r="N208" s="22" t="n">
        <x:f>IF(AND(ISNUMBER(L208),ISNUMBER(H208),H208&lt;&gt;0),L208*$B$6/$B$4/(H208/60)^2/$B$5^4/$B$7,"")</x:f>
        <x:v>0.05580701698326343</x:v>
      </x:c>
      <x:c r="O208" s="22" t="n">
        <x:f>IF(ISNUMBER(N208),N208*$B$8,"")</x:f>
        <x:v>0.007210408270107653</x:v>
      </x:c>
      <x:c r="P208" s="20" t="str">
        <x:v>3000rpm!N121</x:v>
      </x:c>
      <x:c r="Q208" s="20" t="str">
        <x:v>3000rpm!M121</x:v>
      </x:c>
      <x:c r="R208" s="20" t="str">
        <x:v>3000rpm!M115</x:v>
      </x:c>
    </x:row>
    <x:row r="209">
      <x:c r="A209" s="21" t="n">
        <x:v>3000</x:v>
      </x:c>
      <x:c r="B209" s="21" t="n">
        <x:v>60</x:v>
      </x:c>
      <x:c r="C209" s="21" t="n">
        <x:v>8</x:v>
      </x:c>
      <x:c r="D209" s="21" t="n">
        <x:v>1</x:v>
      </x:c>
      <x:c r="E209" s="21" t="str">
        <x:v>3000rpm</x:v>
      </x:c>
      <x:c r="F209" s="21" t="n">
        <x:v>122</x:v>
      </x:c>
      <x:c r="G209" s="22" t="n">
        <x:f>IFERROR('3000rpm'!D122,"")</x:f>
        <x:v>6.15828746820972</x:v>
      </x:c>
      <x:c r="H209" s="22" t="n">
        <x:f>IFERROR('3000rpm'!B122,"")</x:f>
        <x:v>3047.06400730298</x:v>
      </x:c>
      <x:c r="I209" s="22" t="n">
        <x:f>IFERROR('3000rpm'!C122,"")</x:f>
        <x:v>973.477876106194</x:v>
      </x:c>
      <x:c r="J209" s="22" t="n">
        <x:f>IFERROR('3000rpm'!C115,"")</x:f>
        <x:v>237.743758212877</x:v>
      </x:c>
      <x:c r="K209" s="22" t="n">
        <x:f>IF(AND(ISNUMBER(I209),ISNUMBER(J209)),I209-J209,"")</x:f>
        <x:v>735.734117893317</x:v>
      </x:c>
      <x:c r="L209" s="22" t="n">
        <x:f>IF(ISNUMBER(K209),K209*$B$2+$B$3,"")</x:f>
        <x:v>702.4863176278535</x:v>
      </x:c>
      <x:c r="M209" s="22" t="n">
        <x:f>IF(AND(ISNUMBER(G209),ISNUMBER(H209),H209&lt;&gt;0),G209/(H209/60)/$B$5,"")</x:f>
        <x:v>0.2652304666030972</x:v>
      </x:c>
      <x:c r="N209" s="22" t="n">
        <x:f>IF(AND(ISNUMBER(L209),ISNUMBER(H209),H209&lt;&gt;0),L209*$B$6/$B$4/(H209/60)^2/$B$5^4/$B$7,"")</x:f>
        <x:v>0.05069806199415823</x:v>
      </x:c>
      <x:c r="O209" s="22" t="n">
        <x:f>IF(ISNUMBER(N209),N209*$B$8,"")</x:f>
        <x:v>0.006550318315539761</x:v>
      </x:c>
      <x:c r="P209" s="20" t="str">
        <x:v>3000rpm!D122</x:v>
      </x:c>
      <x:c r="Q209" s="20" t="str">
        <x:v>3000rpm!C122</x:v>
      </x:c>
      <x:c r="R209" s="20" t="str">
        <x:v>3000rpm!C115</x:v>
      </x:c>
    </x:row>
    <x:row r="210">
      <x:c r="A210" s="21" t="n">
        <x:v>3000</x:v>
      </x:c>
      <x:c r="B210" s="21" t="n">
        <x:v>60</x:v>
      </x:c>
      <x:c r="C210" s="21" t="n">
        <x:v>8</x:v>
      </x:c>
      <x:c r="D210" s="21" t="n">
        <x:v>2</x:v>
      </x:c>
      <x:c r="E210" s="21" t="str">
        <x:v>3000rpm</x:v>
      </x:c>
      <x:c r="F210" s="21" t="n">
        <x:v>122</x:v>
      </x:c>
      <x:c r="G210" s="22" t="n">
        <x:f>IFERROR('3000rpm'!N122,"")</x:f>
        <x:v>6.25832601189612</x:v>
      </x:c>
      <x:c r="H210" s="22" t="n">
        <x:f>IFERROR('3000rpm'!L122,"")</x:f>
        <x:v>3112.81787109375</x:v>
      </x:c>
      <x:c r="I210" s="22" t="n">
        <x:f>IFERROR('3000rpm'!M122,"")</x:f>
        <x:v>1034.69854469854</x:v>
      </x:c>
      <x:c r="J210" s="22" t="n">
        <x:f>IFERROR('3000rpm'!M115,"")</x:f>
        <x:v>241.619047619047</x:v>
      </x:c>
      <x:c r="K210" s="22" t="n">
        <x:f>IF(AND(ISNUMBER(I210),ISNUMBER(J210)),I210-J210,"")</x:f>
        <x:v>793.079497079493</x:v>
      </x:c>
      <x:c r="L210" s="22" t="n">
        <x:f>IF(ISNUMBER(K210),K210*$B$2+$B$3,"")</x:f>
        <x:v>754.9979401116683</x:v>
      </x:c>
      <x:c r="M210" s="22" t="n">
        <x:f>IF(AND(ISNUMBER(G210),ISNUMBER(H210),H210&lt;&gt;0),G210/(H210/60)/$B$5,"")</x:f>
        <x:v>0.26384538390757367</x:v>
      </x:c>
      <x:c r="N210" s="22" t="n">
        <x:f>IF(AND(ISNUMBER(L210),ISNUMBER(H210),H210&lt;&gt;0),L210*$B$6/$B$4/(H210/60)^2/$B$5^4/$B$7,"")</x:f>
        <x:v>0.05221015554860911</x:v>
      </x:c>
      <x:c r="O210" s="22" t="n">
        <x:f>IF(ISNUMBER(N210),N210*$B$8,"")</x:f>
        <x:v>0.006745684641488681</x:v>
      </x:c>
      <x:c r="P210" s="20" t="str">
        <x:v>3000rpm!N122</x:v>
      </x:c>
      <x:c r="Q210" s="20" t="str">
        <x:v>3000rpm!M122</x:v>
      </x:c>
      <x:c r="R210" s="20" t="str">
        <x:v>3000rpm!M115</x:v>
      </x:c>
    </x:row>
    <x:row r="211">
      <x:c r="A211" s="21" t="n">
        <x:v>3000</x:v>
      </x:c>
      <x:c r="B211" s="21" t="n">
        <x:v>60</x:v>
      </x:c>
      <x:c r="C211" s="21" t="n">
        <x:v>9</x:v>
      </x:c>
      <x:c r="D211" s="21" t="n">
        <x:v>1</x:v>
      </x:c>
      <x:c r="E211" s="21" t="str">
        <x:v>3000rpm</x:v>
      </x:c>
      <x:c r="F211" s="21" t="n">
        <x:v>123</x:v>
      </x:c>
      <x:c r="G211" s="22" t="n">
        <x:f>IFERROR('3000rpm'!D123,"")</x:f>
        <x:v>7.179266951516011</x:v>
      </x:c>
      <x:c r="H211" s="22" t="n">
        <x:f>IFERROR('3000rpm'!B123,"")</x:f>
        <x:v>3061.02578735351</x:v>
      </x:c>
      <x:c r="I211" s="22" t="n">
        <x:f>IFERROR('3000rpm'!C123,"")</x:f>
        <x:v>924.453416149068</x:v>
      </x:c>
      <x:c r="J211" s="22" t="n">
        <x:f>IFERROR('3000rpm'!C115,"")</x:f>
        <x:v>237.743758212877</x:v>
      </x:c>
      <x:c r="K211" s="22" t="n">
        <x:f>IF(AND(ISNUMBER(I211),ISNUMBER(J211)),I211-J211,"")</x:f>
        <x:v>686.709657936191</x:v>
      </x:c>
      <x:c r="L211" s="22" t="n">
        <x:f>IF(ISNUMBER(K211),K211*$B$2+$B$3,"")</x:f>
        <x:v>657.5942274494336</x:v>
      </x:c>
      <x:c r="M211" s="22" t="n">
        <x:f>IF(AND(ISNUMBER(G211),ISNUMBER(H211),H211&lt;&gt;0),G211/(H211/60)/$B$5,"")</x:f>
        <x:v>0.3077925776227743</x:v>
      </x:c>
      <x:c r="N211" s="22" t="n">
        <x:f>IF(AND(ISNUMBER(L211),ISNUMBER(H211),H211&lt;&gt;0),L211*$B$6/$B$4/(H211/60)^2/$B$5^4/$B$7,"")</x:f>
        <x:v>0.04702628356196791</x:v>
      </x:c>
      <x:c r="O211" s="22" t="n">
        <x:f>IF(ISNUMBER(N211),N211*$B$8,"")</x:f>
        <x:v>0.006075915220649241</x:v>
      </x:c>
      <x:c r="P211" s="20" t="str">
        <x:v>3000rpm!D123</x:v>
      </x:c>
      <x:c r="Q211" s="20" t="str">
        <x:v>3000rpm!C123</x:v>
      </x:c>
      <x:c r="R211" s="20" t="str">
        <x:v>3000rpm!C115</x:v>
      </x:c>
    </x:row>
    <x:row r="212">
      <x:c r="A212" s="21" t="n">
        <x:v>3000</x:v>
      </x:c>
      <x:c r="B212" s="21" t="n">
        <x:v>60</x:v>
      </x:c>
      <x:c r="C212" s="21" t="n">
        <x:v>9</x:v>
      </x:c>
      <x:c r="D212" s="21" t="n">
        <x:v>2</x:v>
      </x:c>
      <x:c r="E212" s="21" t="str">
        <x:v>3000rpm</x:v>
      </x:c>
      <x:c r="F212" s="21" t="n">
        <x:v>123</x:v>
      </x:c>
      <x:c r="G212" s="22" t="n">
        <x:f>IFERROR('3000rpm'!N123,"")</x:f>
        <x:v>7.28700033656688</x:v>
      </x:c>
      <x:c r="H212" s="22" t="n">
        <x:f>IFERROR('3000rpm'!L123,"")</x:f>
        <x:v>3120.10260009765</x:v>
      </x:c>
      <x:c r="I212" s="22" t="n">
        <x:f>IFERROR('3000rpm'!M123,"")</x:f>
        <x:v>981.676470588235</x:v>
      </x:c>
      <x:c r="J212" s="22" t="n">
        <x:f>IFERROR('3000rpm'!M115,"")</x:f>
        <x:v>241.619047619047</x:v>
      </x:c>
      <x:c r="K212" s="22" t="n">
        <x:f>IF(AND(ISNUMBER(I212),ISNUMBER(J212)),I212-J212,"")</x:f>
        <x:v>740.057422969188</x:v>
      </x:c>
      <x:c r="L212" s="22" t="n">
        <x:f>IF(ISNUMBER(K212),K212*$B$2+$B$3,"")</x:f>
        <x:v>706.4452026722691</x:v>
      </x:c>
      <x:c r="M212" s="22" t="n">
        <x:f>IF(AND(ISNUMBER(G212),ISNUMBER(H212),H212&lt;&gt;0),G212/(H212/60)/$B$5,"")</x:f>
        <x:v>0.3064960930250748</x:v>
      </x:c>
      <x:c r="N212" s="22" t="n">
        <x:f>IF(AND(ISNUMBER(L212),ISNUMBER(H212),H212&lt;&gt;0),L212*$B$6/$B$4/(H212/60)^2/$B$5^4/$B$7,"")</x:f>
        <x:v>0.04862474895472073</x:v>
      </x:c>
      <x:c r="O212" s="22" t="n">
        <x:f>IF(ISNUMBER(N212),N212*$B$8,"")</x:f>
        <x:v>0.006282441007376784</x:v>
      </x:c>
      <x:c r="P212" s="20" t="str">
        <x:v>3000rpm!N123</x:v>
      </x:c>
      <x:c r="Q212" s="20" t="str">
        <x:v>3000rpm!M123</x:v>
      </x:c>
      <x:c r="R212" s="20" t="str">
        <x:v>3000rpm!M115</x:v>
      </x:c>
    </x:row>
    <x:row r="213">
      <x:c r="A213" s="21" t="n">
        <x:v>3000</x:v>
      </x:c>
      <x:c r="B213" s="21" t="n">
        <x:v>60</x:v>
      </x:c>
      <x:c r="C213" s="21" t="n">
        <x:v>10</x:v>
      </x:c>
      <x:c r="D213" s="21" t="n">
        <x:v>1</x:v>
      </x:c>
      <x:c r="E213" s="21" t="str">
        <x:v>3000rpm</x:v>
      </x:c>
      <x:c r="F213" s="21" t="n">
        <x:v>124</x:v>
      </x:c>
      <x:c r="G213" s="22" t="n">
        <x:f>IFERROR('3000rpm'!D124,"")</x:f>
        <x:v>8.19071479763571</x:v>
      </x:c>
      <x:c r="H213" s="22" t="n">
        <x:f>IFERROR('3000rpm'!B124,"")</x:f>
        <x:v>3073.93173452524</x:v>
      </x:c>
      <x:c r="I213" s="22" t="n">
        <x:f>IFERROR('3000rpm'!C124,"")</x:f>
        <x:v>873.307692307692</x:v>
      </x:c>
      <x:c r="J213" s="22" t="n">
        <x:f>IFERROR('3000rpm'!C115,"")</x:f>
        <x:v>237.743758212877</x:v>
      </x:c>
      <x:c r="K213" s="22" t="n">
        <x:f>IF(AND(ISNUMBER(I213),ISNUMBER(J213)),I213-J213,"")</x:f>
        <x:v>635.5639340948151</x:v>
      </x:c>
      <x:c r="L213" s="22" t="n">
        <x:f>IF(ISNUMBER(K213),K213*$B$2+$B$3,"")</x:f>
        <x:v>610.7596789620949</x:v>
      </x:c>
      <x:c r="M213" s="22" t="n">
        <x:f>IF(AND(ISNUMBER(G213),ISNUMBER(H213),H213&lt;&gt;0),G213/(H213/60)/$B$5,"")</x:f>
        <x:v>0.3496814659211415</x:v>
      </x:c>
      <x:c r="N213" s="22" t="n">
        <x:f>IF(AND(ISNUMBER(L213),ISNUMBER(H213),H213&lt;&gt;0),L213*$B$6/$B$4/(H213/60)^2/$B$5^4/$B$7,"")</x:f>
        <x:v>0.04331103516141582</x:v>
      </x:c>
      <x:c r="O213" s="22" t="n">
        <x:f>IF(ISNUMBER(N213),N213*$B$8,"")</x:f>
        <x:v>0.005595895695490266</x:v>
      </x:c>
      <x:c r="P213" s="20" t="str">
        <x:v>3000rpm!D124</x:v>
      </x:c>
      <x:c r="Q213" s="20" t="str">
        <x:v>3000rpm!C124</x:v>
      </x:c>
      <x:c r="R213" s="20" t="str">
        <x:v>3000rpm!C115</x:v>
      </x:c>
    </x:row>
    <x:row r="214">
      <x:c r="A214" s="21" t="n">
        <x:v>3000</x:v>
      </x:c>
      <x:c r="B214" s="21" t="n">
        <x:v>60</x:v>
      </x:c>
      <x:c r="C214" s="21" t="n">
        <x:v>10</x:v>
      </x:c>
      <x:c r="D214" s="21" t="n">
        <x:v>2</x:v>
      </x:c>
      <x:c r="E214" s="21" t="str">
        <x:v>3000rpm</x:v>
      </x:c>
      <x:c r="F214" s="21" t="n">
        <x:v>124</x:v>
      </x:c>
      <x:c r="G214" s="22" t="n">
        <x:f>IFERROR('3000rpm'!N124,"")</x:f>
        <x:v>8.20377867515772</x:v>
      </x:c>
      <x:c r="H214" s="22" t="n">
        <x:f>IFERROR('3000rpm'!L124,"")</x:f>
        <x:v>3201.93682306463</x:v>
      </x:c>
      <x:c r="I214" s="22" t="n">
        <x:f>IFERROR('3000rpm'!M124,"")</x:f>
        <x:v>931.095454545454</x:v>
      </x:c>
      <x:c r="J214" s="22" t="n">
        <x:f>IFERROR('3000rpm'!M115,"")</x:f>
        <x:v>241.619047619047</x:v>
      </x:c>
      <x:c r="K214" s="22" t="n">
        <x:f>IF(AND(ISNUMBER(I214),ISNUMBER(J214)),I214-J214,"")</x:f>
        <x:v>689.476406926407</x:v>
      </x:c>
      <x:c r="L214" s="22" t="n">
        <x:f>IF(ISNUMBER(K214),K214*$B$2+$B$3,"")</x:f>
        <x:v>660.1277616337662</x:v>
      </x:c>
      <x:c r="M214" s="22" t="n">
        <x:f>IF(AND(ISNUMBER(G214),ISNUMBER(H214),H214&lt;&gt;0),G214/(H214/60)/$B$5,"")</x:f>
        <x:v>0.336237544394199</x:v>
      </x:c>
      <x:c r="N214" s="22" t="n">
        <x:f>IF(AND(ISNUMBER(L214),ISNUMBER(H214),H214&lt;&gt;0),L214*$B$6/$B$4/(H214/60)^2/$B$5^4/$B$7,"")</x:f>
        <x:v>0.043143872384819384</x:v>
      </x:c>
      <x:c r="O214" s="22" t="n">
        <x:f>IF(ISNUMBER(N214),N214*$B$8,"")</x:f>
        <x:v>0.00557429784038207</x:v>
      </x:c>
      <x:c r="P214" s="20" t="str">
        <x:v>3000rpm!N124</x:v>
      </x:c>
      <x:c r="Q214" s="20" t="str">
        <x:v>3000rpm!M124</x:v>
      </x:c>
      <x:c r="R214" s="20" t="str">
        <x:v>3000rpm!M115</x:v>
      </x:c>
    </x:row>
    <x:row r="215">
      <x:c r="A215" s="21" t="n">
        <x:v>3000</x:v>
      </x:c>
      <x:c r="B215" s="21" t="n">
        <x:v>60</x:v>
      </x:c>
      <x:c r="C215" s="21" t="n">
        <x:v>11</x:v>
      </x:c>
      <x:c r="D215" s="21" t="n">
        <x:v>1</x:v>
      </x:c>
      <x:c r="E215" s="21" t="str">
        <x:v>3000rpm</x:v>
      </x:c>
      <x:c r="F215" s="21" t="n">
        <x:v>125</x:v>
      </x:c>
      <x:c r="G215" s="22" t="n">
        <x:f>IFERROR('3000rpm'!D125,"")</x:f>
        <x:v>9.210515556512055</x:v>
      </x:c>
      <x:c r="H215" s="22" t="n">
        <x:f>IFERROR('3000rpm'!B125,"")</x:f>
        <x:v>3097.63267517089</x:v>
      </x:c>
      <x:c r="I215" s="22" t="n">
        <x:f>IFERROR('3000rpm'!C125,"")</x:f>
        <x:v>812.738461538461</x:v>
      </x:c>
      <x:c r="J215" s="22" t="n">
        <x:f>IFERROR('3000rpm'!C115,"")</x:f>
        <x:v>237.743758212877</x:v>
      </x:c>
      <x:c r="K215" s="22" t="n">
        <x:f>IF(AND(ISNUMBER(I215),ISNUMBER(J215)),I215-J215,"")</x:f>
        <x:v>574.994703325584</x:v>
      </x:c>
      <x:c r="L215" s="22" t="n">
        <x:f>IF(ISNUMBER(K215),K215*$B$2+$B$3,"")</x:f>
        <x:v>555.2959497928639</x:v>
      </x:c>
      <x:c r="M215" s="22" t="n">
        <x:f>IF(AND(ISNUMBER(G215),ISNUMBER(H215),H215&lt;&gt;0),G215/(H215/60)/$B$5,"")</x:f>
        <x:v>0.3902105906056363</x:v>
      </x:c>
      <x:c r="N215" s="22" t="n">
        <x:f>IF(AND(ISNUMBER(L215),ISNUMBER(H215),H215&lt;&gt;0),L215*$B$6/$B$4/(H215/60)^2/$B$5^4/$B$7,"")</x:f>
        <x:v>0.03877763468451077</x:v>
      </x:c>
      <x:c r="O215" s="22" t="n">
        <x:f>IF(ISNUMBER(N215),N215*$B$8,"")</x:f>
        <x:v>0.0050101688450443944</x:v>
      </x:c>
      <x:c r="P215" s="20" t="str">
        <x:v>3000rpm!D125</x:v>
      </x:c>
      <x:c r="Q215" s="20" t="str">
        <x:v>3000rpm!C125</x:v>
      </x:c>
      <x:c r="R215" s="20" t="str">
        <x:v>3000rpm!C115</x:v>
      </x:c>
    </x:row>
    <x:row r="216">
      <x:c r="A216" s="21" t="n">
        <x:v>3000</x:v>
      </x:c>
      <x:c r="B216" s="21" t="n">
        <x:v>60</x:v>
      </x:c>
      <x:c r="C216" s="21" t="n">
        <x:v>11</x:v>
      </x:c>
      <x:c r="D216" s="21" t="n">
        <x:v>2</x:v>
      </x:c>
      <x:c r="E216" s="21" t="str">
        <x:v>3000rpm</x:v>
      </x:c>
      <x:c r="F216" s="21" t="n">
        <x:v>125</x:v>
      </x:c>
      <x:c r="G216" s="22" t="n">
        <x:f>IFERROR('3000rpm'!N125,"")</x:f>
        <x:v>9.217949165424825</x:v>
      </x:c>
      <x:c r="H216" s="22" t="n">
        <x:f>IFERROR('3000rpm'!L125,"")</x:f>
        <x:v>3175.77508835565</x:v>
      </x:c>
      <x:c r="I216" s="22" t="n">
        <x:f>IFERROR('3000rpm'!M125,"")</x:f>
        <x:v>873.522248243559</x:v>
      </x:c>
      <x:c r="J216" s="22" t="n">
        <x:f>IFERROR('3000rpm'!M115,"")</x:f>
        <x:v>241.619047619047</x:v>
      </x:c>
      <x:c r="K216" s="22" t="n">
        <x:f>IF(AND(ISNUMBER(I216),ISNUMBER(J216)),I216-J216,"")</x:f>
        <x:v>631.903200624512</x:v>
      </x:c>
      <x:c r="L216" s="22" t="n">
        <x:f>IF(ISNUMBER(K216),K216*$B$2+$B$3,"")</x:f>
        <x:v>607.4075160374706</x:v>
      </x:c>
      <x:c r="M216" s="22" t="n">
        <x:f>IF(AND(ISNUMBER(G216),ISNUMBER(H216),H216&lt;&gt;0),G216/(H216/60)/$B$5,"")</x:f>
        <x:v>0.38091633734412456</x:v>
      </x:c>
      <x:c r="N216" s="22" t="n">
        <x:f>IF(AND(ISNUMBER(L216),ISNUMBER(H216),H216&lt;&gt;0),L216*$B$6/$B$4/(H216/60)^2/$B$5^4/$B$7,"")</x:f>
        <x:v>0.040354997885267516</x:v>
      </x:c>
      <x:c r="O216" s="22" t="n">
        <x:f>IF(ISNUMBER(N216),N216*$B$8,"")</x:f>
        <x:v>0.005213968174994439</x:v>
      </x:c>
      <x:c r="P216" s="20" t="str">
        <x:v>3000rpm!N125</x:v>
      </x:c>
      <x:c r="Q216" s="20" t="str">
        <x:v>3000rpm!M125</x:v>
      </x:c>
      <x:c r="R216" s="20" t="str">
        <x:v>3000rpm!M115</x:v>
      </x:c>
    </x:row>
    <x:row r="217">
      <x:c r="A217" s="21" t="n">
        <x:v>3000</x:v>
      </x:c>
      <x:c r="B217" s="21" t="n">
        <x:v>60</x:v>
      </x:c>
      <x:c r="C217" s="21" t="n">
        <x:v>12</x:v>
      </x:c>
      <x:c r="D217" s="21" t="n">
        <x:v>1</x:v>
      </x:c>
      <x:c r="E217" s="21" t="str">
        <x:v>3000rpm</x:v>
      </x:c>
      <x:c r="F217" s="21" t="n">
        <x:v>126</x:v>
      </x:c>
      <x:c r="G217" s="22" t="n">
        <x:f>IFERROR('3000rpm'!D126,"")</x:f>
        <x:v>10.14562925170449</x:v>
      </x:c>
      <x:c r="H217" s="22" t="n">
        <x:f>IFERROR('3000rpm'!B126,"")</x:f>
        <x:v>3104.05030517578</x:v>
      </x:c>
      <x:c r="I217" s="22" t="n">
        <x:f>IFERROR('3000rpm'!C126,"")</x:f>
        <x:v>755.997555012224</x:v>
      </x:c>
      <x:c r="J217" s="22" t="n">
        <x:f>IFERROR('3000rpm'!C115,"")</x:f>
        <x:v>237.743758212877</x:v>
      </x:c>
      <x:c r="K217" s="22" t="n">
        <x:f>IF(AND(ISNUMBER(I217),ISNUMBER(J217)),I217-J217,"")</x:f>
        <x:v>518.253796799347</x:v>
      </x:c>
      <x:c r="L217" s="22" t="n">
        <x:f>IF(ISNUMBER(K217),K217*$B$2+$B$3,"")</x:f>
        <x:v>503.3378477595365</x:v>
      </x:c>
      <x:c r="M217" s="22" t="n">
        <x:f>IF(AND(ISNUMBER(G217),ISNUMBER(H217),H217&lt;&gt;0),G217/(H217/60)/$B$5,"")</x:f>
        <x:v>0.42893873405984323</x:v>
      </x:c>
      <x:c r="N217" s="22" t="n">
        <x:f>IF(AND(ISNUMBER(L217),ISNUMBER(H217),H217&lt;&gt;0),L217*$B$6/$B$4/(H217/60)^2/$B$5^4/$B$7,"")</x:f>
        <x:v>0.035004084900116424</x:v>
      </x:c>
      <x:c r="O217" s="22" t="n">
        <x:f>IF(ISNUMBER(N217),N217*$B$8,"")</x:f>
        <x:v>0.004522616633084742</x:v>
      </x:c>
      <x:c r="P217" s="20" t="str">
        <x:v>3000rpm!D126</x:v>
      </x:c>
      <x:c r="Q217" s="20" t="str">
        <x:v>3000rpm!C126</x:v>
      </x:c>
      <x:c r="R217" s="20" t="str">
        <x:v>3000rpm!C115</x:v>
      </x:c>
    </x:row>
    <x:row r="218">
      <x:c r="A218" s="21" t="n">
        <x:v>3000</x:v>
      </x:c>
      <x:c r="B218" s="21" t="n">
        <x:v>60</x:v>
      </x:c>
      <x:c r="C218" s="21" t="n">
        <x:v>12</x:v>
      </x:c>
      <x:c r="D218" s="21" t="n">
        <x:v>2</x:v>
      </x:c>
      <x:c r="E218" s="21" t="str">
        <x:v>3000rpm</x:v>
      </x:c>
      <x:c r="F218" s="21" t="n">
        <x:v>126</x:v>
      </x:c>
      <x:c r="G218" s="22" t="n">
        <x:f>IFERROR('3000rpm'!N126,"")</x:f>
        <x:v>10.152541772233246</x:v>
      </x:c>
      <x:c r="H218" s="22" t="n">
        <x:f>IFERROR('3000rpm'!L126,"")</x:f>
        <x:v>3218.7503983347</x:v>
      </x:c>
      <x:c r="I218" s="22" t="n">
        <x:f>IFERROR('3000rpm'!M126,"")</x:f>
        <x:v>806.002617801047</x:v>
      </x:c>
      <x:c r="J218" s="22" t="n">
        <x:f>IFERROR('3000rpm'!M115,"")</x:f>
        <x:v>241.619047619047</x:v>
      </x:c>
      <x:c r="K218" s="22" t="n">
        <x:f>IF(AND(ISNUMBER(I218),ISNUMBER(J218)),I218-J218,"")</x:f>
        <x:v>564.383570182</x:v>
      </x:c>
      <x:c r="L218" s="22" t="n">
        <x:f>IF(ISNUMBER(K218),K218*$B$2+$B$3,"")</x:f>
        <x:v>545.5792502842188</x:v>
      </x:c>
      <x:c r="M218" s="22" t="n">
        <x:f>IF(AND(ISNUMBER(G218),ISNUMBER(H218),H218&lt;&gt;0),G218/(H218/60)/$B$5,"")</x:f>
        <x:v>0.4139353470758495</x:v>
      </x:c>
      <x:c r="N218" s="22" t="n">
        <x:f>IF(AND(ISNUMBER(L218),ISNUMBER(H218),H218&lt;&gt;0),L218*$B$6/$B$4/(H218/60)^2/$B$5^4/$B$7,"")</x:f>
        <x:v>0.03528579340768037</x:v>
      </x:c>
      <x:c r="O218" s="22" t="n">
        <x:f>IF(ISNUMBER(N218),N218*$B$8,"")</x:f>
        <x:v>0.004559014087428305</x:v>
      </x:c>
      <x:c r="P218" s="20" t="str">
        <x:v>3000rpm!N126</x:v>
      </x:c>
      <x:c r="Q218" s="20" t="str">
        <x:v>3000rpm!M126</x:v>
      </x:c>
      <x:c r="R218" s="20" t="str">
        <x:v>3000rpm!M115</x:v>
      </x:c>
    </x:row>
    <x:row r="219">
      <x:c r="A219" s="21" t="n">
        <x:v>3000</x:v>
      </x:c>
      <x:c r="B219" s="21" t="n">
        <x:v>60</x:v>
      </x:c>
      <x:c r="C219" s="21" t="n">
        <x:v>13</x:v>
      </x:c>
      <x:c r="D219" s="21" t="n">
        <x:v>1</x:v>
      </x:c>
      <x:c r="E219" s="21" t="str">
        <x:v>3000rpm</x:v>
      </x:c>
      <x:c r="F219" s="21" t="n">
        <x:v>127</x:v>
      </x:c>
      <x:c r="G219" s="22" t="n">
        <x:f>IFERROR('3000rpm'!D127,"")</x:f>
        <x:v>9.209806359476506</x:v>
      </x:c>
      <x:c r="H219" s="22" t="n">
        <x:f>IFERROR('3000rpm'!B127,"")</x:f>
        <x:v>3097.34228515625</x:v>
      </x:c>
      <x:c r="I219" s="22" t="n">
        <x:f>IFERROR('3000rpm'!C127,"")</x:f>
        <x:v>803.919168591224</x:v>
      </x:c>
      <x:c r="J219" s="22" t="n">
        <x:f>IFERROR('3000rpm'!C115,"")</x:f>
        <x:v>237.743758212877</x:v>
      </x:c>
      <x:c r="K219" s="22" t="n">
        <x:f>IF(AND(ISNUMBER(I219),ISNUMBER(J219)),I219-J219,"")</x:f>
        <x:v>566.175410378347</x:v>
      </x:c>
      <x:c r="L219" s="22" t="n">
        <x:f>IF(ISNUMBER(K219),K219*$B$2+$B$3,"")</x:f>
        <x:v>547.2200526867354</x:v>
      </x:c>
      <x:c r="M219" s="22" t="n">
        <x:f>IF(AND(ISNUMBER(G219),ISNUMBER(H219),H219&lt;&gt;0),G219/(H219/60)/$B$5,"")</x:f>
        <x:v>0.3902171261384088</x:v>
      </x:c>
      <x:c r="N219" s="22" t="n">
        <x:f>IF(AND(ISNUMBER(L219),ISNUMBER(H219),H219&lt;&gt;0),L219*$B$6/$B$4/(H219/60)^2/$B$5^4/$B$7,"")</x:f>
        <x:v>0.03822084136380326</x:v>
      </x:c>
      <x:c r="O219" s="22" t="n">
        <x:f>IF(ISNUMBER(N219),N219*$B$8,"")</x:f>
        <x:v>0.004938229734491787</x:v>
      </x:c>
      <x:c r="P219" s="20" t="str">
        <x:v>3000rpm!D127</x:v>
      </x:c>
      <x:c r="Q219" s="20" t="str">
        <x:v>3000rpm!C127</x:v>
      </x:c>
      <x:c r="R219" s="20" t="str">
        <x:v>3000rpm!C115</x:v>
      </x:c>
    </x:row>
    <x:row r="220">
      <x:c r="A220" s="21" t="n">
        <x:v>3000</x:v>
      </x:c>
      <x:c r="B220" s="21" t="n">
        <x:v>60</x:v>
      </x:c>
      <x:c r="C220" s="21" t="n">
        <x:v>13</x:v>
      </x:c>
      <x:c r="D220" s="21" t="n">
        <x:v>2</x:v>
      </x:c>
      <x:c r="E220" s="21" t="str">
        <x:v>3000rpm</x:v>
      </x:c>
      <x:c r="F220" s="21" t="n">
        <x:v>127</x:v>
      </x:c>
      <x:c r="G220" s="22" t="n">
        <x:f>IFERROR('3000rpm'!N127,"")</x:f>
        <x:v>9.22055681437662</x:v>
      </x:c>
      <x:c r="H220" s="22" t="n">
        <x:f>IFERROR('3000rpm'!L127,"")</x:f>
        <x:v>3181.80062588778</x:v>
      </x:c>
      <x:c r="I220" s="22" t="n">
        <x:f>IFERROR('3000rpm'!M127,"")</x:f>
        <x:v>857.591324200913</x:v>
      </x:c>
      <x:c r="J220" s="22" t="n">
        <x:f>IFERROR('3000rpm'!M115,"")</x:f>
        <x:v>241.619047619047</x:v>
      </x:c>
      <x:c r="K220" s="22" t="n">
        <x:f>IF(AND(ISNUMBER(I220),ISNUMBER(J220)),I220-J220,"")</x:f>
        <x:v>615.972276581866</x:v>
      </x:c>
      <x:c r="L220" s="22" t="n">
        <x:f>IF(ISNUMBER(K220),K220*$B$2+$B$3,"")</x:f>
        <x:v>592.8194414442273</x:v>
      </x:c>
      <x:c r="M220" s="22" t="n">
        <x:f>IF(AND(ISNUMBER(G220),ISNUMBER(H220),H220&lt;&gt;0),G220/(H220/60)/$B$5,"")</x:f>
        <x:v>0.38030252938807324</x:v>
      </x:c>
      <x:c r="N220" s="22" t="n">
        <x:f>IF(AND(ISNUMBER(L220),ISNUMBER(H220),H220&lt;&gt;0),L220*$B$6/$B$4/(H220/60)^2/$B$5^4/$B$7,"")</x:f>
        <x:v>0.03923676149830239</x:v>
      </x:c>
      <x:c r="O220" s="22" t="n">
        <x:f>IF(ISNUMBER(N220),N220*$B$8,"")</x:f>
        <x:v>0.005069489194959962</x:v>
      </x:c>
      <x:c r="P220" s="20" t="str">
        <x:v>3000rpm!N127</x:v>
      </x:c>
      <x:c r="Q220" s="20" t="str">
        <x:v>3000rpm!M127</x:v>
      </x:c>
      <x:c r="R220" s="20" t="str">
        <x:v>3000rpm!M115</x:v>
      </x:c>
    </x:row>
    <x:row r="221">
      <x:c r="A221" s="21" t="n">
        <x:v>3000</x:v>
      </x:c>
      <x:c r="B221" s="21" t="n">
        <x:v>60</x:v>
      </x:c>
      <x:c r="C221" s="21" t="n">
        <x:v>14</x:v>
      </x:c>
      <x:c r="D221" s="21" t="n">
        <x:v>1</x:v>
      </x:c>
      <x:c r="E221" s="21" t="str">
        <x:v>3000rpm</x:v>
      </x:c>
      <x:c r="F221" s="21" t="n">
        <x:v>128</x:v>
      </x:c>
      <x:c r="G221" s="22" t="n">
        <x:f>IFERROR('3000rpm'!D128,"")</x:f>
        <x:v>8.191038944504474</x:v>
      </x:c>
      <x:c r="H221" s="22" t="n">
        <x:f>IFERROR('3000rpm'!B128,"")</x:f>
        <x:v>3068.05817119891</x:v>
      </x:c>
      <x:c r="I221" s="22" t="n">
        <x:f>IFERROR('3000rpm'!C128,"")</x:f>
        <x:v>859.419659735349</x:v>
      </x:c>
      <x:c r="J221" s="22" t="n">
        <x:f>IFERROR('3000rpm'!C115,"")</x:f>
        <x:v>237.743758212877</x:v>
      </x:c>
      <x:c r="K221" s="22" t="n">
        <x:f>IF(AND(ISNUMBER(I221),ISNUMBER(J221)),I221-J221,"")</x:f>
        <x:v>621.675901522472</x:v>
      </x:c>
      <x:c r="L221" s="22" t="n">
        <x:f>IF(ISNUMBER(K221),K221*$B$2+$B$3,"")</x:f>
        <x:v>598.0422964313398</x:v>
      </x:c>
      <x:c r="M221" s="22" t="n">
        <x:f>IF(AND(ISNUMBER(G221),ISNUMBER(H221),H221&lt;&gt;0),G221/(H221/60)/$B$5,"")</x:f>
        <x:v>0.3503647695211081</x:v>
      </x:c>
      <x:c r="N221" s="22" t="n">
        <x:f>IF(AND(ISNUMBER(L221),ISNUMBER(H221),H221&lt;&gt;0),L221*$B$6/$B$4/(H221/60)^2/$B$5^4/$B$7,"")</x:f>
        <x:v>0.04257173633740174</x:v>
      </x:c>
      <x:c r="O221" s="22" t="n">
        <x:f>IF(ISNUMBER(N221),N221*$B$8,"")</x:f>
        <x:v>0.005500376410588321</x:v>
      </x:c>
      <x:c r="P221" s="20" t="str">
        <x:v>3000rpm!D128</x:v>
      </x:c>
      <x:c r="Q221" s="20" t="str">
        <x:v>3000rpm!C128</x:v>
      </x:c>
      <x:c r="R221" s="20" t="str">
        <x:v>3000rpm!C115</x:v>
      </x:c>
    </x:row>
    <x:row r="222">
      <x:c r="A222" s="21" t="n">
        <x:v>3000</x:v>
      </x:c>
      <x:c r="B222" s="21" t="n">
        <x:v>60</x:v>
      </x:c>
      <x:c r="C222" s="21" t="n">
        <x:v>14</x:v>
      </x:c>
      <x:c r="D222" s="21" t="n">
        <x:v>2</x:v>
      </x:c>
      <x:c r="E222" s="21" t="str">
        <x:v>3000rpm</x:v>
      </x:c>
      <x:c r="F222" s="21" t="n">
        <x:v>128</x:v>
      </x:c>
      <x:c r="G222" s="22" t="n">
        <x:f>IFERROR('3000rpm'!N128,"")</x:f>
        <x:v>8.210892856121056</x:v>
      </x:c>
      <x:c r="H222" s="22" t="n">
        <x:f>IFERROR('3000rpm'!L128,"")</x:f>
        <x:v>3138.95156028054</x:v>
      </x:c>
      <x:c r="I222" s="22" t="n">
        <x:f>IFERROR('3000rpm'!M128,"")</x:f>
        <x:v>916.195454545454</x:v>
      </x:c>
      <x:c r="J222" s="22" t="n">
        <x:f>IFERROR('3000rpm'!M115,"")</x:f>
        <x:v>241.619047619047</x:v>
      </x:c>
      <x:c r="K222" s="22" t="n">
        <x:f>IF(AND(ISNUMBER(I222),ISNUMBER(J222)),I222-J222,"")</x:f>
        <x:v>674.576406926407</x:v>
      </x:c>
      <x:c r="L222" s="22" t="n">
        <x:f>IF(ISNUMBER(K222),K222*$B$2+$B$3,"")</x:f>
        <x:v>646.4837124337663</x:v>
      </x:c>
      <x:c r="M222" s="22" t="n">
        <x:f>IF(AND(ISNUMBER(G222),ISNUMBER(H222),H222&lt;&gt;0),G222/(H222/60)/$B$5,"")</x:f>
        <x:v>0.3432818167303302</x:v>
      </x:c>
      <x:c r="N222" s="22" t="n">
        <x:f>IF(AND(ISNUMBER(L222),ISNUMBER(H222),H222&lt;&gt;0),L222*$B$6/$B$4/(H222/60)^2/$B$5^4/$B$7,"")</x:f>
        <x:v>0.0439647899684472</x:v>
      </x:c>
      <x:c r="O222" s="22" t="n">
        <x:f>IF(ISNUMBER(N222),N222*$B$8,"")</x:f>
        <x:v>0.005680362476229601</x:v>
      </x:c>
      <x:c r="P222" s="20" t="str">
        <x:v>3000rpm!N128</x:v>
      </x:c>
      <x:c r="Q222" s="20" t="str">
        <x:v>3000rpm!M128</x:v>
      </x:c>
      <x:c r="R222" s="20" t="str">
        <x:v>3000rpm!M115</x:v>
      </x:c>
    </x:row>
    <x:row r="223">
      <x:c r="A223" s="21" t="n">
        <x:v>3000</x:v>
      </x:c>
      <x:c r="B223" s="21" t="n">
        <x:v>60</x:v>
      </x:c>
      <x:c r="C223" s="21" t="n">
        <x:v>15</x:v>
      </x:c>
      <x:c r="D223" s="21" t="n">
        <x:v>1</x:v>
      </x:c>
      <x:c r="E223" s="21" t="str">
        <x:v>3000rpm</x:v>
      </x:c>
      <x:c r="F223" s="21" t="n">
        <x:v>129</x:v>
      </x:c>
      <x:c r="G223" s="22" t="n">
        <x:f>IFERROR('3000rpm'!D129,"")</x:f>
        <x:v>7.193141396101126</x:v>
      </x:c>
      <x:c r="H223" s="22" t="n">
        <x:f>IFERROR('3000rpm'!B129,"")</x:f>
        <x:v>3049.85613141741</x:v>
      </x:c>
      <x:c r="I223" s="22" t="n">
        <x:f>IFERROR('3000rpm'!C129,"")</x:f>
        <x:v>916.448837209302</x:v>
      </x:c>
      <x:c r="J223" s="22" t="n">
        <x:f>IFERROR('3000rpm'!C115,"")</x:f>
        <x:v>237.743758212877</x:v>
      </x:c>
      <x:c r="K223" s="22" t="n">
        <x:f>IF(AND(ISNUMBER(I223),ISNUMBER(J223)),I223-J223,"")</x:f>
        <x:v>678.7050789964251</x:v>
      </x:c>
      <x:c r="L223" s="22" t="n">
        <x:f>IF(ISNUMBER(K223),K223*$B$2+$B$3,"")</x:f>
        <x:v>650.2643704776583</x:v>
      </x:c>
      <x:c r="M223" s="22" t="n">
        <x:f>IF(AND(ISNUMBER(G223),ISNUMBER(H223),H223&lt;&gt;0),G223/(H223/60)/$B$5,"")</x:f>
        <x:v>0.30951683287212856</x:v>
      </x:c>
      <x:c r="N223" s="22" t="n">
        <x:f>IF(AND(ISNUMBER(L223),ISNUMBER(H223),H223&lt;&gt;0),L223*$B$6/$B$4/(H223/60)^2/$B$5^4/$B$7,"")</x:f>
        <x:v>0.04684334448521326</x:v>
      </x:c>
      <x:c r="O223" s="22" t="n">
        <x:f>IF(ISNUMBER(N223),N223*$B$8,"")</x:f>
        <x:v>0.006052279027509709</x:v>
      </x:c>
      <x:c r="P223" s="20" t="str">
        <x:v>3000rpm!D129</x:v>
      </x:c>
      <x:c r="Q223" s="20" t="str">
        <x:v>3000rpm!C129</x:v>
      </x:c>
      <x:c r="R223" s="20" t="str">
        <x:v>3000rpm!C115</x:v>
      </x:c>
    </x:row>
    <x:row r="224">
      <x:c r="A224" s="21" t="n">
        <x:v>3000</x:v>
      </x:c>
      <x:c r="B224" s="21" t="n">
        <x:v>60</x:v>
      </x:c>
      <x:c r="C224" s="21" t="n">
        <x:v>15</x:v>
      </x:c>
      <x:c r="D224" s="21" t="n">
        <x:v>2</x:v>
      </x:c>
      <x:c r="E224" s="21" t="str">
        <x:v>3000rpm</x:v>
      </x:c>
      <x:c r="F224" s="21" t="n">
        <x:v>129</x:v>
      </x:c>
      <x:c r="G224" s="22" t="n">
        <x:f>IFERROR('3000rpm'!N129,"")</x:f>
        <x:v>7.1921947784721745</x:v>
      </x:c>
      <x:c r="H224" s="22" t="n">
        <x:f>IFERROR('3000rpm'!L129,"")</x:f>
        <x:v>3153.77973632812</x:v>
      </x:c>
      <x:c r="I224" s="22" t="n">
        <x:f>IFERROR('3000rpm'!M129,"")</x:f>
        <x:v>980.629533678756</x:v>
      </x:c>
      <x:c r="J224" s="22" t="n">
        <x:f>IFERROR('3000rpm'!M115,"")</x:f>
        <x:v>241.619047619047</x:v>
      </x:c>
      <x:c r="K224" s="22" t="n">
        <x:f>IF(AND(ISNUMBER(I224),ISNUMBER(J224)),I224-J224,"")</x:f>
        <x:v>739.010486059709</x:v>
      </x:c>
      <x:c r="L224" s="22" t="n">
        <x:f>IF(ISNUMBER(K224),K224*$B$2+$B$3,"")</x:f>
        <x:v>705.486514168764</x:v>
      </x:c>
      <x:c r="M224" s="22" t="n">
        <x:f>IF(AND(ISNUMBER(G224),ISNUMBER(H224),H224&lt;&gt;0),G224/(H224/60)/$B$5,"")</x:f>
        <x:v>0.2992782189588094</x:v>
      </x:c>
      <x:c r="N224" s="22" t="n">
        <x:f>IF(AND(ISNUMBER(L224),ISNUMBER(H224),H224&lt;&gt;0),L224*$B$6/$B$4/(H224/60)^2/$B$5^4/$B$7,"")</x:f>
        <x:v>0.04752724519570894</x:v>
      </x:c>
      <x:c r="O224" s="22" t="n">
        <x:f>IF(ISNUMBER(N224),N224*$B$8,"")</x:f>
        <x:v>0.0061406407355072785</x:v>
      </x:c>
      <x:c r="P224" s="20" t="str">
        <x:v>3000rpm!N129</x:v>
      </x:c>
      <x:c r="Q224" s="20" t="str">
        <x:v>3000rpm!M129</x:v>
      </x:c>
      <x:c r="R224" s="20" t="str">
        <x:v>3000rpm!M115</x:v>
      </x:c>
    </x:row>
    <x:row r="225">
      <x:c r="A225" s="21" t="n">
        <x:v>3000</x:v>
      </x:c>
      <x:c r="B225" s="21" t="n">
        <x:v>60</x:v>
      </x:c>
      <x:c r="C225" s="21" t="n">
        <x:v>16</x:v>
      </x:c>
      <x:c r="D225" s="21" t="n">
        <x:v>1</x:v>
      </x:c>
      <x:c r="E225" s="21" t="str">
        <x:v>3000rpm</x:v>
      </x:c>
      <x:c r="F225" s="21" t="n">
        <x:v>130</x:v>
      </x:c>
      <x:c r="G225" s="22" t="n">
        <x:f>IFERROR('3000rpm'!D130,"")</x:f>
        <x:v>6.17737466455941</x:v>
      </x:c>
      <x:c r="H225" s="22" t="n">
        <x:f>IFERROR('3000rpm'!B130,"")</x:f>
        <x:v>3020.55548828125</x:v>
      </x:c>
      <x:c r="I225" s="22" t="n">
        <x:f>IFERROR('3000rpm'!C130,"")</x:f>
        <x:v>972.462925851703</x:v>
      </x:c>
      <x:c r="J225" s="22" t="n">
        <x:f>IFERROR('3000rpm'!C115,"")</x:f>
        <x:v>237.743758212877</x:v>
      </x:c>
      <x:c r="K225" s="22" t="n">
        <x:f>IF(AND(ISNUMBER(I225),ISNUMBER(J225)),I225-J225,"")</x:f>
        <x:v>734.719167638826</x:v>
      </x:c>
      <x:c r="L225" s="22" t="n">
        <x:f>IF(ISNUMBER(K225),K225*$B$2+$B$3,"")</x:f>
        <x:v>701.556919560214</x:v>
      </x:c>
      <x:c r="M225" s="22" t="n">
        <x:f>IF(AND(ISNUMBER(G225),ISNUMBER(H225),H225&lt;&gt;0),G225/(H225/60)/$B$5,"")</x:f>
        <x:v>0.26838741846735076</x:v>
      </x:c>
      <x:c r="N225" s="22" t="n">
        <x:f>IF(AND(ISNUMBER(L225),ISNUMBER(H225),H225&lt;&gt;0),L225*$B$6/$B$4/(H225/60)^2/$B$5^4/$B$7,"")</x:f>
        <x:v>0.05152356663264733</x:v>
      </x:c>
      <x:c r="O225" s="22" t="n">
        <x:f>IF(ISNUMBER(N225),N225*$B$8,"")</x:f>
        <x:v>0.006656975610520411</x:v>
      </x:c>
      <x:c r="P225" s="20" t="str">
        <x:v>3000rpm!D130</x:v>
      </x:c>
      <x:c r="Q225" s="20" t="str">
        <x:v>3000rpm!C130</x:v>
      </x:c>
      <x:c r="R225" s="20" t="str">
        <x:v>3000rpm!C115</x:v>
      </x:c>
    </x:row>
    <x:row r="226">
      <x:c r="A226" s="21" t="n">
        <x:v>3000</x:v>
      </x:c>
      <x:c r="B226" s="21" t="n">
        <x:v>60</x:v>
      </x:c>
      <x:c r="C226" s="21" t="n">
        <x:v>16</x:v>
      </x:c>
      <x:c r="D226" s="21" t="n">
        <x:v>2</x:v>
      </x:c>
      <x:c r="E226" s="21" t="str">
        <x:v>3000rpm</x:v>
      </x:c>
      <x:c r="F226" s="21" t="n">
        <x:v>130</x:v>
      </x:c>
      <x:c r="G226" s="22" t="n">
        <x:f>IFERROR('3000rpm'!N130,"")</x:f>
        <x:v>6.17804339482233</x:v>
      </x:c>
      <x:c r="H226" s="22" t="n">
        <x:f>IFERROR('3000rpm'!L130,"")</x:f>
        <x:v>3128.77783203125</x:v>
      </x:c>
      <x:c r="I226" s="22" t="n">
        <x:f>IFERROR('3000rpm'!M130,"")</x:f>
        <x:v>1037.10539845758</x:v>
      </x:c>
      <x:c r="J226" s="22" t="n">
        <x:f>IFERROR('3000rpm'!M115,"")</x:f>
        <x:v>241.619047619047</x:v>
      </x:c>
      <x:c r="K226" s="22" t="n">
        <x:f>IF(AND(ISNUMBER(I226),ISNUMBER(J226)),I226-J226,"")</x:f>
        <x:v>795.4863508385329</x:v>
      </x:c>
      <x:c r="L226" s="22" t="n">
        <x:f>IF(ISNUMBER(K226),K226*$B$2+$B$3,"")</x:f>
        <x:v>757.2019153536512</x:v>
      </x:c>
      <x:c r="M226" s="22" t="n">
        <x:f>IF(AND(ISNUMBER(G226),ISNUMBER(H226),H226&lt;&gt;0),G226/(H226/60)/$B$5,"")</x:f>
        <x:v>0.2591321254625019</x:v>
      </x:c>
      <x:c r="N226" s="22" t="n">
        <x:f>IF(AND(ISNUMBER(L226),ISNUMBER(H226),H226&lt;&gt;0),L226*$B$6/$B$4/(H226/60)^2/$B$5^4/$B$7,"")</x:f>
        <x:v>0.05182972382522318</x:v>
      </x:c>
      <x:c r="O226" s="22" t="n">
        <x:f>IF(ISNUMBER(N226),N226*$B$8,"")</x:f>
        <x:v>0.006696531897034773</x:v>
      </x:c>
      <x:c r="P226" s="20" t="str">
        <x:v>3000rpm!N130</x:v>
      </x:c>
      <x:c r="Q226" s="20" t="str">
        <x:v>3000rpm!M130</x:v>
      </x:c>
      <x:c r="R226" s="20" t="str">
        <x:v>3000rpm!M115</x:v>
      </x:c>
    </x:row>
    <x:row r="227">
      <x:c r="A227" s="21" t="n">
        <x:v>3000</x:v>
      </x:c>
      <x:c r="B227" s="21" t="n">
        <x:v>60</x:v>
      </x:c>
      <x:c r="C227" s="21" t="n">
        <x:v>17</x:v>
      </x:c>
      <x:c r="D227" s="21" t="n">
        <x:v>1</x:v>
      </x:c>
      <x:c r="E227" s="21" t="str">
        <x:v>3000rpm</x:v>
      </x:c>
      <x:c r="F227" s="21" t="n">
        <x:v>131</x:v>
      </x:c>
      <x:c r="G227" s="22" t="n">
        <x:f>IFERROR('3000rpm'!D131,"")</x:f>
        <x:v>5.153444899512181</x:v>
      </x:c>
      <x:c r="H227" s="22" t="n">
        <x:f>IFERROR('3000rpm'!B131,"")</x:f>
        <x:v>3033.15815873579</x:v>
      </x:c>
      <x:c r="I227" s="22" t="n">
        <x:f>IFERROR('3000rpm'!C131,"")</x:f>
        <x:v>1025.97539149888</x:v>
      </x:c>
      <x:c r="J227" s="22" t="n">
        <x:f>IFERROR('3000rpm'!C115,"")</x:f>
        <x:v>237.743758212877</x:v>
      </x:c>
      <x:c r="K227" s="22" t="n">
        <x:f>IF(AND(ISNUMBER(I227),ISNUMBER(J227)),I227-J227,"")</x:f>
        <x:v>788.2316332860031</x:v>
      </x:c>
      <x:c r="L227" s="22" t="n">
        <x:f>IF(ISNUMBER(K227),K227*$B$2+$B$3,"")</x:f>
        <x:v>750.5587124530592</x:v>
      </x:c>
      <x:c r="M227" s="22" t="n">
        <x:f>IF(AND(ISNUMBER(G227),ISNUMBER(H227),H227&lt;&gt;0),G227/(H227/60)/$B$5,"")</x:f>
        <x:v>0.22297060342040984</x:v>
      </x:c>
      <x:c r="N227" s="22" t="n">
        <x:f>IF(AND(ISNUMBER(L227),ISNUMBER(H227),H227&lt;&gt;0),L227*$B$6/$B$4/(H227/60)^2/$B$5^4/$B$7,"")</x:f>
        <x:v>0.05466523260357025</x:v>
      </x:c>
      <x:c r="O227" s="22" t="n">
        <x:f>IF(ISNUMBER(N227),N227*$B$8,"")</x:f>
        <x:v>0.007062886829632014</x:v>
      </x:c>
      <x:c r="P227" s="20" t="str">
        <x:v>3000rpm!D131</x:v>
      </x:c>
      <x:c r="Q227" s="20" t="str">
        <x:v>3000rpm!C131</x:v>
      </x:c>
      <x:c r="R227" s="20" t="str">
        <x:v>3000rpm!C115</x:v>
      </x:c>
    </x:row>
    <x:row r="228">
      <x:c r="A228" s="21" t="n">
        <x:v>3000</x:v>
      </x:c>
      <x:c r="B228" s="21" t="n">
        <x:v>60</x:v>
      </x:c>
      <x:c r="C228" s="21" t="n">
        <x:v>17</x:v>
      </x:c>
      <x:c r="D228" s="21" t="n">
        <x:v>2</x:v>
      </x:c>
      <x:c r="E228" s="21" t="str">
        <x:v>3000rpm</x:v>
      </x:c>
      <x:c r="F228" s="21" t="n">
        <x:v>131</x:v>
      </x:c>
      <x:c r="G228" s="22" t="n">
        <x:f>IFERROR('3000rpm'!N131,"")</x:f>
        <x:v>5.1531015084339895</x:v>
      </x:c>
      <x:c r="H228" s="22" t="n">
        <x:f>IFERROR('3000rpm'!L131,"")</x:f>
        <x:v>3098.2921508789</x:v>
      </x:c>
      <x:c r="I228" s="22" t="n">
        <x:f>IFERROR('3000rpm'!M131,"")</x:f>
        <x:v>1091.48071979434</x:v>
      </x:c>
      <x:c r="J228" s="22" t="n">
        <x:f>IFERROR('3000rpm'!M115,"")</x:f>
        <x:v>241.619047619047</x:v>
      </x:c>
      <x:c r="K228" s="22" t="n">
        <x:f>IF(AND(ISNUMBER(I228),ISNUMBER(J228)),I228-J228,"")</x:f>
        <x:v>849.861672175293</x:v>
      </x:c>
      <x:c r="L228" s="22" t="n">
        <x:f>IF(ISNUMBER(K228),K228*$B$2+$B$3,"")</x:f>
        <x:v>806.9938321042932</x:v>
      </x:c>
      <x:c r="M228" s="22" t="n">
        <x:f>IF(AND(ISNUMBER(G228),ISNUMBER(H228),H228&lt;&gt;0),G228/(H228/60)/$B$5,"")</x:f>
        <x:v>0.2182686485149779</x:v>
      </x:c>
      <x:c r="N228" s="22" t="n">
        <x:f>IF(AND(ISNUMBER(L228),ISNUMBER(H228),H228&lt;&gt;0),L228*$B$6/$B$4/(H228/60)^2/$B$5^4/$B$7,"")</x:f>
        <x:v>0.05633030782087048</x:v>
      </x:c>
      <x:c r="O228" s="22" t="n">
        <x:f>IF(ISNUMBER(N228),N228*$B$8,"")</x:f>
        <x:v>0.007278018774791768</x:v>
      </x:c>
      <x:c r="P228" s="20" t="str">
        <x:v>3000rpm!N131</x:v>
      </x:c>
      <x:c r="Q228" s="20" t="str">
        <x:v>3000rpm!M131</x:v>
      </x:c>
      <x:c r="R228" s="20" t="str">
        <x:v>3000rpm!M115</x:v>
      </x:c>
    </x:row>
    <x:row r="229">
      <x:c r="A229" s="21" t="n">
        <x:v>3000</x:v>
      </x:c>
      <x:c r="B229" s="21" t="n">
        <x:v>60</x:v>
      </x:c>
      <x:c r="C229" s="21" t="n">
        <x:v>18</x:v>
      </x:c>
      <x:c r="D229" s="21" t="n">
        <x:v>1</x:v>
      </x:c>
      <x:c r="E229" s="21" t="str">
        <x:v>3000rpm</x:v>
      </x:c>
      <x:c r="F229" s="21" t="n">
        <x:v>132</x:v>
      </x:c>
      <x:c r="G229" s="22" t="n">
        <x:f>IFERROR('3000rpm'!D132,"")</x:f>
        <x:v>4.129634733857775</x:v>
      </x:c>
      <x:c r="H229" s="22" t="n">
        <x:f>IFERROR('3000rpm'!B132,"")</x:f>
        <x:v>2997.07151636584</x:v>
      </x:c>
      <x:c r="I229" s="22" t="n">
        <x:f>IFERROR('3000rpm'!C132,"")</x:f>
        <x:v>1079.3920552677</x:v>
      </x:c>
      <x:c r="J229" s="22" t="n">
        <x:f>IFERROR('3000rpm'!C115,"")</x:f>
        <x:v>237.743758212877</x:v>
      </x:c>
      <x:c r="K229" s="22" t="n">
        <x:f>IF(AND(ISNUMBER(I229),ISNUMBER(J229)),I229-J229,"")</x:f>
        <x:v>841.648297054823</x:v>
      </x:c>
      <x:c r="L229" s="22" t="n">
        <x:f>IF(ISNUMBER(K229),K229*$B$2+$B$3,"")</x:f>
        <x:v>799.4727787994779</x:v>
      </x:c>
      <x:c r="M229" s="22" t="n">
        <x:f>IF(AND(ISNUMBER(G229),ISNUMBER(H229),H229&lt;&gt;0),G229/(H229/60)/$B$5,"")</x:f>
        <x:v>0.1808254532824923</x:v>
      </x:c>
      <x:c r="N229" s="22" t="n">
        <x:f>IF(AND(ISNUMBER(L229),ISNUMBER(H229),H229&lt;&gt;0),L229*$B$6/$B$4/(H229/60)^2/$B$5^4/$B$7,"")</x:f>
        <x:v>0.059638417537702396</x:v>
      </x:c>
      <x:c r="O229" s="22" t="n">
        <x:f>IF(ISNUMBER(N229),N229*$B$8,"")</x:f>
        <x:v>0.007705434948421364</x:v>
      </x:c>
      <x:c r="P229" s="20" t="str">
        <x:v>3000rpm!D132</x:v>
      </x:c>
      <x:c r="Q229" s="20" t="str">
        <x:v>3000rpm!C132</x:v>
      </x:c>
      <x:c r="R229" s="20" t="str">
        <x:v>3000rpm!C115</x:v>
      </x:c>
    </x:row>
    <x:row r="230">
      <x:c r="A230" s="21" t="n">
        <x:v>3000</x:v>
      </x:c>
      <x:c r="B230" s="21" t="n">
        <x:v>60</x:v>
      </x:c>
      <x:c r="C230" s="21" t="n">
        <x:v>18</x:v>
      </x:c>
      <x:c r="D230" s="21" t="n">
        <x:v>2</x:v>
      </x:c>
      <x:c r="E230" s="21" t="str">
        <x:v>3000rpm</x:v>
      </x:c>
      <x:c r="F230" s="21" t="n">
        <x:v>132</x:v>
      </x:c>
      <x:c r="G230" s="22" t="n">
        <x:f>IFERROR('3000rpm'!N132,"")</x:f>
        <x:v>4.131123360660331</x:v>
      </x:c>
      <x:c r="H230" s="22" t="n">
        <x:f>IFERROR('3000rpm'!L132,"")</x:f>
        <x:v>3102.83229758522</x:v>
      </x:c>
      <x:c r="I230" s="22" t="n">
        <x:f>IFERROR('3000rpm'!M132,"")</x:f>
        <x:v>1149.75981524249</x:v>
      </x:c>
      <x:c r="J230" s="22" t="n">
        <x:f>IFERROR('3000rpm'!M115,"")</x:f>
        <x:v>241.619047619047</x:v>
      </x:c>
      <x:c r="K230" s="22" t="n">
        <x:f>IF(AND(ISNUMBER(I230),ISNUMBER(J230)),I230-J230,"")</x:f>
        <x:v>908.140767623443</x:v>
      </x:c>
      <x:c r="L230" s="22" t="n">
        <x:f>IF(ISNUMBER(K230),K230*$B$2+$B$3,"")</x:f>
        <x:v>860.3604660389277</x:v>
      </x:c>
      <x:c r="M230" s="22" t="n">
        <x:f>IF(AND(ISNUMBER(G230),ISNUMBER(H230),H230&lt;&gt;0),G230/(H230/60)/$B$5,"")</x:f>
        <x:v>0.17472493558125146</x:v>
      </x:c>
      <x:c r="N230" s="22" t="n">
        <x:f>IF(AND(ISNUMBER(L230),ISNUMBER(H230),H230&lt;&gt;0),L230*$B$6/$B$4/(H230/60)^2/$B$5^4/$B$7,"")</x:f>
        <x:v>0.059879819425336184</x:v>
      </x:c>
      <x:c r="O230" s="22" t="n">
        <x:f>IF(ISNUMBER(N230),N230*$B$8,"")</x:f>
        <x:v>0.007736624685144548</x:v>
      </x:c>
      <x:c r="P230" s="20" t="str">
        <x:v>3000rpm!N132</x:v>
      </x:c>
      <x:c r="Q230" s="20" t="str">
        <x:v>3000rpm!M132</x:v>
      </x:c>
      <x:c r="R230" s="20" t="str">
        <x:v>3000rpm!M115</x:v>
      </x:c>
    </x:row>
    <x:row r="231">
      <x:c r="A231" s="21" t="n">
        <x:v>3000</x:v>
      </x:c>
      <x:c r="B231" s="21" t="n">
        <x:v>60</x:v>
      </x:c>
      <x:c r="C231" s="21" t="n">
        <x:v>19</x:v>
      </x:c>
      <x:c r="D231" s="21" t="n">
        <x:v>1</x:v>
      </x:c>
      <x:c r="E231" s="21" t="str">
        <x:v>3000rpm</x:v>
      </x:c>
      <x:c r="F231" s="21" t="n">
        <x:v>133</x:v>
      </x:c>
      <x:c r="G231" s="22" t="n">
        <x:f>IFERROR('3000rpm'!D133,"")</x:f>
        <x:v>3.099279015594045</x:v>
      </x:c>
      <x:c r="H231" s="22" t="n">
        <x:f>IFERROR('3000rpm'!B133,"")</x:f>
        <x:v>2988.15326605902</x:v>
      </x:c>
      <x:c r="I231" s="22" t="n">
        <x:f>IFERROR('3000rpm'!C133,"")</x:f>
        <x:v>1136.51386321626</x:v>
      </x:c>
      <x:c r="J231" s="22" t="n">
        <x:f>IFERROR('3000rpm'!C115,"")</x:f>
        <x:v>237.743758212877</x:v>
      </x:c>
      <x:c r="K231" s="22" t="n">
        <x:f>IF(AND(ISNUMBER(I231),ISNUMBER(J231)),I231-J231,"")</x:f>
        <x:v>898.770105003383</x:v>
      </x:c>
      <x:c r="L231" s="22" t="n">
        <x:f>IF(ISNUMBER(K231),K231*$B$2+$B$3,"")</x:f>
        <x:v>851.7796753124378</x:v>
      </x:c>
      <x:c r="M231" s="22" t="n">
        <x:f>IF(AND(ISNUMBER(G231),ISNUMBER(H231),H231&lt;&gt;0),G231/(H231/60)/$B$5,"")</x:f>
        <x:v>0.13611401203056103</x:v>
      </x:c>
      <x:c r="N231" s="22" t="n">
        <x:f>IF(AND(ISNUMBER(L231),ISNUMBER(H231),H231&lt;&gt;0),L231*$B$6/$B$4/(H231/60)^2/$B$5^4/$B$7,"")</x:f>
        <x:v>0.06392020765750972</x:v>
      </x:c>
      <x:c r="O231" s="22" t="n">
        <x:f>IF(ISNUMBER(N231),N231*$B$8,"")</x:f>
        <x:v>0.008258653101973325</x:v>
      </x:c>
      <x:c r="P231" s="20" t="str">
        <x:v>3000rpm!D133</x:v>
      </x:c>
      <x:c r="Q231" s="20" t="str">
        <x:v>3000rpm!C133</x:v>
      </x:c>
      <x:c r="R231" s="20" t="str">
        <x:v>3000rpm!C115</x:v>
      </x:c>
    </x:row>
    <x:row r="232">
      <x:c r="A232" s="21" t="n">
        <x:v>3000</x:v>
      </x:c>
      <x:c r="B232" s="21" t="n">
        <x:v>60</x:v>
      </x:c>
      <x:c r="C232" s="21" t="n">
        <x:v>19</x:v>
      </x:c>
      <x:c r="D232" s="21" t="n">
        <x:v>2</x:v>
      </x:c>
      <x:c r="E232" s="21" t="str">
        <x:v>3000rpm</x:v>
      </x:c>
      <x:c r="F232" s="21" t="n">
        <x:v>133</x:v>
      </x:c>
      <x:c r="G232" s="22" t="n">
        <x:f>IFERROR('3000rpm'!N133,"")</x:f>
        <x:v>3.10157020592394</x:v>
      </x:c>
      <x:c r="H232" s="22" t="n">
        <x:f>IFERROR('3000rpm'!L133,"")</x:f>
        <x:v>3095.7381286621</x:v>
      </x:c>
      <x:c r="I232" s="22" t="n">
        <x:f>IFERROR('3000rpm'!M133,"")</x:f>
        <x:v>1208.68659793814</x:v>
      </x:c>
      <x:c r="J232" s="22" t="n">
        <x:f>IFERROR('3000rpm'!M115,"")</x:f>
        <x:v>241.619047619047</x:v>
      </x:c>
      <x:c r="K232" s="22" t="n">
        <x:f>IF(AND(ISNUMBER(I232),ISNUMBER(J232)),I232-J232,"")</x:f>
        <x:v>967.067550319093</x:v>
      </x:c>
      <x:c r="L232" s="22" t="n">
        <x:f>IF(ISNUMBER(K232),K232*$B$2+$B$3,"")</x:f>
        <x:v>914.320192367596</x:v>
      </x:c>
      <x:c r="M232" s="22" t="n">
        <x:f>IF(AND(ISNUMBER(G232),ISNUMBER(H232),H232&lt;&gt;0),G232/(H232/60)/$B$5,"")</x:f>
        <x:v>0.1314808274584522</x:v>
      </x:c>
      <x:c r="N232" s="22" t="n">
        <x:f>IF(AND(ISNUMBER(L232),ISNUMBER(H232),H232&lt;&gt;0),L232*$B$6/$B$4/(H232/60)^2/$B$5^4/$B$7,"")</x:f>
        <x:v>0.06392732342810564</x:v>
      </x:c>
      <x:c r="O232" s="22" t="n">
        <x:f>IF(ISNUMBER(N232),N232*$B$8,"")</x:f>
        <x:v>0.008259572477598946</x:v>
      </x:c>
      <x:c r="P232" s="20" t="str">
        <x:v>3000rpm!N133</x:v>
      </x:c>
      <x:c r="Q232" s="20" t="str">
        <x:v>3000rpm!M133</x:v>
      </x:c>
      <x:c r="R232" s="20" t="str">
        <x:v>3000rpm!M115</x:v>
      </x:c>
    </x:row>
    <x:row r="233">
      <x:c r="A233" s="21" t="n">
        <x:v>3000</x:v>
      </x:c>
      <x:c r="B233" s="21" t="n">
        <x:v>60</x:v>
      </x:c>
      <x:c r="C233" s="21" t="n">
        <x:v>20</x:v>
      </x:c>
      <x:c r="D233" s="21" t="n">
        <x:v>1</x:v>
      </x:c>
      <x:c r="E233" s="21" t="str">
        <x:v>3000rpm</x:v>
      </x:c>
      <x:c r="F233" s="21" t="n">
        <x:v>134</x:v>
      </x:c>
      <x:c r="G233" s="22" t="n">
        <x:f>IFERROR('3000rpm'!D134,"")</x:f>
        <x:v>2.0744410534221</x:v>
      </x:c>
      <x:c r="H233" s="22" t="n">
        <x:f>IFERROR('3000rpm'!B134,"")</x:f>
        <x:v>2983.72192382812</x:v>
      </x:c>
      <x:c r="I233" s="22" t="n">
        <x:f>IFERROR('3000rpm'!C134,"")</x:f>
        <x:v>1198.75113122171</x:v>
      </x:c>
      <x:c r="J233" s="22" t="n">
        <x:f>IFERROR('3000rpm'!C115,"")</x:f>
        <x:v>237.743758212877</x:v>
      </x:c>
      <x:c r="K233" s="22" t="n">
        <x:f>IF(AND(ISNUMBER(I233),ISNUMBER(J233)),I233-J233,"")</x:f>
        <x:v>961.007373008833</x:v>
      </x:c>
      <x:c r="L233" s="22" t="n">
        <x:f>IF(ISNUMBER(K233),K233*$B$2+$B$3,"")</x:f>
        <x:v>908.7708395231724</x:v>
      </x:c>
      <x:c r="M233" s="22" t="n">
        <x:f>IF(AND(ISNUMBER(G233),ISNUMBER(H233),H233&lt;&gt;0),G233/(H233/60)/$B$5,"")</x:f>
        <x:v>0.09124052631805961</x:v>
      </x:c>
      <x:c r="N233" s="22" t="n">
        <x:f>IF(AND(ISNUMBER(L233),ISNUMBER(H233),H233&lt;&gt;0),L233*$B$6/$B$4/(H233/60)^2/$B$5^4/$B$7,"")</x:f>
        <x:v>0.06839972172365225</x:v>
      </x:c>
      <x:c r="O233" s="22" t="n">
        <x:f>IF(ISNUMBER(N233),N233*$B$8,"")</x:f>
        <x:v>0.008837417691348604</x:v>
      </x:c>
      <x:c r="P233" s="20" t="str">
        <x:v>3000rpm!D134</x:v>
      </x:c>
      <x:c r="Q233" s="20" t="str">
        <x:v>3000rpm!C134</x:v>
      </x:c>
      <x:c r="R233" s="20" t="str">
        <x:v>3000rpm!C115</x:v>
      </x:c>
    </x:row>
    <x:row r="234">
      <x:c r="A234" s="21" t="n">
        <x:v>3000</x:v>
      </x:c>
      <x:c r="B234" s="21" t="n">
        <x:v>60</x:v>
      </x:c>
      <x:c r="C234" s="21" t="n">
        <x:v>20</x:v>
      </x:c>
      <x:c r="D234" s="21" t="n">
        <x:v>2</x:v>
      </x:c>
      <x:c r="E234" s="21" t="str">
        <x:v>3000rpm</x:v>
      </x:c>
      <x:c r="F234" s="21" t="n">
        <x:v>134</x:v>
      </x:c>
      <x:c r="G234" s="22" t="n">
        <x:f>IFERROR('3000rpm'!N134,"")</x:f>
        <x:v>2.076720861774495</x:v>
      </x:c>
      <x:c r="H234" s="22" t="n">
        <x:f>IFERROR('3000rpm'!L134,"")</x:f>
        <x:v>3071.59851074218</x:v>
      </x:c>
      <x:c r="I234" s="22" t="n">
        <x:f>IFERROR('3000rpm'!M134,"")</x:f>
        <x:v>1275.47848101265</x:v>
      </x:c>
      <x:c r="J234" s="22" t="n">
        <x:f>IFERROR('3000rpm'!M115,"")</x:f>
        <x:v>241.619047619047</x:v>
      </x:c>
      <x:c r="K234" s="22" t="n">
        <x:f>IF(AND(ISNUMBER(I234),ISNUMBER(J234)),I234-J234,"")</x:f>
        <x:v>1033.859433393603</x:v>
      </x:c>
      <x:c r="L234" s="22" t="n">
        <x:f>IF(ISNUMBER(K234),K234*$B$2+$B$3,"")</x:f>
        <x:v>975.4820540339894</x:v>
      </x:c>
      <x:c r="M234" s="22" t="n">
        <x:f>IF(AND(ISNUMBER(G234),ISNUMBER(H234),H234&lt;&gt;0),G234/(H234/60)/$B$5,"")</x:f>
        <x:v>0.08872759418638346</x:v>
      </x:c>
      <x:c r="N234" s="22" t="n">
        <x:f>IF(AND(ISNUMBER(L234),ISNUMBER(H234),H234&lt;&gt;0),L234*$B$6/$B$4/(H234/60)^2/$B$5^4/$B$7,"")</x:f>
        <x:v>0.06927986456892983</x:v>
      </x:c>
      <x:c r="O234" s="22" t="n">
        <x:f>IF(ISNUMBER(N234),N234*$B$8,"")</x:f>
        <x:v>0.008951134381354966</x:v>
      </x:c>
      <x:c r="P234" s="20" t="str">
        <x:v>3000rpm!N134</x:v>
      </x:c>
      <x:c r="Q234" s="20" t="str">
        <x:v>3000rpm!M134</x:v>
      </x:c>
      <x:c r="R234" s="20" t="str">
        <x:v>3000rpm!M115</x:v>
      </x:c>
    </x:row>
    <x:row r="235">
      <x:c r="A235" s="21" t="n">
        <x:v>3000</x:v>
      </x:c>
      <x:c r="B235" s="21" t="n">
        <x:v>60</x:v>
      </x:c>
      <x:c r="C235" s="21" t="n">
        <x:v>21</x:v>
      </x:c>
      <x:c r="D235" s="21" t="n">
        <x:v>1</x:v>
      </x:c>
      <x:c r="E235" s="21" t="str">
        <x:v>3000rpm</x:v>
      </x:c>
      <x:c r="F235" s="21" t="n">
        <x:v>135</x:v>
      </x:c>
      <x:c r="G235" s="22" t="n">
        <x:f>IFERROR('3000rpm'!D135,"")</x:f>
        <x:v>1.045420356646731</x:v>
      </x:c>
      <x:c r="H235" s="22" t="n">
        <x:f>IFERROR('3000rpm'!B135,"")</x:f>
        <x:v>2956.83581912878</x:v>
      </x:c>
      <x:c r="I235" s="22" t="n">
        <x:f>IFERROR('3000rpm'!C135,"")</x:f>
        <x:v>1262.62403697996</x:v>
      </x:c>
      <x:c r="J235" s="22" t="n">
        <x:f>IFERROR('3000rpm'!C115,"")</x:f>
        <x:v>237.743758212877</x:v>
      </x:c>
      <x:c r="K235" s="22" t="n">
        <x:f>IF(AND(ISNUMBER(I235),ISNUMBER(J235)),I235-J235,"")</x:f>
        <x:v>1024.880278767083</x:v>
      </x:c>
      <x:c r="L235" s="22" t="n">
        <x:f>IF(ISNUMBER(K235),K235*$B$2+$B$3,"")</x:f>
        <x:v>967.2597703092479</x:v>
      </x:c>
      <x:c r="M235" s="22" t="n">
        <x:f>IF(AND(ISNUMBER(G235),ISNUMBER(H235),H235&lt;&gt;0),G235/(H235/60)/$B$5,"")</x:f>
        <x:v>0.04639901601511358</x:v>
      </x:c>
      <x:c r="N235" s="22" t="n">
        <x:f>IF(AND(ISNUMBER(L235),ISNUMBER(H235),H235&lt;&gt;0),L235*$B$6/$B$4/(H235/60)^2/$B$5^4/$B$7,"")</x:f>
        <x:v>0.07413193677171394</x:v>
      </x:c>
      <x:c r="O235" s="22" t="n">
        <x:f>IF(ISNUMBER(N235),N235*$B$8,"")</x:f>
        <x:v>0.009578034427788306</x:v>
      </x:c>
      <x:c r="P235" s="20" t="str">
        <x:v>3000rpm!D135</x:v>
      </x:c>
      <x:c r="Q235" s="20" t="str">
        <x:v>3000rpm!C135</x:v>
      </x:c>
      <x:c r="R235" s="20" t="str">
        <x:v>3000rpm!C115</x:v>
      </x:c>
    </x:row>
    <x:row r="236">
      <x:c r="A236" s="21" t="n">
        <x:v>3000</x:v>
      </x:c>
      <x:c r="B236" s="21" t="n">
        <x:v>60</x:v>
      </x:c>
      <x:c r="C236" s="21" t="n">
        <x:v>21</x:v>
      </x:c>
      <x:c r="D236" s="21" t="n">
        <x:v>2</x:v>
      </x:c>
      <x:c r="E236" s="21" t="str">
        <x:v>3000rpm</x:v>
      </x:c>
      <x:c r="F236" s="21" t="n">
        <x:v>135</x:v>
      </x:c>
      <x:c r="G236" s="22" t="n">
        <x:f>IFERROR('3000rpm'!N135,"")</x:f>
        <x:v>1.0338782873646961</x:v>
      </x:c>
      <x:c r="H236" s="22" t="n">
        <x:f>IFERROR('3000rpm'!L135,"")</x:f>
        <x:v>3071.31353759765</x:v>
      </x:c>
      <x:c r="I236" s="22" t="n">
        <x:f>IFERROR('3000rpm'!M135,"")</x:f>
        <x:v>1339.34698275862</x:v>
      </x:c>
      <x:c r="J236" s="22" t="n">
        <x:f>IFERROR('3000rpm'!M115,"")</x:f>
        <x:v>241.619047619047</x:v>
      </x:c>
      <x:c r="K236" s="22" t="n">
        <x:f>IF(AND(ISNUMBER(I236),ISNUMBER(J236)),I236-J236,"")</x:f>
        <x:v>1097.727935139573</x:v>
      </x:c>
      <x:c r="L236" s="22" t="n">
        <x:f>IF(ISNUMBER(K236),K236*$B$2+$B$3,"")</x:f>
        <x:v>1033.966952030788</x:v>
      </x:c>
      <x:c r="M236" s="22" t="n">
        <x:f>IF(AND(ISNUMBER(G236),ISNUMBER(H236),H236&lt;&gt;0),G236/(H236/60)/$B$5,"")</x:f>
        <x:v>0.044176396714314184</x:v>
      </x:c>
      <x:c r="N236" s="22" t="n">
        <x:f>IF(AND(ISNUMBER(L236),ISNUMBER(H236),H236&lt;&gt;0),L236*$B$6/$B$4/(H236/60)^2/$B$5^4/$B$7,"")</x:f>
        <x:v>0.07344715747452266</x:v>
      </x:c>
      <x:c r="O236" s="22" t="n">
        <x:f>IF(ISNUMBER(N236),N236*$B$8,"")</x:f>
        <x:v>0.009489559204159217</x:v>
      </x:c>
      <x:c r="P236" s="20" t="str">
        <x:v>3000rpm!N135</x:v>
      </x:c>
      <x:c r="Q236" s="20" t="str">
        <x:v>3000rpm!M135</x:v>
      </x:c>
      <x:c r="R236" s="20" t="str">
        <x:v>3000rpm!M115</x:v>
      </x:c>
    </x:row>
    <x:row r="237">
      <x:c r="A237" s="21" t="n">
        <x:v>3000</x:v>
      </x:c>
      <x:c r="B237" s="21" t="n">
        <x:v>60</x:v>
      </x:c>
      <x:c r="C237" s="21" t="n">
        <x:v>22</x:v>
      </x:c>
      <x:c r="D237" s="21" t="n">
        <x:v>1</x:v>
      </x:c>
      <x:c r="E237" s="21" t="str">
        <x:v>3000rpm</x:v>
      </x:c>
      <x:c r="F237" s="21" t="n">
        <x:v>136</x:v>
      </x:c>
      <x:c r="G237" s="22" t="n">
        <x:f>IFERROR('3000rpm'!D136,"")</x:f>
        <x:v>0.233196</x:v>
      </x:c>
      <x:c r="H237" s="22" t="n">
        <x:f>IFERROR('3000rpm'!B136,"")</x:f>
        <x:v>2994.02</x:v>
      </x:c>
      <x:c r="I237" s="22" t="n">
        <x:f>IFERROR('3000rpm'!C136,"")</x:f>
        <x:v>1299.74</x:v>
      </x:c>
      <x:c r="J237" s="22" t="n">
        <x:f>IFERROR('3000rpm'!C115,"")</x:f>
        <x:v>237.743758212877</x:v>
      </x:c>
      <x:c r="K237" s="22" t="n">
        <x:f>IF(AND(ISNUMBER(I237),ISNUMBER(J237)),I237-J237,"")</x:f>
        <x:v>1061.996241787123</x:v>
      </x:c>
      <x:c r="L237" s="22" t="n">
        <x:f>IF(ISNUMBER(K237),K237*$B$2+$B$3,"")</x:f>
        <x:v>1001.2471545744027</x:v>
      </x:c>
      <x:c r="M237" s="22" t="n">
        <x:f>IF(AND(ISNUMBER(G237),ISNUMBER(H237),H237&lt;&gt;0),G237/(H237/60)/$B$5,"")</x:f>
        <x:v>0.010221424575086076</x:v>
      </x:c>
      <x:c r="N237" s="22" t="n">
        <x:f>IF(AND(ISNUMBER(L237),ISNUMBER(H237),H237&lt;&gt;0),L237*$B$6/$B$4/(H237/60)^2/$B$5^4/$B$7,"")</x:f>
        <x:v>0.07484254434545959</x:v>
      </x:c>
      <x:c r="O237" s="22" t="n">
        <x:f>IF(ISNUMBER(N237),N237*$B$8,"")</x:f>
        <x:v>0.009669846730317812</x:v>
      </x:c>
      <x:c r="P237" s="20" t="str">
        <x:v>3000rpm!D136</x:v>
      </x:c>
      <x:c r="Q237" s="20" t="str">
        <x:v>3000rpm!C136</x:v>
      </x:c>
      <x:c r="R237" s="20" t="str">
        <x:v>3000rpm!C115</x:v>
      </x:c>
    </x:row>
    <x:row r="238">
      <x:c r="A238" s="21" t="n">
        <x:v>3000</x:v>
      </x:c>
      <x:c r="B238" s="21" t="n">
        <x:v>60</x:v>
      </x:c>
      <x:c r="C238" s="21" t="n">
        <x:v>22</x:v>
      </x:c>
      <x:c r="D238" s="21" t="n">
        <x:v>2</x:v>
      </x:c>
      <x:c r="E238" s="21" t="str">
        <x:v>3000rpm</x:v>
      </x:c>
      <x:c r="F238" s="21" t="n">
        <x:v>136</x:v>
      </x:c>
      <x:c r="G238" s="22" t="n">
        <x:f>IFERROR('3000rpm'!N136,"")</x:f>
        <x:v>0.23922899999999997</x:v>
      </x:c>
      <x:c r="H238" s="22" t="n">
        <x:f>IFERROR('3000rpm'!L136,"")</x:f>
        <x:v>3032.1</x:v>
      </x:c>
      <x:c r="I238" s="22" t="n">
        <x:f>IFERROR('3000rpm'!M136,"")</x:f>
        <x:v>1381.1</x:v>
      </x:c>
      <x:c r="J238" s="22" t="n">
        <x:f>IFERROR('3000rpm'!M115,"")</x:f>
        <x:v>241.619047619047</x:v>
      </x:c>
      <x:c r="K238" s="22" t="n">
        <x:f>IF(AND(ISNUMBER(I238),ISNUMBER(J238)),I238-J238,"")</x:f>
        <x:v>1139.4809523809529</x:v>
      </x:c>
      <x:c r="L238" s="22" t="n">
        <x:f>IF(ISNUMBER(K238),K238*$B$2+$B$3,"")</x:f>
        <x:v>1072.2005239428577</x:v>
      </x:c>
      <x:c r="M238" s="22" t="n">
        <x:f>IF(AND(ISNUMBER(G238),ISNUMBER(H238),H238&lt;&gt;0),G238/(H238/60)/$B$5,"")</x:f>
        <x:v>0.010354171000218916</x:v>
      </x:c>
      <x:c r="N238" s="22" t="n">
        <x:f>IF(AND(ISNUMBER(L238),ISNUMBER(H238),H238&lt;&gt;0),L238*$B$6/$B$4/(H238/60)^2/$B$5^4/$B$7,"")</x:f>
        <x:v>0.07814579557385416</x:v>
      </x:c>
      <x:c r="O238" s="22" t="n">
        <x:f>IF(ISNUMBER(N238),N238*$B$8,"")</x:f>
        <x:v>0.010096635174907182</x:v>
      </x:c>
      <x:c r="P238" s="20" t="str">
        <x:v>3000rpm!N136</x:v>
      </x:c>
      <x:c r="Q238" s="20" t="str">
        <x:v>3000rpm!M136</x:v>
      </x:c>
      <x:c r="R238" s="20" t="str">
        <x:v>3000rpm!M115</x:v>
      </x:c>
    </x:row>
    <x:row r="239">
      <x:c r="A239" s="21" t="n">
        <x:v>3000</x:v>
      </x:c>
      <x:c r="B239" s="21" t="n">
        <x:v>60</x:v>
      </x:c>
      <x:c r="C239" s="21" t="n">
        <x:v>23</x:v>
      </x:c>
      <x:c r="D239" s="21" t="n">
        <x:v>1</x:v>
      </x:c>
      <x:c r="E239" s="21" t="str">
        <x:v>3000rpm</x:v>
      </x:c>
      <x:c r="F239" s="21" t="n">
        <x:v>137</x:v>
      </x:c>
      <x:c r="G239" s="22" t="n">
        <x:f>IFERROR('3000rpm'!D137,"")</x:f>
        <x:v>0.13800623477159416</x:v>
      </x:c>
      <x:c r="H239" s="22" t="n">
        <x:f>IFERROR('3000rpm'!B137,"")</x:f>
        <x:v>0</x:v>
      </x:c>
      <x:c r="I239" s="22" t="n">
        <x:f>IFERROR('3000rpm'!C137,"")</x:f>
        <x:v>238.234939759036</x:v>
      </x:c>
      <x:c r="J239" s="22" t="n">
        <x:f>IFERROR('3000rpm'!C115,"")</x:f>
        <x:v>237.743758212877</x:v>
      </x:c>
      <x:c r="K239" s="22" t="n">
        <x:f>IF(AND(ISNUMBER(I239),ISNUMBER(J239)),I239-J239,"")</x:f>
        <x:v>0.4911815461589981</x:v>
      </x:c>
      <x:c r="L239" s="22" t="n">
        <x:f>IF(ISNUMBER(K239),K239*$B$2+$B$3,"")</x:f>
        <x:v>29.218478871270165</x:v>
      </x:c>
      <x:c r="M239" s="22" t="str">
        <x:f>IF(AND(ISNUMBER(G239),ISNUMBER(H239),H239&lt;&gt;0),G239/(H239/60)/$B$5,"")</x:f>
      </x:c>
      <x:c r="N239" s="22" t="str">
        <x:f>IF(AND(ISNUMBER(L239),ISNUMBER(H239),H239&lt;&gt;0),L239*$B$6/$B$4/(H239/60)^2/$B$5^4/$B$7,"")</x:f>
      </x:c>
      <x:c r="O239" s="22" t="str">
        <x:f>IF(ISNUMBER(N239),N239*$B$8,"")</x:f>
      </x:c>
      <x:c r="P239" s="20" t="str">
        <x:v>3000rpm!D137</x:v>
      </x:c>
      <x:c r="Q239" s="20" t="str">
        <x:v>3000rpm!C137</x:v>
      </x:c>
      <x:c r="R239" s="20" t="str">
        <x:v>3000rpm!C115</x:v>
      </x:c>
    </x:row>
    <x:row r="240">
      <x:c r="A240" s="21" t="n">
        <x:v>3000</x:v>
      </x:c>
      <x:c r="B240" s="21" t="n">
        <x:v>60</x:v>
      </x:c>
      <x:c r="C240" s="21" t="n">
        <x:v>23</x:v>
      </x:c>
      <x:c r="D240" s="21" t="n">
        <x:v>2</x:v>
      </x:c>
      <x:c r="E240" s="21" t="str">
        <x:v>3000rpm</x:v>
      </x:c>
      <x:c r="F240" s="21" t="n">
        <x:v>137</x:v>
      </x:c>
      <x:c r="G240" s="22" t="n">
        <x:f>IFERROR('3000rpm'!N137,"")</x:f>
        <x:v>0.1820471907965835</x:v>
      </x:c>
      <x:c r="H240" s="22" t="n">
        <x:f>IFERROR('3000rpm'!L137,"")</x:f>
        <x:v>0</x:v>
      </x:c>
      <x:c r="I240" s="22" t="n">
        <x:f>IFERROR('3000rpm'!M137,"")</x:f>
        <x:v>240.198329853862</x:v>
      </x:c>
      <x:c r="J240" s="22" t="n">
        <x:f>IFERROR('3000rpm'!M115,"")</x:f>
        <x:v>241.619047619047</x:v>
      </x:c>
      <x:c r="K240" s="22" t="n">
        <x:f>IF(AND(ISNUMBER(I240),ISNUMBER(J240)),I240-J240,"")</x:f>
        <x:v>-1.4207177651850031</x:v>
      </x:c>
      <x:c r="L240" s="22" t="n">
        <x:f>IF(ISNUMBER(K240),K240*$B$2+$B$3,"")</x:f>
        <x:v>27.46773737667797</x:v>
      </x:c>
      <x:c r="M240" s="22" t="str">
        <x:f>IF(AND(ISNUMBER(G240),ISNUMBER(H240),H240&lt;&gt;0),G240/(H240/60)/$B$5,"")</x:f>
      </x:c>
      <x:c r="N240" s="22" t="str">
        <x:f>IF(AND(ISNUMBER(L240),ISNUMBER(H240),H240&lt;&gt;0),L240*$B$6/$B$4/(H240/60)^2/$B$5^4/$B$7,"")</x:f>
      </x:c>
      <x:c r="O240" s="22" t="str">
        <x:f>IF(ISNUMBER(N240),N240*$B$8,"")</x:f>
      </x:c>
      <x:c r="P240" s="20" t="str">
        <x:v>3000rpm!N137</x:v>
      </x:c>
      <x:c r="Q240" s="20" t="str">
        <x:v>3000rpm!M137</x:v>
      </x:c>
      <x:c r="R240" s="20" t="str">
        <x:v>3000rpm!M115</x:v>
      </x:c>
    </x:row>
    <x:row r="241">
      <x:c r="A241" s="21" t="n">
        <x:v>3000</x:v>
      </x:c>
      <x:c r="B241" s="21" t="n">
        <x:v>75</x:v>
      </x:c>
      <x:c r="C241" s="21" t="n">
        <x:v>1</x:v>
      </x:c>
      <x:c r="D241" s="21" t="n">
        <x:v>1</x:v>
      </x:c>
      <x:c r="E241" s="21" t="str">
        <x:v>3000rpm</x:v>
      </x:c>
      <x:c r="F241" s="21" t="n">
        <x:v>144</x:v>
      </x:c>
      <x:c r="G241" s="22" t="n">
        <x:f>IFERROR('3000rpm'!E144,"")</x:f>
        <x:v>0.047663646582561905</x:v>
      </x:c>
      <x:c r="H241" s="22" t="n">
        <x:f>IFERROR('3000rpm'!B144,"")</x:f>
        <x:v>0</x:v>
      </x:c>
      <x:c r="I241" s="22" t="n">
        <x:f>IFERROR('3000rpm'!D144,"")</x:f>
        <x:v>34.98588831835683</x:v>
      </x:c>
      <x:c r="J241" s="22" t="n">
        <x:f>IFERROR('3000rpm'!D144,"")</x:f>
        <x:v>34.98588831835683</x:v>
      </x:c>
      <x:c r="K241" s="22" t="n">
        <x:f>IF(AND(ISNUMBER(I241),ISNUMBER(J241)),I241-J241,"")</x:f>
        <x:v>0</x:v>
      </x:c>
      <x:c r="L241" s="22" t="n">
        <x:f>IF(ISNUMBER(K241),K241*$B$2+$B$3,"")</x:f>
        <x:v>28.7687</x:v>
      </x:c>
      <x:c r="M241" s="22" t="str">
        <x:f>IF(AND(ISNUMBER(G241),ISNUMBER(H241),H241&lt;&gt;0),G241/(H241/60)/$B$5,"")</x:f>
      </x:c>
      <x:c r="N241" s="22" t="str">
        <x:f>IF(AND(ISNUMBER(L241),ISNUMBER(H241),H241&lt;&gt;0),L241*$B$6/$B$4/(H241/60)^2/$B$5^4/$B$7,"")</x:f>
      </x:c>
      <x:c r="O241" s="22" t="str">
        <x:f>IF(ISNUMBER(N241),N241*$B$8,"")</x:f>
      </x:c>
      <x:c r="P241" s="20" t="str">
        <x:v>3000rpm!E144</x:v>
      </x:c>
      <x:c r="Q241" s="20" t="str">
        <x:v>3000rpm!D144</x:v>
      </x:c>
      <x:c r="R241" s="20" t="str">
        <x:v>3000rpm!D144</x:v>
      </x:c>
    </x:row>
    <x:row r="242">
      <x:c r="A242" s="21" t="n">
        <x:v>3000</x:v>
      </x:c>
      <x:c r="B242" s="21" t="n">
        <x:v>75</x:v>
      </x:c>
      <x:c r="C242" s="21" t="n">
        <x:v>1</x:v>
      </x:c>
      <x:c r="D242" s="21" t="n">
        <x:v>2</x:v>
      </x:c>
      <x:c r="E242" s="21" t="str">
        <x:v>3000rpm</x:v>
      </x:c>
      <x:c r="F242" s="21" t="n">
        <x:v>144</x:v>
      </x:c>
      <x:c r="G242" s="22" t="n">
        <x:f>IFERROR('3000rpm'!O144,"")</x:f>
        <x:v>0.07686970724010614</x:v>
      </x:c>
      <x:c r="H242" s="22" t="n">
        <x:f>IFERROR('3000rpm'!L144,"")</x:f>
        <x:v>0</x:v>
      </x:c>
      <x:c r="I242" s="22" t="n">
        <x:f>IFERROR('3000rpm'!N144,"")</x:f>
        <x:v>40.663646103896085</x:v>
      </x:c>
      <x:c r="J242" s="22" t="n">
        <x:f>IFERROR('3000rpm'!N144,"")</x:f>
        <x:v>40.663646103896085</x:v>
      </x:c>
      <x:c r="K242" s="22" t="n">
        <x:f>IF(AND(ISNUMBER(I242),ISNUMBER(J242)),I242-J242,"")</x:f>
        <x:v>0</x:v>
      </x:c>
      <x:c r="L242" s="22" t="n">
        <x:f>IF(ISNUMBER(K242),K242*$B$2+$B$3,"")</x:f>
        <x:v>28.7687</x:v>
      </x:c>
      <x:c r="M242" s="22" t="str">
        <x:f>IF(AND(ISNUMBER(G242),ISNUMBER(H242),H242&lt;&gt;0),G242/(H242/60)/$B$5,"")</x:f>
      </x:c>
      <x:c r="N242" s="22" t="str">
        <x:f>IF(AND(ISNUMBER(L242),ISNUMBER(H242),H242&lt;&gt;0),L242*$B$6/$B$4/(H242/60)^2/$B$5^4/$B$7,"")</x:f>
      </x:c>
      <x:c r="O242" s="22" t="str">
        <x:f>IF(ISNUMBER(N242),N242*$B$8,"")</x:f>
      </x:c>
      <x:c r="P242" s="20" t="str">
        <x:v>3000rpm!O144</x:v>
      </x:c>
      <x:c r="Q242" s="20" t="str">
        <x:v>3000rpm!N144</x:v>
      </x:c>
      <x:c r="R242" s="20" t="str">
        <x:v>3000rpm!N144</x:v>
      </x:c>
    </x:row>
    <x:row r="243">
      <x:c r="A243" s="21" t="n">
        <x:v>3000</x:v>
      </x:c>
      <x:c r="B243" s="21" t="n">
        <x:v>75</x:v>
      </x:c>
      <x:c r="C243" s="21" t="n">
        <x:v>2</x:v>
      </x:c>
      <x:c r="D243" s="21" t="n">
        <x:v>1</x:v>
      </x:c>
      <x:c r="E243" s="21" t="str">
        <x:v>3000rpm</x:v>
      </x:c>
      <x:c r="F243" s="21" t="n">
        <x:v>145</x:v>
      </x:c>
      <x:c r="G243" s="22" t="n">
        <x:f>IFERROR('3000rpm'!E145,"")</x:f>
        <x:v>0.11258399999999999</x:v>
      </x:c>
      <x:c r="H243" s="22" t="n">
        <x:f>IFERROR('3000rpm'!B145,"")</x:f>
        <x:v>3142.9</x:v>
      </x:c>
      <x:c r="I243" s="22" t="n">
        <x:f>IFERROR('3000rpm'!D145,"")</x:f>
        <x:v>1210.982991</x:v>
      </x:c>
      <x:c r="J243" s="22" t="n">
        <x:f>IFERROR('3000rpm'!D144,"")</x:f>
        <x:v>34.98588831835683</x:v>
      </x:c>
      <x:c r="K243" s="22" t="n">
        <x:f>IF(AND(ISNUMBER(I243),ISNUMBER(J243)),I243-J243,"")</x:f>
        <x:v>1175.9971026816434</x:v>
      </x:c>
      <x:c r="L243" s="22" t="n">
        <x:f>IF(ISNUMBER(K243),K243*$B$2+$B$3,"")</x:f>
        <x:v>1105.6386549024023</x:v>
      </x:c>
      <x:c r="M243" s="22" t="n">
        <x:f>IF(AND(ISNUMBER(G243),ISNUMBER(H243),H243&lt;&gt;0),G243/(H243/60)/$B$5,"")</x:f>
        <x:v>0.004701009624743484</x:v>
      </x:c>
      <x:c r="N243" s="22" t="n">
        <x:f>IF(AND(ISNUMBER(L243),ISNUMBER(H243),H243&lt;&gt;0),L243*$B$6/$B$4/(H243/60)^2/$B$5^4/$B$7,"")</x:f>
        <x:v>0.07500128956154604</x:v>
      </x:c>
      <x:c r="O243" s="22" t="n">
        <x:f>IF(ISNUMBER(N243),N243*$B$8,"")</x:f>
        <x:v>0.00969035701523867</x:v>
      </x:c>
      <x:c r="P243" s="20" t="str">
        <x:v>3000rpm!E145</x:v>
      </x:c>
      <x:c r="Q243" s="20" t="str">
        <x:v>3000rpm!D145</x:v>
      </x:c>
      <x:c r="R243" s="20" t="str">
        <x:v>3000rpm!D144</x:v>
      </x:c>
    </x:row>
    <x:row r="244">
      <x:c r="A244" s="21" t="n">
        <x:v>3000</x:v>
      </x:c>
      <x:c r="B244" s="21" t="n">
        <x:v>75</x:v>
      </x:c>
      <x:c r="C244" s="21" t="n">
        <x:v>2</x:v>
      </x:c>
      <x:c r="D244" s="21" t="n">
        <x:v>2</x:v>
      </x:c>
      <x:c r="E244" s="21" t="str">
        <x:v>3000rpm</x:v>
      </x:c>
      <x:c r="F244" s="21" t="n">
        <x:v>145</x:v>
      </x:c>
      <x:c r="G244" s="22" t="n">
        <x:f>IFERROR('3000rpm'!O145,"")</x:f>
        <x:v>0.10772699999999999</x:v>
      </x:c>
      <x:c r="H244" s="22" t="n">
        <x:f>IFERROR('3000rpm'!L145,"")</x:f>
        <x:v>3046.15</x:v>
      </x:c>
      <x:c r="I244" s="22" t="n">
        <x:f>IFERROR('3000rpm'!N145,"")</x:f>
        <x:v>1147.0584059999999</x:v>
      </x:c>
      <x:c r="J244" s="22" t="n">
        <x:f>IFERROR('3000rpm'!N144,"")</x:f>
        <x:v>40.663646103896085</x:v>
      </x:c>
      <x:c r="K244" s="22" t="n">
        <x:f>IF(AND(ISNUMBER(I244),ISNUMBER(J244)),I244-J244,"")</x:f>
        <x:v>1106.3947598961038</x:v>
      </x:c>
      <x:c r="L244" s="22" t="n">
        <x:f>IF(ISNUMBER(K244),K244*$B$2+$B$3,"")</x:f>
        <x:v>1041.9032327949415</x:v>
      </x:c>
      <x:c r="M244" s="22" t="n">
        <x:f>IF(AND(ISNUMBER(G244),ISNUMBER(H244),H244&lt;&gt;0),G244/(H244/60)/$B$5,"")</x:f>
        <x:v>0.004641072033485924</x:v>
      </x:c>
      <x:c r="N244" s="22" t="n">
        <x:f>IF(AND(ISNUMBER(L244),ISNUMBER(H244),H244&lt;&gt;0),L244*$B$6/$B$4/(H244/60)^2/$B$5^4/$B$7,"")</x:f>
        <x:v>0.07523873025179892</x:v>
      </x:c>
      <x:c r="O244" s="22" t="n">
        <x:f>IF(ISNUMBER(N244),N244*$B$8,"")</x:f>
        <x:v>0.009721034955204048</x:v>
      </x:c>
      <x:c r="P244" s="20" t="str">
        <x:v>3000rpm!O145</x:v>
      </x:c>
      <x:c r="Q244" s="20" t="str">
        <x:v>3000rpm!N145</x:v>
      </x:c>
      <x:c r="R244" s="20" t="str">
        <x:v>3000rpm!N144</x:v>
      </x:c>
    </x:row>
    <x:row r="245">
      <x:c r="A245" s="21" t="n">
        <x:v>3000</x:v>
      </x:c>
      <x:c r="B245" s="21" t="n">
        <x:v>75</x:v>
      </x:c>
      <x:c r="C245" s="21" t="n">
        <x:v>3</x:v>
      </x:c>
      <x:c r="D245" s="21" t="n">
        <x:v>1</x:v>
      </x:c>
      <x:c r="E245" s="21" t="str">
        <x:v>3000rpm</x:v>
      </x:c>
      <x:c r="F245" s="21" t="n">
        <x:v>146</x:v>
      </x:c>
      <x:c r="G245" s="22" t="n">
        <x:f>IFERROR('3000rpm'!E146,"")</x:f>
        <x:v>1.026281971437267</x:v>
      </x:c>
      <x:c r="H245" s="22" t="n">
        <x:f>IFERROR('3000rpm'!B146,"")</x:f>
        <x:v>3130.52947998046</x:v>
      </x:c>
      <x:c r="I245" s="22" t="n">
        <x:f>IFERROR('3000rpm'!D146,"")</x:f>
        <x:v>1156.4155775316365</x:v>
      </x:c>
      <x:c r="J245" s="22" t="n">
        <x:f>IFERROR('3000rpm'!D144,"")</x:f>
        <x:v>34.98588831835683</x:v>
      </x:c>
      <x:c r="K245" s="22" t="n">
        <x:f>IF(AND(ISNUMBER(I245),ISNUMBER(J245)),I245-J245,"")</x:f>
        <x:v>1121.4296892132797</x:v>
      </x:c>
      <x:c r="L245" s="22" t="n">
        <x:f>IF(ISNUMBER(K245),K245*$B$2+$B$3,"")</x:f>
        <x:v>1055.670837850114</x:v>
      </x:c>
      <x:c r="M245" s="22" t="n">
        <x:f>IF(AND(ISNUMBER(G245),ISNUMBER(H245),H245&lt;&gt;0),G245/(H245/60)/$B$5,"")</x:f>
        <x:v>0.04302233033684923</x:v>
      </x:c>
      <x:c r="N245" s="22" t="n">
        <x:f>IF(AND(ISNUMBER(L245),ISNUMBER(H245),H245&lt;&gt;0),L245*$B$6/$B$4/(H245/60)^2/$B$5^4/$B$7,"")</x:f>
        <x:v>0.07217878572477746</x:v>
      </x:c>
      <x:c r="O245" s="22" t="n">
        <x:f>IF(ISNUMBER(N245),N245*$B$8,"")</x:f>
        <x:v>0.009325682354108687</x:v>
      </x:c>
      <x:c r="P245" s="20" t="str">
        <x:v>3000rpm!E146</x:v>
      </x:c>
      <x:c r="Q245" s="20" t="str">
        <x:v>3000rpm!D146</x:v>
      </x:c>
      <x:c r="R245" s="20" t="str">
        <x:v>3000rpm!D144</x:v>
      </x:c>
    </x:row>
    <x:row r="246">
      <x:c r="A246" s="21" t="n">
        <x:v>3000</x:v>
      </x:c>
      <x:c r="B246" s="21" t="n">
        <x:v>75</x:v>
      </x:c>
      <x:c r="C246" s="21" t="n">
        <x:v>3</x:v>
      </x:c>
      <x:c r="D246" s="21" t="n">
        <x:v>2</x:v>
      </x:c>
      <x:c r="E246" s="21" t="str">
        <x:v>3000rpm</x:v>
      </x:c>
      <x:c r="F246" s="21" t="n">
        <x:v>146</x:v>
      </x:c>
      <x:c r="G246" s="22" t="n">
        <x:f>IFERROR('3000rpm'!O146,"")</x:f>
        <x:v>1.021671947793684</x:v>
      </x:c>
      <x:c r="H246" s="22" t="n">
        <x:f>IFERROR('3000rpm'!L146,"")</x:f>
        <x:v>3047.98417736235</x:v>
      </x:c>
      <x:c r="I246" s="22" t="n">
        <x:f>IFERROR('3000rpm'!N146,"")</x:f>
        <x:v>1090.338704600483</x:v>
      </x:c>
      <x:c r="J246" s="22" t="n">
        <x:f>IFERROR('3000rpm'!N144,"")</x:f>
        <x:v>40.663646103896085</x:v>
      </x:c>
      <x:c r="K246" s="22" t="n">
        <x:f>IF(AND(ISNUMBER(I246),ISNUMBER(J246)),I246-J246,"")</x:f>
        <x:v>1049.6750584965869</x:v>
      </x:c>
      <x:c r="L246" s="22" t="n">
        <x:f>IF(ISNUMBER(K246),K246*$B$2+$B$3,"")</x:f>
        <x:v>989.9645484657925</x:v>
      </x:c>
      <x:c r="M246" s="22" t="n">
        <x:f>IF(AND(ISNUMBER(G246),ISNUMBER(H246),H246&lt;&gt;0),G246/(H246/60)/$B$5,"")</x:f>
        <x:v>0.04398896963878561</x:v>
      </x:c>
      <x:c r="N246" s="22" t="n">
        <x:f>IF(AND(ISNUMBER(L246),ISNUMBER(H246),H246&lt;&gt;0),L246*$B$6/$B$4/(H246/60)^2/$B$5^4/$B$7,"")</x:f>
        <x:v>0.07140208088746648</x:v>
      </x:c>
      <x:c r="O246" s="22" t="n">
        <x:f>IF(ISNUMBER(N246),N246*$B$8,"")</x:f>
        <x:v>0.009225330117327079</x:v>
      </x:c>
      <x:c r="P246" s="20" t="str">
        <x:v>3000rpm!O146</x:v>
      </x:c>
      <x:c r="Q246" s="20" t="str">
        <x:v>3000rpm!N146</x:v>
      </x:c>
      <x:c r="R246" s="20" t="str">
        <x:v>3000rpm!N144</x:v>
      </x:c>
    </x:row>
    <x:row r="247">
      <x:c r="A247" s="21" t="n">
        <x:v>3000</x:v>
      </x:c>
      <x:c r="B247" s="21" t="n">
        <x:v>75</x:v>
      </x:c>
      <x:c r="C247" s="21" t="n">
        <x:v>4</x:v>
      </x:c>
      <x:c r="D247" s="21" t="n">
        <x:v>1</x:v>
      </x:c>
      <x:c r="E247" s="21" t="str">
        <x:v>3000rpm</x:v>
      </x:c>
      <x:c r="F247" s="21" t="n">
        <x:v>147</x:v>
      </x:c>
      <x:c r="G247" s="22" t="n">
        <x:f>IFERROR('3000rpm'!E147,"")</x:f>
        <x:v>2.05895464214277</x:v>
      </x:c>
      <x:c r="H247" s="22" t="n">
        <x:f>IFERROR('3000rpm'!B147,"")</x:f>
        <x:v>3123.54743448893</x:v>
      </x:c>
      <x:c r="I247" s="22" t="n">
        <x:f>IFERROR('3000rpm'!D147,"")</x:f>
        <x:v>1064.8559815573717</x:v>
      </x:c>
      <x:c r="J247" s="22" t="n">
        <x:f>IFERROR('3000rpm'!D144,"")</x:f>
        <x:v>34.98588831835683</x:v>
      </x:c>
      <x:c r="K247" s="22" t="n">
        <x:f>IF(AND(ISNUMBER(I247),ISNUMBER(J247)),I247-J247,"")</x:f>
        <x:v>1029.870093239015</x:v>
      </x:c>
      <x:c r="L247" s="22" t="n">
        <x:f>IF(ISNUMBER(K247),K247*$B$2+$B$3,"")</x:f>
        <x:v>971.8289833397118</x:v>
      </x:c>
      <x:c r="M247" s="22" t="n">
        <x:f>IF(AND(ISNUMBER(G247),ISNUMBER(H247),H247&lt;&gt;0),G247/(H247/60)/$B$5,"")</x:f>
        <x:v>0.08650549637732302</x:v>
      </x:c>
      <x:c r="N247" s="22" t="n">
        <x:f>IF(AND(ISNUMBER(L247),ISNUMBER(H247),H247&lt;&gt;0),L247*$B$6/$B$4/(H247/60)^2/$B$5^4/$B$7,"")</x:f>
        <x:v>0.06674370001645222</x:v>
      </x:c>
      <x:c r="O247" s="22" t="n">
        <x:f>IF(ISNUMBER(N247),N247*$B$8,"")</x:f>
        <x:v>0.008623455482677714</x:v>
      </x:c>
      <x:c r="P247" s="20" t="str">
        <x:v>3000rpm!E147</x:v>
      </x:c>
      <x:c r="Q247" s="20" t="str">
        <x:v>3000rpm!D147</x:v>
      </x:c>
      <x:c r="R247" s="20" t="str">
        <x:v>3000rpm!D144</x:v>
      </x:c>
    </x:row>
    <x:row r="248">
      <x:c r="A248" s="21" t="n">
        <x:v>3000</x:v>
      </x:c>
      <x:c r="B248" s="21" t="n">
        <x:v>75</x:v>
      </x:c>
      <x:c r="C248" s="21" t="n">
        <x:v>4</x:v>
      </x:c>
      <x:c r="D248" s="21" t="n">
        <x:v>2</x:v>
      </x:c>
      <x:c r="E248" s="21" t="str">
        <x:v>3000rpm</x:v>
      </x:c>
      <x:c r="F248" s="21" t="n">
        <x:v>147</x:v>
      </x:c>
      <x:c r="G248" s="22" t="n">
        <x:f>IFERROR('3000rpm'!O147,"")</x:f>
        <x:v>2.16081311330199</x:v>
      </x:c>
      <x:c r="H248" s="22" t="n">
        <x:f>IFERROR('3000rpm'!L147,"")</x:f>
        <x:v>3057.65111287434</x:v>
      </x:c>
      <x:c r="I248" s="22" t="n">
        <x:f>IFERROR('3000rpm'!N147,"")</x:f>
        <x:v>995.7298191268181</x:v>
      </x:c>
      <x:c r="J248" s="22" t="n">
        <x:f>IFERROR('3000rpm'!N144,"")</x:f>
        <x:v>40.663646103896085</x:v>
      </x:c>
      <x:c r="K248" s="22" t="n">
        <x:f>IF(AND(ISNUMBER(I248),ISNUMBER(J248)),I248-J248,"")</x:f>
        <x:v>955.066173022922</x:v>
      </x:c>
      <x:c r="L248" s="22" t="n">
        <x:f>IF(ISNUMBER(K248),K248*$B$2+$B$3,"")</x:f>
        <x:v>903.3304351664739</x:v>
      </x:c>
      <x:c r="M248" s="22" t="n">
        <x:f>IF(AND(ISNUMBER(G248),ISNUMBER(H248),H248&lt;&gt;0),G248/(H248/60)/$B$5,"")</x:f>
        <x:v>0.0927415405628069</x:v>
      </x:c>
      <x:c r="N248" s="22" t="n">
        <x:f>IF(AND(ISNUMBER(L248),ISNUMBER(H248),H248&lt;&gt;0),L248*$B$6/$B$4/(H248/60)^2/$B$5^4/$B$7,"")</x:f>
        <x:v>0.06474219600518816</x:v>
      </x:c>
      <x:c r="O248" s="22" t="n">
        <x:f>IF(ISNUMBER(N248),N248*$B$8,"")</x:f>
        <x:v>0.008364856083254518</x:v>
      </x:c>
      <x:c r="P248" s="20" t="str">
        <x:v>3000rpm!O147</x:v>
      </x:c>
      <x:c r="Q248" s="20" t="str">
        <x:v>3000rpm!N147</x:v>
      </x:c>
      <x:c r="R248" s="20" t="str">
        <x:v>3000rpm!N144</x:v>
      </x:c>
    </x:row>
    <x:row r="249">
      <x:c r="A249" s="21" t="n">
        <x:v>3000</x:v>
      </x:c>
      <x:c r="B249" s="21" t="n">
        <x:v>75</x:v>
      </x:c>
      <x:c r="C249" s="21" t="n">
        <x:v>5</x:v>
      </x:c>
      <x:c r="D249" s="21" t="n">
        <x:v>1</x:v>
      </x:c>
      <x:c r="E249" s="21" t="str">
        <x:v>3000rpm</x:v>
      </x:c>
      <x:c r="F249" s="21" t="n">
        <x:v>148</x:v>
      </x:c>
      <x:c r="G249" s="22" t="n">
        <x:f>IFERROR('3000rpm'!E148,"")</x:f>
        <x:v>3.0842446444639497</x:v>
      </x:c>
      <x:c r="H249" s="22" t="n">
        <x:f>IFERROR('3000rpm'!B148,"")</x:f>
        <x:v>3157.69016113281</x:v>
      </x:c>
      <x:c r="I249" s="22" t="n">
        <x:f>IFERROR('3000rpm'!D148,"")</x:f>
        <x:v>973.1558784119101</x:v>
      </x:c>
      <x:c r="J249" s="22" t="n">
        <x:f>IFERROR('3000rpm'!D144,"")</x:f>
        <x:v>34.98588831835683</x:v>
      </x:c>
      <x:c r="K249" s="22" t="n">
        <x:f>IF(AND(ISNUMBER(I249),ISNUMBER(J249)),I249-J249,"")</x:f>
        <x:v>938.1699900935532</x:v>
      </x:c>
      <x:c r="L249" s="22" t="n">
        <x:f>IF(ISNUMBER(K249),K249*$B$2+$B$3,"")</x:f>
        <x:v>887.8584652885874</x:v>
      </x:c>
      <x:c r="M249" s="22" t="n">
        <x:f>IF(AND(ISNUMBER(G249),ISNUMBER(H249),H249&lt;&gt;0),G249/(H249/60)/$B$5,"")</x:f>
        <x:v>0.1281812002974702</x:v>
      </x:c>
      <x:c r="N249" s="22" t="n">
        <x:f>IF(AND(ISNUMBER(L249),ISNUMBER(H249),H249&lt;&gt;0),L249*$B$6/$B$4/(H249/60)^2/$B$5^4/$B$7,"")</x:f>
        <x:v>0.059665234883205055</x:v>
      </x:c>
      <x:c r="O249" s="22" t="n">
        <x:f>IF(ISNUMBER(N249),N249*$B$8,"")</x:f>
        <x:v>0.0077088998175408275</x:v>
      </x:c>
      <x:c r="P249" s="20" t="str">
        <x:v>3000rpm!E148</x:v>
      </x:c>
      <x:c r="Q249" s="20" t="str">
        <x:v>3000rpm!D148</x:v>
      </x:c>
      <x:c r="R249" s="20" t="str">
        <x:v>3000rpm!D144</x:v>
      </x:c>
    </x:row>
    <x:row r="250">
      <x:c r="A250" s="21" t="n">
        <x:v>3000</x:v>
      </x:c>
      <x:c r="B250" s="21" t="n">
        <x:v>75</x:v>
      </x:c>
      <x:c r="C250" s="21" t="n">
        <x:v>5</x:v>
      </x:c>
      <x:c r="D250" s="21" t="n">
        <x:v>2</x:v>
      </x:c>
      <x:c r="E250" s="21" t="str">
        <x:v>3000rpm</x:v>
      </x:c>
      <x:c r="F250" s="21" t="n">
        <x:v>148</x:v>
      </x:c>
      <x:c r="G250" s="22" t="n">
        <x:f>IFERROR('3000rpm'!O148,"")</x:f>
        <x:v>3.0877202702195996</x:v>
      </x:c>
      <x:c r="H250" s="22" t="n">
        <x:f>IFERROR('3000rpm'!L148,"")</x:f>
        <x:v>3063.93471891983</x:v>
      </x:c>
      <x:c r="I250" s="22" t="n">
        <x:f>IFERROR('3000rpm'!N148,"")</x:f>
        <x:v>913.8406747252741</x:v>
      </x:c>
      <x:c r="J250" s="22" t="n">
        <x:f>IFERROR('3000rpm'!N144,"")</x:f>
        <x:v>40.663646103896085</x:v>
      </x:c>
      <x:c r="K250" s="22" t="n">
        <x:f>IF(AND(ISNUMBER(I250),ISNUMBER(J250)),I250-J250,"")</x:f>
        <x:v>873.177028621378</x:v>
      </x:c>
      <x:c r="L250" s="22" t="n">
        <x:f>IF(ISNUMBER(K250),K250*$B$2+$B$3,"")</x:f>
        <x:v>828.3438905248247</x:v>
      </x:c>
      <x:c r="M250" s="22" t="n">
        <x:f>IF(AND(ISNUMBER(G250),ISNUMBER(H250),H250&lt;&gt;0),G250/(H250/60)/$B$5,"")</x:f>
        <x:v>0.13225237188798253</x:v>
      </x:c>
      <x:c r="N250" s="22" t="n">
        <x:f>IF(AND(ISNUMBER(L250),ISNUMBER(H250),H250&lt;&gt;0),L250*$B$6/$B$4/(H250/60)^2/$B$5^4/$B$7,"")</x:f>
        <x:v>0.05912461154398598</x:v>
      </x:c>
      <x:c r="O250" s="22" t="n">
        <x:f>IF(ISNUMBER(N250),N250*$B$8,"")</x:f>
        <x:v>0.007639049909646854</x:v>
      </x:c>
      <x:c r="P250" s="20" t="str">
        <x:v>3000rpm!O148</x:v>
      </x:c>
      <x:c r="Q250" s="20" t="str">
        <x:v>3000rpm!N148</x:v>
      </x:c>
      <x:c r="R250" s="20" t="str">
        <x:v>3000rpm!N144</x:v>
      </x:c>
    </x:row>
    <x:row r="251">
      <x:c r="A251" s="21" t="n">
        <x:v>3000</x:v>
      </x:c>
      <x:c r="B251" s="21" t="n">
        <x:v>75</x:v>
      </x:c>
      <x:c r="C251" s="21" t="n">
        <x:v>6</x:v>
      </x:c>
      <x:c r="D251" s="21" t="n">
        <x:v>1</x:v>
      </x:c>
      <x:c r="E251" s="21" t="str">
        <x:v>3000rpm</x:v>
      </x:c>
      <x:c r="F251" s="21" t="n">
        <x:v>149</x:v>
      </x:c>
      <x:c r="G251" s="22" t="n">
        <x:f>IFERROR('3000rpm'!E149,"")</x:f>
        <x:v>4.11542708517738</x:v>
      </x:c>
      <x:c r="H251" s="22" t="n">
        <x:f>IFERROR('3000rpm'!B149,"")</x:f>
        <x:v>3156.98396439985</x:v>
      </x:c>
      <x:c r="I251" s="22" t="n">
        <x:f>IFERROR('3000rpm'!D149,"")</x:f>
        <x:v>883.1268918918913</x:v>
      </x:c>
      <x:c r="J251" s="22" t="n">
        <x:f>IFERROR('3000rpm'!D144,"")</x:f>
        <x:v>34.98588831835683</x:v>
      </x:c>
      <x:c r="K251" s="22" t="n">
        <x:f>IF(AND(ISNUMBER(I251),ISNUMBER(J251)),I251-J251,"")</x:f>
        <x:v>848.1410035735345</x:v>
      </x:c>
      <x:c r="L251" s="22" t="n">
        <x:f>IF(ISNUMBER(K251),K251*$B$2+$B$3,"")</x:f>
        <x:v>805.418202100314</x:v>
      </x:c>
      <x:c r="M251" s="22" t="n">
        <x:f>IF(AND(ISNUMBER(G251),ISNUMBER(H251),H251&lt;&gt;0),G251/(H251/60)/$B$5,"")</x:f>
        <x:v>0.17107540004415947</x:v>
      </x:c>
      <x:c r="N251" s="22" t="n">
        <x:f>IF(AND(ISNUMBER(L251),ISNUMBER(H251),H251&lt;&gt;0),L251*$B$6/$B$4/(H251/60)^2/$B$5^4/$B$7,"")</x:f>
        <x:v>0.054149360377594755</x:v>
      </x:c>
      <x:c r="O251" s="22" t="n">
        <x:f>IF(ISNUMBER(N251),N251*$B$8,"")</x:f>
        <x:v>0.006996234828404138</x:v>
      </x:c>
      <x:c r="P251" s="20" t="str">
        <x:v>3000rpm!E149</x:v>
      </x:c>
      <x:c r="Q251" s="20" t="str">
        <x:v>3000rpm!D149</x:v>
      </x:c>
      <x:c r="R251" s="20" t="str">
        <x:v>3000rpm!D144</x:v>
      </x:c>
    </x:row>
    <x:row r="252">
      <x:c r="A252" s="21" t="n">
        <x:v>3000</x:v>
      </x:c>
      <x:c r="B252" s="21" t="n">
        <x:v>75</x:v>
      </x:c>
      <x:c r="C252" s="21" t="n">
        <x:v>6</x:v>
      </x:c>
      <x:c r="D252" s="21" t="n">
        <x:v>2</x:v>
      </x:c>
      <x:c r="E252" s="21" t="str">
        <x:v>3000rpm</x:v>
      </x:c>
      <x:c r="F252" s="21" t="n">
        <x:v>149</x:v>
      </x:c>
      <x:c r="G252" s="22" t="n">
        <x:f>IFERROR('3000rpm'!O149,"")</x:f>
        <x:v>4.116684308177534</x:v>
      </x:c>
      <x:c r="H252" s="22" t="n">
        <x:f>IFERROR('3000rpm'!L149,"")</x:f>
        <x:v>3074.72178583559</x:v>
      </x:c>
      <x:c r="I252" s="22" t="n">
        <x:f>IFERROR('3000rpm'!N149,"")</x:f>
        <x:v>826.0422461538453</x:v>
      </x:c>
      <x:c r="J252" s="22" t="n">
        <x:f>IFERROR('3000rpm'!N144,"")</x:f>
        <x:v>40.663646103896085</x:v>
      </x:c>
      <x:c r="K252" s="22" t="n">
        <x:f>IF(AND(ISNUMBER(I252),ISNUMBER(J252)),I252-J252,"")</x:f>
        <x:v>785.3786000499492</x:v>
      </x:c>
      <x:c r="L252" s="22" t="n">
        <x:f>IF(ISNUMBER(K252),K252*$B$2+$B$3,"")</x:f>
        <x:v>747.9461670945389</x:v>
      </x:c>
      <x:c r="M252" s="22" t="n">
        <x:f>IF(AND(ISNUMBER(G252),ISNUMBER(H252),H252&lt;&gt;0),G252/(H252/60)/$B$5,"")</x:f>
        <x:v>0.1757060710424296</x:v>
      </x:c>
      <x:c r="N252" s="22" t="n">
        <x:f>IF(AND(ISNUMBER(L252),ISNUMBER(H252),H252&lt;&gt;0),L252*$B$6/$B$4/(H252/60)^2/$B$5^4/$B$7,"")</x:f>
        <x:v>0.053012139669441335</x:v>
      </x:c>
      <x:c r="O252" s="22" t="n">
        <x:f>IF(ISNUMBER(N252),N252*$B$8,"")</x:f>
        <x:v>0.006849303025877115</x:v>
      </x:c>
      <x:c r="P252" s="20" t="str">
        <x:v>3000rpm!O149</x:v>
      </x:c>
      <x:c r="Q252" s="20" t="str">
        <x:v>3000rpm!N149</x:v>
      </x:c>
      <x:c r="R252" s="20" t="str">
        <x:v>3000rpm!N144</x:v>
      </x:c>
    </x:row>
    <x:row r="253">
      <x:c r="A253" s="21" t="n">
        <x:v>3000</x:v>
      </x:c>
      <x:c r="B253" s="21" t="n">
        <x:v>75</x:v>
      </x:c>
      <x:c r="C253" s="21" t="n">
        <x:v>7</x:v>
      </x:c>
      <x:c r="D253" s="21" t="n">
        <x:v>1</x:v>
      </x:c>
      <x:c r="E253" s="21" t="str">
        <x:v>3000rpm</x:v>
      </x:c>
      <x:c r="F253" s="21" t="n">
        <x:v>150</x:v>
      </x:c>
      <x:c r="G253" s="22" t="n">
        <x:f>IFERROR('3000rpm'!E150,"")</x:f>
        <x:v>5.1442424336145</x:v>
      </x:c>
      <x:c r="H253" s="22" t="n">
        <x:f>IFERROR('3000rpm'!B150,"")</x:f>
        <x:v>3158.63216458834</x:v>
      </x:c>
      <x:c r="I253" s="22" t="n">
        <x:f>IFERROR('3000rpm'!D150,"")</x:f>
        <x:v>797.1785675675673</x:v>
      </x:c>
      <x:c r="J253" s="22" t="n">
        <x:f>IFERROR('3000rpm'!D144,"")</x:f>
        <x:v>34.98588831835683</x:v>
      </x:c>
      <x:c r="K253" s="22" t="n">
        <x:f>IF(AND(ISNUMBER(I253),ISNUMBER(J253)),I253-J253,"")</x:f>
        <x:v>762.1926792492104</x:v>
      </x:c>
      <x:c r="L253" s="22" t="n">
        <x:f>IF(ISNUMBER(K253),K253*$B$2+$B$3,"")</x:f>
        <x:v>726.7146339299359</x:v>
      </x:c>
      <x:c r="M253" s="22" t="n">
        <x:f>IF(AND(ISNUMBER(G253),ISNUMBER(H253),H253&lt;&gt;0),G253/(H253/60)/$B$5,"")</x:f>
        <x:v>0.21373094334992265</x:v>
      </x:c>
      <x:c r="N253" s="22" t="n">
        <x:f>IF(AND(ISNUMBER(L253),ISNUMBER(H253),H253&lt;&gt;0),L253*$B$6/$B$4/(H253/60)^2/$B$5^4/$B$7,"")</x:f>
        <x:v>0.048807036802200304</x:v>
      </x:c>
      <x:c r="O253" s="22" t="n">
        <x:f>IF(ISNUMBER(N253),N253*$B$8,"")</x:f>
        <x:v>0.006305993060040717</x:v>
      </x:c>
      <x:c r="P253" s="20" t="str">
        <x:v>3000rpm!E150</x:v>
      </x:c>
      <x:c r="Q253" s="20" t="str">
        <x:v>3000rpm!D150</x:v>
      </x:c>
      <x:c r="R253" s="20" t="str">
        <x:v>3000rpm!D144</x:v>
      </x:c>
    </x:row>
    <x:row r="254">
      <x:c r="A254" s="21" t="n">
        <x:v>3000</x:v>
      </x:c>
      <x:c r="B254" s="21" t="n">
        <x:v>75</x:v>
      </x:c>
      <x:c r="C254" s="21" t="n">
        <x:v>7</x:v>
      </x:c>
      <x:c r="D254" s="21" t="n">
        <x:v>2</x:v>
      </x:c>
      <x:c r="E254" s="21" t="str">
        <x:v>3000rpm</x:v>
      </x:c>
      <x:c r="F254" s="21" t="n">
        <x:v>150</x:v>
      </x:c>
      <x:c r="G254" s="22" t="n">
        <x:f>IFERROR('3000rpm'!O150,"")</x:f>
        <x:v>5.14348787606529</x:v>
      </x:c>
      <x:c r="H254" s="22" t="n">
        <x:f>IFERROR('3000rpm'!L150,"")</x:f>
        <x:v>3087.0001167629</x:v>
      </x:c>
      <x:c r="I254" s="22" t="n">
        <x:f>IFERROR('3000rpm'!N150,"")</x:f>
        <x:v>748.8120967741929</x:v>
      </x:c>
      <x:c r="J254" s="22" t="n">
        <x:f>IFERROR('3000rpm'!N144,"")</x:f>
        <x:v>40.663646103896085</x:v>
      </x:c>
      <x:c r="K254" s="22" t="n">
        <x:f>IF(AND(ISNUMBER(I254),ISNUMBER(J254)),I254-J254,"")</x:f>
        <x:v>708.1484506702968</x:v>
      </x:c>
      <x:c r="L254" s="22" t="n">
        <x:f>IF(ISNUMBER(K254),K254*$B$2+$B$3,"")</x:f>
        <x:v>677.2259014663961</x:v>
      </x:c>
      <x:c r="M254" s="22" t="n">
        <x:f>IF(AND(ISNUMBER(G254),ISNUMBER(H254),H254&lt;&gt;0),G254/(H254/60)/$B$5,"")</x:f>
        <x:v>0.2186583684487423</x:v>
      </x:c>
      <x:c r="N254" s="22" t="n">
        <x:f>IF(AND(ISNUMBER(L254),ISNUMBER(H254),H254&lt;&gt;0),L254*$B$6/$B$4/(H254/60)^2/$B$5^4/$B$7,"")</x:f>
        <x:v>0.047618631569601215</x:v>
      </x:c>
      <x:c r="O254" s="22" t="n">
        <x:f>IF(ISNUMBER(N254),N254*$B$8,"")</x:f>
        <x:v>0.006152448087014449</x:v>
      </x:c>
      <x:c r="P254" s="20" t="str">
        <x:v>3000rpm!O150</x:v>
      </x:c>
      <x:c r="Q254" s="20" t="str">
        <x:v>3000rpm!N150</x:v>
      </x:c>
      <x:c r="R254" s="20" t="str">
        <x:v>3000rpm!N144</x:v>
      </x:c>
    </x:row>
    <x:row r="255">
      <x:c r="A255" s="21" t="n">
        <x:v>3000</x:v>
      </x:c>
      <x:c r="B255" s="21" t="n">
        <x:v>75</x:v>
      </x:c>
      <x:c r="C255" s="21" t="n">
        <x:v>8</x:v>
      </x:c>
      <x:c r="D255" s="21" t="n">
        <x:v>1</x:v>
      </x:c>
      <x:c r="E255" s="21" t="str">
        <x:v>3000rpm</x:v>
      </x:c>
      <x:c r="F255" s="21" t="n">
        <x:v>151</x:v>
      </x:c>
      <x:c r="G255" s="22" t="n">
        <x:f>IFERROR('3000rpm'!E151,"")</x:f>
        <x:v>6.1713343497315</x:v>
      </x:c>
      <x:c r="H255" s="22" t="n">
        <x:f>IFERROR('3000rpm'!B151,"")</x:f>
        <x:v>3189.26884321732</x:v>
      </x:c>
      <x:c r="I255" s="22" t="n">
        <x:f>IFERROR('3000rpm'!D151,"")</x:f>
        <x:v>708.5040136054417</x:v>
      </x:c>
      <x:c r="J255" s="22" t="n">
        <x:f>IFERROR('3000rpm'!D144,"")</x:f>
        <x:v>34.98588831835683</x:v>
      </x:c>
      <x:c r="K255" s="22" t="n">
        <x:f>IF(AND(ISNUMBER(I255),ISNUMBER(J255)),I255-J255,"")</x:f>
        <x:v>673.5181252870849</x:v>
      </x:c>
      <x:c r="L255" s="22" t="n">
        <x:f>IF(ISNUMBER(K255),K255*$B$2+$B$3,"")</x:f>
        <x:v>645.5146354703859</x:v>
      </x:c>
      <x:c r="M255" s="22" t="n">
        <x:f>IF(AND(ISNUMBER(G255),ISNUMBER(H255),H255&lt;&gt;0),G255/(H255/60)/$B$5,"")</x:f>
        <x:v>0.25394108725733805</x:v>
      </x:c>
      <x:c r="N255" s="22" t="n">
        <x:f>IF(AND(ISNUMBER(L255),ISNUMBER(H255),H255&lt;&gt;0),L255*$B$6/$B$4/(H255/60)^2/$B$5^4/$B$7,"")</x:f>
        <x:v>0.04252462334660332</x:v>
      </x:c>
      <x:c r="O255" s="22" t="n">
        <x:f>IF(ISNUMBER(N255),N255*$B$8,"")</x:f>
        <x:v>0.005494289292572601</x:v>
      </x:c>
      <x:c r="P255" s="20" t="str">
        <x:v>3000rpm!E151</x:v>
      </x:c>
      <x:c r="Q255" s="20" t="str">
        <x:v>3000rpm!D151</x:v>
      </x:c>
      <x:c r="R255" s="20" t="str">
        <x:v>3000rpm!D144</x:v>
      </x:c>
    </x:row>
    <x:row r="256">
      <x:c r="A256" s="21" t="n">
        <x:v>3000</x:v>
      </x:c>
      <x:c r="B256" s="21" t="n">
        <x:v>75</x:v>
      </x:c>
      <x:c r="C256" s="21" t="n">
        <x:v>8</x:v>
      </x:c>
      <x:c r="D256" s="21" t="n">
        <x:v>2</x:v>
      </x:c>
      <x:c r="E256" s="21" t="str">
        <x:v>3000rpm</x:v>
      </x:c>
      <x:c r="F256" s="21" t="n">
        <x:v>151</x:v>
      </x:c>
      <x:c r="G256" s="22" t="n">
        <x:f>IFERROR('3000rpm'!O151,"")</x:f>
        <x:v>6.16871776751109</x:v>
      </x:c>
      <x:c r="H256" s="22" t="n">
        <x:f>IFERROR('3000rpm'!L151,"")</x:f>
        <x:v>3112.97963169642</x:v>
      </x:c>
      <x:c r="I256" s="22" t="n">
        <x:f>IFERROR('3000rpm'!N151,"")</x:f>
        <x:v>665.4153048128342</x:v>
      </x:c>
      <x:c r="J256" s="22" t="n">
        <x:f>IFERROR('3000rpm'!N144,"")</x:f>
        <x:v>40.663646103896085</x:v>
      </x:c>
      <x:c r="K256" s="22" t="n">
        <x:f>IF(AND(ISNUMBER(I256),ISNUMBER(J256)),I256-J256,"")</x:f>
        <x:v>624.7516587089381</x:v>
      </x:c>
      <x:c r="L256" s="22" t="n">
        <x:f>IF(ISNUMBER(K256),K256*$B$2+$B$3,"")</x:f>
        <x:v>600.8587918930442</x:v>
      </x:c>
      <x:c r="M256" s="22" t="n">
        <x:f>IF(AND(ISNUMBER(G256),ISNUMBER(H256),H256&lt;&gt;0),G256/(H256/60)/$B$5,"")</x:f>
        <x:v>0.26005406712793233</x:v>
      </x:c>
      <x:c r="N256" s="22" t="n">
        <x:f>IF(AND(ISNUMBER(L256),ISNUMBER(H256),H256&lt;&gt;0),L256*$B$6/$B$4/(H256/60)^2/$B$5^4/$B$7,"")</x:f>
        <x:v>0.04154669719391199</x:v>
      </x:c>
      <x:c r="O256" s="22" t="n">
        <x:f>IF(ISNUMBER(N256),N256*$B$8,"")</x:f>
        <x:v>0.00536793875100836</x:v>
      </x:c>
      <x:c r="P256" s="20" t="str">
        <x:v>3000rpm!O151</x:v>
      </x:c>
      <x:c r="Q256" s="20" t="str">
        <x:v>3000rpm!N151</x:v>
      </x:c>
      <x:c r="R256" s="20" t="str">
        <x:v>3000rpm!N144</x:v>
      </x:c>
    </x:row>
    <x:row r="257">
      <x:c r="A257" s="21" t="n">
        <x:v>3000</x:v>
      </x:c>
      <x:c r="B257" s="21" t="n">
        <x:v>75</x:v>
      </x:c>
      <x:c r="C257" s="21" t="n">
        <x:v>9</x:v>
      </x:c>
      <x:c r="D257" s="21" t="n">
        <x:v>1</x:v>
      </x:c>
      <x:c r="E257" s="21" t="str">
        <x:v>3000rpm</x:v>
      </x:c>
      <x:c r="F257" s="21" t="n">
        <x:v>152</x:v>
      </x:c>
      <x:c r="G257" s="22" t="n">
        <x:f>IFERROR('3000rpm'!E152,"")</x:f>
        <x:v>7.296242210352525</x:v>
      </x:c>
      <x:c r="H257" s="22" t="n">
        <x:f>IFERROR('3000rpm'!B152,"")</x:f>
        <x:v>3227.31594122023</x:v>
      </x:c>
      <x:c r="I257" s="22" t="n">
        <x:f>IFERROR('3000rpm'!D152,"")</x:f>
        <x:v>614.4462307692299</x:v>
      </x:c>
      <x:c r="J257" s="22" t="n">
        <x:f>IFERROR('3000rpm'!D144,"")</x:f>
        <x:v>34.98588831835683</x:v>
      </x:c>
      <x:c r="K257" s="22" t="n">
        <x:f>IF(AND(ISNUMBER(I257),ISNUMBER(J257)),I257-J257,"")</x:f>
        <x:v>579.4603424508731</x:v>
      </x:c>
      <x:c r="L257" s="22" t="n">
        <x:f>IF(ISNUMBER(K257),K257*$B$2+$B$3,"")</x:f>
        <x:v>559.385171265004</x:v>
      </x:c>
      <x:c r="M257" s="22" t="n">
        <x:f>IF(AND(ISNUMBER(G257),ISNUMBER(H257),H257&lt;&gt;0),G257/(H257/60)/$B$5,"")</x:f>
        <x:v>0.2966899177321022</x:v>
      </x:c>
      <x:c r="N257" s="22" t="n">
        <x:f>IF(AND(ISNUMBER(L257),ISNUMBER(H257),H257&lt;&gt;0),L257*$B$6/$B$4/(H257/60)^2/$B$5^4/$B$7,"")</x:f>
        <x:v>0.03598691563939945</x:v>
      </x:c>
      <x:c r="O257" s="22" t="n">
        <x:f>IF(ISNUMBER(N257),N257*$B$8,"")</x:f>
        <x:v>0.00464960085968778</x:v>
      </x:c>
      <x:c r="P257" s="20" t="str">
        <x:v>3000rpm!E152</x:v>
      </x:c>
      <x:c r="Q257" s="20" t="str">
        <x:v>3000rpm!D152</x:v>
      </x:c>
      <x:c r="R257" s="20" t="str">
        <x:v>3000rpm!D144</x:v>
      </x:c>
    </x:row>
    <x:row r="258">
      <x:c r="A258" s="21" t="n">
        <x:v>3000</x:v>
      </x:c>
      <x:c r="B258" s="21" t="n">
        <x:v>75</x:v>
      </x:c>
      <x:c r="C258" s="21" t="n">
        <x:v>9</x:v>
      </x:c>
      <x:c r="D258" s="21" t="n">
        <x:v>2</x:v>
      </x:c>
      <x:c r="E258" s="21" t="str">
        <x:v>3000rpm</x:v>
      </x:c>
      <x:c r="F258" s="21" t="n">
        <x:v>152</x:v>
      </x:c>
      <x:c r="G258" s="22" t="n">
        <x:f>IFERROR('3000rpm'!O152,"")</x:f>
        <x:v>7.192582014661561</x:v>
      </x:c>
      <x:c r="H258" s="22" t="n">
        <x:f>IFERROR('3000rpm'!L152,"")</x:f>
        <x:v>3130.08317057291</x:v>
      </x:c>
      <x:c r="I258" s="22" t="n">
        <x:f>IFERROR('3000rpm'!N152,"")</x:f>
        <x:v>579.2739064748192</x:v>
      </x:c>
      <x:c r="J258" s="22" t="n">
        <x:f>IFERROR('3000rpm'!N144,"")</x:f>
        <x:v>40.663646103896085</x:v>
      </x:c>
      <x:c r="K258" s="22" t="n">
        <x:f>IF(AND(ISNUMBER(I258),ISNUMBER(J258)),I258-J258,"")</x:f>
        <x:v>538.6102603709231</x:v>
      </x:c>
      <x:c r="L258" s="22" t="n">
        <x:f>IF(ISNUMBER(K258),K258*$B$2+$B$3,"")</x:f>
        <x:v>521.9784243037373</x:v>
      </x:c>
      <x:c r="M258" s="22" t="n">
        <x:f>IF(AND(ISNUMBER(G258),ISNUMBER(H258),H258&lt;&gt;0),G258/(H258/60)/$B$5,"")</x:f>
        <x:v>0.30156016611579484</x:v>
      </x:c>
      <x:c r="N258" s="22" t="n">
        <x:f>IF(AND(ISNUMBER(L258),ISNUMBER(H258),H258&lt;&gt;0),L258*$B$6/$B$4/(H258/60)^2/$B$5^4/$B$7,"")</x:f>
        <x:v>0.03569911416607791</x:v>
      </x:c>
      <x:c r="O258" s="22" t="n">
        <x:f>IF(ISNUMBER(N258),N258*$B$8,"")</x:f>
        <x:v>0.004612416178700278</x:v>
      </x:c>
      <x:c r="P258" s="20" t="str">
        <x:v>3000rpm!O152</x:v>
      </x:c>
      <x:c r="Q258" s="20" t="str">
        <x:v>3000rpm!N152</x:v>
      </x:c>
      <x:c r="R258" s="20" t="str">
        <x:v>3000rpm!N144</x:v>
      </x:c>
    </x:row>
    <x:row r="259">
      <x:c r="A259" s="21" t="n">
        <x:v>3000</x:v>
      </x:c>
      <x:c r="B259" s="21" t="n">
        <x:v>75</x:v>
      </x:c>
      <x:c r="C259" s="21" t="n">
        <x:v>10</x:v>
      </x:c>
      <x:c r="D259" s="21" t="n">
        <x:v>1</x:v>
      </x:c>
      <x:c r="E259" s="21" t="str">
        <x:v>3000rpm</x:v>
      </x:c>
      <x:c r="F259" s="21" t="n">
        <x:v>153</x:v>
      </x:c>
      <x:c r="G259" s="22" t="n">
        <x:f>IFERROR('3000rpm'!E153,"")</x:f>
        <x:v>8.20481632491375</x:v>
      </x:c>
      <x:c r="H259" s="22" t="n">
        <x:f>IFERROR('3000rpm'!B153,"")</x:f>
        <x:v>3242.50501130756</x:v>
      </x:c>
      <x:c r="I259" s="22" t="n">
        <x:f>IFERROR('3000rpm'!D153,"")</x:f>
        <x:v>543.1187698412696</x:v>
      </x:c>
      <x:c r="J259" s="22" t="n">
        <x:f>IFERROR('3000rpm'!D144,"")</x:f>
        <x:v>34.98588831835683</x:v>
      </x:c>
      <x:c r="K259" s="22" t="n">
        <x:f>IF(AND(ISNUMBER(I259),ISNUMBER(J259)),I259-J259,"")</x:f>
        <x:v>508.1328815229127</x:v>
      </x:c>
      <x:c r="L259" s="22" t="n">
        <x:f>IF(ISNUMBER(K259),K259*$B$2+$B$3,"")</x:f>
        <x:v>494.07004467358337</x:v>
      </x:c>
      <x:c r="M259" s="22" t="n">
        <x:f>IF(AND(ISNUMBER(G259),ISNUMBER(H259),H259&lt;&gt;0),G259/(H259/60)/$B$5,"")</x:f>
        <x:v>0.3320727479051989</x:v>
      </x:c>
      <x:c r="N259" s="22" t="n">
        <x:f>IF(AND(ISNUMBER(L259),ISNUMBER(H259),H259&lt;&gt;0),L259*$B$6/$B$4/(H259/60)^2/$B$5^4/$B$7,"")</x:f>
        <x:v>0.031487911365638686</x:v>
      </x:c>
      <x:c r="O259" s="22" t="n">
        <x:f>IF(ISNUMBER(N259),N259*$B$8,"")</x:f>
        <x:v>0.004068318086008926</x:v>
      </x:c>
      <x:c r="P259" s="20" t="str">
        <x:v>3000rpm!E153</x:v>
      </x:c>
      <x:c r="Q259" s="20" t="str">
        <x:v>3000rpm!D153</x:v>
      </x:c>
      <x:c r="R259" s="20" t="str">
        <x:v>3000rpm!D144</x:v>
      </x:c>
    </x:row>
    <x:row r="260">
      <x:c r="A260" s="21" t="n">
        <x:v>3000</x:v>
      </x:c>
      <x:c r="B260" s="21" t="n">
        <x:v>75</x:v>
      </x:c>
      <x:c r="C260" s="21" t="n">
        <x:v>10</x:v>
      </x:c>
      <x:c r="D260" s="21" t="n">
        <x:v>2</x:v>
      </x:c>
      <x:c r="E260" s="21" t="str">
        <x:v>3000rpm</x:v>
      </x:c>
      <x:c r="F260" s="21" t="n">
        <x:v>153</x:v>
      </x:c>
      <x:c r="G260" s="22" t="n">
        <x:f>IFERROR('3000rpm'!O153,"")</x:f>
        <x:v>8.202930762961095</x:v>
      </x:c>
      <x:c r="H260" s="22" t="n">
        <x:f>IFERROR('3000rpm'!L153,"")</x:f>
        <x:v>3168.04714133522</x:v>
      </x:c>
      <x:c r="I260" s="22" t="n">
        <x:f>IFERROR('3000rpm'!N153,"")</x:f>
        <x:v>496.2789366515831</x:v>
      </x:c>
      <x:c r="J260" s="22" t="n">
        <x:f>IFERROR('3000rpm'!N144,"")</x:f>
        <x:v>40.663646103896085</x:v>
      </x:c>
      <x:c r="K260" s="22" t="n">
        <x:f>IF(AND(ISNUMBER(I260),ISNUMBER(J260)),I260-J260,"")</x:f>
        <x:v>455.615290547687</x:v>
      </x:c>
      <x:c r="L260" s="22" t="n">
        <x:f>IF(ISNUMBER(K260),K260*$B$2+$B$3,"")</x:f>
        <x:v>445.97926647684136</x:v>
      </x:c>
      <x:c r="M260" s="22" t="n">
        <x:f>IF(AND(ISNUMBER(G260),ISNUMBER(H260),H260&lt;&gt;0),G260/(H260/60)/$B$5,"")</x:f>
        <x:v>0.33979926816127526</x:v>
      </x:c>
      <x:c r="N260" s="22" t="n">
        <x:f>IF(AND(ISNUMBER(L260),ISNUMBER(H260),H260&lt;&gt;0),L260*$B$6/$B$4/(H260/60)^2/$B$5^4/$B$7,"")</x:f>
        <x:v>0.029774744317542415</x:v>
      </x:c>
      <x:c r="O260" s="22" t="n">
        <x:f>IF(ISNUMBER(N260),N260*$B$8,"")</x:f>
        <x:v>0.003846972554220803</x:v>
      </x:c>
      <x:c r="P260" s="20" t="str">
        <x:v>3000rpm!O153</x:v>
      </x:c>
      <x:c r="Q260" s="20" t="str">
        <x:v>3000rpm!N153</x:v>
      </x:c>
      <x:c r="R260" s="20" t="str">
        <x:v>3000rpm!N144</x:v>
      </x:c>
    </x:row>
    <x:row r="261">
      <x:c r="A261" s="21" t="n">
        <x:v>3000</x:v>
      </x:c>
      <x:c r="B261" s="21" t="n">
        <x:v>75</x:v>
      </x:c>
      <x:c r="C261" s="21" t="n">
        <x:v>11</x:v>
      </x:c>
      <x:c r="D261" s="21" t="n">
        <x:v>1</x:v>
      </x:c>
      <x:c r="E261" s="21" t="str">
        <x:v>3000rpm</x:v>
      </x:c>
      <x:c r="F261" s="21" t="n">
        <x:v>154</x:v>
      </x:c>
      <x:c r="G261" s="22" t="n">
        <x:f>IFERROR('3000rpm'!E154,"")</x:f>
        <x:v>9.21806567728263</x:v>
      </x:c>
      <x:c r="H261" s="22" t="n">
        <x:f>IFERROR('3000rpm'!B154,"")</x:f>
        <x:v>3257.55944293478</x:v>
      </x:c>
      <x:c r="I261" s="22" t="n">
        <x:f>IFERROR('3000rpm'!D154,"")</x:f>
        <x:v>442.5994967741927</x:v>
      </x:c>
      <x:c r="J261" s="22" t="n">
        <x:f>IFERROR('3000rpm'!D144,"")</x:f>
        <x:v>34.98588831835683</x:v>
      </x:c>
      <x:c r="K261" s="22" t="n">
        <x:f>IF(AND(ISNUMBER(I261),ISNUMBER(J261)),I261-J261,"")</x:f>
        <x:v>407.61360845583584</x:v>
      </x:c>
      <x:c r="L261" s="22" t="n">
        <x:f>IF(ISNUMBER(K261),K261*$B$2+$B$3,"")</x:f>
        <x:v>402.02374217187656</x:v>
      </x:c>
      <x:c r="M261" s="22" t="n">
        <x:f>IF(AND(ISNUMBER(G261),ISNUMBER(H261),H261&lt;&gt;0),G261/(H261/60)/$B$5,"")</x:f>
        <x:v>0.3713577377011262</x:v>
      </x:c>
      <x:c r="N261" s="22" t="n">
        <x:f>IF(AND(ISNUMBER(L261),ISNUMBER(H261),H261&lt;&gt;0),L261*$B$6/$B$4/(H261/60)^2/$B$5^4/$B$7,"")</x:f>
        <x:v>0.025385378653552355</x:v>
      </x:c>
      <x:c r="O261" s="22" t="n">
        <x:f>IF(ISNUMBER(N261),N261*$B$8,"")</x:f>
        <x:v>0.0032798553672611043</x:v>
      </x:c>
      <x:c r="P261" s="20" t="str">
        <x:v>3000rpm!E154</x:v>
      </x:c>
      <x:c r="Q261" s="20" t="str">
        <x:v>3000rpm!D154</x:v>
      </x:c>
      <x:c r="R261" s="20" t="str">
        <x:v>3000rpm!D144</x:v>
      </x:c>
    </x:row>
    <x:row r="262">
      <x:c r="A262" s="21" t="n">
        <x:v>3000</x:v>
      </x:c>
      <x:c r="B262" s="21" t="n">
        <x:v>75</x:v>
      </x:c>
      <x:c r="C262" s="21" t="n">
        <x:v>11</x:v>
      </x:c>
      <x:c r="D262" s="21" t="n">
        <x:v>2</x:v>
      </x:c>
      <x:c r="E262" s="21" t="str">
        <x:v>3000rpm</x:v>
      </x:c>
      <x:c r="F262" s="21" t="n">
        <x:v>154</x:v>
      </x:c>
      <x:c r="G262" s="22" t="n">
        <x:f>IFERROR('3000rpm'!O154,"")</x:f>
        <x:v>9.212967486217094</x:v>
      </x:c>
      <x:c r="H262" s="22" t="n">
        <x:f>IFERROR('3000rpm'!L154,"")</x:f>
        <x:v>3192.05608661358</x:v>
      </x:c>
      <x:c r="I262" s="22" t="n">
        <x:f>IFERROR('3000rpm'!N154,"")</x:f>
        <x:v>400.990606525911</x:v>
      </x:c>
      <x:c r="J262" s="22" t="n">
        <x:f>IFERROR('3000rpm'!N144,"")</x:f>
        <x:v>40.663646103896085</x:v>
      </x:c>
      <x:c r="K262" s="22" t="n">
        <x:f>IF(AND(ISNUMBER(I262),ISNUMBER(J262)),I262-J262,"")</x:f>
        <x:v>360.3269604220149</x:v>
      </x:c>
      <x:c r="L262" s="22" t="n">
        <x:f>IF(ISNUMBER(K262),K262*$B$2+$B$3,"")</x:f>
        <x:v>358.72298027412245</x:v>
      </x:c>
      <x:c r="M262" s="22" t="n">
        <x:f>IF(AND(ISNUMBER(G262),ISNUMBER(H262),H262&lt;&gt;0),G262/(H262/60)/$B$5,"")</x:f>
        <x:v>0.3787686739841286</x:v>
      </x:c>
      <x:c r="N262" s="22" t="n">
        <x:f>IF(AND(ISNUMBER(L262),ISNUMBER(H262),H262&lt;&gt;0),L262*$B$6/$B$4/(H262/60)^2/$B$5^4/$B$7,"")</x:f>
        <x:v>0.023590373364566323</x:v>
      </x:c>
      <x:c r="O262" s="22" t="n">
        <x:f>IF(ISNUMBER(N262),N262*$B$8,"")</x:f>
        <x:v>0.0030479361269893407</x:v>
      </x:c>
      <x:c r="P262" s="20" t="str">
        <x:v>3000rpm!O154</x:v>
      </x:c>
      <x:c r="Q262" s="20" t="str">
        <x:v>3000rpm!N154</x:v>
      </x:c>
      <x:c r="R262" s="20" t="str">
        <x:v>3000rpm!N144</x:v>
      </x:c>
    </x:row>
    <x:row r="263">
      <x:c r="A263" s="21" t="n">
        <x:v>3000</x:v>
      </x:c>
      <x:c r="B263" s="21" t="n">
        <x:v>75</x:v>
      </x:c>
      <x:c r="C263" s="21" t="n">
        <x:v>12</x:v>
      </x:c>
      <x:c r="D263" s="21" t="n">
        <x:v>1</x:v>
      </x:c>
      <x:c r="E263" s="21" t="str">
        <x:v>3000rpm</x:v>
      </x:c>
      <x:c r="F263" s="21" t="n">
        <x:v>155</x:v>
      </x:c>
      <x:c r="G263" s="22" t="n">
        <x:f>IFERROR('3000rpm'!E155,"")</x:f>
        <x:v>10.14613472047398</x:v>
      </x:c>
      <x:c r="H263" s="22" t="n">
        <x:f>IFERROR('3000rpm'!B155,"")</x:f>
        <x:v>3289.01965332031</x:v>
      </x:c>
      <x:c r="I263" s="22" t="n">
        <x:f>IFERROR('3000rpm'!D155,"")</x:f>
        <x:v>352.4864630136984</x:v>
      </x:c>
      <x:c r="J263" s="22" t="n">
        <x:f>IFERROR('3000rpm'!D144,"")</x:f>
        <x:v>34.98588831835683</x:v>
      </x:c>
      <x:c r="K263" s="22" t="n">
        <x:f>IF(AND(ISNUMBER(I263),ISNUMBER(J263)),I263-J263,"")</x:f>
        <x:v>317.5005746953416</x:v>
      </x:c>
      <x:c r="L263" s="22" t="n">
        <x:f>IF(ISNUMBER(K263),K263*$B$2+$B$3,"")</x:f>
        <x:v>319.50651625312184</x:v>
      </x:c>
      <x:c r="M263" s="22" t="n">
        <x:f>IF(AND(ISNUMBER(G263),ISNUMBER(H263),H263&lt;&gt;0),G263/(H263/60)/$B$5,"")</x:f>
        <x:v>0.4048360554793806</x:v>
      </x:c>
      <x:c r="N263" s="22" t="n">
        <x:f>IF(AND(ISNUMBER(L263),ISNUMBER(H263),H263&lt;&gt;0),L263*$B$6/$B$4/(H263/60)^2/$B$5^4/$B$7,"")</x:f>
        <x:v>0.01979080343678693</x:v>
      </x:c>
      <x:c r="O263" s="22" t="n">
        <x:f>IF(ISNUMBER(N263),N263*$B$8,"")</x:f>
        <x:v>0.0025570220464476573</x:v>
      </x:c>
      <x:c r="P263" s="20" t="str">
        <x:v>3000rpm!E155</x:v>
      </x:c>
      <x:c r="Q263" s="20" t="str">
        <x:v>3000rpm!D155</x:v>
      </x:c>
      <x:c r="R263" s="20" t="str">
        <x:v>3000rpm!D144</x:v>
      </x:c>
    </x:row>
    <x:row r="264">
      <x:c r="A264" s="21" t="n">
        <x:v>3000</x:v>
      </x:c>
      <x:c r="B264" s="21" t="n">
        <x:v>75</x:v>
      </x:c>
      <x:c r="C264" s="21" t="n">
        <x:v>12</x:v>
      </x:c>
      <x:c r="D264" s="21" t="n">
        <x:v>2</x:v>
      </x:c>
      <x:c r="E264" s="21" t="str">
        <x:v>3000rpm</x:v>
      </x:c>
      <x:c r="F264" s="21" t="n">
        <x:v>155</x:v>
      </x:c>
      <x:c r="G264" s="22" t="n">
        <x:f>IFERROR('3000rpm'!O155,"")</x:f>
        <x:v>10.145637250240934</x:v>
      </x:c>
      <x:c r="H264" s="22" t="n">
        <x:f>IFERROR('3000rpm'!L155,"")</x:f>
        <x:v>3248.93561808268</x:v>
      </x:c>
      <x:c r="I264" s="22" t="n">
        <x:f>IFERROR('3000rpm'!N155,"")</x:f>
        <x:v>312.7552176591366</x:v>
      </x:c>
      <x:c r="J264" s="22" t="n">
        <x:f>IFERROR('3000rpm'!N144,"")</x:f>
        <x:v>40.663646103896085</x:v>
      </x:c>
      <x:c r="K264" s="22" t="n">
        <x:f>IF(AND(ISNUMBER(I264),ISNUMBER(J264)),I264-J264,"")</x:f>
        <x:v>272.0915715552405</x:v>
      </x:c>
      <x:c r="L264" s="22" t="n">
        <x:f>IF(ISNUMBER(K264),K264*$B$2+$B$3,"")</x:f>
        <x:v>277.92512880570615</x:v>
      </x:c>
      <x:c r="M264" s="22" t="n">
        <x:f>IF(AND(ISNUMBER(G264),ISNUMBER(H264),H264&lt;&gt;0),G264/(H264/60)/$B$5,"")</x:f>
        <x:v>0.40981066249093795</x:v>
      </x:c>
      <x:c r="N264" s="22" t="n">
        <x:f>IF(AND(ISNUMBER(L264),ISNUMBER(H264),H264&lt;&gt;0),L264*$B$6/$B$4/(H264/60)^2/$B$5^4/$B$7,"")</x:f>
        <x:v>0.017642586183752137</x:v>
      </x:c>
      <x:c r="O264" s="22" t="n">
        <x:f>IF(ISNUMBER(N264),N264*$B$8,"")</x:f>
        <x:v>0.002279466923730467</x:v>
      </x:c>
      <x:c r="P264" s="20" t="str">
        <x:v>3000rpm!O155</x:v>
      </x:c>
      <x:c r="Q264" s="20" t="str">
        <x:v>3000rpm!N155</x:v>
      </x:c>
      <x:c r="R264" s="20" t="str">
        <x:v>3000rpm!N144</x:v>
      </x:c>
    </x:row>
    <x:row r="265">
      <x:c r="A265" s="21" t="n">
        <x:v>3000</x:v>
      </x:c>
      <x:c r="B265" s="21" t="n">
        <x:v>75</x:v>
      </x:c>
      <x:c r="C265" s="21" t="n">
        <x:v>13</x:v>
      </x:c>
      <x:c r="D265" s="21" t="n">
        <x:v>1</x:v>
      </x:c>
      <x:c r="E265" s="21" t="str">
        <x:v>3000rpm</x:v>
      </x:c>
      <x:c r="F265" s="21" t="n">
        <x:v>156</x:v>
      </x:c>
      <x:c r="G265" s="22" t="n">
        <x:f>IFERROR('3000rpm'!E156,"")</x:f>
        <x:v>9.122554208411534</x:v>
      </x:c>
      <x:c r="H265" s="22" t="n">
        <x:f>IFERROR('3000rpm'!B156,"")</x:f>
        <x:v>3256.42336697048</x:v>
      </x:c>
      <x:c r="I265" s="22" t="n">
        <x:f>IFERROR('3000rpm'!D156,"")</x:f>
        <x:v>444.52063934426144</x:v>
      </x:c>
      <x:c r="J265" s="22" t="n">
        <x:f>IFERROR('3000rpm'!D144,"")</x:f>
        <x:v>34.98588831835683</x:v>
      </x:c>
      <x:c r="K265" s="22" t="n">
        <x:f>IF(AND(ISNUMBER(I265),ISNUMBER(J265)),I265-J265,"")</x:f>
        <x:v>409.5347510259046</x:v>
      </x:c>
      <x:c r="L265" s="22" t="n">
        <x:f>IF(ISNUMBER(K265),K265*$B$2+$B$3,"")</x:f>
        <x:v>403.78294779242907</x:v>
      </x:c>
      <x:c r="M265" s="22" t="n">
        <x:f>IF(AND(ISNUMBER(G265),ISNUMBER(H265),H265&lt;&gt;0),G265/(H265/60)/$B$5,"")</x:f>
        <x:v>0.3676381897384628</x:v>
      </x:c>
      <x:c r="N265" s="22" t="n">
        <x:f>IF(AND(ISNUMBER(L265),ISNUMBER(H265),H265&lt;&gt;0),L265*$B$6/$B$4/(H265/60)^2/$B$5^4/$B$7,"")</x:f>
        <x:v>0.025514255018647618</x:v>
      </x:c>
      <x:c r="O265" s="22" t="n">
        <x:f>IF(ISNUMBER(N265),N265*$B$8,"")</x:f>
        <x:v>0.003296506520806598</x:v>
      </x:c>
      <x:c r="P265" s="20" t="str">
        <x:v>3000rpm!E156</x:v>
      </x:c>
      <x:c r="Q265" s="20" t="str">
        <x:v>3000rpm!D156</x:v>
      </x:c>
      <x:c r="R265" s="20" t="str">
        <x:v>3000rpm!D144</x:v>
      </x:c>
    </x:row>
    <x:row r="266">
      <x:c r="A266" s="21" t="n">
        <x:v>3000</x:v>
      </x:c>
      <x:c r="B266" s="21" t="n">
        <x:v>75</x:v>
      </x:c>
      <x:c r="C266" s="21" t="n">
        <x:v>13</x:v>
      </x:c>
      <x:c r="D266" s="21" t="n">
        <x:v>2</x:v>
      </x:c>
      <x:c r="E266" s="21" t="str">
        <x:v>3000rpm</x:v>
      </x:c>
      <x:c r="F266" s="21" t="n">
        <x:v>156</x:v>
      </x:c>
      <x:c r="G266" s="22" t="n">
        <x:f>IFERROR('3000rpm'!O156,"")</x:f>
        <x:v>9.21786870711888</x:v>
      </x:c>
      <x:c r="H266" s="22" t="n">
        <x:f>IFERROR('3000rpm'!L156,"")</x:f>
        <x:v>3204.90088952106</x:v>
      </x:c>
      <x:c r="I266" s="22" t="n">
        <x:f>IFERROR('3000rpm'!N156,"")</x:f>
        <x:v>393.80453319057773</x:v>
      </x:c>
      <x:c r="J266" s="22" t="n">
        <x:f>IFERROR('3000rpm'!N144,"")</x:f>
        <x:v>40.663646103896085</x:v>
      </x:c>
      <x:c r="K266" s="22" t="n">
        <x:f>IF(AND(ISNUMBER(I266),ISNUMBER(J266)),I266-J266,"")</x:f>
        <x:v>353.14088708668163</x:v>
      </x:c>
      <x:c r="L266" s="22" t="n">
        <x:f>IF(ISNUMBER(K266),K266*$B$2+$B$3,"")</x:f>
        <x:v>352.1426354323711</x:v>
      </x:c>
      <x:c r="M266" s="22" t="n">
        <x:f>IF(AND(ISNUMBER(G266),ISNUMBER(H266),H266&lt;&gt;0),G266/(H266/60)/$B$5,"")</x:f>
        <x:v>0.37745131526770026</x:v>
      </x:c>
      <x:c r="N266" s="22" t="n">
        <x:f>IF(AND(ISNUMBER(L266),ISNUMBER(H266),H266&lt;&gt;0),L266*$B$6/$B$4/(H266/60)^2/$B$5^4/$B$7,"")</x:f>
        <x:v>0.02297238285222117</x:v>
      </x:c>
      <x:c r="O266" s="22" t="n">
        <x:f>IF(ISNUMBER(N266),N266*$B$8,"")</x:f>
        <x:v>0.002968090183917381</x:v>
      </x:c>
      <x:c r="P266" s="20" t="str">
        <x:v>3000rpm!O156</x:v>
      </x:c>
      <x:c r="Q266" s="20" t="str">
        <x:v>3000rpm!N156</x:v>
      </x:c>
      <x:c r="R266" s="20" t="str">
        <x:v>3000rpm!N144</x:v>
      </x:c>
    </x:row>
    <x:row r="267">
      <x:c r="A267" s="21" t="n">
        <x:v>3000</x:v>
      </x:c>
      <x:c r="B267" s="21" t="n">
        <x:v>75</x:v>
      </x:c>
      <x:c r="C267" s="21" t="n">
        <x:v>14</x:v>
      </x:c>
      <x:c r="D267" s="21" t="n">
        <x:v>1</x:v>
      </x:c>
      <x:c r="E267" s="21" t="str">
        <x:v>3000rpm</x:v>
      </x:c>
      <x:c r="F267" s="21" t="n">
        <x:v>157</x:v>
      </x:c>
      <x:c r="G267" s="22" t="n">
        <x:f>IFERROR('3000rpm'!E157,"")</x:f>
        <x:v>8.112810177187756</x:v>
      </x:c>
      <x:c r="H267" s="22" t="n">
        <x:f>IFERROR('3000rpm'!B157,"")</x:f>
        <x:v>3204.05128238075</x:v>
      </x:c>
      <x:c r="I267" s="22" t="n">
        <x:f>IFERROR('3000rpm'!D157,"")</x:f>
        <x:v>535.9868306451608</x:v>
      </x:c>
      <x:c r="J267" s="22" t="n">
        <x:f>IFERROR('3000rpm'!D144,"")</x:f>
        <x:v>34.98588831835683</x:v>
      </x:c>
      <x:c r="K267" s="22" t="n">
        <x:f>IF(AND(ISNUMBER(I267),ISNUMBER(J267)),I267-J267,"")</x:f>
        <x:v>501.00094232680397</x:v>
      </x:c>
      <x:c r="L267" s="22" t="n">
        <x:f>IF(ISNUMBER(K267),K267*$B$2+$B$3,"")</x:f>
        <x:v>487.539270896193</x:v>
      </x:c>
      <x:c r="M267" s="22" t="n">
        <x:f>IF(AND(ISNUMBER(G267),ISNUMBER(H267),H267&lt;&gt;0),G267/(H267/60)/$B$5,"")</x:f>
        <x:v>0.33228970380534745</x:v>
      </x:c>
      <x:c r="N267" s="22" t="n">
        <x:f>IF(AND(ISNUMBER(L267),ISNUMBER(H267),H267&lt;&gt;0),L267*$B$6/$B$4/(H267/60)^2/$B$5^4/$B$7,"")</x:f>
        <x:v>0.03182198956946262</x:v>
      </x:c>
      <x:c r="O267" s="22" t="n">
        <x:f>IF(ISNUMBER(N267),N267*$B$8,"")</x:f>
        <x:v>0.00411148183805891</x:v>
      </x:c>
      <x:c r="P267" s="20" t="str">
        <x:v>3000rpm!E157</x:v>
      </x:c>
      <x:c r="Q267" s="20" t="str">
        <x:v>3000rpm!D157</x:v>
      </x:c>
      <x:c r="R267" s="20" t="str">
        <x:v>3000rpm!D144</x:v>
      </x:c>
    </x:row>
    <x:row r="268">
      <x:c r="A268" s="21" t="n">
        <x:v>3000</x:v>
      </x:c>
      <x:c r="B268" s="21" t="n">
        <x:v>75</x:v>
      </x:c>
      <x:c r="C268" s="21" t="n">
        <x:v>14</x:v>
      </x:c>
      <x:c r="D268" s="21" t="n">
        <x:v>2</x:v>
      </x:c>
      <x:c r="E268" s="21" t="str">
        <x:v>3000rpm</x:v>
      </x:c>
      <x:c r="F268" s="21" t="n">
        <x:v>157</x:v>
      </x:c>
      <x:c r="G268" s="22" t="n">
        <x:f>IFERROR('3000rpm'!O157,"")</x:f>
        <x:v>8.116761591762149</x:v>
      </x:c>
      <x:c r="H268" s="22" t="n">
        <x:f>IFERROR('3000rpm'!L157,"")</x:f>
        <x:v>3175.73851376488</x:v>
      </x:c>
      <x:c r="I268" s="22" t="n">
        <x:f>IFERROR('3000rpm'!N157,"")</x:f>
        <x:v>489.5704893617017</x:v>
      </x:c>
      <x:c r="J268" s="22" t="n">
        <x:f>IFERROR('3000rpm'!N144,"")</x:f>
        <x:v>40.663646103896085</x:v>
      </x:c>
      <x:c r="K268" s="22" t="n">
        <x:f>IF(AND(ISNUMBER(I268),ISNUMBER(J268)),I268-J268,"")</x:f>
        <x:v>448.9068432578056</x:v>
      </x:c>
      <x:c r="L268" s="22" t="n">
        <x:f>IF(ISNUMBER(K268),K268*$B$2+$B$3,"")</x:f>
        <x:v>439.83628762591866</x:v>
      </x:c>
      <x:c r="M268" s="22" t="n">
        <x:f>IF(AND(ISNUMBER(G268),ISNUMBER(H268),H268&lt;&gt;0),G268/(H268/60)/$B$5,"")</x:f>
        <x:v>0.3354154648833919</x:v>
      </x:c>
      <x:c r="N268" s="22" t="n">
        <x:f>IF(AND(ISNUMBER(L268),ISNUMBER(H268),H268&lt;&gt;0),L268*$B$6/$B$4/(H268/60)^2/$B$5^4/$B$7,"")</x:f>
        <x:v>0.029222557888176886</x:v>
      </x:c>
      <x:c r="O268" s="22" t="n">
        <x:f>IF(ISNUMBER(N268),N268*$B$8,"")</x:f>
        <x:v>0.003775628665724981</x:v>
      </x:c>
      <x:c r="P268" s="20" t="str">
        <x:v>3000rpm!O157</x:v>
      </x:c>
      <x:c r="Q268" s="20" t="str">
        <x:v>3000rpm!N157</x:v>
      </x:c>
      <x:c r="R268" s="20" t="str">
        <x:v>3000rpm!N144</x:v>
      </x:c>
    </x:row>
    <x:row r="269">
      <x:c r="A269" s="21" t="n">
        <x:v>3000</x:v>
      </x:c>
      <x:c r="B269" s="21" t="n">
        <x:v>75</x:v>
      </x:c>
      <x:c r="C269" s="21" t="n">
        <x:v>15</x:v>
      </x:c>
      <x:c r="D269" s="21" t="n">
        <x:v>1</x:v>
      </x:c>
      <x:c r="E269" s="21" t="str">
        <x:v>3000rpm</x:v>
      </x:c>
      <x:c r="F269" s="21" t="n">
        <x:v>158</x:v>
      </x:c>
      <x:c r="G269" s="22" t="n">
        <x:f>IFERROR('3000rpm'!E158,"")</x:f>
        <x:v>7.20174651813012</x:v>
      </x:c>
      <x:c r="H269" s="22" t="n">
        <x:f>IFERROR('3000rpm'!B158,"")</x:f>
        <x:v>3220.72525185032</x:v>
      </x:c>
      <x:c r="I269" s="22" t="n">
        <x:f>IFERROR('3000rpm'!D158,"")</x:f>
        <x:v>621.6734651162784</x:v>
      </x:c>
      <x:c r="J269" s="22" t="n">
        <x:f>IFERROR('3000rpm'!D144,"")</x:f>
        <x:v>34.98588831835683</x:v>
      </x:c>
      <x:c r="K269" s="22" t="n">
        <x:f>IF(AND(ISNUMBER(I269),ISNUMBER(J269)),I269-J269,"")</x:f>
        <x:v>586.6875767979216</x:v>
      </x:c>
      <x:c r="L269" s="22" t="n">
        <x:f>IF(ISNUMBER(K269),K269*$B$2+$B$3,"")</x:f>
        <x:v>566.0032075744712</x:v>
      </x:c>
      <x:c r="M269" s="22" t="n">
        <x:f>IF(AND(ISNUMBER(G269),ISNUMBER(H269),H269&lt;&gt;0),G269/(H269/60)/$B$5,"")</x:f>
        <x:v>0.2934466673539308</x:v>
      </x:c>
      <x:c r="N269" s="22" t="n">
        <x:f>IF(AND(ISNUMBER(L269),ISNUMBER(H269),H269&lt;&gt;0),L269*$B$6/$B$4/(H269/60)^2/$B$5^4/$B$7,"")</x:f>
        <x:v>0.03656185132739337</x:v>
      </x:c>
      <x:c r="O269" s="22" t="n">
        <x:f>IF(ISNUMBER(N269),N269*$B$8,"")</x:f>
        <x:v>0.004723884010151362</x:v>
      </x:c>
      <x:c r="P269" s="20" t="str">
        <x:v>3000rpm!E158</x:v>
      </x:c>
      <x:c r="Q269" s="20" t="str">
        <x:v>3000rpm!D158</x:v>
      </x:c>
      <x:c r="R269" s="20" t="str">
        <x:v>3000rpm!D144</x:v>
      </x:c>
    </x:row>
    <x:row r="270">
      <x:c r="A270" s="21" t="n">
        <x:v>3000</x:v>
      </x:c>
      <x:c r="B270" s="21" t="n">
        <x:v>75</x:v>
      </x:c>
      <x:c r="C270" s="21" t="n">
        <x:v>15</x:v>
      </x:c>
      <x:c r="D270" s="21" t="n">
        <x:v>2</x:v>
      </x:c>
      <x:c r="E270" s="21" t="str">
        <x:v>3000rpm</x:v>
      </x:c>
      <x:c r="F270" s="21" t="n">
        <x:v>158</x:v>
      </x:c>
      <x:c r="G270" s="22" t="n">
        <x:f>IFERROR('3000rpm'!O158,"")</x:f>
        <x:v>7.202553087159195</x:v>
      </x:c>
      <x:c r="H270" s="22" t="n">
        <x:f>IFERROR('3000rpm'!L158,"")</x:f>
        <x:v>3119.40174932065</x:v>
      </x:c>
      <x:c r="I270" s="22" t="n">
        <x:f>IFERROR('3000rpm'!N158,"")</x:f>
        <x:v>569.869102844639</x:v>
      </x:c>
      <x:c r="J270" s="22" t="n">
        <x:f>IFERROR('3000rpm'!N144,"")</x:f>
        <x:v>40.663646103896085</x:v>
      </x:c>
      <x:c r="K270" s="22" t="n">
        <x:f>IF(AND(ISNUMBER(I270),ISNUMBER(J270)),I270-J270,"")</x:f>
        <x:v>529.2054567407429</x:v>
      </x:c>
      <x:c r="L270" s="22" t="n">
        <x:f>IF(ISNUMBER(K270),K270*$B$2+$B$3,"")</x:f>
        <x:v>513.3663703811521</x:v>
      </x:c>
      <x:c r="M270" s="22" t="n">
        <x:f>IF(AND(ISNUMBER(G270),ISNUMBER(H270),H270&lt;&gt;0),G270/(H270/60)/$B$5,"")</x:f>
        <x:v>0.30301224931284476</x:v>
      </x:c>
      <x:c r="N270" s="22" t="n">
        <x:f>IF(AND(ISNUMBER(L270),ISNUMBER(H270),H270&lt;&gt;0),L270*$B$6/$B$4/(H270/60)^2/$B$5^4/$B$7,"")</x:f>
        <x:v>0.035350978177207275</x:v>
      </x:c>
      <x:c r="O270" s="22" t="n">
        <x:f>IF(ISNUMBER(N270),N270*$B$8,"")</x:f>
        <x:v>0.004567436125134115</x:v>
      </x:c>
      <x:c r="P270" s="20" t="str">
        <x:v>3000rpm!O158</x:v>
      </x:c>
      <x:c r="Q270" s="20" t="str">
        <x:v>3000rpm!N158</x:v>
      </x:c>
      <x:c r="R270" s="20" t="str">
        <x:v>3000rpm!N144</x:v>
      </x:c>
    </x:row>
    <x:row r="271">
      <x:c r="A271" s="21" t="n">
        <x:v>3000</x:v>
      </x:c>
      <x:c r="B271" s="21" t="n">
        <x:v>75</x:v>
      </x:c>
      <x:c r="C271" s="21" t="n">
        <x:v>16</x:v>
      </x:c>
      <x:c r="D271" s="21" t="n">
        <x:v>1</x:v>
      </x:c>
      <x:c r="E271" s="21" t="str">
        <x:v>3000rpm</x:v>
      </x:c>
      <x:c r="F271" s="21" t="n">
        <x:v>159</x:v>
      </x:c>
      <x:c r="G271" s="22" t="n">
        <x:f>IFERROR('3000rpm'!E159,"")</x:f>
        <x:v>6.188323833621466</x:v>
      </x:c>
      <x:c r="H271" s="22" t="n">
        <x:f>IFERROR('3000rpm'!B159,"")</x:f>
        <x:v>3199.26249767485</x:v>
      </x:c>
      <x:c r="I271" s="22" t="n">
        <x:f>IFERROR('3000rpm'!D159,"")</x:f>
        <x:v>714.3072115384605</x:v>
      </x:c>
      <x:c r="J271" s="22" t="n">
        <x:f>IFERROR('3000rpm'!D144,"")</x:f>
        <x:v>34.98588831835683</x:v>
      </x:c>
      <x:c r="K271" s="22" t="n">
        <x:f>IF(AND(ISNUMBER(I271),ISNUMBER(J271)),I271-J271,"")</x:f>
        <x:v>679.3213232201036</x:v>
      </x:c>
      <x:c r="L271" s="22" t="n">
        <x:f>IF(ISNUMBER(K271),K271*$B$2+$B$3,"")</x:f>
        <x:v>650.8286702432346</x:v>
      </x:c>
      <x:c r="M271" s="22" t="n">
        <x:f>IF(AND(ISNUMBER(G271),ISNUMBER(H271),H271&lt;&gt;0),G271/(H271/60)/$B$5,"")</x:f>
        <x:v>0.25384474992422834</x:v>
      </x:c>
      <x:c r="N271" s="22" t="n">
        <x:f>IF(AND(ISNUMBER(L271),ISNUMBER(H271),H271&lt;&gt;0),L271*$B$6/$B$4/(H271/60)^2/$B$5^4/$B$7,"")</x:f>
        <x:v>0.042607256287060004</x:v>
      </x:c>
      <x:c r="O271" s="22" t="n">
        <x:f>IF(ISNUMBER(N271),N271*$B$8,"")</x:f>
        <x:v>0.005504965678257772</x:v>
      </x:c>
      <x:c r="P271" s="20" t="str">
        <x:v>3000rpm!E159</x:v>
      </x:c>
      <x:c r="Q271" s="20" t="str">
        <x:v>3000rpm!D159</x:v>
      </x:c>
      <x:c r="R271" s="20" t="str">
        <x:v>3000rpm!D144</x:v>
      </x:c>
    </x:row>
    <x:row r="272">
      <x:c r="A272" s="21" t="n">
        <x:v>3000</x:v>
      </x:c>
      <x:c r="B272" s="21" t="n">
        <x:v>75</x:v>
      </x:c>
      <x:c r="C272" s="21" t="n">
        <x:v>16</x:v>
      </x:c>
      <x:c r="D272" s="21" t="n">
        <x:v>2</x:v>
      </x:c>
      <x:c r="E272" s="21" t="str">
        <x:v>3000rpm</x:v>
      </x:c>
      <x:c r="F272" s="21" t="n">
        <x:v>159</x:v>
      </x:c>
      <x:c r="G272" s="22" t="n">
        <x:f>IFERROR('3000rpm'!O159,"")</x:f>
        <x:v>6.1870165076307</x:v>
      </x:c>
      <x:c r="H272" s="22" t="n">
        <x:f>IFERROR('3000rpm'!L159,"")</x:f>
        <x:v>3111.01895254629</x:v>
      </x:c>
      <x:c r="I272" s="22" t="n">
        <x:f>IFERROR('3000rpm'!N159,"")</x:f>
        <x:v>660.1180933572708</x:v>
      </x:c>
      <x:c r="J272" s="22" t="n">
        <x:f>IFERROR('3000rpm'!N144,"")</x:f>
        <x:v>40.663646103896085</x:v>
      </x:c>
      <x:c r="K272" s="22" t="n">
        <x:f>IF(AND(ISNUMBER(I272),ISNUMBER(J272)),I272-J272,"")</x:f>
        <x:v>619.4544472533747</x:v>
      </x:c>
      <x:c r="L272" s="22" t="n">
        <x:f>IF(ISNUMBER(K272),K272*$B$2+$B$3,"")</x:f>
        <x:v>596.0080929854932</x:v>
      </x:c>
      <x:c r="M272" s="22" t="n">
        <x:f>IF(AND(ISNUMBER(G272),ISNUMBER(H272),H272&lt;&gt;0),G272/(H272/60)/$B$5,"")</x:f>
        <x:v>0.2609898672938096</x:v>
      </x:c>
      <x:c r="N272" s="22" t="n">
        <x:f>IF(AND(ISNUMBER(L272),ISNUMBER(H272),H272&lt;&gt;0),L272*$B$6/$B$4/(H272/60)^2/$B$5^4/$B$7,"")</x:f>
        <x:v>0.041263255196467556</x:v>
      </x:c>
      <x:c r="O272" s="22" t="n">
        <x:f>IF(ISNUMBER(N272),N272*$B$8,"")</x:f>
        <x:v>0.0053313173253714706</x:v>
      </x:c>
      <x:c r="P272" s="20" t="str">
        <x:v>3000rpm!O159</x:v>
      </x:c>
      <x:c r="Q272" s="20" t="str">
        <x:v>3000rpm!N159</x:v>
      </x:c>
      <x:c r="R272" s="20" t="str">
        <x:v>3000rpm!N144</x:v>
      </x:c>
    </x:row>
    <x:row r="273">
      <x:c r="A273" s="21" t="n">
        <x:v>3000</x:v>
      </x:c>
      <x:c r="B273" s="21" t="n">
        <x:v>75</x:v>
      </x:c>
      <x:c r="C273" s="21" t="n">
        <x:v>17</x:v>
      </x:c>
      <x:c r="D273" s="21" t="n">
        <x:v>1</x:v>
      </x:c>
      <x:c r="E273" s="21" t="str">
        <x:v>3000rpm</x:v>
      </x:c>
      <x:c r="F273" s="21" t="n">
        <x:v>160</x:v>
      </x:c>
      <x:c r="G273" s="22" t="n">
        <x:f>IFERROR('3000rpm'!E160,"")</x:f>
        <x:v>5.0630099075181</x:v>
      </x:c>
      <x:c r="H273" s="22" t="n">
        <x:f>IFERROR('3000rpm'!B160,"")</x:f>
        <x:v>3177.07084728422</x:v>
      </x:c>
      <x:c r="I273" s="22" t="n">
        <x:f>IFERROR('3000rpm'!D160,"")</x:f>
        <x:v>809.917754176611</x:v>
      </x:c>
      <x:c r="J273" s="22" t="n">
        <x:f>IFERROR('3000rpm'!D144,"")</x:f>
        <x:v>34.98588831835683</x:v>
      </x:c>
      <x:c r="K273" s="22" t="n">
        <x:f>IF(AND(ISNUMBER(I273),ISNUMBER(J273)),I273-J273,"")</x:f>
        <x:v>774.9318658582541</x:v>
      </x:c>
      <x:c r="L273" s="22" t="n">
        <x:f>IF(ISNUMBER(K273),K273*$B$2+$B$3,"")</x:f>
        <x:v>738.3800090213301</x:v>
      </x:c>
      <x:c r="M273" s="22" t="n">
        <x:f>IF(AND(ISNUMBER(G273),ISNUMBER(H273),H273&lt;&gt;0),G273/(H273/60)/$B$5,"")</x:f>
        <x:v>0.20913508941900003</x:v>
      </x:c>
      <x:c r="N273" s="22" t="n">
        <x:f>IF(AND(ISNUMBER(L273),ISNUMBER(H273),H273&lt;&gt;0),L273*$B$6/$B$4/(H273/60)^2/$B$5^4/$B$7,"")</x:f>
        <x:v>0.04901655375119518</x:v>
      </x:c>
      <x:c r="O273" s="22" t="n">
        <x:f>IF(ISNUMBER(N273),N273*$B$8,"")</x:f>
        <x:v>0.006333063181746263</x:v>
      </x:c>
      <x:c r="P273" s="20" t="str">
        <x:v>3000rpm!E160</x:v>
      </x:c>
      <x:c r="Q273" s="20" t="str">
        <x:v>3000rpm!D160</x:v>
      </x:c>
      <x:c r="R273" s="20" t="str">
        <x:v>3000rpm!D144</x:v>
      </x:c>
    </x:row>
    <x:row r="274">
      <x:c r="A274" s="21" t="n">
        <x:v>3000</x:v>
      </x:c>
      <x:c r="B274" s="21" t="n">
        <x:v>75</x:v>
      </x:c>
      <x:c r="C274" s="21" t="n">
        <x:v>17</x:v>
      </x:c>
      <x:c r="D274" s="21" t="n">
        <x:v>2</x:v>
      </x:c>
      <x:c r="E274" s="21" t="str">
        <x:v>3000rpm</x:v>
      </x:c>
      <x:c r="F274" s="21" t="n">
        <x:v>160</x:v>
      </x:c>
      <x:c r="G274" s="22" t="n">
        <x:f>IFERROR('3000rpm'!O160,"")</x:f>
        <x:v>5.164886990440215</x:v>
      </x:c>
      <x:c r="H274" s="22" t="n">
        <x:f>IFERROR('3000rpm'!L160,"")</x:f>
        <x:v>3087.66585286458</x:v>
      </x:c>
      <x:c r="I274" s="22" t="n">
        <x:f>IFERROR('3000rpm'!N160,"")</x:f>
        <x:v>741.8114262295074</x:v>
      </x:c>
      <x:c r="J274" s="22" t="n">
        <x:f>IFERROR('3000rpm'!N144,"")</x:f>
        <x:v>40.663646103896085</x:v>
      </x:c>
      <x:c r="K274" s="22" t="n">
        <x:f>IF(AND(ISNUMBER(I274),ISNUMBER(J274)),I274-J274,"")</x:f>
        <x:v>701.1477801256113</x:v>
      </x:c>
      <x:c r="L274" s="22" t="n">
        <x:f>IF(ISNUMBER(K274),K274*$B$2+$B$3,"")</x:f>
        <x:v>670.8153314432633</x:v>
      </x:c>
      <x:c r="M274" s="22" t="n">
        <x:f>IF(AND(ISNUMBER(G274),ISNUMBER(H274),H274&lt;&gt;0),G274/(H274/60)/$B$5,"")</x:f>
        <x:v>0.21952073960010482</x:v>
      </x:c>
      <x:c r="N274" s="22" t="n">
        <x:f>IF(AND(ISNUMBER(L274),ISNUMBER(H274),H274&lt;&gt;0),L274*$B$6/$B$4/(H274/60)^2/$B$5^4/$B$7,"")</x:f>
        <x:v>0.04714753946848935</x:v>
      </x:c>
      <x:c r="O274" s="22" t="n">
        <x:f>IF(ISNUMBER(N274),N274*$B$8,"")</x:f>
        <x:v>0.0060915817916011306</x:v>
      </x:c>
      <x:c r="P274" s="20" t="str">
        <x:v>3000rpm!O160</x:v>
      </x:c>
      <x:c r="Q274" s="20" t="str">
        <x:v>3000rpm!N160</x:v>
      </x:c>
      <x:c r="R274" s="20" t="str">
        <x:v>3000rpm!N144</x:v>
      </x:c>
    </x:row>
    <x:row r="275">
      <x:c r="A275" s="21" t="n">
        <x:v>3000</x:v>
      </x:c>
      <x:c r="B275" s="21" t="n">
        <x:v>75</x:v>
      </x:c>
      <x:c r="C275" s="21" t="n">
        <x:v>18</x:v>
      </x:c>
      <x:c r="D275" s="21" t="n">
        <x:v>1</x:v>
      </x:c>
      <x:c r="E275" s="21" t="str">
        <x:v>3000rpm</x:v>
      </x:c>
      <x:c r="F275" s="21" t="n">
        <x:v>161</x:v>
      </x:c>
      <x:c r="G275" s="22" t="n">
        <x:f>IFERROR('3000rpm'!E161,"")</x:f>
        <x:v>4.141297390431525</x:v>
      </x:c>
      <x:c r="H275" s="22" t="n">
        <x:f>IFERROR('3000rpm'!B161,"")</x:f>
        <x:v>3148.12111409505</x:v>
      </x:c>
      <x:c r="I275" s="22" t="n">
        <x:f>IFERROR('3000rpm'!D161,"")</x:f>
        <x:v>884.9356481481482</x:v>
      </x:c>
      <x:c r="J275" s="22" t="n">
        <x:f>IFERROR('3000rpm'!D144,"")</x:f>
        <x:v>34.98588831835683</x:v>
      </x:c>
      <x:c r="K275" s="22" t="n">
        <x:f>IF(AND(ISNUMBER(I275),ISNUMBER(J275)),I275-J275,"")</x:f>
        <x:v>849.9497598297913</x:v>
      </x:c>
      <x:c r="L275" s="22" t="n">
        <x:f>IF(ISNUMBER(K275),K275*$B$2+$B$3,"")</x:f>
        <x:v>807.0744946742185</x:v>
      </x:c>
      <x:c r="M275" s="22" t="n">
        <x:f>IF(AND(ISNUMBER(G275),ISNUMBER(H275),H275&lt;&gt;0),G275/(H275/60)/$B$5,"")</x:f>
        <x:v>0.17263546354438333</x:v>
      </x:c>
      <x:c r="N275" s="22" t="n">
        <x:f>IF(AND(ISNUMBER(L275),ISNUMBER(H275),H275&lt;&gt;0),L275*$B$6/$B$4/(H275/60)^2/$B$5^4/$B$7,"")</x:f>
        <x:v>0.05456666372344165</x:v>
      </x:c>
      <x:c r="O275" s="22" t="n">
        <x:f>IF(ISNUMBER(N275),N275*$B$8,"")</x:f>
        <x:v>0.007050151480085063</x:v>
      </x:c>
      <x:c r="P275" s="20" t="str">
        <x:v>3000rpm!E161</x:v>
      </x:c>
      <x:c r="Q275" s="20" t="str">
        <x:v>3000rpm!D161</x:v>
      </x:c>
      <x:c r="R275" s="20" t="str">
        <x:v>3000rpm!D144</x:v>
      </x:c>
    </x:row>
    <x:row r="276">
      <x:c r="A276" s="21" t="n">
        <x:v>3000</x:v>
      </x:c>
      <x:c r="B276" s="21" t="n">
        <x:v>75</x:v>
      </x:c>
      <x:c r="C276" s="21" t="n">
        <x:v>18</x:v>
      </x:c>
      <x:c r="D276" s="21" t="n">
        <x:v>2</x:v>
      </x:c>
      <x:c r="E276" s="21" t="str">
        <x:v>3000rpm</x:v>
      </x:c>
      <x:c r="F276" s="21" t="n">
        <x:v>161</x:v>
      </x:c>
      <x:c r="G276" s="22" t="n">
        <x:f>IFERROR('3000rpm'!O161,"")</x:f>
        <x:v>4.14083315230704</x:v>
      </x:c>
      <x:c r="H276" s="22" t="n">
        <x:f>IFERROR('3000rpm'!L161,"")</x:f>
        <x:v>3066.68359375</x:v>
      </x:c>
      <x:c r="I276" s="22" t="n">
        <x:f>IFERROR('3000rpm'!N161,"")</x:f>
        <x:v>821.7830675675672</x:v>
      </x:c>
      <x:c r="J276" s="22" t="n">
        <x:f>IFERROR('3000rpm'!N144,"")</x:f>
        <x:v>40.663646103896085</x:v>
      </x:c>
      <x:c r="K276" s="22" t="n">
        <x:f>IF(AND(ISNUMBER(I276),ISNUMBER(J276)),I276-J276,"")</x:f>
        <x:v>781.1194214636711</x:v>
      </x:c>
      <x:c r="L276" s="22" t="n">
        <x:f>IF(ISNUMBER(K276),K276*$B$2+$B$3,"")</x:f>
        <x:v>744.0460031896553</x:v>
      </x:c>
      <x:c r="M276" s="22" t="n">
        <x:f>IF(AND(ISNUMBER(G276),ISNUMBER(H276),H276&lt;&gt;0),G276/(H276/60)/$B$5,"")</x:f>
        <x:v>0.177200029795958</x:v>
      </x:c>
      <x:c r="N276" s="22" t="n">
        <x:f>IF(AND(ISNUMBER(L276),ISNUMBER(H276),H276&lt;&gt;0),L276*$B$6/$B$4/(H276/60)^2/$B$5^4/$B$7,"")</x:f>
        <x:v>0.053012525110929465</x:v>
      </x:c>
      <x:c r="O276" s="22" t="n">
        <x:f>IF(ISNUMBER(N276),N276*$B$8,"")</x:f>
        <x:v>0.006849352825895892</x:v>
      </x:c>
      <x:c r="P276" s="20" t="str">
        <x:v>3000rpm!O161</x:v>
      </x:c>
      <x:c r="Q276" s="20" t="str">
        <x:v>3000rpm!N161</x:v>
      </x:c>
      <x:c r="R276" s="20" t="str">
        <x:v>3000rpm!N144</x:v>
      </x:c>
    </x:row>
    <x:row r="277">
      <x:c r="A277" s="21" t="n">
        <x:v>3000</x:v>
      </x:c>
      <x:c r="B277" s="21" t="n">
        <x:v>75</x:v>
      </x:c>
      <x:c r="C277" s="21" t="n">
        <x:v>19</x:v>
      </x:c>
      <x:c r="D277" s="21" t="n">
        <x:v>1</x:v>
      </x:c>
      <x:c r="E277" s="21" t="str">
        <x:v>3000rpm</x:v>
      </x:c>
      <x:c r="F277" s="21" t="n">
        <x:v>162</x:v>
      </x:c>
      <x:c r="G277" s="22" t="n">
        <x:f>IFERROR('3000rpm'!E162,"")</x:f>
        <x:v>3.11344830213336</x:v>
      </x:c>
      <x:c r="H277" s="22" t="n">
        <x:f>IFERROR('3000rpm'!B162,"")</x:f>
        <x:v>3124.92889959161</x:v>
      </x:c>
      <x:c r="I277" s="22" t="n">
        <x:f>IFERROR('3000rpm'!D162,"")</x:f>
        <x:v>973.1518832951939</x:v>
      </x:c>
      <x:c r="J277" s="22" t="n">
        <x:f>IFERROR('3000rpm'!D144,"")</x:f>
        <x:v>34.98588831835683</x:v>
      </x:c>
      <x:c r="K277" s="22" t="n">
        <x:f>IF(AND(ISNUMBER(I277),ISNUMBER(J277)),I277-J277,"")</x:f>
        <x:v>938.165994976837</x:v>
      </x:c>
      <x:c r="L277" s="22" t="n">
        <x:f>IF(ISNUMBER(K277),K277*$B$2+$B$3,"")</x:f>
        <x:v>887.8548069282494</x:v>
      </x:c>
      <x:c r="M277" s="22" t="n">
        <x:f>IF(AND(ISNUMBER(G277),ISNUMBER(H277),H277&lt;&gt;0),G277/(H277/60)/$B$5,"")</x:f>
        <x:v>0.1307514600032652</x:v>
      </x:c>
      <x:c r="N277" s="22" t="n">
        <x:f>IF(AND(ISNUMBER(L277),ISNUMBER(H277),H277&lt;&gt;0),L277*$B$6/$B$4/(H277/60)^2/$B$5^4/$B$7,"")</x:f>
        <x:v>0.060922583534747936</x:v>
      </x:c>
      <x:c r="O277" s="22" t="n">
        <x:f>IF(ISNUMBER(N277),N277*$B$8,"")</x:f>
        <x:v>0.007871352455319558</x:v>
      </x:c>
      <x:c r="P277" s="20" t="str">
        <x:v>3000rpm!E162</x:v>
      </x:c>
      <x:c r="Q277" s="20" t="str">
        <x:v>3000rpm!D162</x:v>
      </x:c>
      <x:c r="R277" s="20" t="str">
        <x:v>3000rpm!D144</x:v>
      </x:c>
    </x:row>
    <x:row r="278">
      <x:c r="A278" s="21" t="n">
        <x:v>3000</x:v>
      </x:c>
      <x:c r="B278" s="21" t="n">
        <x:v>75</x:v>
      </x:c>
      <x:c r="C278" s="21" t="n">
        <x:v>19</x:v>
      </x:c>
      <x:c r="D278" s="21" t="n">
        <x:v>2</x:v>
      </x:c>
      <x:c r="E278" s="21" t="str">
        <x:v>3000rpm</x:v>
      </x:c>
      <x:c r="F278" s="21" t="n">
        <x:v>162</x:v>
      </x:c>
      <x:c r="G278" s="22" t="n">
        <x:f>IFERROR('3000rpm'!O162,"")</x:f>
        <x:v>3.1127605951285053</x:v>
      </x:c>
      <x:c r="H278" s="22" t="n">
        <x:f>IFERROR('3000rpm'!L162,"")</x:f>
        <x:v>3056.50642903645</x:v>
      </x:c>
      <x:c r="I278" s="22" t="n">
        <x:f>IFERROR('3000rpm'!N162,"")</x:f>
        <x:v>906.4043403805487</x:v>
      </x:c>
      <x:c r="J278" s="22" t="n">
        <x:f>IFERROR('3000rpm'!N144,"")</x:f>
        <x:v>40.663646103896085</x:v>
      </x:c>
      <x:c r="K278" s="22" t="n">
        <x:f>IF(AND(ISNUMBER(I278),ISNUMBER(J278)),I278-J278,"")</x:f>
        <x:v>865.7406942766526</x:v>
      </x:c>
      <x:c r="L278" s="22" t="n">
        <x:f>IF(ISNUMBER(K278),K278*$B$2+$B$3,"")</x:f>
        <x:v>821.5343796746849</x:v>
      </x:c>
      <x:c r="M278" s="22" t="n">
        <x:f>IF(AND(ISNUMBER(G278),ISNUMBER(H278),H278&lt;&gt;0),G278/(H278/60)/$B$5,"")</x:f>
        <x:v>0.1336489142912332</x:v>
      </x:c>
      <x:c r="N278" s="22" t="n">
        <x:f>IF(AND(ISNUMBER(L278),ISNUMBER(H278),H278&lt;&gt;0),L278*$B$6/$B$4/(H278/60)^2/$B$5^4/$B$7,"")</x:f>
        <x:v>0.05892393720009722</x:v>
      </x:c>
      <x:c r="O278" s="22" t="n">
        <x:f>IF(ISNUMBER(N278),N278*$B$8,"")</x:f>
        <x:v>0.007613122274969517</x:v>
      </x:c>
      <x:c r="P278" s="20" t="str">
        <x:v>3000rpm!O162</x:v>
      </x:c>
      <x:c r="Q278" s="20" t="str">
        <x:v>3000rpm!N162</x:v>
      </x:c>
      <x:c r="R278" s="20" t="str">
        <x:v>3000rpm!N144</x:v>
      </x:c>
    </x:row>
    <x:row r="279">
      <x:c r="A279" s="21" t="n">
        <x:v>3000</x:v>
      </x:c>
      <x:c r="B279" s="21" t="n">
        <x:v>75</x:v>
      </x:c>
      <x:c r="C279" s="21" t="n">
        <x:v>20</x:v>
      </x:c>
      <x:c r="D279" s="21" t="n">
        <x:v>1</x:v>
      </x:c>
      <x:c r="E279" s="21" t="str">
        <x:v>3000rpm</x:v>
      </x:c>
      <x:c r="F279" s="21" t="n">
        <x:v>163</x:v>
      </x:c>
      <x:c r="G279" s="22" t="n">
        <x:f>IFERROR('3000rpm'!E163,"")</x:f>
        <x:v>2.089480472405745</x:v>
      </x:c>
      <x:c r="H279" s="22" t="n">
        <x:f>IFERROR('3000rpm'!B163,"")</x:f>
        <x:v>3138.06416652513</x:v>
      </x:c>
      <x:c r="I279" s="22" t="n">
        <x:f>IFERROR('3000rpm'!D163,"")</x:f>
        <x:v>1060.3114084821382</x:v>
      </x:c>
      <x:c r="J279" s="22" t="n">
        <x:f>IFERROR('3000rpm'!D144,"")</x:f>
        <x:v>34.98588831835683</x:v>
      </x:c>
      <x:c r="K279" s="22" t="n">
        <x:f>IF(AND(ISNUMBER(I279),ISNUMBER(J279)),I279-J279,"")</x:f>
        <x:v>1025.3255201637814</x:v>
      </x:c>
      <x:c r="L279" s="22" t="n">
        <x:f>IF(ISNUMBER(K279),K279*$B$2+$B$3,"")</x:f>
        <x:v>967.6674814181359</x:v>
      </x:c>
      <x:c r="M279" s="22" t="n">
        <x:f>IF(AND(ISNUMBER(G279),ISNUMBER(H279),H279&lt;&gt;0),G279/(H279/60)/$B$5,"")</x:f>
        <x:v>0.08738190846251122</x:v>
      </x:c>
      <x:c r="N279" s="22" t="n">
        <x:f>IF(AND(ISNUMBER(L279),ISNUMBER(H279),H279&lt;&gt;0),L279*$B$6/$B$4/(H279/60)^2/$B$5^4/$B$7,"")</x:f>
        <x:v>0.06584444631031787</x:v>
      </x:c>
      <x:c r="O279" s="22" t="n">
        <x:f>IF(ISNUMBER(N279),N279*$B$8,"")</x:f>
        <x:v>0.008507269620932397</x:v>
      </x:c>
      <x:c r="P279" s="20" t="str">
        <x:v>3000rpm!E163</x:v>
      </x:c>
      <x:c r="Q279" s="20" t="str">
        <x:v>3000rpm!D163</x:v>
      </x:c>
      <x:c r="R279" s="20" t="str">
        <x:v>3000rpm!D144</x:v>
      </x:c>
    </x:row>
    <x:row r="280">
      <x:c r="A280" s="21" t="n">
        <x:v>3000</x:v>
      </x:c>
      <x:c r="B280" s="21" t="n">
        <x:v>75</x:v>
      </x:c>
      <x:c r="C280" s="21" t="n">
        <x:v>20</x:v>
      </x:c>
      <x:c r="D280" s="21" t="n">
        <x:v>2</x:v>
      </x:c>
      <x:c r="E280" s="21" t="str">
        <x:v>3000rpm</x:v>
      </x:c>
      <x:c r="F280" s="21" t="n">
        <x:v>163</x:v>
      </x:c>
      <x:c r="G280" s="22" t="n">
        <x:f>IFERROR('3000rpm'!O163,"")</x:f>
        <x:v>2.086426769844195</x:v>
      </x:c>
      <x:c r="H280" s="22" t="n">
        <x:f>IFERROR('3000rpm'!L163,"")</x:f>
        <x:v>3063.12307942708</x:v>
      </x:c>
      <x:c r="I280" s="22" t="n">
        <x:f>IFERROR('3000rpm'!N163,"")</x:f>
        <x:v>997.4301226890748</x:v>
      </x:c>
      <x:c r="J280" s="22" t="n">
        <x:f>IFERROR('3000rpm'!N144,"")</x:f>
        <x:v>40.663646103896085</x:v>
      </x:c>
      <x:c r="K280" s="22" t="n">
        <x:f>IF(AND(ISNUMBER(I280),ISNUMBER(J280)),I280-J280,"")</x:f>
        <x:v>956.7664765851787</x:v>
      </x:c>
      <x:c r="L280" s="22" t="n">
        <x:f>IF(ISNUMBER(K280),K280*$B$2+$B$3,"")</x:f>
        <x:v>904.8874167408608</x:v>
      </x:c>
      <x:c r="M280" s="22" t="n">
        <x:f>IF(AND(ISNUMBER(G280),ISNUMBER(H280),H280&lt;&gt;0),G280/(H280/60)/$B$5,"")</x:f>
        <x:v>0.08938892766670696</x:v>
      </x:c>
      <x:c r="N280" s="22" t="n">
        <x:f>IF(AND(ISNUMBER(L280),ISNUMBER(H280),H280&lt;&gt;0),L280*$B$6/$B$4/(H280/60)^2/$B$5^4/$B$7,"")</x:f>
        <x:v>0.06462228295289799</x:v>
      </x:c>
      <x:c r="O280" s="22" t="n">
        <x:f>IF(ISNUMBER(N280),N280*$B$8,"")</x:f>
        <x:v>0.00834936301247838</x:v>
      </x:c>
      <x:c r="P280" s="20" t="str">
        <x:v>3000rpm!O163</x:v>
      </x:c>
      <x:c r="Q280" s="20" t="str">
        <x:v>3000rpm!N163</x:v>
      </x:c>
      <x:c r="R280" s="20" t="str">
        <x:v>3000rpm!N144</x:v>
      </x:c>
    </x:row>
    <x:row r="281">
      <x:c r="A281" s="21" t="n">
        <x:v>3000</x:v>
      </x:c>
      <x:c r="B281" s="21" t="n">
        <x:v>75</x:v>
      </x:c>
      <x:c r="C281" s="21" t="n">
        <x:v>21</x:v>
      </x:c>
      <x:c r="D281" s="21" t="n">
        <x:v>1</x:v>
      </x:c>
      <x:c r="E281" s="21" t="str">
        <x:v>3000rpm</x:v>
      </x:c>
      <x:c r="F281" s="21" t="n">
        <x:v>164</x:v>
      </x:c>
      <x:c r="G281" s="22" t="n">
        <x:f>IFERROR('3000rpm'!E164,"")</x:f>
        <x:v>1.0618502227054245</x:v>
      </x:c>
      <x:c r="H281" s="22" t="n">
        <x:f>IFERROR('3000rpm'!B164,"")</x:f>
        <x:v>3118.52706344039</x:v>
      </x:c>
      <x:c r="I281" s="22" t="n">
        <x:f>IFERROR('3000rpm'!D164,"")</x:f>
        <x:v>1146.3199635316666</x:v>
      </x:c>
      <x:c r="J281" s="22" t="n">
        <x:f>IFERROR('3000rpm'!D144,"")</x:f>
        <x:v>34.98588831835683</x:v>
      </x:c>
      <x:c r="K281" s="22" t="n">
        <x:f>IF(AND(ISNUMBER(I281),ISNUMBER(J281)),I281-J281,"")</x:f>
        <x:v>1111.33407521331</x:v>
      </x:c>
      <x:c r="L281" s="22" t="n">
        <x:f>IF(ISNUMBER(K281),K281*$B$2+$B$3,"")</x:f>
        <x:v>1046.4262033454295</x:v>
      </x:c>
      <x:c r="M281" s="22" t="n">
        <x:f>IF(AND(ISNUMBER(G281),ISNUMBER(H281),H281&lt;&gt;0),G281/(H281/60)/$B$5,"")</x:f>
        <x:v>0.04468469251425649</x:v>
      </x:c>
      <x:c r="N281" s="22" t="n">
        <x:f>IF(AND(ISNUMBER(L281),ISNUMBER(H281),H281&lt;&gt;0),L281*$B$6/$B$4/(H281/60)^2/$B$5^4/$B$7,"")</x:f>
        <x:v>0.07209849747942063</x:v>
      </x:c>
      <x:c r="O281" s="22" t="n">
        <x:f>IF(ISNUMBER(N281),N281*$B$8,"")</x:f>
        <x:v>0.009315308908982835</x:v>
      </x:c>
      <x:c r="P281" s="20" t="str">
        <x:v>3000rpm!E164</x:v>
      </x:c>
      <x:c r="Q281" s="20" t="str">
        <x:v>3000rpm!D164</x:v>
      </x:c>
      <x:c r="R281" s="20" t="str">
        <x:v>3000rpm!D144</x:v>
      </x:c>
    </x:row>
    <x:row r="282">
      <x:c r="A282" s="21" t="n">
        <x:v>3000</x:v>
      </x:c>
      <x:c r="B282" s="21" t="n">
        <x:v>75</x:v>
      </x:c>
      <x:c r="C282" s="21" t="n">
        <x:v>21</x:v>
      </x:c>
      <x:c r="D282" s="21" t="n">
        <x:v>2</x:v>
      </x:c>
      <x:c r="E282" s="21" t="str">
        <x:v>3000rpm</x:v>
      </x:c>
      <x:c r="F282" s="21" t="n">
        <x:v>164</x:v>
      </x:c>
      <x:c r="G282" s="22" t="n">
        <x:f>IFERROR('3000rpm'!O164,"")</x:f>
        <x:v>1.0567875081278566</x:v>
      </x:c>
      <x:c r="H282" s="22" t="n">
        <x:f>IFERROR('3000rpm'!L164,"")</x:f>
        <x:v>3043.02861870659</x:v>
      </x:c>
      <x:c r="I282" s="22" t="n">
        <x:f>IFERROR('3000rpm'!N164,"")</x:f>
        <x:v>1077.7469553072542</x:v>
      </x:c>
      <x:c r="J282" s="22" t="n">
        <x:f>IFERROR('3000rpm'!N144,"")</x:f>
        <x:v>40.663646103896085</x:v>
      </x:c>
      <x:c r="K282" s="22" t="n">
        <x:f>IF(AND(ISNUMBER(I282),ISNUMBER(J282)),I282-J282,"")</x:f>
        <x:v>1037.083309203358</x:v>
      </x:c>
      <x:c r="L282" s="22" t="n">
        <x:f>IF(ISNUMBER(K282),K282*$B$2+$B$3,"")</x:f>
        <x:v>978.4341829039886</x:v>
      </x:c>
      <x:c r="M282" s="22" t="n">
        <x:f>IF(AND(ISNUMBER(G282),ISNUMBER(H282),H282&lt;&gt;0),G282/(H282/60)/$B$5,"")</x:f>
        <x:v>0.04557499848543727</x:v>
      </x:c>
      <x:c r="N282" s="22" t="n">
        <x:f>IF(AND(ISNUMBER(L282),ISNUMBER(H282),H282&lt;&gt;0),L282*$B$6/$B$4/(H282/60)^2/$B$5^4/$B$7,"")</x:f>
        <x:v>0.07080047739201294</x:v>
      </x:c>
      <x:c r="O282" s="22" t="n">
        <x:f>IF(ISNUMBER(N282),N282*$B$8,"")</x:f>
        <x:v>0.009147601418438822</x:v>
      </x:c>
      <x:c r="P282" s="20" t="str">
        <x:v>3000rpm!O164</x:v>
      </x:c>
      <x:c r="Q282" s="20" t="str">
        <x:v>3000rpm!N164</x:v>
      </x:c>
      <x:c r="R282" s="20" t="str">
        <x:v>3000rpm!N144</x:v>
      </x:c>
    </x:row>
    <x:row r="283">
      <x:c r="A283" s="21" t="n">
        <x:v>3000</x:v>
      </x:c>
      <x:c r="B283" s="21" t="n">
        <x:v>75</x:v>
      </x:c>
      <x:c r="C283" s="21" t="n">
        <x:v>22</x:v>
      </x:c>
      <x:c r="D283" s="21" t="n">
        <x:v>1</x:v>
      </x:c>
      <x:c r="E283" s="21" t="str">
        <x:v>3000rpm</x:v>
      </x:c>
      <x:c r="F283" s="21" t="n">
        <x:v>165</x:v>
      </x:c>
      <x:c r="G283" s="22" t="n">
        <x:f>IFERROR('3000rpm'!E165,"")</x:f>
        <x:v>0.15582000000000001</x:v>
      </x:c>
      <x:c r="H283" s="22" t="n">
        <x:f>IFERROR('3000rpm'!B165,"")</x:f>
        <x:v>3108.55</x:v>
      </x:c>
      <x:c r="I283" s="22" t="n">
        <x:f>IFERROR('3000rpm'!D165,"")</x:f>
        <x:v>1197.7332059999999</x:v>
      </x:c>
      <x:c r="J283" s="22" t="n">
        <x:f>IFERROR('3000rpm'!D144,"")</x:f>
        <x:v>34.98588831835683</x:v>
      </x:c>
      <x:c r="K283" s="22" t="n">
        <x:f>IF(AND(ISNUMBER(I283),ISNUMBER(J283)),I283-J283,"")</x:f>
        <x:v>1162.7473176816432</x:v>
      </x:c>
      <x:c r="L283" s="22" t="n">
        <x:f>IF(ISNUMBER(K283),K283*$B$2+$B$3,"")</x:f>
        <x:v>1093.5057207796222</x:v>
      </x:c>
      <x:c r="M283" s="22" t="n">
        <x:f>IF(AND(ISNUMBER(G283),ISNUMBER(H283),H283&lt;&gt;0),G283/(H283/60)/$B$5,"")</x:f>
        <x:v>0.0065782499550072525</x:v>
      </x:c>
      <x:c r="N283" s="22" t="n">
        <x:f>IF(AND(ISNUMBER(L283),ISNUMBER(H283),H283&lt;&gt;0),L283*$B$6/$B$4/(H283/60)^2/$B$5^4/$B$7,"")</x:f>
        <x:v>0.07582667063715272</x:v>
      </x:c>
      <x:c r="O283" s="22" t="n">
        <x:f>IF(ISNUMBER(N283),N283*$B$8,"")</x:f>
        <x:v>0.009796998345581223</x:v>
      </x:c>
      <x:c r="P283" s="20" t="str">
        <x:v>3000rpm!E165</x:v>
      </x:c>
      <x:c r="Q283" s="20" t="str">
        <x:v>3000rpm!D165</x:v>
      </x:c>
      <x:c r="R283" s="20" t="str">
        <x:v>3000rpm!D144</x:v>
      </x:c>
    </x:row>
    <x:row r="284">
      <x:c r="A284" s="21" t="n">
        <x:v>3000</x:v>
      </x:c>
      <x:c r="B284" s="21" t="n">
        <x:v>75</x:v>
      </x:c>
      <x:c r="C284" s="21" t="n">
        <x:v>22</x:v>
      </x:c>
      <x:c r="D284" s="21" t="n">
        <x:v>2</x:v>
      </x:c>
      <x:c r="E284" s="21" t="str">
        <x:v>3000rpm</x:v>
      </x:c>
      <x:c r="F284" s="21" t="n">
        <x:v>165</x:v>
      </x:c>
      <x:c r="G284" s="22" t="n">
        <x:f>IFERROR('3000rpm'!O165,"")</x:f>
        <x:v>0.152775</x:v>
      </x:c>
      <x:c r="H284" s="22" t="n">
        <x:f>IFERROR('3000rpm'!L165,"")</x:f>
        <x:v>3031.918</x:v>
      </x:c>
      <x:c r="I284" s="22" t="n">
        <x:f>IFERROR('3000rpm'!N165,"")</x:f>
        <x:v>1146.5265299999999</x:v>
      </x:c>
      <x:c r="J284" s="22" t="n">
        <x:f>IFERROR('3000rpm'!N144,"")</x:f>
        <x:v>40.663646103896085</x:v>
      </x:c>
      <x:c r="K284" s="22" t="n">
        <x:f>IF(AND(ISNUMBER(I284),ISNUMBER(J284)),I284-J284,"")</x:f>
        <x:v>1105.8628838961038</x:v>
      </x:c>
      <x:c r="L284" s="22" t="n">
        <x:f>IF(ISNUMBER(K284),K284*$B$2+$B$3,"")</x:f>
        <x:v>1041.4161896867333</x:v>
      </x:c>
      <x:c r="M284" s="22" t="n">
        <x:f>IF(AND(ISNUMBER(G284),ISNUMBER(H284),H284&lt;&gt;0),G284/(H284/60)/$B$5,"")</x:f>
        <x:v>0.00661271597662773</x:v>
      </x:c>
      <x:c r="N284" s="22" t="n">
        <x:f>IF(AND(ISNUMBER(L284),ISNUMBER(H284),H284&lt;&gt;0),L284*$B$6/$B$4/(H284/60)^2/$B$5^4/$B$7,"")</x:f>
        <x:v>0.0759112363561664</x:v>
      </x:c>
      <x:c r="O284" s="22" t="n">
        <x:f>IF(ISNUMBER(N284),N284*$B$8,"")</x:f>
        <x:v>0.009807924451162653</x:v>
      </x:c>
      <x:c r="P284" s="20" t="str">
        <x:v>3000rpm!O165</x:v>
      </x:c>
      <x:c r="Q284" s="20" t="str">
        <x:v>3000rpm!N165</x:v>
      </x:c>
      <x:c r="R284" s="20" t="str">
        <x:v>3000rpm!N144</x:v>
      </x:c>
    </x:row>
    <x:row r="285">
      <x:c r="A285" s="21" t="n">
        <x:v>3000</x:v>
      </x:c>
      <x:c r="B285" s="21" t="n">
        <x:v>75</x:v>
      </x:c>
      <x:c r="C285" s="21" t="n">
        <x:v>23</x:v>
      </x:c>
      <x:c r="D285" s="21" t="n">
        <x:v>1</x:v>
      </x:c>
      <x:c r="E285" s="21" t="str">
        <x:v>3000rpm</x:v>
      </x:c>
      <x:c r="F285" s="21" t="n">
        <x:v>166</x:v>
      </x:c>
      <x:c r="G285" s="22" t="n">
        <x:f>IFERROR('3000rpm'!E166,"")</x:f>
        <x:v>0.13477409682754005</x:v>
      </x:c>
      <x:c r="H285" s="22" t="n">
        <x:f>IFERROR('3000rpm'!B166,"")</x:f>
        <x:v>0</x:v>
      </x:c>
      <x:c r="I285" s="22" t="n">
        <x:f>IFERROR('3000rpm'!D166,"")</x:f>
        <x:v>36.586124999999996</x:v>
      </x:c>
      <x:c r="J285" s="22" t="n">
        <x:f>IFERROR('3000rpm'!D144,"")</x:f>
        <x:v>34.98588831835683</x:v>
      </x:c>
      <x:c r="K285" s="22" t="n">
        <x:f>IF(AND(ISNUMBER(I285),ISNUMBER(J285)),I285-J285,"")</x:f>
        <x:v>1.6002366816431675</x:v>
      </x:c>
      <x:c r="L285" s="22" t="n">
        <x:f>IF(ISNUMBER(K285),K285*$B$2+$B$3,"")</x:f>
        <x:v>30.2340495312741</x:v>
      </x:c>
      <x:c r="M285" s="22" t="str">
        <x:f>IF(AND(ISNUMBER(G285),ISNUMBER(H285),H285&lt;&gt;0),G285/(H285/60)/$B$5,"")</x:f>
      </x:c>
      <x:c r="N285" s="22" t="str">
        <x:f>IF(AND(ISNUMBER(L285),ISNUMBER(H285),H285&lt;&gt;0),L285*$B$6/$B$4/(H285/60)^2/$B$5^4/$B$7,"")</x:f>
      </x:c>
      <x:c r="O285" s="22" t="str">
        <x:f>IF(ISNUMBER(N285),N285*$B$8,"")</x:f>
      </x:c>
      <x:c r="P285" s="20" t="str">
        <x:v>3000rpm!E166</x:v>
      </x:c>
      <x:c r="Q285" s="20" t="str">
        <x:v>3000rpm!D166</x:v>
      </x:c>
      <x:c r="R285" s="20" t="str">
        <x:v>3000rpm!D144</x:v>
      </x:c>
    </x:row>
    <x:row r="286">
      <x:c r="A286" s="21" t="n">
        <x:v>3000</x:v>
      </x:c>
      <x:c r="B286" s="21" t="n">
        <x:v>75</x:v>
      </x:c>
      <x:c r="C286" s="21" t="n">
        <x:v>23</x:v>
      </x:c>
      <x:c r="D286" s="21" t="n">
        <x:v>2</x:v>
      </x:c>
      <x:c r="E286" s="21" t="str">
        <x:v>3000rpm</x:v>
      </x:c>
      <x:c r="F286" s="21" t="n">
        <x:v>166</x:v>
      </x:c>
      <x:c r="G286" s="22" t="n">
        <x:f>IFERROR('3000rpm'!O166,"")</x:f>
        <x:v>0.000866407027038243</x:v>
      </x:c>
      <x:c r="H286" s="22" t="n">
        <x:f>IFERROR('3000rpm'!L166,"")</x:f>
        <x:v>0</x:v>
      </x:c>
      <x:c r="I286" s="22" t="n">
        <x:f>IFERROR('3000rpm'!N166,"")</x:f>
        <x:v>40.863119999999995</x:v>
      </x:c>
      <x:c r="J286" s="22" t="n">
        <x:f>IFERROR('3000rpm'!N144,"")</x:f>
        <x:v>40.663646103896085</x:v>
      </x:c>
      <x:c r="K286" s="22" t="n">
        <x:f>IF(AND(ISNUMBER(I286),ISNUMBER(J286)),I286-J286,"")</x:f>
        <x:v>0.19947389610391042</x:v>
      </x:c>
      <x:c r="L286" s="22" t="n">
        <x:f>IF(ISNUMBER(K286),K286*$B$2+$B$3,"")</x:f>
        <x:v>28.95135984245352</x:v>
      </x:c>
      <x:c r="M286" s="22" t="str">
        <x:f>IF(AND(ISNUMBER(G286),ISNUMBER(H286),H286&lt;&gt;0),G286/(H286/60)/$B$5,"")</x:f>
      </x:c>
      <x:c r="N286" s="22" t="str">
        <x:f>IF(AND(ISNUMBER(L286),ISNUMBER(H286),H286&lt;&gt;0),L286*$B$6/$B$4/(H286/60)^2/$B$5^4/$B$7,"")</x:f>
      </x:c>
      <x:c r="O286" s="22" t="str">
        <x:f>IF(ISNUMBER(N286),N286*$B$8,"")</x:f>
      </x:c>
      <x:c r="P286" s="20" t="str">
        <x:v>3000rpm!O166</x:v>
      </x:c>
      <x:c r="Q286" s="20" t="str">
        <x:v>3000rpm!N166</x:v>
      </x:c>
      <x:c r="R286" s="20" t="str">
        <x:v>3000rpm!N144</x:v>
      </x:c>
    </x:row>
    <x:row r="287">
      <x:c r="A287" s="21" t="n">
        <x:v>3000</x:v>
      </x:c>
      <x:c r="B287" s="21" t="n">
        <x:v>90</x:v>
      </x:c>
      <x:c r="C287" s="21" t="n">
        <x:v>1</x:v>
      </x:c>
      <x:c r="D287" s="21" t="n">
        <x:v>1</x:v>
      </x:c>
      <x:c r="E287" s="21" t="str">
        <x:v>3000rpm</x:v>
      </x:c>
      <x:c r="F287" s="21" t="n">
        <x:v>174</x:v>
      </x:c>
      <x:c r="G287" s="22" t="n">
        <x:f>IFERROR('3000rpm'!E174,"")</x:f>
        <x:v>0.003778016609266155</x:v>
      </x:c>
      <x:c r="H287" s="22" t="n">
        <x:f>IFERROR('3000rpm'!B174,"")</x:f>
        <x:v>0</x:v>
      </x:c>
      <x:c r="I287" s="22" t="n">
        <x:f>IFERROR('3000rpm'!D174,"")</x:f>
        <x:v>225.4981045045034</x:v>
      </x:c>
      <x:c r="J287" s="22" t="n">
        <x:f>IFERROR('3000rpm'!D174,"")</x:f>
        <x:v>225.4981045045034</x:v>
      </x:c>
      <x:c r="K287" s="22" t="n">
        <x:f>IF(AND(ISNUMBER(I287),ISNUMBER(J287)),I287-J287,"")</x:f>
        <x:v>0</x:v>
      </x:c>
      <x:c r="L287" s="22" t="n">
        <x:f>IF(ISNUMBER(K287),K287*$B$2+$B$3,"")</x:f>
        <x:v>28.7687</x:v>
      </x:c>
      <x:c r="M287" s="22" t="str">
        <x:f>IF(AND(ISNUMBER(G287),ISNUMBER(H287),H287&lt;&gt;0),G287/(H287/60)/$B$5,"")</x:f>
      </x:c>
      <x:c r="N287" s="22" t="str">
        <x:f>IF(AND(ISNUMBER(L287),ISNUMBER(H287),H287&lt;&gt;0),L287*$B$6/$B$4/(H287/60)^2/$B$5^4/$B$7,"")</x:f>
      </x:c>
      <x:c r="O287" s="22" t="str">
        <x:f>IF(ISNUMBER(N287),N287*$B$8,"")</x:f>
      </x:c>
      <x:c r="P287" s="20" t="str">
        <x:v>3000rpm!E174</x:v>
      </x:c>
      <x:c r="Q287" s="20" t="str">
        <x:v>3000rpm!D174</x:v>
      </x:c>
      <x:c r="R287" s="20" t="str">
        <x:v>3000rpm!D174</x:v>
      </x:c>
    </x:row>
    <x:row r="288">
      <x:c r="A288" s="21" t="n">
        <x:v>3000</x:v>
      </x:c>
      <x:c r="B288" s="21" t="n">
        <x:v>90</x:v>
      </x:c>
      <x:c r="C288" s="21" t="n">
        <x:v>1</x:v>
      </x:c>
      <x:c r="D288" s="21" t="n">
        <x:v>2</x:v>
      </x:c>
      <x:c r="E288" s="21" t="str">
        <x:v>3000rpm</x:v>
      </x:c>
      <x:c r="F288" s="21" t="n">
        <x:v>174</x:v>
      </x:c>
      <x:c r="G288" s="22" t="n">
        <x:f>IFERROR('3000rpm'!O174,"")</x:f>
        <x:v>0.0011315932560120958</x:v>
      </x:c>
      <x:c r="H288" s="22" t="n">
        <x:f>IFERROR('3000rpm'!L174,"")</x:f>
        <x:v>0</x:v>
      </x:c>
      <x:c r="I288" s="22" t="n">
        <x:f>IFERROR('3000rpm'!N174,"")</x:f>
        <x:v>214.38530833333257</x:v>
      </x:c>
      <x:c r="J288" s="22" t="n">
        <x:f>IFERROR('3000rpm'!N174,"")</x:f>
        <x:v>214.38530833333257</x:v>
      </x:c>
      <x:c r="K288" s="22" t="n">
        <x:f>IF(AND(ISNUMBER(I288),ISNUMBER(J288)),I288-J288,"")</x:f>
        <x:v>0</x:v>
      </x:c>
      <x:c r="L288" s="22" t="n">
        <x:f>IF(ISNUMBER(K288),K288*$B$2+$B$3,"")</x:f>
        <x:v>28.7687</x:v>
      </x:c>
      <x:c r="M288" s="22" t="str">
        <x:f>IF(AND(ISNUMBER(G288),ISNUMBER(H288),H288&lt;&gt;0),G288/(H288/60)/$B$5,"")</x:f>
      </x:c>
      <x:c r="N288" s="22" t="str">
        <x:f>IF(AND(ISNUMBER(L288),ISNUMBER(H288),H288&lt;&gt;0),L288*$B$6/$B$4/(H288/60)^2/$B$5^4/$B$7,"")</x:f>
      </x:c>
      <x:c r="O288" s="22" t="str">
        <x:f>IF(ISNUMBER(N288),N288*$B$8,"")</x:f>
      </x:c>
      <x:c r="P288" s="20" t="str">
        <x:v>3000rpm!O174</x:v>
      </x:c>
      <x:c r="Q288" s="20" t="str">
        <x:v>3000rpm!N174</x:v>
      </x:c>
      <x:c r="R288" s="20" t="str">
        <x:v>3000rpm!N174</x:v>
      </x:c>
    </x:row>
    <x:row r="289">
      <x:c r="A289" s="21" t="n">
        <x:v>3000</x:v>
      </x:c>
      <x:c r="B289" s="21" t="n">
        <x:v>90</x:v>
      </x:c>
      <x:c r="C289" s="21" t="n">
        <x:v>2</x:v>
      </x:c>
      <x:c r="D289" s="21" t="n">
        <x:v>1</x:v>
      </x:c>
      <x:c r="E289" s="21" t="str">
        <x:v>3000rpm</x:v>
      </x:c>
      <x:c r="F289" s="21" t="n">
        <x:v>175</x:v>
      </x:c>
      <x:c r="G289" s="22" t="n">
        <x:f>IFERROR('3000rpm'!E175,"")</x:f>
        <x:v>0.089961</x:v>
      </x:c>
      <x:c r="H289" s="22" t="n">
        <x:f>IFERROR('3000rpm'!B175,"")</x:f>
        <x:v>3047.2</x:v>
      </x:c>
      <x:c r="I289" s="22" t="n">
        <x:f>IFERROR('3000rpm'!D175,"")</x:f>
        <x:v>1341.8404</x:v>
      </x:c>
      <x:c r="J289" s="22" t="n">
        <x:f>IFERROR('3000rpm'!D174,"")</x:f>
        <x:v>225.4981045045034</x:v>
      </x:c>
      <x:c r="K289" s="22" t="n">
        <x:f>IF(AND(ISNUMBER(I289),ISNUMBER(J289)),I289-J289,"")</x:f>
        <x:v>1116.3422954954967</x:v>
      </x:c>
      <x:c r="L289" s="22" t="n">
        <x:f>IF(ISNUMBER(K289),K289*$B$2+$B$3,"")</x:f>
        <x:v>1051.0122707235903</x:v>
      </x:c>
      <x:c r="M289" s="22" t="n">
        <x:f>IF(AND(ISNUMBER(G289),ISNUMBER(H289),H289&lt;&gt;0),G289/(H289/60)/$B$5,"")</x:f>
        <x:v>0.00387434546856492</x:v>
      </x:c>
      <x:c r="N289" s="22" t="n">
        <x:f>IF(AND(ISNUMBER(L289),ISNUMBER(H289),H289&lt;&gt;0),L289*$B$6/$B$4/(H289/60)^2/$B$5^4/$B$7,"")</x:f>
        <x:v>0.0758442235896692</x:v>
      </x:c>
      <x:c r="O289" s="22" t="n">
        <x:f>IF(ISNUMBER(N289),N289*$B$8,"")</x:f>
        <x:v>0.009799266231607593</x:v>
      </x:c>
      <x:c r="P289" s="20" t="str">
        <x:v>3000rpm!E175</x:v>
      </x:c>
      <x:c r="Q289" s="20" t="str">
        <x:v>3000rpm!D175</x:v>
      </x:c>
      <x:c r="R289" s="20" t="str">
        <x:v>3000rpm!D174</x:v>
      </x:c>
    </x:row>
    <x:row r="290">
      <x:c r="A290" s="21" t="n">
        <x:v>3000</x:v>
      </x:c>
      <x:c r="B290" s="21" t="n">
        <x:v>90</x:v>
      </x:c>
      <x:c r="C290" s="21" t="n">
        <x:v>2</x:v>
      </x:c>
      <x:c r="D290" s="21" t="n">
        <x:v>2</x:v>
      </x:c>
      <x:c r="E290" s="21" t="str">
        <x:v>3000rpm</x:v>
      </x:c>
      <x:c r="F290" s="21" t="n">
        <x:v>175</x:v>
      </x:c>
      <x:c r="G290" s="22" t="n">
        <x:f>IFERROR('3000rpm'!O175,"")</x:f>
        <x:v>0.07161000000000001</x:v>
      </x:c>
      <x:c r="H290" s="22" t="n">
        <x:f>IFERROR('3000rpm'!L175,"")</x:f>
        <x:v>3030.7789</x:v>
      </x:c>
      <x:c r="I290" s="22" t="n">
        <x:f>IFERROR('3000rpm'!N175,"")</x:f>
        <x:v>1325.1475890000002</x:v>
      </x:c>
      <x:c r="J290" s="22" t="n">
        <x:f>IFERROR('3000rpm'!N174,"")</x:f>
        <x:v>214.38530833333257</x:v>
      </x:c>
      <x:c r="K290" s="22" t="n">
        <x:f>IF(AND(ISNUMBER(I290),ISNUMBER(J290)),I290-J290,"")</x:f>
        <x:v>1110.7622806666675</x:v>
      </x:c>
      <x:c r="L290" s="22" t="n">
        <x:f>IF(ISNUMBER(K290),K290*$B$2+$B$3,"")</x:f>
        <x:v>1045.9026065047128</x:v>
      </x:c>
      <x:c r="M290" s="22" t="n">
        <x:f>IF(AND(ISNUMBER(G290),ISNUMBER(H290),H290&lt;&gt;0),G290/(H290/60)/$B$5,"")</x:f>
        <x:v>0.0031007335425476245</x:v>
      </x:c>
      <x:c r="N290" s="22" t="n">
        <x:f>IF(AND(ISNUMBER(L290),ISNUMBER(H290),H290&lt;&gt;0),L290*$B$6/$B$4/(H290/60)^2/$B$5^4/$B$7,"")</x:f>
        <x:v>0.07629557981403291</x:v>
      </x:c>
      <x:c r="O290" s="22" t="n">
        <x:f>IF(ISNUMBER(N290),N290*$B$8,"")</x:f>
        <x:v>0.009857582601642075</x:v>
      </x:c>
      <x:c r="P290" s="20" t="str">
        <x:v>3000rpm!O175</x:v>
      </x:c>
      <x:c r="Q290" s="20" t="str">
        <x:v>3000rpm!N175</x:v>
      </x:c>
      <x:c r="R290" s="20" t="str">
        <x:v>3000rpm!N174</x:v>
      </x:c>
    </x:row>
    <x:row r="291">
      <x:c r="A291" s="21" t="n">
        <x:v>3000</x:v>
      </x:c>
      <x:c r="B291" s="21" t="n">
        <x:v>90</x:v>
      </x:c>
      <x:c r="C291" s="21" t="n">
        <x:v>3</x:v>
      </x:c>
      <x:c r="D291" s="21" t="n">
        <x:v>1</x:v>
      </x:c>
      <x:c r="E291" s="21" t="str">
        <x:v>3000rpm</x:v>
      </x:c>
      <x:c r="F291" s="21" t="n">
        <x:v>176</x:v>
      </x:c>
      <x:c r="G291" s="22" t="n">
        <x:f>IFERROR('3000rpm'!E176,"")</x:f>
        <x:v>1.0163249536942875</x:v>
      </x:c>
      <x:c r="H291" s="22" t="n">
        <x:f>IFERROR('3000rpm'!B176,"")</x:f>
        <x:v>3048.40100585937</x:v>
      </x:c>
      <x:c r="I291" s="22" t="n">
        <x:f>IFERROR('3000rpm'!D176,"")</x:f>
        <x:v>1285.0312666666623</x:v>
      </x:c>
      <x:c r="J291" s="22" t="n">
        <x:f>IFERROR('3000rpm'!D174,"")</x:f>
        <x:v>225.4981045045034</x:v>
      </x:c>
      <x:c r="K291" s="22" t="n">
        <x:f>IF(AND(ISNUMBER(I291),ISNUMBER(J291)),I291-J291,"")</x:f>
        <x:v>1059.533162162159</x:v>
      </x:c>
      <x:c r="L291" s="22" t="n">
        <x:f>IF(ISNUMBER(K291),K291*$B$2+$B$3,"")</x:f>
        <x:v>998.9916928571862</x:v>
      </x:c>
      <x:c r="M291" s="22" t="n">
        <x:f>IF(AND(ISNUMBER(G291),ISNUMBER(H291),H291&lt;&gt;0),G291/(H291/60)/$B$5,"")</x:f>
        <x:v>0.043752766751729746</x:v>
      </x:c>
      <x:c r="N291" s="22" t="n">
        <x:f>IF(AND(ISNUMBER(L291),ISNUMBER(H291),H291&lt;&gt;0),L291*$B$6/$B$4/(H291/60)^2/$B$5^4/$B$7,"")</x:f>
        <x:v>0.0720334684842075</x:v>
      </x:c>
      <x:c r="O291" s="22" t="n">
        <x:f>IF(ISNUMBER(N291),N291*$B$8,"")</x:f>
        <x:v>0.009306906997713825</x:v>
      </x:c>
      <x:c r="P291" s="20" t="str">
        <x:v>3000rpm!E176</x:v>
      </x:c>
      <x:c r="Q291" s="20" t="str">
        <x:v>3000rpm!D176</x:v>
      </x:c>
      <x:c r="R291" s="20" t="str">
        <x:v>3000rpm!D174</x:v>
      </x:c>
    </x:row>
    <x:row r="292">
      <x:c r="A292" s="21" t="n">
        <x:v>3000</x:v>
      </x:c>
      <x:c r="B292" s="21" t="n">
        <x:v>90</x:v>
      </x:c>
      <x:c r="C292" s="21" t="n">
        <x:v>3</x:v>
      </x:c>
      <x:c r="D292" s="21" t="n">
        <x:v>2</x:v>
      </x:c>
      <x:c r="E292" s="21" t="str">
        <x:v>3000rpm</x:v>
      </x:c>
      <x:c r="F292" s="21" t="n">
        <x:v>176</x:v>
      </x:c>
      <x:c r="G292" s="22" t="n">
        <x:f>IFERROR('3000rpm'!O176,"")</x:f>
        <x:v>1.0209611784189165</x:v>
      </x:c>
      <x:c r="H292" s="22" t="n">
        <x:f>IFERROR('3000rpm'!L176,"")</x:f>
        <x:v>3000.03077566964</x:v>
      </x:c>
      <x:c r="I292" s="22" t="n">
        <x:f>IFERROR('3000rpm'!N176,"")</x:f>
        <x:v>1269.2331341880292</x:v>
      </x:c>
      <x:c r="J292" s="22" t="n">
        <x:f>IFERROR('3000rpm'!N174,"")</x:f>
        <x:v>214.38530833333257</x:v>
      </x:c>
      <x:c r="K292" s="22" t="n">
        <x:f>IF(AND(ISNUMBER(I292),ISNUMBER(J292)),I292-J292,"")</x:f>
        <x:v>1054.8478258546966</x:v>
      </x:c>
      <x:c r="L292" s="22" t="n">
        <x:f>IF(ISNUMBER(K292),K292*$B$2+$B$3,"")</x:f>
        <x:v>994.7012929177524</x:v>
      </x:c>
      <x:c r="M292" s="22" t="n">
        <x:f>IF(AND(ISNUMBER(G292),ISNUMBER(H292),H292&lt;&gt;0),G292/(H292/60)/$B$5,"")</x:f>
        <x:v>0.04466101071471472</x:v>
      </x:c>
      <x:c r="N292" s="22" t="n">
        <x:f>IF(AND(ISNUMBER(L292),ISNUMBER(H292),H292&lt;&gt;0),L292*$B$6/$B$4/(H292/60)^2/$B$5^4/$B$7,"")</x:f>
        <x:v>0.07405560004795364</x:v>
      </x:c>
      <x:c r="O292" s="22" t="n">
        <x:f>IF(ISNUMBER(N292),N292*$B$8,"")</x:f>
        <x:v>0.009568171529284355</x:v>
      </x:c>
      <x:c r="P292" s="20" t="str">
        <x:v>3000rpm!O176</x:v>
      </x:c>
      <x:c r="Q292" s="20" t="str">
        <x:v>3000rpm!N176</x:v>
      </x:c>
      <x:c r="R292" s="20" t="str">
        <x:v>3000rpm!N174</x:v>
      </x:c>
    </x:row>
    <x:row r="293">
      <x:c r="A293" s="21" t="n">
        <x:v>3000</x:v>
      </x:c>
      <x:c r="B293" s="21" t="n">
        <x:v>90</x:v>
      </x:c>
      <x:c r="C293" s="21" t="n">
        <x:v>4</x:v>
      </x:c>
      <x:c r="D293" s="21" t="n">
        <x:v>1</x:v>
      </x:c>
      <x:c r="E293" s="21" t="str">
        <x:v>3000rpm</x:v>
      </x:c>
      <x:c r="F293" s="21" t="n">
        <x:v>177</x:v>
      </x:c>
      <x:c r="G293" s="22" t="n">
        <x:f>IFERROR('3000rpm'!E177,"")</x:f>
        <x:v>2.05398596326509</x:v>
      </x:c>
      <x:c r="H293" s="22" t="n">
        <x:f>IFERROR('3000rpm'!B177,"")</x:f>
        <x:v>3070.30591759314</x:v>
      </x:c>
      <x:c r="I293" s="22" t="n">
        <x:f>IFERROR('3000rpm'!D177,"")</x:f>
        <x:v>1197.8551643564308</x:v>
      </x:c>
      <x:c r="J293" s="22" t="n">
        <x:f>IFERROR('3000rpm'!D174,"")</x:f>
        <x:v>225.4981045045034</x:v>
      </x:c>
      <x:c r="K293" s="22" t="n">
        <x:f>IF(AND(ISNUMBER(I293),ISNUMBER(J293)),I293-J293,"")</x:f>
        <x:v>972.3570598519274</x:v>
      </x:c>
      <x:c r="L293" s="22" t="n">
        <x:f>IF(ISNUMBER(K293),K293*$B$2+$B$3,"")</x:f>
        <x:v>919.1638385628886</x:v>
      </x:c>
      <x:c r="M293" s="22" t="n">
        <x:f>IF(AND(ISNUMBER(G293),ISNUMBER(H293),H293&lt;&gt;0),G293/(H293/60)/$B$5,"")</x:f>
        <x:v>0.08779319420209065</x:v>
      </x:c>
      <x:c r="N293" s="22" t="n">
        <x:f>IF(AND(ISNUMBER(L293),ISNUMBER(H293),H293&lt;&gt;0),L293*$B$6/$B$4/(H293/60)^2/$B$5^4/$B$7,"")</x:f>
        <x:v>0.06533505687691502</x:v>
      </x:c>
      <x:c r="O293" s="22" t="n">
        <x:f>IF(ISNUMBER(N293),N293*$B$8,"")</x:f>
        <x:v>0.008441455212962608</x:v>
      </x:c>
      <x:c r="P293" s="20" t="str">
        <x:v>3000rpm!E177</x:v>
      </x:c>
      <x:c r="Q293" s="20" t="str">
        <x:v>3000rpm!D177</x:v>
      </x:c>
      <x:c r="R293" s="20" t="str">
        <x:v>3000rpm!D174</x:v>
      </x:c>
    </x:row>
    <x:row r="294">
      <x:c r="A294" s="21" t="n">
        <x:v>3000</x:v>
      </x:c>
      <x:c r="B294" s="21" t="n">
        <x:v>90</x:v>
      </x:c>
      <x:c r="C294" s="21" t="n">
        <x:v>4</x:v>
      </x:c>
      <x:c r="D294" s="21" t="n">
        <x:v>2</x:v>
      </x:c>
      <x:c r="E294" s="21" t="str">
        <x:v>3000rpm</x:v>
      </x:c>
      <x:c r="F294" s="21" t="n">
        <x:v>177</x:v>
      </x:c>
      <x:c r="G294" s="22" t="n">
        <x:f>IFERROR('3000rpm'!O177,"")</x:f>
        <x:v>2.0638379890185004</x:v>
      </x:c>
      <x:c r="H294" s="22" t="n">
        <x:f>IFERROR('3000rpm'!L177,"")</x:f>
        <x:v>3023.61547851562</x:v>
      </x:c>
      <x:c r="I294" s="22" t="n">
        <x:f>IFERROR('3000rpm'!N177,"")</x:f>
        <x:v>1177.5123817109106</x:v>
      </x:c>
      <x:c r="J294" s="22" t="n">
        <x:f>IFERROR('3000rpm'!N174,"")</x:f>
        <x:v>214.38530833333257</x:v>
      </x:c>
      <x:c r="K294" s="22" t="n">
        <x:f>IF(AND(ISNUMBER(I294),ISNUMBER(J294)),I294-J294,"")</x:f>
        <x:v>963.1270733775781</x:v>
      </x:c>
      <x:c r="L294" s="22" t="n">
        <x:f>IF(ISNUMBER(K294),K294*$B$2+$B$3,"")</x:f>
        <x:v>910.7118661084352</x:v>
      </x:c>
      <x:c r="M294" s="22" t="n">
        <x:f>IF(AND(ISNUMBER(G294),ISNUMBER(H294),H294&lt;&gt;0),G294/(H294/60)/$B$5,"")</x:f>
        <x:v>0.08957649620896492</x:v>
      </x:c>
      <x:c r="N294" s="22" t="n">
        <x:f>IF(AND(ISNUMBER(L294),ISNUMBER(H294),H294&lt;&gt;0),L294*$B$6/$B$4/(H294/60)^2/$B$5^4/$B$7,"")</x:f>
        <x:v>0.06674896224659886</x:v>
      </x:c>
      <x:c r="O294" s="22" t="n">
        <x:f>IF(ISNUMBER(N294),N294*$B$8,"")</x:f>
        <x:v>0.008624135376171752</x:v>
      </x:c>
      <x:c r="P294" s="20" t="str">
        <x:v>3000rpm!O177</x:v>
      </x:c>
      <x:c r="Q294" s="20" t="str">
        <x:v>3000rpm!N177</x:v>
      </x:c>
      <x:c r="R294" s="20" t="str">
        <x:v>3000rpm!N174</x:v>
      </x:c>
    </x:row>
    <x:row r="295">
      <x:c r="A295" s="21" t="n">
        <x:v>3000</x:v>
      </x:c>
      <x:c r="B295" s="21" t="n">
        <x:v>90</x:v>
      </x:c>
      <x:c r="C295" s="21" t="n">
        <x:v>5</x:v>
      </x:c>
      <x:c r="D295" s="21" t="n">
        <x:v>1</x:v>
      </x:c>
      <x:c r="E295" s="21" t="str">
        <x:v>3000rpm</x:v>
      </x:c>
      <x:c r="F295" s="21" t="n">
        <x:v>178</x:v>
      </x:c>
      <x:c r="G295" s="22" t="n">
        <x:f>IFERROR('3000rpm'!E178,"")</x:f>
        <x:v>3.081532171105635</x:v>
      </x:c>
      <x:c r="H295" s="22" t="n">
        <x:f>IFERROR('3000rpm'!B178,"")</x:f>
        <x:v>3073.07976164641</x:v>
      </x:c>
      <x:c r="I295" s="22" t="n">
        <x:f>IFERROR('3000rpm'!D178,"")</x:f>
        <x:v>1106.219800367647</x:v>
      </x:c>
      <x:c r="J295" s="22" t="n">
        <x:f>IFERROR('3000rpm'!D174,"")</x:f>
        <x:v>225.4981045045034</x:v>
      </x:c>
      <x:c r="K295" s="22" t="n">
        <x:f>IF(AND(ISNUMBER(I295),ISNUMBER(J295)),I295-J295,"")</x:f>
        <x:v>880.7216958631435</x:v>
      </x:c>
      <x:c r="L295" s="22" t="n">
        <x:f>IF(ISNUMBER(K295),K295*$B$2+$B$3,"")</x:f>
        <x:v>835.2526026754474</x:v>
      </x:c>
      <x:c r="M295" s="22" t="n">
        <x:f>IF(AND(ISNUMBER(G295),ISNUMBER(H295),H295&lt;&gt;0),G295/(H295/60)/$B$5,"")</x:f>
        <x:v>0.1315945496880082</x:v>
      </x:c>
      <x:c r="N295" s="22" t="n">
        <x:f>IF(AND(ISNUMBER(L295),ISNUMBER(H295),H295&lt;&gt;0),L295*$B$6/$B$4/(H295/60)^2/$B$5^4/$B$7,"")</x:f>
        <x:v>0.05926343431784344</x:v>
      </x:c>
      <x:c r="O295" s="22" t="n">
        <x:f>IF(ISNUMBER(N295),N295*$B$8,"")</x:f>
        <x:v>0.007656986164455121</x:v>
      </x:c>
      <x:c r="P295" s="20" t="str">
        <x:v>3000rpm!E178</x:v>
      </x:c>
      <x:c r="Q295" s="20" t="str">
        <x:v>3000rpm!D178</x:v>
      </x:c>
      <x:c r="R295" s="20" t="str">
        <x:v>3000rpm!D174</x:v>
      </x:c>
    </x:row>
    <x:row r="296">
      <x:c r="A296" s="21" t="n">
        <x:v>3000</x:v>
      </x:c>
      <x:c r="B296" s="21" t="n">
        <x:v>90</x:v>
      </x:c>
      <x:c r="C296" s="21" t="n">
        <x:v>5</x:v>
      </x:c>
      <x:c r="D296" s="21" t="n">
        <x:v>2</x:v>
      </x:c>
      <x:c r="E296" s="21" t="str">
        <x:v>3000rpm</x:v>
      </x:c>
      <x:c r="F296" s="21" t="n">
        <x:v>178</x:v>
      </x:c>
      <x:c r="G296" s="22" t="n">
        <x:f>IFERROR('3000rpm'!O178,"")</x:f>
        <x:v>3.0918499265725647</x:v>
      </x:c>
      <x:c r="H296" s="22" t="n">
        <x:f>IFERROR('3000rpm'!L178,"")</x:f>
        <x:v>3043.62474822998</x:v>
      </x:c>
      <x:c r="I296" s="22" t="n">
        <x:f>IFERROR('3000rpm'!N178,"")</x:f>
        <x:v>1094.4695823151117</x:v>
      </x:c>
      <x:c r="J296" s="22" t="n">
        <x:f>IFERROR('3000rpm'!N174,"")</x:f>
        <x:v>214.38530833333257</x:v>
      </x:c>
      <x:c r="K296" s="22" t="n">
        <x:f>IF(AND(ISNUMBER(I296),ISNUMBER(J296)),I296-J296,"")</x:f>
        <x:v>880.0842739817791</x:v>
      </x:c>
      <x:c r="L296" s="22" t="n">
        <x:f>IF(ISNUMBER(K296),K296*$B$2+$B$3,"")</x:f>
        <x:v>834.6689103593069</x:v>
      </x:c>
      <x:c r="M296" s="22" t="n">
        <x:f>IF(AND(ISNUMBER(G296),ISNUMBER(H296),H296&lt;&gt;0),G296/(H296/60)/$B$5,"")</x:f>
        <x:v>0.13331294660278775</x:v>
      </x:c>
      <x:c r="N296" s="22" t="n">
        <x:f>IF(AND(ISNUMBER(L296),ISNUMBER(H296),H296&lt;&gt;0),L296*$B$6/$B$4/(H296/60)^2/$B$5^4/$B$7,"")</x:f>
        <x:v>0.06037382149868958</x:v>
      </x:c>
      <x:c r="O296" s="22" t="n">
        <x:f>IF(ISNUMBER(N296),N296*$B$8,"")</x:f>
        <x:v>0.007800451007132442</x:v>
      </x:c>
      <x:c r="P296" s="20" t="str">
        <x:v>3000rpm!O178</x:v>
      </x:c>
      <x:c r="Q296" s="20" t="str">
        <x:v>3000rpm!N178</x:v>
      </x:c>
      <x:c r="R296" s="20" t="str">
        <x:v>3000rpm!N174</x:v>
      </x:c>
    </x:row>
    <x:row r="297">
      <x:c r="A297" s="21" t="n">
        <x:v>3000</x:v>
      </x:c>
      <x:c r="B297" s="21" t="n">
        <x:v>90</x:v>
      </x:c>
      <x:c r="C297" s="21" t="n">
        <x:v>6</x:v>
      </x:c>
      <x:c r="D297" s="21" t="n">
        <x:v>1</x:v>
      </x:c>
      <x:c r="E297" s="21" t="str">
        <x:v>3000rpm</x:v>
      </x:c>
      <x:c r="F297" s="21" t="n">
        <x:v>179</x:v>
      </x:c>
      <x:c r="G297" s="22" t="n">
        <x:f>IFERROR('3000rpm'!E179,"")</x:f>
        <x:v>4.1111345162622</x:v>
      </x:c>
      <x:c r="H297" s="22" t="n">
        <x:f>IFERROR('3000rpm'!B179,"")</x:f>
        <x:v>3083.94361255787</x:v>
      </x:c>
      <x:c r="I297" s="22" t="n">
        <x:f>IFERROR('3000rpm'!D179,"")</x:f>
        <x:v>1021.4836502793296</x:v>
      </x:c>
      <x:c r="J297" s="22" t="n">
        <x:f>IFERROR('3000rpm'!D174,"")</x:f>
        <x:v>225.4981045045034</x:v>
      </x:c>
      <x:c r="K297" s="22" t="n">
        <x:f>IF(AND(ISNUMBER(I297),ISNUMBER(J297)),I297-J297,"")</x:f>
        <x:v>795.9855457748262</x:v>
      </x:c>
      <x:c r="L297" s="22" t="n">
        <x:f>IF(ISNUMBER(K297),K297*$B$2+$B$3,"")</x:f>
        <x:v>757.6590321503744</x:v>
      </x:c>
      <x:c r="M297" s="22" t="n">
        <x:f>IF(AND(ISNUMBER(G297),ISNUMBER(H297),H297&lt;&gt;0),G297/(H297/60)/$B$5,"")</x:f>
        <x:v>0.17494449742589646</x:v>
      </x:c>
      <x:c r="N297" s="22" t="n">
        <x:f>IF(AND(ISNUMBER(L297),ISNUMBER(H297),H297&lt;&gt;0),L297*$B$6/$B$4/(H297/60)^2/$B$5^4/$B$7,"")</x:f>
        <x:v>0.053379879624416156</x:v>
      </x:c>
      <x:c r="O297" s="22" t="n">
        <x:f>IF(ISNUMBER(N297),N297*$B$8,"")</x:f>
        <x:v>0.006896815961632034</x:v>
      </x:c>
      <x:c r="P297" s="20" t="str">
        <x:v>3000rpm!E179</x:v>
      </x:c>
      <x:c r="Q297" s="20" t="str">
        <x:v>3000rpm!D179</x:v>
      </x:c>
      <x:c r="R297" s="20" t="str">
        <x:v>3000rpm!D174</x:v>
      </x:c>
    </x:row>
    <x:row r="298">
      <x:c r="A298" s="21" t="n">
        <x:v>3000</x:v>
      </x:c>
      <x:c r="B298" s="21" t="n">
        <x:v>90</x:v>
      </x:c>
      <x:c r="C298" s="21" t="n">
        <x:v>6</x:v>
      </x:c>
      <x:c r="D298" s="21" t="n">
        <x:v>2</x:v>
      </x:c>
      <x:c r="E298" s="21" t="str">
        <x:v>3000rpm</x:v>
      </x:c>
      <x:c r="F298" s="21" t="n">
        <x:v>179</x:v>
      </x:c>
      <x:c r="G298" s="22" t="n">
        <x:f>IFERROR('3000rpm'!O179,"")</x:f>
        <x:v>4.1214152691156904</x:v>
      </x:c>
      <x:c r="H298" s="22" t="n">
        <x:f>IFERROR('3000rpm'!L179,"")</x:f>
        <x:v>3046.94382957175</x:v>
      </x:c>
      <x:c r="I298" s="22" t="n">
        <x:f>IFERROR('3000rpm'!N179,"")</x:f>
        <x:v>1011.6513703435804</x:v>
      </x:c>
      <x:c r="J298" s="22" t="n">
        <x:f>IFERROR('3000rpm'!N174,"")</x:f>
        <x:v>214.38530833333257</x:v>
      </x:c>
      <x:c r="K298" s="22" t="n">
        <x:f>IF(AND(ISNUMBER(I298),ISNUMBER(J298)),I298-J298,"")</x:f>
        <x:v>797.2660620102479</x:v>
      </x:c>
      <x:c r="L298" s="22" t="n">
        <x:f>IF(ISNUMBER(K298),K298*$B$2+$B$3,"")</x:f>
        <x:v>758.83161111128</x:v>
      </x:c>
      <x:c r="M298" s="22" t="n">
        <x:f>IF(AND(ISNUMBER(G298),ISNUMBER(H298),H298&lt;&gt;0),G298/(H298/60)/$B$5,"")</x:f>
        <x:v>0.17751168902554387</x:v>
      </x:c>
      <x:c r="N298" s="22" t="n">
        <x:f>IF(AND(ISNUMBER(L298),ISNUMBER(H298),H298&lt;&gt;0),L298*$B$6/$B$4/(H298/60)^2/$B$5^4/$B$7,"")</x:f>
        <x:v>0.05476879183466434</x:v>
      </x:c>
      <x:c r="O298" s="22" t="n">
        <x:f>IF(ISNUMBER(N298),N298*$B$8,"")</x:f>
        <x:v>0.007076266945192585</x:v>
      </x:c>
      <x:c r="P298" s="20" t="str">
        <x:v>3000rpm!O179</x:v>
      </x:c>
      <x:c r="Q298" s="20" t="str">
        <x:v>3000rpm!N179</x:v>
      </x:c>
      <x:c r="R298" s="20" t="str">
        <x:v>3000rpm!N174</x:v>
      </x:c>
    </x:row>
    <x:row r="299">
      <x:c r="A299" s="21" t="n">
        <x:v>3000</x:v>
      </x:c>
      <x:c r="B299" s="21" t="n">
        <x:v>90</x:v>
      </x:c>
      <x:c r="C299" s="21" t="n">
        <x:v>7</x:v>
      </x:c>
      <x:c r="D299" s="21" t="n">
        <x:v>1</x:v>
      </x:c>
      <x:c r="E299" s="21" t="str">
        <x:v>3000rpm</x:v>
      </x:c>
      <x:c r="F299" s="21" t="n">
        <x:v>180</x:v>
      </x:c>
      <x:c r="G299" s="22" t="n">
        <x:f>IFERROR('3000rpm'!E180,"")</x:f>
        <x:v>5.139929607510554</x:v>
      </x:c>
      <x:c r="H299" s="22" t="n">
        <x:f>IFERROR('3000rpm'!B180,"")</x:f>
        <x:v>3121.88139648437</x:v>
      </x:c>
      <x:c r="I299" s="22" t="n">
        <x:f>IFERROR('3000rpm'!D180,"")</x:f>
        <x:v>942.805163636363</x:v>
      </x:c>
      <x:c r="J299" s="22" t="n">
        <x:f>IFERROR('3000rpm'!D174,"")</x:f>
        <x:v>225.4981045045034</x:v>
      </x:c>
      <x:c r="K299" s="22" t="n">
        <x:f>IF(AND(ISNUMBER(I299),ISNUMBER(J299)),I299-J299,"")</x:f>
        <x:v>717.3070591318595</x:v>
      </x:c>
      <x:c r="L299" s="22" t="n">
        <x:f>IF(ISNUMBER(K299),K299*$B$2+$B$3,"")</x:f>
        <x:v>685.6125125035168</x:v>
      </x:c>
      <x:c r="M299" s="22" t="n">
        <x:f>IF(AND(ISNUMBER(G299),ISNUMBER(H299),H299&lt;&gt;0),G299/(H299/60)/$B$5,"")</x:f>
        <x:v>0.21606568568389492</x:v>
      </x:c>
      <x:c r="N299" s="22" t="n">
        <x:f>IF(AND(ISNUMBER(L299),ISNUMBER(H299),H299&lt;&gt;0),L299*$B$6/$B$4/(H299/60)^2/$B$5^4/$B$7,"")</x:f>
        <x:v>0.04713706939533321</x:v>
      </x:c>
      <x:c r="O299" s="22" t="n">
        <x:f>IF(ISNUMBER(N299),N299*$B$8,"")</x:f>
        <x:v>0.0060902290315692454</x:v>
      </x:c>
      <x:c r="P299" s="20" t="str">
        <x:v>3000rpm!E180</x:v>
      </x:c>
      <x:c r="Q299" s="20" t="str">
        <x:v>3000rpm!D180</x:v>
      </x:c>
      <x:c r="R299" s="20" t="str">
        <x:v>3000rpm!D174</x:v>
      </x:c>
    </x:row>
    <x:row r="300">
      <x:c r="A300" s="21" t="n">
        <x:v>3000</x:v>
      </x:c>
      <x:c r="B300" s="21" t="n">
        <x:v>90</x:v>
      </x:c>
      <x:c r="C300" s="21" t="n">
        <x:v>7</x:v>
      </x:c>
      <x:c r="D300" s="21" t="n">
        <x:v>2</x:v>
      </x:c>
      <x:c r="E300" s="21" t="str">
        <x:v>3000rpm</x:v>
      </x:c>
      <x:c r="F300" s="21" t="n">
        <x:v>180</x:v>
      </x:c>
      <x:c r="G300" s="22" t="n">
        <x:f>IFERROR('3000rpm'!O180,"")</x:f>
        <x:v>5.143554914240925</x:v>
      </x:c>
      <x:c r="H300" s="22" t="n">
        <x:f>IFERROR('3000rpm'!L180,"")</x:f>
        <x:v>3062.6665625</x:v>
      </x:c>
      <x:c r="I300" s="22" t="n">
        <x:f>IFERROR('3000rpm'!N180,"")</x:f>
        <x:v>932.7401081300804</x:v>
      </x:c>
      <x:c r="J300" s="22" t="n">
        <x:f>IFERROR('3000rpm'!N174,"")</x:f>
        <x:v>214.38530833333257</x:v>
      </x:c>
      <x:c r="K300" s="22" t="n">
        <x:f>IF(AND(ISNUMBER(I300),ISNUMBER(J300)),I300-J300,"")</x:f>
        <x:v>718.3547997967479</x:v>
      </x:c>
      <x:c r="L300" s="22" t="n">
        <x:f>IF(ISNUMBER(K300),K300*$B$2+$B$3,"")</x:f>
        <x:v>686.5719370122804</x:v>
      </x:c>
      <x:c r="M300" s="22" t="n">
        <x:f>IF(AND(ISNUMBER(G300),ISNUMBER(H300),H300&lt;&gt;0),G300/(H300/60)/$B$5,"")</x:f>
        <x:v>0.22039852945738267</x:v>
      </x:c>
      <x:c r="N300" s="22" t="n">
        <x:f>IF(AND(ISNUMBER(L300),ISNUMBER(H300),H300&lt;&gt;0),L300*$B$6/$B$4/(H300/60)^2/$B$5^4/$B$7,"")</x:f>
        <x:v>0.04904596192611895</x:v>
      </x:c>
      <x:c r="O300" s="22" t="n">
        <x:f>IF(ISNUMBER(N300),N300*$B$8,"")</x:f>
        <x:v>0.0063368627926042075</x:v>
      </x:c>
      <x:c r="P300" s="20" t="str">
        <x:v>3000rpm!O180</x:v>
      </x:c>
      <x:c r="Q300" s="20" t="str">
        <x:v>3000rpm!N180</x:v>
      </x:c>
      <x:c r="R300" s="20" t="str">
        <x:v>3000rpm!N174</x:v>
      </x:c>
    </x:row>
    <x:row r="301">
      <x:c r="A301" s="21" t="n">
        <x:v>3000</x:v>
      </x:c>
      <x:c r="B301" s="21" t="n">
        <x:v>90</x:v>
      </x:c>
      <x:c r="C301" s="21" t="n">
        <x:v>8</x:v>
      </x:c>
      <x:c r="D301" s="21" t="n">
        <x:v>1</x:v>
      </x:c>
      <x:c r="E301" s="21" t="str">
        <x:v>3000rpm</x:v>
      </x:c>
      <x:c r="F301" s="21" t="n">
        <x:v>181</x:v>
      </x:c>
      <x:c r="G301" s="22" t="n">
        <x:f>IFERROR('3000rpm'!E181,"")</x:f>
        <x:v>6.1615825703763445</x:v>
      </x:c>
      <x:c r="H301" s="22" t="n">
        <x:f>IFERROR('3000rpm'!B181,"")</x:f>
        <x:v>3108.23982421875</x:v>
      </x:c>
      <x:c r="I301" s="22" t="n">
        <x:f>IFERROR('3000rpm'!D181,"")</x:f>
        <x:v>862.8536828402364</x:v>
      </x:c>
      <x:c r="J301" s="22" t="n">
        <x:f>IFERROR('3000rpm'!D174,"")</x:f>
        <x:v>225.4981045045034</x:v>
      </x:c>
      <x:c r="K301" s="22" t="n">
        <x:f>IF(AND(ISNUMBER(I301),ISNUMBER(J301)),I301-J301,"")</x:f>
        <x:v>637.355578335733</x:v>
      </x:c>
      <x:c r="L301" s="22" t="n">
        <x:f>IF(ISNUMBER(K301),K301*$B$2+$B$3,"")</x:f>
        <x:v>612.4003019266573</x:v>
      </x:c>
      <x:c r="M301" s="22" t="n">
        <x:f>IF(AND(ISNUMBER(G301),ISNUMBER(H301),H301&lt;&gt;0),G301/(H301/60)/$B$5,"")</x:f>
        <x:v>0.26014937143261474</x:v>
      </x:c>
      <x:c r="N301" s="22" t="n">
        <x:f>IF(AND(ISNUMBER(L301),ISNUMBER(H301),H301&lt;&gt;0),L301*$B$6/$B$4/(H301/60)^2/$B$5^4/$B$7,"")</x:f>
        <x:v>0.042473983866213545</x:v>
      </x:c>
      <x:c r="O301" s="22" t="n">
        <x:f>IF(ISNUMBER(N301),N301*$B$8,"")</x:f>
        <x:v>0.005487746543149067</x:v>
      </x:c>
      <x:c r="P301" s="20" t="str">
        <x:v>3000rpm!E181</x:v>
      </x:c>
      <x:c r="Q301" s="20" t="str">
        <x:v>3000rpm!D181</x:v>
      </x:c>
      <x:c r="R301" s="20" t="str">
        <x:v>3000rpm!D174</x:v>
      </x:c>
    </x:row>
    <x:row r="302">
      <x:c r="A302" s="21" t="n">
        <x:v>3000</x:v>
      </x:c>
      <x:c r="B302" s="21" t="n">
        <x:v>90</x:v>
      </x:c>
      <x:c r="C302" s="21" t="n">
        <x:v>8</x:v>
      </x:c>
      <x:c r="D302" s="21" t="n">
        <x:v>2</x:v>
      </x:c>
      <x:c r="E302" s="21" t="str">
        <x:v>3000rpm</x:v>
      </x:c>
      <x:c r="F302" s="21" t="n">
        <x:v>181</x:v>
      </x:c>
      <x:c r="G302" s="22" t="n">
        <x:f>IFERROR('3000rpm'!O181,"")</x:f>
        <x:v>6.27085375503117</x:v>
      </x:c>
      <x:c r="H302" s="22" t="n">
        <x:f>IFERROR('3000rpm'!L181,"")</x:f>
        <x:v>3095.6827734375</x:v>
      </x:c>
      <x:c r="I302" s="22" t="n">
        <x:f>IFERROR('3000rpm'!N181,"")</x:f>
        <x:v>853.1494047337274</x:v>
      </x:c>
      <x:c r="J302" s="22" t="n">
        <x:f>IFERROR('3000rpm'!N174,"")</x:f>
        <x:v>214.38530833333257</x:v>
      </x:c>
      <x:c r="K302" s="22" t="n">
        <x:f>IF(AND(ISNUMBER(I302),ISNUMBER(J302)),I302-J302,"")</x:f>
        <x:v>638.7640964003948</x:v>
      </x:c>
      <x:c r="L302" s="22" t="n">
        <x:f>IF(ISNUMBER(K302),K302*$B$2+$B$3,"")</x:f>
        <x:v>613.6900931866127</x:v>
      </x:c>
      <x:c r="M302" s="22" t="n">
        <x:f>IF(AND(ISNUMBER(G302),ISNUMBER(H302),H302&lt;&gt;0),G302/(H302/60)/$B$5,"")</x:f>
        <x:v>0.26583689196879506</x:v>
      </x:c>
      <x:c r="N302" s="22" t="n">
        <x:f>IF(AND(ISNUMBER(L302),ISNUMBER(H302),H302&lt;&gt;0),L302*$B$6/$B$4/(H302/60)^2/$B$5^4/$B$7,"")</x:f>
        <x:v>0.04290944074572725</x:v>
      </x:c>
      <x:c r="O302" s="22" t="n">
        <x:f>IF(ISNUMBER(N302),N302*$B$8,"")</x:f>
        <x:v>0.005544008677465662</x:v>
      </x:c>
      <x:c r="P302" s="20" t="str">
        <x:v>3000rpm!O181</x:v>
      </x:c>
      <x:c r="Q302" s="20" t="str">
        <x:v>3000rpm!N181</x:v>
      </x:c>
      <x:c r="R302" s="20" t="str">
        <x:v>3000rpm!N174</x:v>
      </x:c>
    </x:row>
    <x:row r="303">
      <x:c r="A303" s="21" t="n">
        <x:v>3000</x:v>
      </x:c>
      <x:c r="B303" s="21" t="n">
        <x:v>90</x:v>
      </x:c>
      <x:c r="C303" s="21" t="n">
        <x:v>9</x:v>
      </x:c>
      <x:c r="D303" s="21" t="n">
        <x:v>1</x:v>
      </x:c>
      <x:c r="E303" s="21" t="str">
        <x:v>3000rpm</x:v>
      </x:c>
      <x:c r="F303" s="21" t="n">
        <x:v>182</x:v>
      </x:c>
      <x:c r="G303" s="22" t="n">
        <x:f>IFERROR('3000rpm'!E182,"")</x:f>
        <x:v>7.181551559551335</x:v>
      </x:c>
      <x:c r="H303" s="22" t="n">
        <x:f>IFERROR('3000rpm'!B182,"")</x:f>
        <x:v>3120.87829589843</x:v>
      </x:c>
      <x:c r="I303" s="22" t="n">
        <x:f>IFERROR('3000rpm'!D182,"")</x:f>
        <x:v>788.2125078651677</x:v>
      </x:c>
      <x:c r="J303" s="22" t="n">
        <x:f>IFERROR('3000rpm'!D174,"")</x:f>
        <x:v>225.4981045045034</x:v>
      </x:c>
      <x:c r="K303" s="22" t="n">
        <x:f>IF(AND(ISNUMBER(I303),ISNUMBER(J303)),I303-J303,"")</x:f>
        <x:v>562.7144033606643</x:v>
      </x:c>
      <x:c r="L303" s="22" t="n">
        <x:f>IF(ISNUMBER(K303),K303*$B$2+$B$3,"")</x:f>
        <x:v>544.0507808725871</x:v>
      </x:c>
      <x:c r="M303" s="22" t="n">
        <x:f>IF(AND(ISNUMBER(G303),ISNUMBER(H303),H303&lt;&gt;0),G303/(H303/60)/$B$5,"")</x:f>
        <x:v>0.30198576978327063</x:v>
      </x:c>
      <x:c r="N303" s="22" t="n">
        <x:f>IF(AND(ISNUMBER(L303),ISNUMBER(H303),H303&lt;&gt;0),L303*$B$6/$B$4/(H303/60)^2/$B$5^4/$B$7,"")</x:f>
        <x:v>0.03742849933528975</x:v>
      </x:c>
      <x:c r="O303" s="22" t="n">
        <x:f>IF(ISNUMBER(N303),N303*$B$8,"")</x:f>
        <x:v>0.004835857132909069</x:v>
      </x:c>
      <x:c r="P303" s="20" t="str">
        <x:v>3000rpm!E182</x:v>
      </x:c>
      <x:c r="Q303" s="20" t="str">
        <x:v>3000rpm!D182</x:v>
      </x:c>
      <x:c r="R303" s="20" t="str">
        <x:v>3000rpm!D174</x:v>
      </x:c>
    </x:row>
    <x:row r="304">
      <x:c r="A304" s="21" t="n">
        <x:v>3000</x:v>
      </x:c>
      <x:c r="B304" s="21" t="n">
        <x:v>90</x:v>
      </x:c>
      <x:c r="C304" s="21" t="n">
        <x:v>9</x:v>
      </x:c>
      <x:c r="D304" s="21" t="n">
        <x:v>2</x:v>
      </x:c>
      <x:c r="E304" s="21" t="str">
        <x:v>3000rpm</x:v>
      </x:c>
      <x:c r="F304" s="21" t="n">
        <x:v>182</x:v>
      </x:c>
      <x:c r="G304" s="22" t="n">
        <x:f>IFERROR('3000rpm'!O182,"")</x:f>
        <x:v>7.186435532857125</x:v>
      </x:c>
      <x:c r="H304" s="22" t="n">
        <x:f>IFERROR('3000rpm'!L182,"")</x:f>
        <x:v>3084.73861328125</x:v>
      </x:c>
      <x:c r="I304" s="22" t="n">
        <x:f>IFERROR('3000rpm'!N182,"")</x:f>
        <x:v>804.5800607645871</x:v>
      </x:c>
      <x:c r="J304" s="22" t="n">
        <x:f>IFERROR('3000rpm'!N174,"")</x:f>
        <x:v>214.38530833333257</x:v>
      </x:c>
      <x:c r="K304" s="22" t="n">
        <x:f>IF(AND(ISNUMBER(I304),ISNUMBER(J304)),I304-J304,"")</x:f>
        <x:v>590.1947524312545</x:v>
      </x:c>
      <x:c r="L304" s="22" t="n">
        <x:f>IF(ISNUMBER(K304),K304*$B$2+$B$3,"")</x:f>
        <x:v>569.2147563593192</x:v>
      </x:c>
      <x:c r="M304" s="22" t="n">
        <x:f>IF(AND(ISNUMBER(G304),ISNUMBER(H304),H304&lt;&gt;0),G304/(H304/60)/$B$5,"")</x:f>
        <x:v>0.30573150409081845</x:v>
      </x:c>
      <x:c r="N304" s="22" t="n">
        <x:f>IF(AND(ISNUMBER(L304),ISNUMBER(H304),H304&lt;&gt;0),L304*$B$6/$B$4/(H304/60)^2/$B$5^4/$B$7,"")</x:f>
        <x:v>0.04008261555810156</x:v>
      </x:c>
      <x:c r="O304" s="22" t="n">
        <x:f>IF(ISNUMBER(N304),N304*$B$8,"")</x:f>
        <x:v>0.005178775686834437</x:v>
      </x:c>
      <x:c r="P304" s="20" t="str">
        <x:v>3000rpm!O182</x:v>
      </x:c>
      <x:c r="Q304" s="20" t="str">
        <x:v>3000rpm!N182</x:v>
      </x:c>
      <x:c r="R304" s="20" t="str">
        <x:v>3000rpm!N174</x:v>
      </x:c>
    </x:row>
    <x:row r="305">
      <x:c r="A305" s="21" t="n">
        <x:v>3000</x:v>
      </x:c>
      <x:c r="B305" s="21" t="n">
        <x:v>90</x:v>
      </x:c>
      <x:c r="C305" s="21" t="n">
        <x:v>10</x:v>
      </x:c>
      <x:c r="D305" s="21" t="n">
        <x:v>1</x:v>
      </x:c>
      <x:c r="E305" s="21" t="str">
        <x:v>3000rpm</x:v>
      </x:c>
      <x:c r="F305" s="21" t="n">
        <x:v>183</x:v>
      </x:c>
      <x:c r="G305" s="22" t="n">
        <x:f>IFERROR('3000rpm'!E183,"")</x:f>
        <x:v>8.19584504188374</x:v>
      </x:c>
      <x:c r="H305" s="22" t="n">
        <x:f>IFERROR('3000rpm'!B183,"")</x:f>
        <x:v>3156.0880073879</x:v>
      </x:c>
      <x:c r="I305" s="22" t="n">
        <x:f>IFERROR('3000rpm'!D183,"")</x:f>
        <x:v>710.5560331210191</x:v>
      </x:c>
      <x:c r="J305" s="22" t="n">
        <x:f>IFERROR('3000rpm'!D174,"")</x:f>
        <x:v>225.4981045045034</x:v>
      </x:c>
      <x:c r="K305" s="22" t="n">
        <x:f>IF(AND(ISNUMBER(I305),ISNUMBER(J305)),I305-J305,"")</x:f>
        <x:v>485.0579286165157</x:v>
      </x:c>
      <x:c r="L305" s="22" t="n">
        <x:f>IF(ISNUMBER(K305),K305*$B$2+$B$3,"")</x:f>
        <x:v>472.9401256975724</x:v>
      </x:c>
      <x:c r="M305" s="22" t="n">
        <x:f>IF(AND(ISNUMBER(G305),ISNUMBER(H305),H305&lt;&gt;0),G305/(H305/60)/$B$5,"")</x:f>
        <x:v>0.34079221268626486</x:v>
      </x:c>
      <x:c r="N305" s="22" t="n">
        <x:f>IF(AND(ISNUMBER(L305),ISNUMBER(H305),H305&lt;&gt;0),L305*$B$6/$B$4/(H305/60)^2/$B$5^4/$B$7,"")</x:f>
        <x:v>0.03181446285409586</x:v>
      </x:c>
      <x:c r="O305" s="22" t="n">
        <x:f>IF(ISNUMBER(N305),N305*$B$8,"")</x:f>
        <x:v>0.004110509367325641</x:v>
      </x:c>
      <x:c r="P305" s="20" t="str">
        <x:v>3000rpm!E183</x:v>
      </x:c>
      <x:c r="Q305" s="20" t="str">
        <x:v>3000rpm!D183</x:v>
      </x:c>
      <x:c r="R305" s="20" t="str">
        <x:v>3000rpm!D174</x:v>
      </x:c>
    </x:row>
    <x:row r="306">
      <x:c r="A306" s="21" t="n">
        <x:v>3000</x:v>
      </x:c>
      <x:c r="B306" s="21" t="n">
        <x:v>90</x:v>
      </x:c>
      <x:c r="C306" s="21" t="n">
        <x:v>10</x:v>
      </x:c>
      <x:c r="D306" s="21" t="n">
        <x:v>2</x:v>
      </x:c>
      <x:c r="E306" s="21" t="str">
        <x:v>3000rpm</x:v>
      </x:c>
      <x:c r="F306" s="21" t="n">
        <x:v>183</x:v>
      </x:c>
      <x:c r="G306" s="22" t="n">
        <x:f>IFERROR('3000rpm'!O183,"")</x:f>
        <x:v>8.403537746604151</x:v>
      </x:c>
      <x:c r="H306" s="22" t="n">
        <x:f>IFERROR('3000rpm'!L183,"")</x:f>
        <x:v>3130.49442232572</x:v>
      </x:c>
      <x:c r="I306" s="22" t="n">
        <x:f>IFERROR('3000rpm'!N183,"")</x:f>
        <x:v>699.4945885714282</x:v>
      </x:c>
      <x:c r="J306" s="22" t="n">
        <x:f>IFERROR('3000rpm'!N174,"")</x:f>
        <x:v>214.38530833333257</x:v>
      </x:c>
      <x:c r="K306" s="22" t="n">
        <x:f>IF(AND(ISNUMBER(I306),ISNUMBER(J306)),I306-J306,"")</x:f>
        <x:v>485.1092802380956</x:v>
      </x:c>
      <x:c r="L306" s="22" t="n">
        <x:f>IF(ISNUMBER(K306),K306*$B$2+$B$3,"")</x:f>
        <x:v>472.98714878826604</x:v>
      </x:c>
      <x:c r="M306" s="22" t="n">
        <x:f>IF(AND(ISNUMBER(G306),ISNUMBER(H306),H306&lt;&gt;0),G306/(H306/60)/$B$5,"")</x:f>
        <x:v>0.35228507933676084</x:v>
      </x:c>
      <x:c r="N306" s="22" t="n">
        <x:f>IF(AND(ISNUMBER(L306),ISNUMBER(H306),H306&lt;&gt;0),L306*$B$6/$B$4/(H306/60)^2/$B$5^4/$B$7,"")</x:f>
        <x:v>0.03234000740228418</x:v>
      </x:c>
      <x:c r="O306" s="22" t="n">
        <x:f>IF(ISNUMBER(N306),N306*$B$8,"")</x:f>
        <x:v>0.004178411057138296</x:v>
      </x:c>
      <x:c r="P306" s="20" t="str">
        <x:v>3000rpm!O183</x:v>
      </x:c>
      <x:c r="Q306" s="20" t="str">
        <x:v>3000rpm!N183</x:v>
      </x:c>
      <x:c r="R306" s="20" t="str">
        <x:v>3000rpm!N174</x:v>
      </x:c>
    </x:row>
    <x:row r="307">
      <x:c r="A307" s="21" t="n">
        <x:v>3000</x:v>
      </x:c>
      <x:c r="B307" s="21" t="n">
        <x:v>90</x:v>
      </x:c>
      <x:c r="C307" s="21" t="n">
        <x:v>11</x:v>
      </x:c>
      <x:c r="D307" s="21" t="n">
        <x:v>1</x:v>
      </x:c>
      <x:c r="E307" s="21" t="str">
        <x:v>3000rpm</x:v>
      </x:c>
      <x:c r="F307" s="21" t="n">
        <x:v>184</x:v>
      </x:c>
      <x:c r="G307" s="22" t="n">
        <x:f>IFERROR('3000rpm'!E184,"")</x:f>
        <x:v>9.20541115226496</x:v>
      </x:c>
      <x:c r="H307" s="22" t="n">
        <x:f>IFERROR('3000rpm'!B184,"")</x:f>
        <x:v>3191.6608235677</x:v>
      </x:c>
      <x:c r="I307" s="22" t="n">
        <x:f>IFERROR('3000rpm'!D184,"")</x:f>
        <x:v>622.0946032520321</x:v>
      </x:c>
      <x:c r="J307" s="22" t="n">
        <x:f>IFERROR('3000rpm'!D174,"")</x:f>
        <x:v>225.4981045045034</x:v>
      </x:c>
      <x:c r="K307" s="22" t="n">
        <x:f>IF(AND(ISNUMBER(I307),ISNUMBER(J307)),I307-J307,"")</x:f>
        <x:v>396.5964987475287</x:v>
      </x:c>
      <x:c r="L307" s="22" t="n">
        <x:f>IF(ISNUMBER(K307),K307*$B$2+$B$3,"")</x:f>
        <x:v>391.935286675102</x:v>
      </x:c>
      <x:c r="M307" s="22" t="n">
        <x:f>IF(AND(ISNUMBER(G307),ISNUMBER(H307),H307&lt;&gt;0),G307/(H307/60)/$B$5,"")</x:f>
        <x:v>0.3785048829165978</x:v>
      </x:c>
      <x:c r="N307" s="22" t="n">
        <x:f>IF(AND(ISNUMBER(L307),ISNUMBER(H307),H307&lt;&gt;0),L307*$B$6/$B$4/(H307/60)^2/$B$5^4/$B$7,"")</x:f>
        <x:v>0.025780868433951366</x:v>
      </x:c>
      <x:c r="O307" s="22" t="n">
        <x:f>IF(ISNUMBER(N307),N307*$B$8,"")</x:f>
        <x:v>0.0033309536509086124</x:v>
      </x:c>
      <x:c r="P307" s="20" t="str">
        <x:v>3000rpm!E184</x:v>
      </x:c>
      <x:c r="Q307" s="20" t="str">
        <x:v>3000rpm!D184</x:v>
      </x:c>
      <x:c r="R307" s="20" t="str">
        <x:v>3000rpm!D174</x:v>
      </x:c>
    </x:row>
    <x:row r="308">
      <x:c r="A308" s="21" t="n">
        <x:v>3000</x:v>
      </x:c>
      <x:c r="B308" s="21" t="n">
        <x:v>90</x:v>
      </x:c>
      <x:c r="C308" s="21" t="n">
        <x:v>11</x:v>
      </x:c>
      <x:c r="D308" s="21" t="n">
        <x:v>2</x:v>
      </x:c>
      <x:c r="E308" s="21" t="str">
        <x:v>3000rpm</x:v>
      </x:c>
      <x:c r="F308" s="21" t="n">
        <x:v>184</x:v>
      </x:c>
      <x:c r="G308" s="22" t="n">
        <x:f>IFERROR('3000rpm'!O184,"")</x:f>
        <x:v>9.21274594907406</x:v>
      </x:c>
      <x:c r="H308" s="22" t="n">
        <x:f>IFERROR('3000rpm'!L184,"")</x:f>
        <x:v>3164.79123046875</x:v>
      </x:c>
      <x:c r="I308" s="22" t="n">
        <x:f>IFERROR('3000rpm'!N184,"")</x:f>
        <x:v>645.9282226804121</x:v>
      </x:c>
      <x:c r="J308" s="22" t="n">
        <x:f>IFERROR('3000rpm'!N174,"")</x:f>
        <x:v>214.38530833333257</x:v>
      </x:c>
      <x:c r="K308" s="22" t="n">
        <x:f>IF(AND(ISNUMBER(I308),ISNUMBER(J308)),I308-J308,"")</x:f>
        <x:v>431.54291434707955</x:v>
      </x:c>
      <x:c r="L308" s="22" t="n">
        <x:f>IF(ISNUMBER(K308),K308*$B$2+$B$3,"")</x:f>
        <x:v>423.9359990109355</x:v>
      </x:c>
      <x:c r="M308" s="22" t="n">
        <x:f>IF(AND(ISNUMBER(G308),ISNUMBER(H308),H308&lt;&gt;0),G308/(H308/60)/$B$5,"")</x:f>
        <x:v>0.38202260119212844</x:v>
      </x:c>
      <x:c r="N308" s="22" t="n">
        <x:f>IF(AND(ISNUMBER(L308),ISNUMBER(H308),H308&lt;&gt;0),L308*$B$6/$B$4/(H308/60)^2/$B$5^4/$B$7,"")</x:f>
        <x:v>0.02836134392542383</x:v>
      </x:c>
      <x:c r="O308" s="22" t="n">
        <x:f>IF(ISNUMBER(N308),N308*$B$8,"")</x:f>
        <x:v>0.0036643576353950647</x:v>
      </x:c>
      <x:c r="P308" s="20" t="str">
        <x:v>3000rpm!O184</x:v>
      </x:c>
      <x:c r="Q308" s="20" t="str">
        <x:v>3000rpm!N184</x:v>
      </x:c>
      <x:c r="R308" s="20" t="str">
        <x:v>3000rpm!N174</x:v>
      </x:c>
    </x:row>
    <x:row r="309">
      <x:c r="A309" s="21" t="n">
        <x:v>3000</x:v>
      </x:c>
      <x:c r="B309" s="21" t="n">
        <x:v>90</x:v>
      </x:c>
      <x:c r="C309" s="21" t="n">
        <x:v>12</x:v>
      </x:c>
      <x:c r="D309" s="21" t="n">
        <x:v>1</x:v>
      </x:c>
      <x:c r="E309" s="21" t="str">
        <x:v>3000rpm</x:v>
      </x:c>
      <x:c r="F309" s="21" t="n">
        <x:v>185</x:v>
      </x:c>
      <x:c r="G309" s="22" t="n">
        <x:f>IFERROR('3000rpm'!E185,"")</x:f>
        <x:v>10.135951987368315</x:v>
      </x:c>
      <x:c r="H309" s="22" t="n">
        <x:f>IFERROR('3000rpm'!B185,"")</x:f>
        <x:v>3238.11527193509</x:v>
      </x:c>
      <x:c r="I309" s="22" t="n">
        <x:f>IFERROR('3000rpm'!D185,"")</x:f>
        <x:v>547.2557005917159</x:v>
      </x:c>
      <x:c r="J309" s="22" t="n">
        <x:f>IFERROR('3000rpm'!D174,"")</x:f>
        <x:v>225.4981045045034</x:v>
      </x:c>
      <x:c r="K309" s="22" t="n">
        <x:f>IF(AND(ISNUMBER(I309),ISNUMBER(J309)),I309-J309,"")</x:f>
        <x:v>321.7575960872125</x:v>
      </x:c>
      <x:c r="L309" s="22" t="n">
        <x:f>IF(ISNUMBER(K309),K309*$B$2+$B$3,"")</x:f>
        <x:v>323.4047047978292</x:v>
      </x:c>
      <x:c r="M309" s="22" t="n">
        <x:f>IF(AND(ISNUMBER(G309),ISNUMBER(H309),H309&lt;&gt;0),G309/(H309/60)/$B$5,"")</x:f>
        <x:v>0.4107875459816198</x:v>
      </x:c>
      <x:c r="N309" s="22" t="n">
        <x:f>IF(AND(ISNUMBER(L309),ISNUMBER(H309),H309&lt;&gt;0),L309*$B$6/$B$4/(H309/60)^2/$B$5^4/$B$7,"")</x:f>
        <x:v>0.02066704411231143</x:v>
      </x:c>
      <x:c r="O309" s="22" t="n">
        <x:f>IF(ISNUMBER(N309),N309*$B$8,"")</x:f>
        <x:v>0.0026702345662155814</x:v>
      </x:c>
      <x:c r="P309" s="20" t="str">
        <x:v>3000rpm!E185</x:v>
      </x:c>
      <x:c r="Q309" s="20" t="str">
        <x:v>3000rpm!D185</x:v>
      </x:c>
      <x:c r="R309" s="20" t="str">
        <x:v>3000rpm!D174</x:v>
      </x:c>
    </x:row>
    <x:row r="310">
      <x:c r="A310" s="21" t="n">
        <x:v>3000</x:v>
      </x:c>
      <x:c r="B310" s="21" t="n">
        <x:v>90</x:v>
      </x:c>
      <x:c r="C310" s="21" t="n">
        <x:v>12</x:v>
      </x:c>
      <x:c r="D310" s="21" t="n">
        <x:v>2</x:v>
      </x:c>
      <x:c r="E310" s="21" t="str">
        <x:v>3000rpm</x:v>
      </x:c>
      <x:c r="F310" s="21" t="n">
        <x:v>185</x:v>
      </x:c>
      <x:c r="G310" s="22" t="n">
        <x:f>IFERROR('3000rpm'!O185,"")</x:f>
        <x:v>10.139903028975136</x:v>
      </x:c>
      <x:c r="H310" s="22" t="n">
        <x:f>IFERROR('3000rpm'!L185,"")</x:f>
        <x:v>3217.94607543945</x:v>
      </x:c>
      <x:c r="I310" s="22" t="n">
        <x:f>IFERROR('3000rpm'!N185,"")</x:f>
        <x:v>536.8789212765951</x:v>
      </x:c>
      <x:c r="J310" s="22" t="n">
        <x:f>IFERROR('3000rpm'!N174,"")</x:f>
        <x:v>214.38530833333257</x:v>
      </x:c>
      <x:c r="K310" s="22" t="n">
        <x:f>IF(AND(ISNUMBER(I310),ISNUMBER(J310)),I310-J310,"")</x:f>
        <x:v>322.4936129432625</x:v>
      </x:c>
      <x:c r="L310" s="22" t="n">
        <x:f>IF(ISNUMBER(K310),K310*$B$2+$B$3,"")</x:f>
        <x:v>324.07868132104903</x:v>
      </x:c>
      <x:c r="M310" s="22" t="n">
        <x:f>IF(AND(ISNUMBER(G310),ISNUMBER(H310),H310&lt;&gt;0),G310/(H310/60)/$B$5,"")</x:f>
        <x:v>0.4135233793124761</x:v>
      </x:c>
      <x:c r="N310" s="22" t="n">
        <x:f>IF(AND(ISNUMBER(L310),ISNUMBER(H310),H310&lt;&gt;0),L310*$B$6/$B$4/(H310/60)^2/$B$5^4/$B$7,"")</x:f>
        <x:v>0.020970538430800892</x:v>
      </x:c>
      <x:c r="O310" s="22" t="n">
        <x:f>IF(ISNUMBER(N310),N310*$B$8,"")</x:f>
        <x:v>0.0027094468026378107</x:v>
      </x:c>
      <x:c r="P310" s="20" t="str">
        <x:v>3000rpm!O185</x:v>
      </x:c>
      <x:c r="Q310" s="20" t="str">
        <x:v>3000rpm!N185</x:v>
      </x:c>
      <x:c r="R310" s="20" t="str">
        <x:v>3000rpm!N174</x:v>
      </x:c>
    </x:row>
    <x:row r="311">
      <x:c r="A311" s="21" t="n">
        <x:v>3000</x:v>
      </x:c>
      <x:c r="B311" s="21" t="n">
        <x:v>90</x:v>
      </x:c>
      <x:c r="C311" s="21" t="n">
        <x:v>13</x:v>
      </x:c>
      <x:c r="D311" s="21" t="n">
        <x:v>1</x:v>
      </x:c>
      <x:c r="E311" s="21" t="str">
        <x:v>3000rpm</x:v>
      </x:c>
      <x:c r="F311" s="21" t="n">
        <x:v>186</x:v>
      </x:c>
      <x:c r="G311" s="22" t="n">
        <x:f>IFERROR('3000rpm'!E186,"")</x:f>
        <x:v>9.21643555686768</x:v>
      </x:c>
      <x:c r="H311" s="22" t="n">
        <x:f>IFERROR('3000rpm'!B186,"")</x:f>
        <x:v>3196.00413085937</x:v>
      </x:c>
      <x:c r="I311" s="22" t="n">
        <x:f>IFERROR('3000rpm'!D186,"")</x:f>
        <x:v>626.726475</x:v>
      </x:c>
      <x:c r="J311" s="22" t="n">
        <x:f>IFERROR('3000rpm'!D174,"")</x:f>
        <x:v>225.4981045045034</x:v>
      </x:c>
      <x:c r="K311" s="22" t="n">
        <x:f>IF(AND(ISNUMBER(I311),ISNUMBER(J311)),I311-J311,"")</x:f>
        <x:v>401.2283704954966</x:v>
      </x:c>
      <x:c r="L311" s="22" t="n">
        <x:f>IF(ISNUMBER(K311),K311*$B$2+$B$3,"")</x:f>
        <x:v>396.1767286896902</x:v>
      </x:c>
      <x:c r="M311" s="22" t="n">
        <x:f>IF(AND(ISNUMBER(G311),ISNUMBER(H311),H311&lt;&gt;0),G311/(H311/60)/$B$5,"")</x:f>
        <x:v>0.37844318375969566</x:v>
      </x:c>
      <x:c r="N311" s="22" t="n">
        <x:f>IF(AND(ISNUMBER(L311),ISNUMBER(H311),H311&lt;&gt;0),L311*$B$6/$B$4/(H311/60)^2/$B$5^4/$B$7,"")</x:f>
        <x:v>0.025989082055925598</x:v>
      </x:c>
      <x:c r="O311" s="22" t="n">
        <x:f>IF(ISNUMBER(N311),N311*$B$8,"")</x:f>
        <x:v>0.003357855379454367</x:v>
      </x:c>
      <x:c r="P311" s="20" t="str">
        <x:v>3000rpm!E186</x:v>
      </x:c>
      <x:c r="Q311" s="20" t="str">
        <x:v>3000rpm!D186</x:v>
      </x:c>
      <x:c r="R311" s="20" t="str">
        <x:v>3000rpm!D174</x:v>
      </x:c>
    </x:row>
    <x:row r="312">
      <x:c r="A312" s="21" t="n">
        <x:v>3000</x:v>
      </x:c>
      <x:c r="B312" s="21" t="n">
        <x:v>90</x:v>
      </x:c>
      <x:c r="C312" s="21" t="n">
        <x:v>13</x:v>
      </x:c>
      <x:c r="D312" s="21" t="n">
        <x:v>2</x:v>
      </x:c>
      <x:c r="E312" s="21" t="str">
        <x:v>3000rpm</x:v>
      </x:c>
      <x:c r="F312" s="21" t="n">
        <x:v>186</x:v>
      </x:c>
      <x:c r="G312" s="22" t="n">
        <x:f>IFERROR('3000rpm'!O186,"")</x:f>
        <x:v>9.21679023707784</x:v>
      </x:c>
      <x:c r="H312" s="22" t="n">
        <x:f>IFERROR('3000rpm'!L186,"")</x:f>
        <x:v>3213.05053710937</x:v>
      </x:c>
      <x:c r="I312" s="22" t="n">
        <x:f>IFERROR('3000rpm'!N186,"")</x:f>
        <x:v>606.9182850152896</x:v>
      </x:c>
      <x:c r="J312" s="22" t="n">
        <x:f>IFERROR('3000rpm'!N174,"")</x:f>
        <x:v>214.38530833333257</x:v>
      </x:c>
      <x:c r="K312" s="22" t="n">
        <x:f>IF(AND(ISNUMBER(I312),ISNUMBER(J312)),I312-J312,"")</x:f>
        <x:v>392.53297668195705</x:v>
      </x:c>
      <x:c r="L312" s="22" t="n">
        <x:f>IF(ISNUMBER(K312),K312*$B$2+$B$3,"")</x:f>
        <x:v>388.21428701148153</x:v>
      </x:c>
      <x:c r="M312" s="22" t="n">
        <x:f>IF(AND(ISNUMBER(G312),ISNUMBER(H312),H312&lt;&gt;0),G312/(H312/60)/$B$5,"")</x:f>
        <x:v>0.3764498910244577</x:v>
      </x:c>
      <x:c r="N312" s="22" t="n">
        <x:f>IF(AND(ISNUMBER(L312),ISNUMBER(H312),H312&lt;&gt;0),L312*$B$6/$B$4/(H312/60)^2/$B$5^4/$B$7,"")</x:f>
        <x:v>0.025197244135267326</x:v>
      </x:c>
      <x:c r="O312" s="22" t="n">
        <x:f>IF(ISNUMBER(N312),N312*$B$8,"")</x:f>
        <x:v>0.00325554790988631</x:v>
      </x:c>
      <x:c r="P312" s="20" t="str">
        <x:v>3000rpm!O186</x:v>
      </x:c>
      <x:c r="Q312" s="20" t="str">
        <x:v>3000rpm!N186</x:v>
      </x:c>
      <x:c r="R312" s="20" t="str">
        <x:v>3000rpm!N174</x:v>
      </x:c>
    </x:row>
    <x:row r="313">
      <x:c r="A313" s="21" t="n">
        <x:v>3000</x:v>
      </x:c>
      <x:c r="B313" s="21" t="n">
        <x:v>90</x:v>
      </x:c>
      <x:c r="C313" s="21" t="n">
        <x:v>14</x:v>
      </x:c>
      <x:c r="D313" s="21" t="n">
        <x:v>1</x:v>
      </x:c>
      <x:c r="E313" s="21" t="str">
        <x:v>3000rpm</x:v>
      </x:c>
      <x:c r="F313" s="21" t="n">
        <x:v>187</x:v>
      </x:c>
      <x:c r="G313" s="22" t="n">
        <x:f>IFERROR('3000rpm'!E187,"")</x:f>
        <x:v>8.21267591446284</x:v>
      </x:c>
      <x:c r="H313" s="22" t="n">
        <x:f>IFERROR('3000rpm'!B187,"")</x:f>
        <x:v>3159.58824744591</x:v>
      </x:c>
      <x:c r="I313" s="22" t="n">
        <x:f>IFERROR('3000rpm'!D187,"")</x:f>
        <x:v>704.7816276134118</x:v>
      </x:c>
      <x:c r="J313" s="22" t="n">
        <x:f>IFERROR('3000rpm'!D174,"")</x:f>
        <x:v>225.4981045045034</x:v>
      </x:c>
      <x:c r="K313" s="22" t="n">
        <x:f>IF(AND(ISNUMBER(I313),ISNUMBER(J313)),I313-J313,"")</x:f>
        <x:v>479.2835231089084</x:v>
      </x:c>
      <x:c r="L313" s="22" t="n">
        <x:f>IF(ISNUMBER(K313),K313*$B$2+$B$3,"")</x:f>
        <x:v>467.65245637901234</x:v>
      </x:c>
      <x:c r="M313" s="22" t="n">
        <x:f>IF(AND(ISNUMBER(G313),ISNUMBER(H313),H313&lt;&gt;0),G313/(H313/60)/$B$5,"")</x:f>
        <x:v>0.3411137486887914</x:v>
      </x:c>
      <x:c r="N313" s="22" t="n">
        <x:f>IF(AND(ISNUMBER(L313),ISNUMBER(H313),H313&lt;&gt;0),L313*$B$6/$B$4/(H313/60)^2/$B$5^4/$B$7,"")</x:f>
        <x:v>0.031389101403127825</x:v>
      </x:c>
      <x:c r="O313" s="22" t="n">
        <x:f>IF(ISNUMBER(N313),N313*$B$8,"")</x:f>
        <x:v>0.004055551588006157</x:v>
      </x:c>
      <x:c r="P313" s="20" t="str">
        <x:v>3000rpm!E187</x:v>
      </x:c>
      <x:c r="Q313" s="20" t="str">
        <x:v>3000rpm!D187</x:v>
      </x:c>
      <x:c r="R313" s="20" t="str">
        <x:v>3000rpm!D174</x:v>
      </x:c>
    </x:row>
    <x:row r="314">
      <x:c r="A314" s="21" t="n">
        <x:v>3000</x:v>
      </x:c>
      <x:c r="B314" s="21" t="n">
        <x:v>90</x:v>
      </x:c>
      <x:c r="C314" s="21" t="n">
        <x:v>14</x:v>
      </x:c>
      <x:c r="D314" s="21" t="n">
        <x:v>2</x:v>
      </x:c>
      <x:c r="E314" s="21" t="str">
        <x:v>3000rpm</x:v>
      </x:c>
      <x:c r="F314" s="21" t="n">
        <x:v>187</x:v>
      </x:c>
      <x:c r="G314" s="22" t="n">
        <x:f>IFERROR('3000rpm'!O187,"")</x:f>
        <x:v>8.208577681352745</x:v>
      </x:c>
      <x:c r="H314" s="22" t="n">
        <x:f>IFERROR('3000rpm'!L187,"")</x:f>
        <x:v>3078.63415527343</x:v>
      </x:c>
      <x:c r="I314" s="22" t="n">
        <x:f>IFERROR('3000rpm'!N187,"")</x:f>
        <x:v>685.7325519999999</x:v>
      </x:c>
      <x:c r="J314" s="22" t="n">
        <x:f>IFERROR('3000rpm'!N174,"")</x:f>
        <x:v>214.38530833333257</x:v>
      </x:c>
      <x:c r="K314" s="22" t="n">
        <x:f>IF(AND(ISNUMBER(I314),ISNUMBER(J314)),I314-J314,"")</x:f>
        <x:v>471.3472436666674</x:v>
      </x:c>
      <x:c r="L314" s="22" t="n">
        <x:f>IF(ISNUMBER(K314),K314*$B$2+$B$3,"")</x:f>
        <x:v>460.38514180351666</x:v>
      </x:c>
      <x:c r="M314" s="22" t="n">
        <x:f>IF(AND(ISNUMBER(G314),ISNUMBER(H314),H314&lt;&gt;0),G314/(H314/60)/$B$5,"")</x:f>
        <x:v>0.3499087943550021</x:v>
      </x:c>
      <x:c r="N314" s="22" t="n">
        <x:f>IF(AND(ISNUMBER(L314),ISNUMBER(H314),H314&lt;&gt;0),L314*$B$6/$B$4/(H314/60)^2/$B$5^4/$B$7,"")</x:f>
        <x:v>0.03254781022907137</x:v>
      </x:c>
      <x:c r="O314" s="22" t="n">
        <x:f>IF(ISNUMBER(N314),N314*$B$8,"")</x:f>
        <x:v>0.004205259709903009</x:v>
      </x:c>
      <x:c r="P314" s="20" t="str">
        <x:v>3000rpm!O187</x:v>
      </x:c>
      <x:c r="Q314" s="20" t="str">
        <x:v>3000rpm!N187</x:v>
      </x:c>
      <x:c r="R314" s="20" t="str">
        <x:v>3000rpm!N174</x:v>
      </x:c>
    </x:row>
    <x:row r="315">
      <x:c r="A315" s="21" t="n">
        <x:v>3000</x:v>
      </x:c>
      <x:c r="B315" s="21" t="n">
        <x:v>90</x:v>
      </x:c>
      <x:c r="C315" s="21" t="n">
        <x:v>15</x:v>
      </x:c>
      <x:c r="D315" s="21" t="n">
        <x:v>1</x:v>
      </x:c>
      <x:c r="E315" s="21" t="str">
        <x:v>3000rpm</x:v>
      </x:c>
      <x:c r="F315" s="21" t="n">
        <x:v>188</x:v>
      </x:c>
      <x:c r="G315" s="22" t="n">
        <x:f>IFERROR('3000rpm'!E188,"")</x:f>
        <x:v>7.202161955469435</x:v>
      </x:c>
      <x:c r="H315" s="22" t="n">
        <x:f>IFERROR('3000rpm'!B188,"")</x:f>
        <x:v>3123.38798640324</x:v>
      </x:c>
      <x:c r="I315" s="22" t="n">
        <x:f>IFERROR('3000rpm'!D188,"")</x:f>
        <x:v>788.4403519083963</x:v>
      </x:c>
      <x:c r="J315" s="22" t="n">
        <x:f>IFERROR('3000rpm'!D174,"")</x:f>
        <x:v>225.4981045045034</x:v>
      </x:c>
      <x:c r="K315" s="22" t="n">
        <x:f>IF(AND(ISNUMBER(I315),ISNUMBER(J315)),I315-J315,"")</x:f>
        <x:v>562.9422474038929</x:v>
      </x:c>
      <x:c r="L315" s="22" t="n">
        <x:f>IF(ISNUMBER(K315),K315*$B$2+$B$3,"")</x:f>
        <x:v>544.2594194857239</x:v>
      </x:c>
      <x:c r="M315" s="22" t="n">
        <x:f>IF(AND(ISNUMBER(G315),ISNUMBER(H315),H315&lt;&gt;0),G315/(H315/60)/$B$5,"")</x:f>
        <x:v>0.30260909469732783</x:v>
      </x:c>
      <x:c r="N315" s="22" t="n">
        <x:f>IF(AND(ISNUMBER(L315),ISNUMBER(H315),H315&lt;&gt;0),L315*$B$6/$B$4/(H315/60)^2/$B$5^4/$B$7,"")</x:f>
        <x:v>0.03738270518332338</x:v>
      </x:c>
      <x:c r="O315" s="22" t="n">
        <x:f>IF(ISNUMBER(N315),N315*$B$8,"")</x:f>
        <x:v>0.004829940412218552</x:v>
      </x:c>
      <x:c r="P315" s="20" t="str">
        <x:v>3000rpm!E188</x:v>
      </x:c>
      <x:c r="Q315" s="20" t="str">
        <x:v>3000rpm!D188</x:v>
      </x:c>
      <x:c r="R315" s="20" t="str">
        <x:v>3000rpm!D174</x:v>
      </x:c>
    </x:row>
    <x:row r="316">
      <x:c r="A316" s="21" t="n">
        <x:v>3000</x:v>
      </x:c>
      <x:c r="B316" s="21" t="n">
        <x:v>90</x:v>
      </x:c>
      <x:c r="C316" s="21" t="n">
        <x:v>15</x:v>
      </x:c>
      <x:c r="D316" s="21" t="n">
        <x:v>2</x:v>
      </x:c>
      <x:c r="E316" s="21" t="str">
        <x:v>3000rpm</x:v>
      </x:c>
      <x:c r="F316" s="21" t="n">
        <x:v>188</x:v>
      </x:c>
      <x:c r="G316" s="22" t="n">
        <x:f>IFERROR('3000rpm'!O188,"")</x:f>
        <x:v>7.194217699946775</x:v>
      </x:c>
      <x:c r="H316" s="22" t="n">
        <x:f>IFERROR('3000rpm'!L188,"")</x:f>
        <x:v>3113.92492675781</x:v>
      </x:c>
      <x:c r="I316" s="22" t="n">
        <x:f>IFERROR('3000rpm'!N188,"")</x:f>
        <x:v>772.9882405063285</x:v>
      </x:c>
      <x:c r="J316" s="22" t="n">
        <x:f>IFERROR('3000rpm'!N174,"")</x:f>
        <x:v>214.38530833333257</x:v>
      </x:c>
      <x:c r="K316" s="22" t="n">
        <x:f>IF(AND(ISNUMBER(I316),ISNUMBER(J316)),I316-J316,"")</x:f>
        <x:v>558.6029321729959</x:v>
      </x:c>
      <x:c r="L316" s="22" t="n">
        <x:f>IF(ISNUMBER(K316),K316*$B$2+$B$3,"")</x:f>
        <x:v>540.2858738142697</x:v>
      </x:c>
      <x:c r="M316" s="22" t="n">
        <x:f>IF(AND(ISNUMBER(G316),ISNUMBER(H316),H316&lt;&gt;0),G316/(H316/60)/$B$5,"")</x:f>
        <x:v>0.3031939047801032</x:v>
      </x:c>
      <x:c r="N316" s="22" t="n">
        <x:f>IF(AND(ISNUMBER(L316),ISNUMBER(H316),H316&lt;&gt;0),L316*$B$6/$B$4/(H316/60)^2/$B$5^4/$B$7,"")</x:f>
        <x:v>0.03733567258701819</x:v>
      </x:c>
      <x:c r="O316" s="22" t="n">
        <x:f>IF(ISNUMBER(N316),N316*$B$8,"")</x:f>
        <x:v>0.004823863681375453</x:v>
      </x:c>
      <x:c r="P316" s="20" t="str">
        <x:v>3000rpm!O188</x:v>
      </x:c>
      <x:c r="Q316" s="20" t="str">
        <x:v>3000rpm!N188</x:v>
      </x:c>
      <x:c r="R316" s="20" t="str">
        <x:v>3000rpm!N174</x:v>
      </x:c>
    </x:row>
    <x:row r="317">
      <x:c r="A317" s="21" t="n">
        <x:v>3000</x:v>
      </x:c>
      <x:c r="B317" s="21" t="n">
        <x:v>90</x:v>
      </x:c>
      <x:c r="C317" s="21" t="n">
        <x:v>16</x:v>
      </x:c>
      <x:c r="D317" s="21" t="n">
        <x:v>1</x:v>
      </x:c>
      <x:c r="E317" s="21" t="str">
        <x:v>3000rpm</x:v>
      </x:c>
      <x:c r="F317" s="21" t="n">
        <x:v>189</x:v>
      </x:c>
      <x:c r="G317" s="22" t="n">
        <x:f>IFERROR('3000rpm'!E189,"")</x:f>
        <x:v>6.090114228707506</x:v>
      </x:c>
      <x:c r="H317" s="22" t="n">
        <x:f>IFERROR('3000rpm'!B189,"")</x:f>
        <x:v>3088.00541630497</x:v>
      </x:c>
      <x:c r="I317" s="22" t="n">
        <x:f>IFERROR('3000rpm'!D189,"")</x:f>
        <x:v>881.2639333333327</x:v>
      </x:c>
      <x:c r="J317" s="22" t="n">
        <x:f>IFERROR('3000rpm'!D174,"")</x:f>
        <x:v>225.4981045045034</x:v>
      </x:c>
      <x:c r="K317" s="22" t="n">
        <x:f>IF(AND(ISNUMBER(I317),ISNUMBER(J317)),I317-J317,"")</x:f>
        <x:v>655.7658288288293</x:v>
      </x:c>
      <x:c r="L317" s="22" t="n">
        <x:f>IF(ISNUMBER(K317),K317*$B$2+$B$3,"")</x:f>
        <x:v>629.2587155851895</x:v>
      </x:c>
      <x:c r="M317" s="22" t="n">
        <x:f>IF(AND(ISNUMBER(G317),ISNUMBER(H317),H317&lt;&gt;0),G317/(H317/60)/$B$5,"")</x:f>
        <x:v>0.2588167704788427</x:v>
      </x:c>
      <x:c r="N317" s="22" t="n">
        <x:f>IF(AND(ISNUMBER(L317),ISNUMBER(H317),H317&lt;&gt;0),L317*$B$6/$B$4/(H317/60)^2/$B$5^4/$B$7,"")</x:f>
        <x:v>0.04421705108464623</x:v>
      </x:c>
      <x:c r="O317" s="22" t="n">
        <x:f>IF(ISNUMBER(N317),N317*$B$8,"")</x:f>
        <x:v>0.005712955252851465</x:v>
      </x:c>
      <x:c r="P317" s="20" t="str">
        <x:v>3000rpm!E189</x:v>
      </x:c>
      <x:c r="Q317" s="20" t="str">
        <x:v>3000rpm!D189</x:v>
      </x:c>
      <x:c r="R317" s="20" t="str">
        <x:v>3000rpm!D174</x:v>
      </x:c>
    </x:row>
    <x:row r="318">
      <x:c r="A318" s="21" t="n">
        <x:v>3000</x:v>
      </x:c>
      <x:c r="B318" s="21" t="n">
        <x:v>90</x:v>
      </x:c>
      <x:c r="C318" s="21" t="n">
        <x:v>16</x:v>
      </x:c>
      <x:c r="D318" s="21" t="n">
        <x:v>2</x:v>
      </x:c>
      <x:c r="E318" s="21" t="str">
        <x:v>3000rpm</x:v>
      </x:c>
      <x:c r="F318" s="21" t="n">
        <x:v>189</x:v>
      </x:c>
      <x:c r="G318" s="22" t="n">
        <x:f>IFERROR('3000rpm'!O189,"")</x:f>
        <x:v>6.179285376499859</x:v>
      </x:c>
      <x:c r="H318" s="22" t="n">
        <x:f>IFERROR('3000rpm'!L189,"")</x:f>
        <x:v>3079.48700968424</x:v>
      </x:c>
      <x:c r="I318" s="22" t="n">
        <x:f>IFERROR('3000rpm'!N189,"")</x:f>
        <x:v>862.6303484008519</x:v>
      </x:c>
      <x:c r="J318" s="22" t="n">
        <x:f>IFERROR('3000rpm'!N174,"")</x:f>
        <x:v>214.38530833333257</x:v>
      </x:c>
      <x:c r="K318" s="22" t="n">
        <x:f>IF(AND(ISNUMBER(I318),ISNUMBER(J318)),I318-J318,"")</x:f>
        <x:v>648.2450400675193</x:v>
      </x:c>
      <x:c r="L318" s="22" t="n">
        <x:f>IF(ISNUMBER(K318),K318*$B$2+$B$3,"")</x:f>
        <x:v>622.371869150148</x:v>
      </x:c>
      <x:c r="M318" s="22" t="n">
        <x:f>IF(AND(ISNUMBER(G318),ISNUMBER(H318),H318&lt;&gt;0),G318/(H318/60)/$B$5,"")</x:f>
        <x:v>0.2633327683752194</x:v>
      </x:c>
      <x:c r="N318" s="22" t="n">
        <x:f>IF(AND(ISNUMBER(L318),ISNUMBER(H318),H318&lt;&gt;0),L318*$B$6/$B$4/(H318/60)^2/$B$5^4/$B$7,"")</x:f>
        <x:v>0.04397540464509995</x:v>
      </x:c>
      <x:c r="O318" s="22" t="n">
        <x:f>IF(ISNUMBER(N318),N318*$B$8,"")</x:f>
        <x:v>0.005681733919400349</x:v>
      </x:c>
      <x:c r="P318" s="20" t="str">
        <x:v>3000rpm!O189</x:v>
      </x:c>
      <x:c r="Q318" s="20" t="str">
        <x:v>3000rpm!N189</x:v>
      </x:c>
      <x:c r="R318" s="20" t="str">
        <x:v>3000rpm!N174</x:v>
      </x:c>
    </x:row>
    <x:row r="319">
      <x:c r="A319" s="21" t="n">
        <x:v>3000</x:v>
      </x:c>
      <x:c r="B319" s="21" t="n">
        <x:v>90</x:v>
      </x:c>
      <x:c r="C319" s="21" t="n">
        <x:v>17</x:v>
      </x:c>
      <x:c r="D319" s="21" t="n">
        <x:v>1</x:v>
      </x:c>
      <x:c r="E319" s="21" t="str">
        <x:v>3000rpm</x:v>
      </x:c>
      <x:c r="F319" s="21" t="n">
        <x:v>190</x:v>
      </x:c>
      <x:c r="G319" s="22" t="n">
        <x:f>IFERROR('3000rpm'!E190,"")</x:f>
        <x:v>5.0650650408532805</x:v>
      </x:c>
      <x:c r="H319" s="22" t="n">
        <x:f>IFERROR('3000rpm'!B190,"")</x:f>
        <x:v>3093.01821108217</x:v>
      </x:c>
      <x:c r="I319" s="22" t="n">
        <x:f>IFERROR('3000rpm'!D190,"")</x:f>
        <x:v>948.5065722735669</x:v>
      </x:c>
      <x:c r="J319" s="22" t="n">
        <x:f>IFERROR('3000rpm'!D174,"")</x:f>
        <x:v>225.4981045045034</x:v>
      </x:c>
      <x:c r="K319" s="22" t="n">
        <x:f>IF(AND(ISNUMBER(I319),ISNUMBER(J319)),I319-J319,"")</x:f>
        <x:v>723.0084677690635</x:v>
      </x:c>
      <x:c r="L319" s="22" t="n">
        <x:f>IF(ISNUMBER(K319),K319*$B$2+$B$3,"")</x:f>
        <x:v>690.8333380038736</x:v>
      </x:c>
      <x:c r="M319" s="22" t="n">
        <x:f>IF(AND(ISNUMBER(G319),ISNUMBER(H319),H319&lt;&gt;0),G319/(H319/60)/$B$5,"")</x:f>
        <x:v>0.21490552363807275</x:v>
      </x:c>
      <x:c r="N319" s="22" t="n">
        <x:f>IF(AND(ISNUMBER(L319),ISNUMBER(H319),H319&lt;&gt;0),L319*$B$6/$B$4/(H319/60)^2/$B$5^4/$B$7,"")</x:f>
        <x:v>0.048386585466087415</x:v>
      </x:c>
      <x:c r="O319" s="22" t="n">
        <x:f>IF(ISNUMBER(N319),N319*$B$8,"")</x:f>
        <x:v>0.006251669680025703</x:v>
      </x:c>
      <x:c r="P319" s="20" t="str">
        <x:v>3000rpm!E190</x:v>
      </x:c>
      <x:c r="Q319" s="20" t="str">
        <x:v>3000rpm!D190</x:v>
      </x:c>
      <x:c r="R319" s="20" t="str">
        <x:v>3000rpm!D174</x:v>
      </x:c>
    </x:row>
    <x:row r="320">
      <x:c r="A320" s="21" t="n">
        <x:v>3000</x:v>
      </x:c>
      <x:c r="B320" s="21" t="n">
        <x:v>90</x:v>
      </x:c>
      <x:c r="C320" s="21" t="n">
        <x:v>17</x:v>
      </x:c>
      <x:c r="D320" s="21" t="n">
        <x:v>2</x:v>
      </x:c>
      <x:c r="E320" s="21" t="str">
        <x:v>3000rpm</x:v>
      </x:c>
      <x:c r="F320" s="21" t="n">
        <x:v>190</x:v>
      </x:c>
      <x:c r="G320" s="22" t="n">
        <x:f>IFERROR('3000rpm'!O190,"")</x:f>
        <x:v>5.16630507409572</x:v>
      </x:c>
      <x:c r="H320" s="22" t="n">
        <x:f>IFERROR('3000rpm'!L190,"")</x:f>
        <x:v>3059.05380859375</x:v>
      </x:c>
      <x:c r="I320" s="22" t="n">
        <x:f>IFERROR('3000rpm'!N190,"")</x:f>
        <x:v>939.7857428571427</x:v>
      </x:c>
      <x:c r="J320" s="22" t="n">
        <x:f>IFERROR('3000rpm'!N174,"")</x:f>
        <x:v>214.38530833333257</x:v>
      </x:c>
      <x:c r="K320" s="22" t="n">
        <x:f>IF(AND(ISNUMBER(I320),ISNUMBER(J320)),I320-J320,"")</x:f>
        <x:v>725.4004345238102</x:v>
      </x:c>
      <x:c r="L320" s="22" t="n">
        <x:f>IF(ISNUMBER(K320),K320*$B$2+$B$3,"")</x:f>
        <x:v>693.0236810969292</x:v>
      </x:c>
      <x:c r="M320" s="22" t="n">
        <x:f>IF(AND(ISNUMBER(G320),ISNUMBER(H320),H320&lt;&gt;0),G320/(H320/60)/$B$5,"")</x:f>
        <x:v>0.2216348041905653</x:v>
      </x:c>
      <x:c r="N320" s="22" t="n">
        <x:f>IF(AND(ISNUMBER(L320),ISNUMBER(H320),H320&lt;&gt;0),L320*$B$6/$B$4/(H320/60)^2/$B$5^4/$B$7,"")</x:f>
        <x:v>0.04962385339660414</x:v>
      </x:c>
      <x:c r="O320" s="22" t="n">
        <x:f>IF(ISNUMBER(N320),N320*$B$8,"")</x:f>
        <x:v>0.006411527837669431</x:v>
      </x:c>
      <x:c r="P320" s="20" t="str">
        <x:v>3000rpm!O190</x:v>
      </x:c>
      <x:c r="Q320" s="20" t="str">
        <x:v>3000rpm!N190</x:v>
      </x:c>
      <x:c r="R320" s="20" t="str">
        <x:v>3000rpm!N174</x:v>
      </x:c>
    </x:row>
    <x:row r="321">
      <x:c r="A321" s="21" t="n">
        <x:v>3000</x:v>
      </x:c>
      <x:c r="B321" s="21" t="n">
        <x:v>90</x:v>
      </x:c>
      <x:c r="C321" s="21" t="n">
        <x:v>18</x:v>
      </x:c>
      <x:c r="D321" s="21" t="n">
        <x:v>1</x:v>
      </x:c>
      <x:c r="E321" s="21" t="str">
        <x:v>3000rpm</x:v>
      </x:c>
      <x:c r="F321" s="21" t="n">
        <x:v>191</x:v>
      </x:c>
      <x:c r="G321" s="22" t="n">
        <x:f>IFERROR('3000rpm'!E191,"")</x:f>
        <x:v>4.14312241102257</x:v>
      </x:c>
      <x:c r="H321" s="22" t="n">
        <x:f>IFERROR('3000rpm'!B191,"")</x:f>
        <x:v>3038.49446895204</x:v>
      </x:c>
      <x:c r="I321" s="22" t="n">
        <x:f>IFERROR('3000rpm'!D191,"")</x:f>
        <x:v>1020.8641008665502</x:v>
      </x:c>
      <x:c r="J321" s="22" t="n">
        <x:f>IFERROR('3000rpm'!D174,"")</x:f>
        <x:v>225.4981045045034</x:v>
      </x:c>
      <x:c r="K321" s="22" t="n">
        <x:f>IF(AND(ISNUMBER(I321),ISNUMBER(J321)),I321-J321,"")</x:f>
        <x:v>795.3659963620468</x:v>
      </x:c>
      <x:c r="L321" s="22" t="n">
        <x:f>IF(ISNUMBER(K321),K321*$B$2+$B$3,"")</x:f>
        <x:v>757.091705796697</x:v>
      </x:c>
      <x:c r="M321" s="22" t="n">
        <x:f>IF(AND(ISNUMBER(G321),ISNUMBER(H321),H321&lt;&gt;0),G321/(H321/60)/$B$5,"")</x:f>
        <x:v>0.17894284731996146</x:v>
      </x:c>
      <x:c r="N321" s="22" t="n">
        <x:f>IF(AND(ISNUMBER(L321),ISNUMBER(H321),H321&lt;&gt;0),L321*$B$6/$B$4/(H321/60)^2/$B$5^4/$B$7,"")</x:f>
        <x:v>0.054947537080341544</x:v>
      </x:c>
      <x:c r="O321" s="22" t="n">
        <x:f>IF(ISNUMBER(N321),N321*$B$8,"")</x:f>
        <x:v>0.0070993612847101385</x:v>
      </x:c>
      <x:c r="P321" s="20" t="str">
        <x:v>3000rpm!E191</x:v>
      </x:c>
      <x:c r="Q321" s="20" t="str">
        <x:v>3000rpm!D191</x:v>
      </x:c>
      <x:c r="R321" s="20" t="str">
        <x:v>3000rpm!D174</x:v>
      </x:c>
    </x:row>
    <x:row r="322">
      <x:c r="A322" s="21" t="n">
        <x:v>3000</x:v>
      </x:c>
      <x:c r="B322" s="21" t="n">
        <x:v>90</x:v>
      </x:c>
      <x:c r="C322" s="21" t="n">
        <x:v>18</x:v>
      </x:c>
      <x:c r="D322" s="21" t="n">
        <x:v>2</x:v>
      </x:c>
      <x:c r="E322" s="21" t="str">
        <x:v>3000rpm</x:v>
      </x:c>
      <x:c r="F322" s="21" t="n">
        <x:v>191</x:v>
      </x:c>
      <x:c r="G322" s="22" t="n">
        <x:f>IFERROR('3000rpm'!O191,"")</x:f>
        <x:v>4.14204714954762</x:v>
      </x:c>
      <x:c r="H322" s="22" t="n">
        <x:f>IFERROR('3000rpm'!L191,"")</x:f>
        <x:v>3046.00140671502</x:v>
      </x:c>
      <x:c r="I322" s="22" t="n">
        <x:f>IFERROR('3000rpm'!N191,"")</x:f>
        <x:v>1010.9434571428565</x:v>
      </x:c>
      <x:c r="J322" s="22" t="n">
        <x:f>IFERROR('3000rpm'!N174,"")</x:f>
        <x:v>214.38530833333257</x:v>
      </x:c>
      <x:c r="K322" s="22" t="n">
        <x:f>IF(AND(ISNUMBER(I322),ISNUMBER(J322)),I322-J322,"")</x:f>
        <x:v>796.5581488095239</x:v>
      </x:c>
      <x:c r="L322" s="22" t="n">
        <x:f>IF(ISNUMBER(K322),K322*$B$2+$B$3,"")</x:f>
        <x:v>758.1833693300715</x:v>
      </x:c>
      <x:c r="M322" s="22" t="n">
        <x:f>IF(AND(ISNUMBER(G322),ISNUMBER(H322),H322&lt;&gt;0),G322/(H322/60)/$B$5,"")</x:f>
        <x:v>0.1784555122699932</x:v>
      </x:c>
      <x:c r="N322" s="22" t="n">
        <x:f>IF(AND(ISNUMBER(L322),ISNUMBER(H322),H322&lt;&gt;0),L322*$B$6/$B$4/(H322/60)^2/$B$5^4/$B$7,"")</x:f>
        <x:v>0.054755871737761246</x:v>
      </x:c>
      <x:c r="O322" s="22" t="n">
        <x:f>IF(ISNUMBER(N322),N322*$B$8,"")</x:f>
        <x:v>0.007074597635872781</x:v>
      </x:c>
      <x:c r="P322" s="20" t="str">
        <x:v>3000rpm!O191</x:v>
      </x:c>
      <x:c r="Q322" s="20" t="str">
        <x:v>3000rpm!N191</x:v>
      </x:c>
      <x:c r="R322" s="20" t="str">
        <x:v>3000rpm!N174</x:v>
      </x:c>
    </x:row>
    <x:row r="323">
      <x:c r="A323" s="21" t="n">
        <x:v>3000</x:v>
      </x:c>
      <x:c r="B323" s="21" t="n">
        <x:v>90</x:v>
      </x:c>
      <x:c r="C323" s="21" t="n">
        <x:v>19</x:v>
      </x:c>
      <x:c r="D323" s="21" t="n">
        <x:v>1</x:v>
      </x:c>
      <x:c r="E323" s="21" t="str">
        <x:v>3000rpm</x:v>
      </x:c>
      <x:c r="F323" s="21" t="n">
        <x:v>192</x:v>
      </x:c>
      <x:c r="G323" s="22" t="n">
        <x:f>IFERROR('3000rpm'!E192,"")</x:f>
        <x:v>3.114712686307965</x:v>
      </x:c>
      <x:c r="H323" s="22" t="n">
        <x:f>IFERROR('3000rpm'!B192,"")</x:f>
        <x:v>3059.62396484375</x:v>
      </x:c>
      <x:c r="I323" s="22" t="n">
        <x:f>IFERROR('3000rpm'!D192,"")</x:f>
        <x:v>1102.9006060483869</x:v>
      </x:c>
      <x:c r="J323" s="22" t="n">
        <x:f>IFERROR('3000rpm'!D174,"")</x:f>
        <x:v>225.4981045045034</x:v>
      </x:c>
      <x:c r="K323" s="22" t="n">
        <x:f>IF(AND(ISNUMBER(I323),ISNUMBER(J323)),I323-J323,"")</x:f>
        <x:v>877.4025015438834</x:v>
      </x:c>
      <x:c r="L323" s="22" t="n">
        <x:f>IF(ISNUMBER(K323),K323*$B$2+$B$3,"")</x:f>
        <x:v>832.2131898837464</x:v>
      </x:c>
      <x:c r="M323" s="22" t="n">
        <x:f>IF(AND(ISNUMBER(G323),ISNUMBER(H323),H323&lt;&gt;0),G323/(H323/60)/$B$5,"")</x:f>
        <x:v>0.13359646492721244</x:v>
      </x:c>
      <x:c r="N323" s="22" t="n">
        <x:f>IF(AND(ISNUMBER(L323),ISNUMBER(H323),H323&lt;&gt;0),L323*$B$6/$B$4/(H323/60)^2/$B$5^4/$B$7,"")</x:f>
        <x:v>0.059568289498456314</x:v>
      </x:c>
      <x:c r="O323" s="22" t="n">
        <x:f>IF(ISNUMBER(N323),N323*$B$8,"")</x:f>
        <x:v>0.007696374227718481</x:v>
      </x:c>
      <x:c r="P323" s="20" t="str">
        <x:v>3000rpm!E192</x:v>
      </x:c>
      <x:c r="Q323" s="20" t="str">
        <x:v>3000rpm!D192</x:v>
      </x:c>
      <x:c r="R323" s="20" t="str">
        <x:v>3000rpm!D174</x:v>
      </x:c>
    </x:row>
    <x:row r="324">
      <x:c r="A324" s="21" t="n">
        <x:v>3000</x:v>
      </x:c>
      <x:c r="B324" s="21" t="n">
        <x:v>90</x:v>
      </x:c>
      <x:c r="C324" s="21" t="n">
        <x:v>19</x:v>
      </x:c>
      <x:c r="D324" s="21" t="n">
        <x:v>2</x:v>
      </x:c>
      <x:c r="E324" s="21" t="str">
        <x:v>3000rpm</x:v>
      </x:c>
      <x:c r="F324" s="21" t="n">
        <x:v>192</x:v>
      </x:c>
      <x:c r="G324" s="22" t="n">
        <x:f>IFERROR('3000rpm'!O192,"")</x:f>
        <x:v>3.114423839942265</x:v>
      </x:c>
      <x:c r="H324" s="22" t="n">
        <x:f>IFERROR('3000rpm'!L192,"")</x:f>
        <x:v>3017.46927315848</x:v>
      </x:c>
      <x:c r="I324" s="22" t="n">
        <x:f>IFERROR('3000rpm'!N192,"")</x:f>
        <x:v>1084.1993995169078</x:v>
      </x:c>
      <x:c r="J324" s="22" t="n">
        <x:f>IFERROR('3000rpm'!N174,"")</x:f>
        <x:v>214.38530833333257</x:v>
      </x:c>
      <x:c r="K324" s="22" t="n">
        <x:f>IF(AND(ISNUMBER(I324),ISNUMBER(J324)),I324-J324,"")</x:f>
        <x:v>869.8140911835752</x:v>
      </x:c>
      <x:c r="L324" s="22" t="n">
        <x:f>IF(ISNUMBER(K324),K324*$B$2+$B$3,"")</x:f>
        <x:v>825.2644218095293</x:v>
      </x:c>
      <x:c r="M324" s="22" t="n">
        <x:f>IF(AND(ISNUMBER(G324),ISNUMBER(H324),H324&lt;&gt;0),G324/(H324/60)/$B$5,"")</x:f>
        <x:v>0.13545027384311523</x:v>
      </x:c>
      <x:c r="N324" s="22" t="n">
        <x:f>IF(AND(ISNUMBER(L324),ISNUMBER(H324),H324&lt;&gt;0),L324*$B$6/$B$4/(H324/60)^2/$B$5^4/$B$7,"")</x:f>
        <x:v>0.060732904645791126</x:v>
      </x:c>
      <x:c r="O324" s="22" t="n">
        <x:f>IF(ISNUMBER(N324),N324*$B$8,"")</x:f>
        <x:v>0.007846845461333313</x:v>
      </x:c>
      <x:c r="P324" s="20" t="str">
        <x:v>3000rpm!O192</x:v>
      </x:c>
      <x:c r="Q324" s="20" t="str">
        <x:v>3000rpm!N192</x:v>
      </x:c>
      <x:c r="R324" s="20" t="str">
        <x:v>3000rpm!N174</x:v>
      </x:c>
    </x:row>
    <x:row r="325">
      <x:c r="A325" s="21" t="n">
        <x:v>3000</x:v>
      </x:c>
      <x:c r="B325" s="21" t="n">
        <x:v>90</x:v>
      </x:c>
      <x:c r="C325" s="21" t="n">
        <x:v>20</x:v>
      </x:c>
      <x:c r="D325" s="21" t="n">
        <x:v>1</x:v>
      </x:c>
      <x:c r="E325" s="21" t="str">
        <x:v>3000rpm</x:v>
      </x:c>
      <x:c r="F325" s="21" t="n">
        <x:v>193</x:v>
      </x:c>
      <x:c r="G325" s="22" t="n">
        <x:f>IFERROR('3000rpm'!E193,"")</x:f>
        <x:v>1.9795995537225148</x:v>
      </x:c>
      <x:c r="H325" s="22" t="n">
        <x:f>IFERROR('3000rpm'!B193,"")</x:f>
        <x:v>3046.24021218039</x:v>
      </x:c>
      <x:c r="I325" s="22" t="n">
        <x:f>IFERROR('3000rpm'!D193,"")</x:f>
        <x:v>1196.6337574212819</x:v>
      </x:c>
      <x:c r="J325" s="22" t="n">
        <x:f>IFERROR('3000rpm'!D174,"")</x:f>
        <x:v>225.4981045045034</x:v>
      </x:c>
      <x:c r="K325" s="22" t="n">
        <x:f>IF(AND(ISNUMBER(I325),ISNUMBER(J325)),I325-J325,"")</x:f>
        <x:v>971.1356529167784</x:v>
      </x:c>
      <x:c r="L325" s="22" t="n">
        <x:f>IF(ISNUMBER(K325),K325*$B$2+$B$3,"")</x:f>
        <x:v>918.0453864611172</x:v>
      </x:c>
      <x:c r="M325" s="22" t="n">
        <x:f>IF(AND(ISNUMBER(G325),ISNUMBER(H325),H325&lt;&gt;0),G325/(H325/60)/$B$5,"")</x:f>
        <x:v>0.08528216738829394</x:v>
      </x:c>
      <x:c r="N325" s="22" t="n">
        <x:f>IF(AND(ISNUMBER(L325),ISNUMBER(H325),H325&lt;&gt;0),L325*$B$6/$B$4/(H325/60)^2/$B$5^4/$B$7,"")</x:f>
        <x:v>0.06629068421135026</x:v>
      </x:c>
      <x:c r="O325" s="22" t="n">
        <x:f>IF(ISNUMBER(N325),N325*$B$8,"")</x:f>
        <x:v>0.008564924690598713</x:v>
      </x:c>
      <x:c r="P325" s="20" t="str">
        <x:v>3000rpm!E193</x:v>
      </x:c>
      <x:c r="Q325" s="20" t="str">
        <x:v>3000rpm!D193</x:v>
      </x:c>
      <x:c r="R325" s="20" t="str">
        <x:v>3000rpm!D174</x:v>
      </x:c>
    </x:row>
    <x:row r="326">
      <x:c r="A326" s="21" t="n">
        <x:v>3000</x:v>
      </x:c>
      <x:c r="B326" s="21" t="n">
        <x:v>90</x:v>
      </x:c>
      <x:c r="C326" s="21" t="n">
        <x:v>20</x:v>
      </x:c>
      <x:c r="D326" s="21" t="n">
        <x:v>2</x:v>
      </x:c>
      <x:c r="E326" s="21" t="str">
        <x:v>3000rpm</x:v>
      </x:c>
      <x:c r="F326" s="21" t="n">
        <x:v>193</x:v>
      </x:c>
      <x:c r="G326" s="22" t="n">
        <x:f>IFERROR('3000rpm'!O193,"")</x:f>
        <x:v>2.088872843510865</x:v>
      </x:c>
      <x:c r="H326" s="22" t="n">
        <x:f>IFERROR('3000rpm'!L193,"")</x:f>
        <x:v>3011.47643554687</x:v>
      </x:c>
      <x:c r="I326" s="22" t="n">
        <x:f>IFERROR('3000rpm'!N193,"")</x:f>
        <x:v>1165.1140522821565</x:v>
      </x:c>
      <x:c r="J326" s="22" t="n">
        <x:f>IFERROR('3000rpm'!N174,"")</x:f>
        <x:v>214.38530833333257</x:v>
      </x:c>
      <x:c r="K326" s="22" t="n">
        <x:f>IF(AND(ISNUMBER(I326),ISNUMBER(J326)),I326-J326,"")</x:f>
        <x:v>950.728743948824</x:v>
      </x:c>
      <x:c r="L326" s="22" t="n">
        <x:f>IF(ISNUMBER(K326),K326*$B$2+$B$3,"")</x:f>
        <x:v>899.3586166638896</x:v>
      </x:c>
      <x:c r="M326" s="22" t="n">
        <x:f>IF(AND(ISNUMBER(G326),ISNUMBER(H326),H326&lt;&gt;0),G326/(H326/60)/$B$5,"")</x:f>
        <x:v>0.09102853709503367</x:v>
      </x:c>
      <x:c r="N326" s="22" t="n">
        <x:f>IF(AND(ISNUMBER(L326),ISNUMBER(H326),H326&lt;&gt;0),L326*$B$6/$B$4/(H326/60)^2/$B$5^4/$B$7,"")</x:f>
        <x:v>0.0664493296639044</x:v>
      </x:c>
      <x:c r="O326" s="22" t="n">
        <x:f>IF(ISNUMBER(N326),N326*$B$8,"")</x:f>
        <x:v>0.008585422085817928</x:v>
      </x:c>
      <x:c r="P326" s="20" t="str">
        <x:v>3000rpm!O193</x:v>
      </x:c>
      <x:c r="Q326" s="20" t="str">
        <x:v>3000rpm!N193</x:v>
      </x:c>
      <x:c r="R326" s="20" t="str">
        <x:v>3000rpm!N174</x:v>
      </x:c>
    </x:row>
    <x:row r="327">
      <x:c r="A327" s="21" t="n">
        <x:v>3000</x:v>
      </x:c>
      <x:c r="B327" s="21" t="n">
        <x:v>90</x:v>
      </x:c>
      <x:c r="C327" s="21" t="n">
        <x:v>21</x:v>
      </x:c>
      <x:c r="D327" s="21" t="n">
        <x:v>1</x:v>
      </x:c>
      <x:c r="E327" s="21" t="str">
        <x:v>3000rpm</x:v>
      </x:c>
      <x:c r="F327" s="21" t="n">
        <x:v>194</x:v>
      </x:c>
      <x:c r="G327" s="22" t="n">
        <x:f>IFERROR('3000rpm'!E194,"")</x:f>
        <x:v>1.0583720644372334</x:v>
      </x:c>
      <x:c r="H327" s="22" t="n">
        <x:f>IFERROR('3000rpm'!B194,"")</x:f>
        <x:v>3019.36215820312</x:v>
      </x:c>
      <x:c r="I327" s="22" t="n">
        <x:f>IFERROR('3000rpm'!D194,"")</x:f>
        <x:v>1268.2419780663745</x:v>
      </x:c>
      <x:c r="J327" s="22" t="n">
        <x:f>IFERROR('3000rpm'!D174,"")</x:f>
        <x:v>225.4981045045034</x:v>
      </x:c>
      <x:c r="K327" s="22" t="n">
        <x:f>IF(AND(ISNUMBER(I327),ISNUMBER(J327)),I327-J327,"")</x:f>
        <x:v>1042.7438735618712</x:v>
      </x:c>
      <x:c r="L327" s="22" t="n">
        <x:f>IF(ISNUMBER(K327),K327*$B$2+$B$3,"")</x:f>
        <x:v>983.6176069715939</x:v>
      </x:c>
      <x:c r="M327" s="22" t="n">
        <x:f>IF(AND(ISNUMBER(G327),ISNUMBER(H327),H327&lt;&gt;0),G327/(H327/60)/$B$5,"")</x:f>
        <x:v>0.04600109706401748</x:v>
      </x:c>
      <x:c r="N327" s="22" t="n">
        <x:f>IF(AND(ISNUMBER(L327),ISNUMBER(H327),H327&lt;&gt;0),L327*$B$6/$B$4/(H327/60)^2/$B$5^4/$B$7,"")</x:f>
        <x:v>0.07229570902429948</x:v>
      </x:c>
      <x:c r="O327" s="22" t="n">
        <x:f>IF(ISNUMBER(N327),N327*$B$8,"")</x:f>
        <x:v>0.00934078914123717</x:v>
      </x:c>
      <x:c r="P327" s="20" t="str">
        <x:v>3000rpm!E194</x:v>
      </x:c>
      <x:c r="Q327" s="20" t="str">
        <x:v>3000rpm!D194</x:v>
      </x:c>
      <x:c r="R327" s="20" t="str">
        <x:v>3000rpm!D174</x:v>
      </x:c>
    </x:row>
    <x:row r="328">
      <x:c r="A328" s="21" t="n">
        <x:v>3000</x:v>
      </x:c>
      <x:c r="B328" s="21" t="n">
        <x:v>90</x:v>
      </x:c>
      <x:c r="C328" s="21" t="n">
        <x:v>21</x:v>
      </x:c>
      <x:c r="D328" s="21" t="n">
        <x:v>2</x:v>
      </x:c>
      <x:c r="E328" s="21" t="str">
        <x:v>3000rpm</x:v>
      </x:c>
      <x:c r="F328" s="21" t="n">
        <x:v>194</x:v>
      </x:c>
      <x:c r="G328" s="22" t="n">
        <x:f>IFERROR('3000rpm'!O194,"")</x:f>
        <x:v>1.061351569576395</x:v>
      </x:c>
      <x:c r="H328" s="22" t="n">
        <x:f>IFERROR('3000rpm'!L194,"")</x:f>
        <x:v>3015.14892578125</x:v>
      </x:c>
      <x:c r="I328" s="22" t="n">
        <x:f>IFERROR('3000rpm'!N194,"")</x:f>
        <x:v>1254.1860209302258</x:v>
      </x:c>
      <x:c r="J328" s="22" t="n">
        <x:f>IFERROR('3000rpm'!N174,"")</x:f>
        <x:v>214.38530833333257</x:v>
      </x:c>
      <x:c r="K328" s="22" t="n">
        <x:f>IF(AND(ISNUMBER(I328),ISNUMBER(J328)),I328-J328,"")</x:f>
        <x:v>1039.8007125968932</x:v>
      </x:c>
      <x:c r="L328" s="22" t="n">
        <x:f>IF(ISNUMBER(K328),K328*$B$2+$B$3,"")</x:f>
        <x:v>980.9225309306757</x:v>
      </x:c>
      <x:c r="M328" s="22" t="n">
        <x:f>IF(AND(ISNUMBER(G328),ISNUMBER(H328),H328&lt;&gt;0),G328/(H328/60)/$B$5,"")</x:f>
        <x:v>0.04619505912065404</x:v>
      </x:c>
      <x:c r="N328" s="22" t="n">
        <x:f>IF(AND(ISNUMBER(L328),ISNUMBER(H328),H328&lt;&gt;0),L328*$B$6/$B$4/(H328/60)^2/$B$5^4/$B$7,"")</x:f>
        <x:v>0.0722992541157905</x:v>
      </x:c>
      <x:c r="O328" s="22" t="n">
        <x:f>IF(ISNUMBER(N328),N328*$B$8,"")</x:f>
        <x:v>0.009341247176057645</x:v>
      </x:c>
      <x:c r="P328" s="20" t="str">
        <x:v>3000rpm!O194</x:v>
      </x:c>
      <x:c r="Q328" s="20" t="str">
        <x:v>3000rpm!N194</x:v>
      </x:c>
      <x:c r="R328" s="20" t="str">
        <x:v>3000rpm!N174</x:v>
      </x:c>
    </x:row>
    <x:row r="329">
      <x:c r="A329" s="21" t="n">
        <x:v>3000</x:v>
      </x:c>
      <x:c r="B329" s="21" t="n">
        <x:v>90</x:v>
      </x:c>
      <x:c r="C329" s="21" t="n">
        <x:v>22</x:v>
      </x:c>
      <x:c r="D329" s="21" t="n">
        <x:v>1</x:v>
      </x:c>
      <x:c r="E329" s="21" t="str">
        <x:v>3000rpm</x:v>
      </x:c>
      <x:c r="F329" s="21" t="n">
        <x:v>195</x:v>
      </x:c>
      <x:c r="G329" s="22" t="n">
        <x:f>IFERROR('3000rpm'!E195,"")</x:f>
        <x:v>0.15384</x:v>
      </x:c>
      <x:c r="H329" s="22" t="n">
        <x:f>IFERROR('3000rpm'!B195,"")</x:f>
        <x:v>3039.09</x:v>
      </x:c>
      <x:c r="I329" s="22" t="n">
        <x:f>IFERROR('3000rpm'!D195,"")</x:f>
        <x:v>1324.5770000000002</x:v>
      </x:c>
      <x:c r="J329" s="22" t="n">
        <x:f>IFERROR('3000rpm'!D174,"")</x:f>
        <x:v>225.4981045045034</x:v>
      </x:c>
      <x:c r="K329" s="22" t="n">
        <x:f>IF(AND(ISNUMBER(I329),ISNUMBER(J329)),I329-J329,"")</x:f>
        <x:v>1099.078895495497</x:v>
      </x:c>
      <x:c r="L329" s="22" t="n">
        <x:f>IF(ISNUMBER(K329),K329*$B$2+$B$3,"")</x:f>
        <x:v>1035.2040372363904</x:v>
      </x:c>
      <x:c r="M329" s="22" t="n">
        <x:f>IF(AND(ISNUMBER(G329),ISNUMBER(H329),H329&lt;&gt;0),G329/(H329/60)/$B$5,"")</x:f>
        <x:v>0.00664309920994533</x:v>
      </x:c>
      <x:c r="N329" s="22" t="n">
        <x:f>IF(AND(ISNUMBER(L329),ISNUMBER(H329),H329&lt;&gt;0),L329*$B$6/$B$4/(H329/60)^2/$B$5^4/$B$7,"")</x:f>
        <x:v>0.07510268723004636</x:v>
      </x:c>
      <x:c r="O329" s="22" t="n">
        <x:f>IF(ISNUMBER(N329),N329*$B$8,"")</x:f>
        <x:v>0.00970345785142462</x:v>
      </x:c>
      <x:c r="P329" s="20" t="str">
        <x:v>3000rpm!E195</x:v>
      </x:c>
      <x:c r="Q329" s="20" t="str">
        <x:v>3000rpm!D195</x:v>
      </x:c>
      <x:c r="R329" s="20" t="str">
        <x:v>3000rpm!D174</x:v>
      </x:c>
    </x:row>
    <x:row r="330">
      <x:c r="A330" s="21" t="n">
        <x:v>3000</x:v>
      </x:c>
      <x:c r="B330" s="21" t="n">
        <x:v>90</x:v>
      </x:c>
      <x:c r="C330" s="21" t="n">
        <x:v>22</x:v>
      </x:c>
      <x:c r="D330" s="21" t="n">
        <x:v>2</x:v>
      </x:c>
      <x:c r="E330" s="21" t="str">
        <x:v>3000rpm</x:v>
      </x:c>
      <x:c r="F330" s="21" t="n">
        <x:v>195</x:v>
      </x:c>
      <x:c r="G330" s="22" t="n">
        <x:f>IFERROR('3000rpm'!O195,"")</x:f>
        <x:v>0.25218300000000005</x:v>
      </x:c>
      <x:c r="H330" s="22" t="n">
        <x:f>IFERROR('3000rpm'!L195,"")</x:f>
        <x:v>3025.658</x:v>
      </x:c>
      <x:c r="I330" s="22" t="n">
        <x:f>IFERROR('3000rpm'!N195,"")</x:f>
        <x:v>1305.4123840000002</x:v>
      </x:c>
      <x:c r="J330" s="22" t="n">
        <x:f>IFERROR('3000rpm'!N174,"")</x:f>
        <x:v>214.38530833333257</x:v>
      </x:c>
      <x:c r="K330" s="22" t="n">
        <x:f>IF(AND(ISNUMBER(I330),ISNUMBER(J330)),I330-J330,"")</x:f>
        <x:v>1091.0270756666675</x:v>
      </x:c>
      <x:c r="L330" s="22" t="n">
        <x:f>IF(ISNUMBER(K330),K330*$B$2+$B$3,"")</x:f>
        <x:v>1027.8309214045728</x:v>
      </x:c>
      <x:c r="M330" s="22" t="n">
        <x:f>IF(AND(ISNUMBER(G330),ISNUMBER(H330),H330&lt;&gt;0),G330/(H330/60)/$B$5,"")</x:f>
        <x:v>0.010938077565198639</x:v>
      </x:c>
      <x:c r="N330" s="22" t="n">
        <x:f>IF(AND(ISNUMBER(L330),ISNUMBER(H330),H330&lt;&gt;0),L330*$B$6/$B$4/(H330/60)^2/$B$5^4/$B$7,"")</x:f>
        <x:v>0.07523131413318884</x:v>
      </x:c>
      <x:c r="O330" s="22" t="n">
        <x:f>IF(ISNUMBER(N330),N330*$B$8,"")</x:f>
        <x:v>0.009720076773852513</x:v>
      </x:c>
      <x:c r="P330" s="20" t="str">
        <x:v>3000rpm!O195</x:v>
      </x:c>
      <x:c r="Q330" s="20" t="str">
        <x:v>3000rpm!N195</x:v>
      </x:c>
      <x:c r="R330" s="20" t="str">
        <x:v>3000rpm!N174</x:v>
      </x:c>
    </x:row>
    <x:row r="331">
      <x:c r="A331" s="21" t="n">
        <x:v>3000</x:v>
      </x:c>
      <x:c r="B331" s="21" t="n">
        <x:v>90</x:v>
      </x:c>
      <x:c r="C331" s="21" t="n">
        <x:v>23</x:v>
      </x:c>
      <x:c r="D331" s="21" t="n">
        <x:v>1</x:v>
      </x:c>
      <x:c r="E331" s="21" t="str">
        <x:v>3000rpm</x:v>
      </x:c>
      <x:c r="F331" s="21" t="n">
        <x:v>196</x:v>
      </x:c>
      <x:c r="G331" s="22" t="n">
        <x:f>IFERROR('3000rpm'!E196,"")</x:f>
        <x:v>0.02182440712515795</x:v>
      </x:c>
      <x:c r="H331" s="22" t="n">
        <x:f>IFERROR('3000rpm'!B196,"")</x:f>
        <x:v>0</x:v>
      </x:c>
      <x:c r="I331" s="22" t="n">
        <x:f>IFERROR('3000rpm'!D196,"")</x:f>
        <x:v>215.35769090908988</x:v>
      </x:c>
      <x:c r="J331" s="22" t="n">
        <x:f>IFERROR('3000rpm'!D174,"")</x:f>
        <x:v>225.4981045045034</x:v>
      </x:c>
      <x:c r="K331" s="22" t="n">
        <x:f>IF(AND(ISNUMBER(I331),ISNUMBER(J331)),I331-J331,"")</x:f>
        <x:v>-10.14041359541352</x:v>
      </x:c>
      <x:c r="L331" s="22" t="n">
        <x:f>IF(ISNUMBER(K331),K331*$B$2+$B$3,"")</x:f>
        <x:v>19.483042147371076</x:v>
      </x:c>
      <x:c r="M331" s="22" t="str">
        <x:f>IF(AND(ISNUMBER(G331),ISNUMBER(H331),H331&lt;&gt;0),G331/(H331/60)/$B$5,"")</x:f>
      </x:c>
      <x:c r="N331" s="22" t="str">
        <x:f>IF(AND(ISNUMBER(L331),ISNUMBER(H331),H331&lt;&gt;0),L331*$B$6/$B$4/(H331/60)^2/$B$5^4/$B$7,"")</x:f>
      </x:c>
      <x:c r="O331" s="22" t="str">
        <x:f>IF(ISNUMBER(N331),N331*$B$8,"")</x:f>
      </x:c>
      <x:c r="P331" s="20" t="str">
        <x:v>3000rpm!E196</x:v>
      </x:c>
      <x:c r="Q331" s="20" t="str">
        <x:v>3000rpm!D196</x:v>
      </x:c>
      <x:c r="R331" s="20" t="str">
        <x:v>3000rpm!D174</x:v>
      </x:c>
    </x:row>
    <x:row r="332">
      <x:c r="A332" s="21" t="n">
        <x:v>3000</x:v>
      </x:c>
      <x:c r="B332" s="21" t="n">
        <x:v>90</x:v>
      </x:c>
      <x:c r="C332" s="21" t="n">
        <x:v>23</x:v>
      </x:c>
      <x:c r="D332" s="21" t="n">
        <x:v>2</x:v>
      </x:c>
      <x:c r="E332" s="21" t="str">
        <x:v>3000rpm</x:v>
      </x:c>
      <x:c r="F332" s="21" t="n">
        <x:v>196</x:v>
      </x:c>
      <x:c r="G332" s="22" t="n">
        <x:f>IFERROR('3000rpm'!O196,"")</x:f>
        <x:v>0.1471293674781918</x:v>
      </x:c>
      <x:c r="H332" s="22" t="n">
        <x:f>IFERROR('3000rpm'!L196,"")</x:f>
        <x:v>0</x:v>
      </x:c>
      <x:c r="I332" s="22" t="n">
        <x:f>IFERROR('3000rpm'!N196,"")</x:f>
        <x:v>252.13498333333254</x:v>
      </x:c>
      <x:c r="J332" s="22" t="n">
        <x:f>IFERROR('3000rpm'!N174,"")</x:f>
        <x:v>214.38530833333257</x:v>
      </x:c>
      <x:c r="K332" s="22" t="n">
        <x:f>IF(AND(ISNUMBER(I332),ISNUMBER(J332)),I332-J332,"")</x:f>
        <x:v>37.74967499999997</x:v>
      </x:c>
      <x:c r="L332" s="22" t="n">
        <x:f>IF(ISNUMBER(K332),K332*$B$2+$B$3,"")</x:f>
        <x:v>63.336379394899964</x:v>
      </x:c>
      <x:c r="M332" s="22" t="str">
        <x:f>IF(AND(ISNUMBER(G332),ISNUMBER(H332),H332&lt;&gt;0),G332/(H332/60)/$B$5,"")</x:f>
      </x:c>
      <x:c r="N332" s="22" t="str">
        <x:f>IF(AND(ISNUMBER(L332),ISNUMBER(H332),H332&lt;&gt;0),L332*$B$6/$B$4/(H332/60)^2/$B$5^4/$B$7,"")</x:f>
      </x:c>
      <x:c r="O332" s="22" t="str">
        <x:f>IF(ISNUMBER(N332),N332*$B$8,"")</x:f>
      </x:c>
      <x:c r="P332" s="20" t="str">
        <x:v>3000rpm!O196</x:v>
      </x:c>
      <x:c r="Q332" s="20" t="str">
        <x:v>3000rpm!N196</x:v>
      </x:c>
      <x:c r="R332" s="20" t="str">
        <x:v>3000rpm!N174</x:v>
      </x:c>
    </x:row>
    <x:row r="333">
      <x:c r="A333" s="21" t="n">
        <x:v>4000</x:v>
      </x:c>
      <x:c r="B333" s="21" t="n">
        <x:v>0</x:v>
      </x:c>
      <x:c r="C333" s="21" t="n">
        <x:v>1</x:v>
      </x:c>
      <x:c r="D333" s="21" t="n">
        <x:v>1</x:v>
      </x:c>
      <x:c r="E333" s="21" t="str">
        <x:v>4000rpm</x:v>
      </x:c>
      <x:c r="F333" s="21" t="n">
        <x:v>3</x:v>
      </x:c>
      <x:c r="G333" s="22" t="n">
        <x:f>IFERROR('4000rpm'!D3,"")</x:f>
        <x:v>-0.00003838775704810935</x:v>
      </x:c>
      <x:c r="H333" s="22" t="n">
        <x:f>IFERROR('4000rpm'!B3,"")</x:f>
        <x:v>0</x:v>
      </x:c>
      <x:c r="I333" s="22" t="n">
        <x:f>IFERROR('4000rpm'!C3,"")</x:f>
        <x:v>42.4204545454545</x:v>
      </x:c>
      <x:c r="J333" s="22" t="n">
        <x:f>IFERROR('4000rpm'!C3,"")</x:f>
        <x:v>42.4204545454545</x:v>
      </x:c>
      <x:c r="K333" s="22" t="n">
        <x:f>IF(AND(ISNUMBER(I333),ISNUMBER(J333)),I333-J333,"")</x:f>
        <x:v>0</x:v>
      </x:c>
      <x:c r="L333" s="22" t="n">
        <x:f>IF(ISNUMBER(K333),K333*$B$2+$B$3,"")</x:f>
        <x:v>28.7687</x:v>
      </x:c>
      <x:c r="M333" s="22" t="str">
        <x:f>IF(AND(ISNUMBER(G333),ISNUMBER(H333),H333&lt;&gt;0),G333/(H333/60)/$B$5,"")</x:f>
      </x:c>
      <x:c r="N333" s="22" t="str">
        <x:f>IF(AND(ISNUMBER(L333),ISNUMBER(H333),H333&lt;&gt;0),L333*$B$6/$B$4/(H333/60)^2/$B$5^4/$B$7,"")</x:f>
      </x:c>
      <x:c r="O333" s="22" t="str">
        <x:f>IF(ISNUMBER(N333),N333*$B$8,"")</x:f>
      </x:c>
      <x:c r="P333" s="20" t="str">
        <x:v>4000rpm!D3</x:v>
      </x:c>
      <x:c r="Q333" s="20" t="str">
        <x:v>4000rpm!C3</x:v>
      </x:c>
      <x:c r="R333" s="20" t="str">
        <x:v>4000rpm!C3</x:v>
      </x:c>
    </x:row>
    <x:row r="334">
      <x:c r="A334" s="21" t="n">
        <x:v>4000</x:v>
      </x:c>
      <x:c r="B334" s="21" t="n">
        <x:v>0</x:v>
      </x:c>
      <x:c r="C334" s="21" t="n">
        <x:v>1</x:v>
      </x:c>
      <x:c r="D334" s="21" t="n">
        <x:v>2</x:v>
      </x:c>
      <x:c r="E334" s="21" t="str">
        <x:v>4000rpm</x:v>
      </x:c>
      <x:c r="F334" s="21" t="n">
        <x:v>3</x:v>
      </x:c>
      <x:c r="G334" s="22" t="n">
        <x:f>IFERROR('4000rpm'!N3,"")</x:f>
        <x:v>-0.000244519979827125</x:v>
      </x:c>
      <x:c r="H334" s="22" t="n">
        <x:f>IFERROR('4000rpm'!L3,"")</x:f>
        <x:v>0</x:v>
      </x:c>
      <x:c r="I334" s="22" t="n">
        <x:f>IFERROR('4000rpm'!M3,"")</x:f>
        <x:v>42.8224637681159</x:v>
      </x:c>
      <x:c r="J334" s="22" t="n">
        <x:f>IFERROR('4000rpm'!C3,"")</x:f>
        <x:v>42.4204545454545</x:v>
      </x:c>
      <x:c r="K334" s="22" t="n">
        <x:f>IF(AND(ISNUMBER(I334),ISNUMBER(J334)),I334-J334,"")</x:f>
        <x:v>0.4020092226614054</x:v>
      </x:c>
      <x:c r="L334" s="22" t="n">
        <x:f>IF(ISNUMBER(K334),K334*$B$2+$B$3,"")</x:f>
        <x:v>29.136823061264828</x:v>
      </x:c>
      <x:c r="M334" s="22" t="str">
        <x:f>IF(AND(ISNUMBER(G334),ISNUMBER(H334),H334&lt;&gt;0),G334/(H334/60)/$B$5,"")</x:f>
      </x:c>
      <x:c r="N334" s="22" t="str">
        <x:f>IF(AND(ISNUMBER(L334),ISNUMBER(H334),H334&lt;&gt;0),L334*$B$6/$B$4/(H334/60)^2/$B$5^4/$B$7,"")</x:f>
      </x:c>
      <x:c r="O334" s="22" t="str">
        <x:f>IF(ISNUMBER(N334),N334*$B$8,"")</x:f>
      </x:c>
      <x:c r="P334" s="20" t="str">
        <x:v>4000rpm!N3</x:v>
      </x:c>
      <x:c r="Q334" s="20" t="str">
        <x:v>4000rpm!M3</x:v>
      </x:c>
      <x:c r="R334" s="20" t="str">
        <x:v>4000rpm!C3</x:v>
      </x:c>
    </x:row>
    <x:row r="335">
      <x:c r="A335" s="21" t="n">
        <x:v>4000</x:v>
      </x:c>
      <x:c r="B335" s="21" t="n">
        <x:v>0</x:v>
      </x:c>
      <x:c r="C335" s="21" t="n">
        <x:v>2</x:v>
      </x:c>
      <x:c r="D335" s="21" t="n">
        <x:v>1</x:v>
      </x:c>
      <x:c r="E335" s="21" t="str">
        <x:v>4000rpm</x:v>
      </x:c>
      <x:c r="F335" s="21" t="n">
        <x:v>4</x:v>
      </x:c>
      <x:c r="G335" s="22" t="n">
        <x:f>IFERROR('4000rpm'!D4,"")</x:f>
        <x:v>0.000568708911963993</x:v>
      </x:c>
      <x:c r="H335" s="22" t="n">
        <x:f>IFERROR('4000rpm'!B4,"")</x:f>
        <x:v>4022.10301598837</x:v>
      </x:c>
      <x:c r="I335" s="22" t="n">
        <x:f>IFERROR('4000rpm'!C4,"")</x:f>
        <x:v>2059.67129629629</x:v>
      </x:c>
      <x:c r="J335" s="22" t="n">
        <x:f>IFERROR('4000rpm'!C3,"")</x:f>
        <x:v>42.4204545454545</x:v>
      </x:c>
      <x:c r="K335" s="22" t="n">
        <x:f>IF(AND(ISNUMBER(I335),ISNUMBER(J335)),I335-J335,"")</x:f>
        <x:v>2017.2508417508357</x:v>
      </x:c>
      <x:c r="L335" s="22" t="n">
        <x:f>IF(ISNUMBER(K335),K335*$B$2+$B$3,"")</x:f>
        <x:v>1875.9814337979742</x:v>
      </x:c>
      <x:c r="M335" s="22" t="n">
        <x:f>IF(AND(ISNUMBER(G335),ISNUMBER(H335),H335&lt;&gt;0),G335/(H335/60)/$B$5,"")</x:f>
        <x:v>0.00001855589356716138</x:v>
      </x:c>
      <x:c r="N335" s="22" t="n">
        <x:f>IF(AND(ISNUMBER(L335),ISNUMBER(H335),H335&lt;&gt;0),L335*$B$6/$B$4/(H335/60)^2/$B$5^4/$B$7,"")</x:f>
        <x:v>0.07770318115070762</x:v>
      </x:c>
      <x:c r="O335" s="22" t="n">
        <x:f>IF(ISNUMBER(N335),N335*$B$8,"")</x:f>
        <x:v>0.010039448267782549</x:v>
      </x:c>
      <x:c r="P335" s="20" t="str">
        <x:v>4000rpm!D4</x:v>
      </x:c>
      <x:c r="Q335" s="20" t="str">
        <x:v>4000rpm!C4</x:v>
      </x:c>
      <x:c r="R335" s="20" t="str">
        <x:v>4000rpm!C3</x:v>
      </x:c>
    </x:row>
    <x:row r="336">
      <x:c r="A336" s="21" t="n">
        <x:v>4000</x:v>
      </x:c>
      <x:c r="B336" s="21" t="n">
        <x:v>0</x:v>
      </x:c>
      <x:c r="C336" s="21" t="n">
        <x:v>2</x:v>
      </x:c>
      <x:c r="D336" s="21" t="n">
        <x:v>2</x:v>
      </x:c>
      <x:c r="E336" s="21" t="str">
        <x:v>4000rpm</x:v>
      </x:c>
      <x:c r="F336" s="21" t="n">
        <x:v>4</x:v>
      </x:c>
      <x:c r="G336" s="22" t="n">
        <x:f>IFERROR('4000rpm'!N4,"")</x:f>
        <x:v>0.0017397957629247</x:v>
      </x:c>
      <x:c r="H336" s="22" t="n">
        <x:f>IFERROR('4000rpm'!L4,"")</x:f>
        <x:v>4062.4512703188</x:v>
      </x:c>
      <x:c r="I336" s="22" t="n">
        <x:f>IFERROR('4000rpm'!M4,"")</x:f>
        <x:v>2115.45569620253</x:v>
      </x:c>
      <x:c r="J336" s="22" t="n">
        <x:f>IFERROR('4000rpm'!C3,"")</x:f>
        <x:v>42.4204545454545</x:v>
      </x:c>
      <x:c r="K336" s="22" t="n">
        <x:f>IF(AND(ISNUMBER(I336),ISNUMBER(J336)),I336-J336,"")</x:f>
        <x:v>2073.0352416570754</x:v>
      </x:c>
      <x:c r="L336" s="22" t="n">
        <x:f>IF(ISNUMBER(K336),K336*$B$2+$B$3,"")</x:f>
        <x:v>1927.0636550673173</x:v>
      </x:c>
      <x:c r="M336" s="22" t="n">
        <x:f>IF(AND(ISNUMBER(G336),ISNUMBER(H336),H336&lt;&gt;0),G336/(H336/60)/$B$5,"")</x:f>
        <x:v>0.00005620243511479921</x:v>
      </x:c>
      <x:c r="N336" s="22" t="n">
        <x:f>IF(AND(ISNUMBER(L336),ISNUMBER(H336),H336&lt;&gt;0),L336*$B$6/$B$4/(H336/60)^2/$B$5^4/$B$7,"")</x:f>
        <x:v>0.07824135698115206</x:v>
      </x:c>
      <x:c r="O336" s="22" t="n">
        <x:f>IF(ISNUMBER(N336),N336*$B$8,"")</x:f>
        <x:v>0.01010898195132941</x:v>
      </x:c>
      <x:c r="P336" s="20" t="str">
        <x:v>4000rpm!N4</x:v>
      </x:c>
      <x:c r="Q336" s="20" t="str">
        <x:v>4000rpm!M4</x:v>
      </x:c>
      <x:c r="R336" s="20" t="str">
        <x:v>4000rpm!C3</x:v>
      </x:c>
    </x:row>
    <x:row r="337">
      <x:c r="A337" s="21" t="n">
        <x:v>4000</x:v>
      </x:c>
      <x:c r="B337" s="21" t="n">
        <x:v>0</x:v>
      </x:c>
      <x:c r="C337" s="21" t="n">
        <x:v>3</x:v>
      </x:c>
      <x:c r="D337" s="21" t="n">
        <x:v>1</x:v>
      </x:c>
      <x:c r="E337" s="21" t="str">
        <x:v>4000rpm</x:v>
      </x:c>
      <x:c r="F337" s="21" t="n">
        <x:v>5</x:v>
      </x:c>
      <x:c r="G337" s="22" t="n">
        <x:f>IFERROR('4000rpm'!D5,"")</x:f>
        <x:v>1.017606411844689</x:v>
      </x:c>
      <x:c r="H337" s="22" t="n">
        <x:f>IFERROR('4000rpm'!B5,"")</x:f>
        <x:v>4051.95557454427</x:v>
      </x:c>
      <x:c r="I337" s="22" t="n">
        <x:f>IFERROR('4000rpm'!C5,"")</x:f>
        <x:v>2053.09900990099</x:v>
      </x:c>
      <x:c r="J337" s="22" t="n">
        <x:f>IFERROR('4000rpm'!C3,"")</x:f>
        <x:v>42.4204545454545</x:v>
      </x:c>
      <x:c r="K337" s="22" t="n">
        <x:f>IF(AND(ISNUMBER(I337),ISNUMBER(J337)),I337-J337,"")</x:f>
        <x:v>2010.6785553555355</x:v>
      </x:c>
      <x:c r="L337" s="22" t="n">
        <x:f>IF(ISNUMBER(K337),K337*$B$2+$B$3,"")</x:f>
        <x:v>1869.9631385675068</x:v>
      </x:c>
      <x:c r="M337" s="22" t="n">
        <x:f>IF(AND(ISNUMBER(G337),ISNUMBER(H337),H337&lt;&gt;0),G337/(H337/60)/$B$5,"")</x:f>
        <x:v>0.03295794982921755</x:v>
      </x:c>
      <x:c r="N337" s="22" t="n">
        <x:f>IF(AND(ISNUMBER(L337),ISNUMBER(H337),H337&lt;&gt;0),L337*$B$6/$B$4/(H337/60)^2/$B$5^4/$B$7,"")</x:f>
        <x:v>0.07631683270891519</x:v>
      </x:c>
      <x:c r="O337" s="22" t="n">
        <x:f>IF(ISNUMBER(N337),N337*$B$8,"")</x:f>
        <x:v>0.009860328529615055</x:v>
      </x:c>
      <x:c r="P337" s="20" t="str">
        <x:v>4000rpm!D5</x:v>
      </x:c>
      <x:c r="Q337" s="20" t="str">
        <x:v>4000rpm!C5</x:v>
      </x:c>
      <x:c r="R337" s="20" t="str">
        <x:v>4000rpm!C3</x:v>
      </x:c>
    </x:row>
    <x:row r="338">
      <x:c r="A338" s="21" t="n">
        <x:v>4000</x:v>
      </x:c>
      <x:c r="B338" s="21" t="n">
        <x:v>0</x:v>
      </x:c>
      <x:c r="C338" s="21" t="n">
        <x:v>3</x:v>
      </x:c>
      <x:c r="D338" s="21" t="n">
        <x:v>2</x:v>
      </x:c>
      <x:c r="E338" s="21" t="str">
        <x:v>4000rpm</x:v>
      </x:c>
      <x:c r="F338" s="21" t="n">
        <x:v>5</x:v>
      </x:c>
      <x:c r="G338" s="22" t="n">
        <x:f>IFERROR('4000rpm'!N5,"")</x:f>
        <x:v>1.0153861677868066</x:v>
      </x:c>
      <x:c r="H338" s="22" t="n">
        <x:f>IFERROR('4000rpm'!L5,"")</x:f>
        <x:v>4081.99498401988</x:v>
      </x:c>
      <x:c r="I338" s="22" t="n">
        <x:f>IFERROR('4000rpm'!M5,"")</x:f>
        <x:v>2098.54024767801</x:v>
      </x:c>
      <x:c r="J338" s="22" t="n">
        <x:f>IFERROR('4000rpm'!C3,"")</x:f>
        <x:v>42.4204545454545</x:v>
      </x:c>
      <x:c r="K338" s="22" t="n">
        <x:f>IF(AND(ISNUMBER(I338),ISNUMBER(J338)),I338-J338,"")</x:f>
        <x:v>2056.1197931325555</x:v>
      </x:c>
      <x:c r="L338" s="22" t="n">
        <x:f>IF(ISNUMBER(K338),K338*$B$2+$B$3,"")</x:f>
        <x:v>1911.5740435298262</x:v>
      </x:c>
      <x:c r="M338" s="22" t="n">
        <x:f>IF(AND(ISNUMBER(G338),ISNUMBER(H338),H338&lt;&gt;0),G338/(H338/60)/$B$5,"")</x:f>
        <x:v>0.03264403274536919</x:v>
      </x:c>
      <x:c r="N338" s="22" t="n">
        <x:f>IF(AND(ISNUMBER(L338),ISNUMBER(H338),H338&lt;&gt;0),L338*$B$6/$B$4/(H338/60)^2/$B$5^4/$B$7,"")</x:f>
        <x:v>0.07687105367549063</x:v>
      </x:c>
      <x:c r="O338" s="22" t="n">
        <x:f>IF(ISNUMBER(N338),N338*$B$8,"")</x:f>
        <x:v>0.009931935285483426</x:v>
      </x:c>
      <x:c r="P338" s="20" t="str">
        <x:v>4000rpm!N5</x:v>
      </x:c>
      <x:c r="Q338" s="20" t="str">
        <x:v>4000rpm!M5</x:v>
      </x:c>
      <x:c r="R338" s="20" t="str">
        <x:v>4000rpm!C3</x:v>
      </x:c>
    </x:row>
    <x:row r="339">
      <x:c r="A339" s="21" t="n">
        <x:v>4000</x:v>
      </x:c>
      <x:c r="B339" s="21" t="n">
        <x:v>0</x:v>
      </x:c>
      <x:c r="C339" s="21" t="n">
        <x:v>4</x:v>
      </x:c>
      <x:c r="D339" s="21" t="n">
        <x:v>1</x:v>
      </x:c>
      <x:c r="E339" s="21" t="str">
        <x:v>4000rpm</x:v>
      </x:c>
      <x:c r="F339" s="21" t="n">
        <x:v>6</x:v>
      </x:c>
      <x:c r="G339" s="22" t="n">
        <x:f>IFERROR('4000rpm'!D6,"")</x:f>
        <x:v>2.03525831798712</x:v>
      </x:c>
      <x:c r="H339" s="22" t="n">
        <x:f>IFERROR('4000rpm'!B6,"")</x:f>
        <x:v>4017.80946928879</x:v>
      </x:c>
      <x:c r="I339" s="22" t="n">
        <x:f>IFERROR('4000rpm'!C6,"")</x:f>
        <x:v>2070.94280762565</x:v>
      </x:c>
      <x:c r="J339" s="22" t="n">
        <x:f>IFERROR('4000rpm'!C3,"")</x:f>
        <x:v>42.4204545454545</x:v>
      </x:c>
      <x:c r="K339" s="22" t="n">
        <x:f>IF(AND(ISNUMBER(I339),ISNUMBER(J339)),I339-J339,"")</x:f>
        <x:v>2028.5223530801954</x:v>
      </x:c>
      <x:c r="L339" s="22" t="n">
        <x:f>IF(ISNUMBER(K339),K339*$B$2+$B$3,"")</x:f>
        <x:v>1886.3028468943596</x:v>
      </x:c>
      <x:c r="M339" s="22" t="n">
        <x:f>IF(AND(ISNUMBER(G339),ISNUMBER(H339),H339&lt;&gt;0),G339/(H339/60)/$B$5,"")</x:f>
        <x:v>0.06647758423936849</x:v>
      </x:c>
      <x:c r="N339" s="22" t="n">
        <x:f>IF(AND(ISNUMBER(L339),ISNUMBER(H339),H339&lt;&gt;0),L339*$B$6/$B$4/(H339/60)^2/$B$5^4/$B$7,"")</x:f>
        <x:v>0.07829776888163692</x:v>
      </x:c>
      <x:c r="O339" s="22" t="n">
        <x:f>IF(ISNUMBER(N339),N339*$B$8,"")</x:f>
        <x:v>0.010116270512083527</x:v>
      </x:c>
      <x:c r="P339" s="20" t="str">
        <x:v>4000rpm!D6</x:v>
      </x:c>
      <x:c r="Q339" s="20" t="str">
        <x:v>4000rpm!C6</x:v>
      </x:c>
      <x:c r="R339" s="20" t="str">
        <x:v>4000rpm!C3</x:v>
      </x:c>
    </x:row>
    <x:row r="340">
      <x:c r="A340" s="21" t="n">
        <x:v>4000</x:v>
      </x:c>
      <x:c r="B340" s="21" t="n">
        <x:v>0</x:v>
      </x:c>
      <x:c r="C340" s="21" t="n">
        <x:v>4</x:v>
      </x:c>
      <x:c r="D340" s="21" t="n">
        <x:v>2</x:v>
      </x:c>
      <x:c r="E340" s="21" t="str">
        <x:v>4000rpm</x:v>
      </x:c>
      <x:c r="F340" s="21" t="n">
        <x:v>6</x:v>
      </x:c>
      <x:c r="G340" s="22" t="n">
        <x:f>IFERROR('4000rpm'!N6,"")</x:f>
        <x:v>2.048467019290635</x:v>
      </x:c>
      <x:c r="H340" s="22" t="n">
        <x:f>IFERROR('4000rpm'!L6,"")</x:f>
        <x:v>4097.96549072265</x:v>
      </x:c>
      <x:c r="I340" s="22" t="n">
        <x:f>IFERROR('4000rpm'!M6,"")</x:f>
        <x:v>2119.04822335025</x:v>
      </x:c>
      <x:c r="J340" s="22" t="n">
        <x:f>IFERROR('4000rpm'!C3,"")</x:f>
        <x:v>42.4204545454545</x:v>
      </x:c>
      <x:c r="K340" s="22" t="n">
        <x:f>IF(AND(ISNUMBER(I340),ISNUMBER(J340)),I340-J340,"")</x:f>
        <x:v>2076.6277688047953</x:v>
      </x:c>
      <x:c r="L340" s="22" t="n">
        <x:f>IF(ISNUMBER(K340),K340*$B$2+$B$3,"")</x:f>
        <x:v>1930.3533609167016</x:v>
      </x:c>
      <x:c r="M340" s="22" t="n">
        <x:f>IF(AND(ISNUMBER(G340),ISNUMBER(H340),H340&lt;&gt;0),G340/(H340/60)/$B$5,"")</x:f>
        <x:v>0.06560028224466265</x:v>
      </x:c>
      <x:c r="N340" s="22" t="n">
        <x:f>IF(AND(ISNUMBER(L340),ISNUMBER(H340),H340&lt;&gt;0),L340*$B$6/$B$4/(H340/60)^2/$B$5^4/$B$7,"")</x:f>
        <x:v>0.07702236772500991</x:v>
      </x:c>
      <x:c r="O340" s="22" t="n">
        <x:f>IF(ISNUMBER(N340),N340*$B$8,"")</x:f>
        <x:v>0.009951485444818487</x:v>
      </x:c>
      <x:c r="P340" s="20" t="str">
        <x:v>4000rpm!N6</x:v>
      </x:c>
      <x:c r="Q340" s="20" t="str">
        <x:v>4000rpm!M6</x:v>
      </x:c>
      <x:c r="R340" s="20" t="str">
        <x:v>4000rpm!C3</x:v>
      </x:c>
    </x:row>
    <x:row r="341">
      <x:c r="A341" s="21" t="n">
        <x:v>4000</x:v>
      </x:c>
      <x:c r="B341" s="21" t="n">
        <x:v>0</x:v>
      </x:c>
      <x:c r="C341" s="21" t="n">
        <x:v>5</x:v>
      </x:c>
      <x:c r="D341" s="21" t="n">
        <x:v>1</x:v>
      </x:c>
      <x:c r="E341" s="21" t="str">
        <x:v>4000rpm</x:v>
      </x:c>
      <x:c r="F341" s="21" t="n">
        <x:v>7</x:v>
      </x:c>
      <x:c r="G341" s="22" t="n">
        <x:f>IFERROR('4000rpm'!D7,"")</x:f>
        <x:v>3.0582117575563803</x:v>
      </x:c>
      <x:c r="H341" s="22" t="n">
        <x:f>IFERROR('4000rpm'!B7,"")</x:f>
        <x:v>4050.0715657552</x:v>
      </x:c>
      <x:c r="I341" s="22" t="n">
        <x:f>IFERROR('4000rpm'!C7,"")</x:f>
        <x:v>2075.7356321839</x:v>
      </x:c>
      <x:c r="J341" s="22" t="n">
        <x:f>IFERROR('4000rpm'!C3,"")</x:f>
        <x:v>42.4204545454545</x:v>
      </x:c>
      <x:c r="K341" s="22" t="n">
        <x:f>IF(AND(ISNUMBER(I341),ISNUMBER(J341)),I341-J341,"")</x:f>
        <x:v>2033.3151776384457</x:v>
      </x:c>
      <x:c r="L341" s="22" t="n">
        <x:f>IF(ISNUMBER(K341),K341*$B$2+$B$3,"")</x:f>
        <x:v>1890.6916746849458</x:v>
      </x:c>
      <x:c r="M341" s="22" t="n">
        <x:f>IF(AND(ISNUMBER(G341),ISNUMBER(H341),H341&lt;&gt;0),G341/(H341/60)/$B$5,"")</x:f>
        <x:v>0.0990945762679951</x:v>
      </x:c>
      <x:c r="N341" s="22" t="n">
        <x:f>IF(AND(ISNUMBER(L341),ISNUMBER(H341),H341&lt;&gt;0),L341*$B$6/$B$4/(H341/60)^2/$B$5^4/$B$7,"")</x:f>
        <x:v>0.0772346103350889</x:v>
      </x:c>
      <x:c r="O341" s="22" t="n">
        <x:f>IF(ISNUMBER(N341),N341*$B$8,"")</x:f>
        <x:v>0.009978907728855667</x:v>
      </x:c>
      <x:c r="P341" s="20" t="str">
        <x:v>4000rpm!D7</x:v>
      </x:c>
      <x:c r="Q341" s="20" t="str">
        <x:v>4000rpm!C7</x:v>
      </x:c>
      <x:c r="R341" s="20" t="str">
        <x:v>4000rpm!C3</x:v>
      </x:c>
    </x:row>
    <x:row r="342">
      <x:c r="A342" s="21" t="n">
        <x:v>4000</x:v>
      </x:c>
      <x:c r="B342" s="21" t="n">
        <x:v>0</x:v>
      </x:c>
      <x:c r="C342" s="21" t="n">
        <x:v>5</x:v>
      </x:c>
      <x:c r="D342" s="21" t="n">
        <x:v>2</x:v>
      </x:c>
      <x:c r="E342" s="21" t="str">
        <x:v>4000rpm</x:v>
      </x:c>
      <x:c r="F342" s="21" t="n">
        <x:v>7</x:v>
      </x:c>
      <x:c r="G342" s="22" t="n">
        <x:f>IFERROR('4000rpm'!N7,"")</x:f>
        <x:v>3.0631004191038445</x:v>
      </x:c>
      <x:c r="H342" s="22" t="n">
        <x:f>IFERROR('4000rpm'!L7,"")</x:f>
        <x:v>4103.24326578776</x:v>
      </x:c>
      <x:c r="I342" s="22" t="n">
        <x:f>IFERROR('4000rpm'!M7,"")</x:f>
        <x:v>2133.26875</x:v>
      </x:c>
      <x:c r="J342" s="22" t="n">
        <x:f>IFERROR('4000rpm'!C3,"")</x:f>
        <x:v>42.4204545454545</x:v>
      </x:c>
      <x:c r="K342" s="22" t="n">
        <x:f>IF(AND(ISNUMBER(I342),ISNUMBER(J342)),I342-J342,"")</x:f>
        <x:v>2090.8482954545457</x:v>
      </x:c>
      <x:c r="L342" s="22" t="n">
        <x:f>IF(ISNUMBER(K342),K342*$B$2+$B$3,"")</x:f>
        <x:v>1943.3752109340912</x:v>
      </x:c>
      <x:c r="M342" s="22" t="n">
        <x:f>IF(AND(ISNUMBER(G342),ISNUMBER(H342),H342&lt;&gt;0),G342/(H342/60)/$B$5,"")</x:f>
        <x:v>0.09796681704171838</x:v>
      </x:c>
      <x:c r="N342" s="22" t="n">
        <x:f>IF(AND(ISNUMBER(L342),ISNUMBER(H342),H342&lt;&gt;0),L342*$B$6/$B$4/(H342/60)^2/$B$5^4/$B$7,"")</x:f>
        <x:v>0.07734260054036671</x:v>
      </x:c>
      <x:c r="O342" s="22" t="n">
        <x:f>IF(ISNUMBER(N342),N342*$B$8,"")</x:f>
        <x:v>0.009992860337529578</x:v>
      </x:c>
      <x:c r="P342" s="20" t="str">
        <x:v>4000rpm!N7</x:v>
      </x:c>
      <x:c r="Q342" s="20" t="str">
        <x:v>4000rpm!M7</x:v>
      </x:c>
      <x:c r="R342" s="20" t="str">
        <x:v>4000rpm!C3</x:v>
      </x:c>
    </x:row>
    <x:row r="343">
      <x:c r="A343" s="21" t="n">
        <x:v>4000</x:v>
      </x:c>
      <x:c r="B343" s="21" t="n">
        <x:v>0</x:v>
      </x:c>
      <x:c r="C343" s="21" t="n">
        <x:v>6</x:v>
      </x:c>
      <x:c r="D343" s="21" t="n">
        <x:v>1</x:v>
      </x:c>
      <x:c r="E343" s="21" t="str">
        <x:v>4000rpm</x:v>
      </x:c>
      <x:c r="F343" s="21" t="n">
        <x:v>8</x:v>
      </x:c>
      <x:c r="G343" s="22" t="n">
        <x:f>IFERROR('4000rpm'!D8,"")</x:f>
        <x:v>4.076196924998205</x:v>
      </x:c>
      <x:c r="H343" s="22" t="n">
        <x:f>IFERROR('4000rpm'!B8,"")</x:f>
        <x:v>4063.57388070913</x:v>
      </x:c>
      <x:c r="I343" s="22" t="n">
        <x:f>IFERROR('4000rpm'!C8,"")</x:f>
        <x:v>2087.11175337186</x:v>
      </x:c>
      <x:c r="J343" s="22" t="n">
        <x:f>IFERROR('4000rpm'!C3,"")</x:f>
        <x:v>42.4204545454545</x:v>
      </x:c>
      <x:c r="K343" s="22" t="n">
        <x:f>IF(AND(ISNUMBER(I343),ISNUMBER(J343)),I343-J343,"")</x:f>
        <x:v>2044.6912988264053</x:v>
      </x:c>
      <x:c r="L343" s="22" t="n">
        <x:f>IF(ISNUMBER(K343),K343*$B$2+$B$3,"")</x:f>
        <x:v>1901.10887986573</x:v>
      </x:c>
      <x:c r="M343" s="22" t="n">
        <x:f>IF(AND(ISNUMBER(G343),ISNUMBER(H343),H343&lt;&gt;0),G343/(H343/60)/$B$5,"")</x:f>
        <x:v>0.13164125849859196</x:v>
      </x:c>
      <x:c r="N343" s="22" t="n">
        <x:f>IF(AND(ISNUMBER(L343),ISNUMBER(H343),H343&lt;&gt;0),L343*$B$6/$B$4/(H343/60)^2/$B$5^4/$B$7,"")</x:f>
        <x:v>0.07714491639635726</x:v>
      </x:c>
      <x:c r="O343" s="22" t="n">
        <x:f>IF(ISNUMBER(N343),N343*$B$8,"")</x:f>
        <x:v>0.009967319044267795</x:v>
      </x:c>
      <x:c r="P343" s="20" t="str">
        <x:v>4000rpm!D8</x:v>
      </x:c>
      <x:c r="Q343" s="20" t="str">
        <x:v>4000rpm!C8</x:v>
      </x:c>
      <x:c r="R343" s="20" t="str">
        <x:v>4000rpm!C3</x:v>
      </x:c>
    </x:row>
    <x:row r="344">
      <x:c r="A344" s="21" t="n">
        <x:v>4000</x:v>
      </x:c>
      <x:c r="B344" s="21" t="n">
        <x:v>0</x:v>
      </x:c>
      <x:c r="C344" s="21" t="n">
        <x:v>6</x:v>
      </x:c>
      <x:c r="D344" s="21" t="n">
        <x:v>2</x:v>
      </x:c>
      <x:c r="E344" s="21" t="str">
        <x:v>4000rpm</x:v>
      </x:c>
      <x:c r="F344" s="21" t="n">
        <x:v>8</x:v>
      </x:c>
      <x:c r="G344" s="22" t="n">
        <x:f>IFERROR('4000rpm'!N8,"")</x:f>
        <x:v>4.081347215717475</x:v>
      </x:c>
      <x:c r="H344" s="22" t="n">
        <x:f>IFERROR('4000rpm'!L8,"")</x:f>
        <x:v>4086.54721901633</x:v>
      </x:c>
      <x:c r="I344" s="22" t="n">
        <x:f>IFERROR('4000rpm'!M8,"")</x:f>
        <x:v>2143.94977168949</x:v>
      </x:c>
      <x:c r="J344" s="22" t="n">
        <x:f>IFERROR('4000rpm'!C3,"")</x:f>
        <x:v>42.4204545454545</x:v>
      </x:c>
      <x:c r="K344" s="22" t="n">
        <x:f>IF(AND(ISNUMBER(I344),ISNUMBER(J344)),I344-J344,"")</x:f>
        <x:v>2101.5293171440353</x:v>
      </x:c>
      <x:c r="L344" s="22" t="n">
        <x:f>IF(ISNUMBER(K344),K344*$B$2+$B$3,"")</x:f>
        <x:v>1953.1559079433302</x:v>
      </x:c>
      <x:c r="M344" s="22" t="n">
        <x:f>IF(AND(ISNUMBER(G344),ISNUMBER(H344),H344&lt;&gt;0),G344/(H344/60)/$B$5,"")</x:f>
        <x:v>0.1310666051616042</x:v>
      </x:c>
      <x:c r="N344" s="22" t="n">
        <x:f>IF(AND(ISNUMBER(L344),ISNUMBER(H344),H344&lt;&gt;0),L344*$B$6/$B$4/(H344/60)^2/$B$5^4/$B$7,"")</x:f>
        <x:v>0.07836831541477793</x:v>
      </x:c>
      <x:c r="O344" s="22" t="n">
        <x:f>IF(ISNUMBER(N344),N344*$B$8,"")</x:f>
        <x:v>0.010125385303260055</x:v>
      </x:c>
      <x:c r="P344" s="20" t="str">
        <x:v>4000rpm!N8</x:v>
      </x:c>
      <x:c r="Q344" s="20" t="str">
        <x:v>4000rpm!M8</x:v>
      </x:c>
      <x:c r="R344" s="20" t="str">
        <x:v>4000rpm!C3</x:v>
      </x:c>
    </x:row>
    <x:row r="345">
      <x:c r="A345" s="21" t="n">
        <x:v>4000</x:v>
      </x:c>
      <x:c r="B345" s="21" t="n">
        <x:v>0</x:v>
      </x:c>
      <x:c r="C345" s="21" t="n">
        <x:v>7</x:v>
      </x:c>
      <x:c r="D345" s="21" t="n">
        <x:v>1</x:v>
      </x:c>
      <x:c r="E345" s="21" t="str">
        <x:v>4000rpm</x:v>
      </x:c>
      <x:c r="F345" s="21" t="n">
        <x:v>9</x:v>
      </x:c>
      <x:c r="G345" s="22" t="n">
        <x:f>IFERROR('4000rpm'!D9,"")</x:f>
        <x:v>5.08908245186595</x:v>
      </x:c>
      <x:c r="H345" s="22" t="n">
        <x:f>IFERROR('4000rpm'!B9,"")</x:f>
        <x:v>4056.25654658564</x:v>
      </x:c>
      <x:c r="I345" s="22" t="n">
        <x:f>IFERROR('4000rpm'!C9,"")</x:f>
        <x:v>2107.57642725598</x:v>
      </x:c>
      <x:c r="J345" s="22" t="n">
        <x:f>IFERROR('4000rpm'!C3,"")</x:f>
        <x:v>42.4204545454545</x:v>
      </x:c>
      <x:c r="K345" s="22" t="n">
        <x:f>IF(AND(ISNUMBER(I345),ISNUMBER(J345)),I345-J345,"")</x:f>
        <x:v>2065.1559727105255</x:v>
      </x:c>
      <x:c r="L345" s="22" t="n">
        <x:f>IF(ISNUMBER(K345),K345*$B$2+$B$3,"")</x:f>
        <x:v>1919.84854545881</x:v>
      </x:c>
      <x:c r="M345" s="22" t="n">
        <x:f>IF(AND(ISNUMBER(G345),ISNUMBER(H345),H345&lt;&gt;0),G345/(H345/60)/$B$5,"")</x:f>
        <x:v>0.16464900131770302</x:v>
      </x:c>
      <x:c r="N345" s="22" t="n">
        <x:f>IF(AND(ISNUMBER(L345),ISNUMBER(H345),H345&lt;&gt;0),L345*$B$6/$B$4/(H345/60)^2/$B$5^4/$B$7,"")</x:f>
        <x:v>0.07818668167288571</x:v>
      </x:c>
      <x:c r="O345" s="22" t="n">
        <x:f>IF(ISNUMBER(N345),N345*$B$8,"")</x:f>
        <x:v>0.01010191776269857</x:v>
      </x:c>
      <x:c r="P345" s="20" t="str">
        <x:v>4000rpm!D9</x:v>
      </x:c>
      <x:c r="Q345" s="20" t="str">
        <x:v>4000rpm!C9</x:v>
      </x:c>
      <x:c r="R345" s="20" t="str">
        <x:v>4000rpm!C3</x:v>
      </x:c>
    </x:row>
    <x:row r="346">
      <x:c r="A346" s="21" t="n">
        <x:v>4000</x:v>
      </x:c>
      <x:c r="B346" s="21" t="n">
        <x:v>0</x:v>
      </x:c>
      <x:c r="C346" s="21" t="n">
        <x:v>7</x:v>
      </x:c>
      <x:c r="D346" s="21" t="n">
        <x:v>2</x:v>
      </x:c>
      <x:c r="E346" s="21" t="str">
        <x:v>4000rpm</x:v>
      </x:c>
      <x:c r="F346" s="21" t="n">
        <x:v>9</x:v>
      </x:c>
      <x:c r="G346" s="22" t="n">
        <x:f>IFERROR('4000rpm'!N9,"")</x:f>
        <x:v>5.123723359639965</x:v>
      </x:c>
      <x:c r="H346" s="22" t="n">
        <x:f>IFERROR('4000rpm'!L9,"")</x:f>
        <x:v>4107.74845377604</x:v>
      </x:c>
      <x:c r="I346" s="22" t="n">
        <x:f>IFERROR('4000rpm'!M9,"")</x:f>
        <x:v>2162.83022774327</x:v>
      </x:c>
      <x:c r="J346" s="22" t="n">
        <x:f>IFERROR('4000rpm'!C3,"")</x:f>
        <x:v>42.4204545454545</x:v>
      </x:c>
      <x:c r="K346" s="22" t="n">
        <x:f>IF(AND(ISNUMBER(I346),ISNUMBER(J346)),I346-J346,"")</x:f>
        <x:v>2120.4097731978154</x:v>
      </x:c>
      <x:c r="L346" s="22" t="n">
        <x:f>IF(ISNUMBER(K346),K346*$B$2+$B$3,"")</x:f>
        <x:v>1970.4448925954252</x:v>
      </x:c>
      <x:c r="M346" s="22" t="n">
        <x:f>IF(AND(ISNUMBER(G346),ISNUMBER(H346),H346&lt;&gt;0),G346/(H346/60)/$B$5,"")</x:f>
        <x:v>0.16369177614919242</x:v>
      </x:c>
      <x:c r="N346" s="22" t="n">
        <x:f>IF(AND(ISNUMBER(L346),ISNUMBER(H346),H346&lt;&gt;0),L346*$B$6/$B$4/(H346/60)^2/$B$5^4/$B$7,"")</x:f>
        <x:v>0.07824800153717107</x:v>
      </x:c>
      <x:c r="O346" s="22" t="n">
        <x:f>IF(ISNUMBER(N346),N346*$B$8,"")</x:f>
        <x:v>0.010109840444835434</x:v>
      </x:c>
      <x:c r="P346" s="20" t="str">
        <x:v>4000rpm!N9</x:v>
      </x:c>
      <x:c r="Q346" s="20" t="str">
        <x:v>4000rpm!M9</x:v>
      </x:c>
      <x:c r="R346" s="20" t="str">
        <x:v>4000rpm!C3</x:v>
      </x:c>
    </x:row>
    <x:row r="347">
      <x:c r="A347" s="21" t="n">
        <x:v>4000</x:v>
      </x:c>
      <x:c r="B347" s="21" t="n">
        <x:v>0</x:v>
      </x:c>
      <x:c r="C347" s="21" t="n">
        <x:v>8</x:v>
      </x:c>
      <x:c r="D347" s="21" t="n">
        <x:v>1</x:v>
      </x:c>
      <x:c r="E347" s="21" t="str">
        <x:v>4000rpm</x:v>
      </x:c>
      <x:c r="F347" s="21" t="n">
        <x:v>10</x:v>
      </x:c>
      <x:c r="G347" s="22" t="n">
        <x:f>IFERROR('4000rpm'!D10,"")</x:f>
        <x:v>6.131503720672755</x:v>
      </x:c>
      <x:c r="H347" s="22" t="n">
        <x:f>IFERROR('4000rpm'!B10,"")</x:f>
        <x:v>4064.57871907552</x:v>
      </x:c>
      <x:c r="I347" s="22" t="n">
        <x:f>IFERROR('4000rpm'!C10,"")</x:f>
        <x:v>2142.2648556876</x:v>
      </x:c>
      <x:c r="J347" s="22" t="n">
        <x:f>IFERROR('4000rpm'!C3,"")</x:f>
        <x:v>42.4204545454545</x:v>
      </x:c>
      <x:c r="K347" s="22" t="n">
        <x:f>IF(AND(ISNUMBER(I347),ISNUMBER(J347)),I347-J347,"")</x:f>
        <x:v>2099.8444011421457</x:v>
      </x:c>
      <x:c r="L347" s="22" t="n">
        <x:f>IF(ISNUMBER(K347),K347*$B$2+$B$3,"")</x:f>
        <x:v>1951.6130168810719</x:v>
      </x:c>
      <x:c r="M347" s="22" t="n">
        <x:f>IF(AND(ISNUMBER(G347),ISNUMBER(H347),H347&lt;&gt;0),G347/(H347/60)/$B$5,"")</x:f>
        <x:v>0.19796867930047155</x:v>
      </x:c>
      <x:c r="N347" s="22" t="n">
        <x:f>IF(AND(ISNUMBER(L347),ISNUMBER(H347),H347&lt;&gt;0),L347*$B$6/$B$4/(H347/60)^2/$B$5^4/$B$7,"")</x:f>
        <x:v>0.07915516723360469</x:v>
      </x:c>
      <x:c r="O347" s="22" t="n">
        <x:f>IF(ISNUMBER(N347),N347*$B$8,"")</x:f>
        <x:v>0.010227048555813389</x:v>
      </x:c>
      <x:c r="P347" s="20" t="str">
        <x:v>4000rpm!D10</x:v>
      </x:c>
      <x:c r="Q347" s="20" t="str">
        <x:v>4000rpm!C10</x:v>
      </x:c>
      <x:c r="R347" s="20" t="str">
        <x:v>4000rpm!C3</x:v>
      </x:c>
    </x:row>
    <x:row r="348">
      <x:c r="A348" s="21" t="n">
        <x:v>4000</x:v>
      </x:c>
      <x:c r="B348" s="21" t="n">
        <x:v>0</x:v>
      </x:c>
      <x:c r="C348" s="21" t="n">
        <x:v>8</x:v>
      </x:c>
      <x:c r="D348" s="21" t="n">
        <x:v>2</x:v>
      </x:c>
      <x:c r="E348" s="21" t="str">
        <x:v>4000rpm</x:v>
      </x:c>
      <x:c r="F348" s="21" t="n">
        <x:v>10</x:v>
      </x:c>
      <x:c r="G348" s="22" t="n">
        <x:f>IFERROR('4000rpm'!N10,"")</x:f>
        <x:v>6.13225081847415</x:v>
      </x:c>
      <x:c r="H348" s="22" t="n">
        <x:f>IFERROR('4000rpm'!L10,"")</x:f>
        <x:v>4119.72505859375</x:v>
      </x:c>
      <x:c r="I348" s="22" t="n">
        <x:f>IFERROR('4000rpm'!M10,"")</x:f>
        <x:v>2195.71576763485</x:v>
      </x:c>
      <x:c r="J348" s="22" t="n">
        <x:f>IFERROR('4000rpm'!C3,"")</x:f>
        <x:v>42.4204545454545</x:v>
      </x:c>
      <x:c r="K348" s="22" t="n">
        <x:f>IF(AND(ISNUMBER(I348),ISNUMBER(J348)),I348-J348,"")</x:f>
        <x:v>2153.2953130893957</x:v>
      </x:c>
      <x:c r="L348" s="22" t="n">
        <x:f>IF(ISNUMBER(K348),K348*$B$2+$B$3,"")</x:f>
        <x:v>2000.5584445584643</x:v>
      </x:c>
      <x:c r="M348" s="22" t="n">
        <x:f>IF(AND(ISNUMBER(G348),ISNUMBER(H348),H348&lt;&gt;0),G348/(H348/60)/$B$5,"")</x:f>
        <x:v>0.19534248373695481</x:v>
      </x:c>
      <x:c r="N348" s="22" t="n">
        <x:f>IF(AND(ISNUMBER(L348),ISNUMBER(H348),H348&lt;&gt;0),L348*$B$6/$B$4/(H348/60)^2/$B$5^4/$B$7,"")</x:f>
        <x:v>0.07898259887018133</x:v>
      </x:c>
      <x:c r="O348" s="22" t="n">
        <x:f>IF(ISNUMBER(N348),N348*$B$8,"")</x:f>
        <x:v>0.010204752285164128</x:v>
      </x:c>
      <x:c r="P348" s="20" t="str">
        <x:v>4000rpm!N10</x:v>
      </x:c>
      <x:c r="Q348" s="20" t="str">
        <x:v>4000rpm!M10</x:v>
      </x:c>
      <x:c r="R348" s="20" t="str">
        <x:v>4000rpm!C3</x:v>
      </x:c>
    </x:row>
    <x:row r="349">
      <x:c r="A349" s="21" t="n">
        <x:v>4000</x:v>
      </x:c>
      <x:c r="B349" s="21" t="n">
        <x:v>0</x:v>
      </x:c>
      <x:c r="C349" s="21" t="n">
        <x:v>9</x:v>
      </x:c>
      <x:c r="D349" s="21" t="n">
        <x:v>1</x:v>
      </x:c>
      <x:c r="E349" s="21" t="str">
        <x:v>4000rpm</x:v>
      </x:c>
      <x:c r="F349" s="21" t="n">
        <x:v>11</x:v>
      </x:c>
      <x:c r="G349" s="22" t="n">
        <x:f>IFERROR('4000rpm'!D11,"")</x:f>
        <x:v>7.151014506816855</x:v>
      </x:c>
      <x:c r="H349" s="22" t="n">
        <x:f>IFERROR('4000rpm'!B11,"")</x:f>
        <x:v>4077.90984235491</x:v>
      </x:c>
      <x:c r="I349" s="22" t="n">
        <x:f>IFERROR('4000rpm'!C11,"")</x:f>
        <x:v>2179.64737793851</x:v>
      </x:c>
      <x:c r="J349" s="22" t="n">
        <x:f>IFERROR('4000rpm'!C3,"")</x:f>
        <x:v>42.4204545454545</x:v>
      </x:c>
      <x:c r="K349" s="22" t="n">
        <x:f>IF(AND(ISNUMBER(I349),ISNUMBER(J349)),I349-J349,"")</x:f>
        <x:v>2137.2269233930556</x:v>
      </x:c>
      <x:c r="L349" s="22" t="n">
        <x:f>IF(ISNUMBER(K349),K349*$B$2+$B$3,"")</x:f>
        <x:v>1985.8444915664081</x:v>
      </x:c>
      <x:c r="M349" s="22" t="n">
        <x:f>IF(AND(ISNUMBER(G349),ISNUMBER(H349),H349&lt;&gt;0),G349/(H349/60)/$B$5,"")</x:f>
        <x:v>0.23013096994056045</x:v>
      </x:c>
      <x:c r="N349" s="22" t="n">
        <x:f>IF(AND(ISNUMBER(L349),ISNUMBER(H349),H349&lt;&gt;0),L349*$B$6/$B$4/(H349/60)^2/$B$5^4/$B$7,"")</x:f>
        <x:v>0.08001780604331737</x:v>
      </x:c>
      <x:c r="O349" s="22" t="n">
        <x:f>IF(ISNUMBER(N349),N349*$B$8,"")</x:f>
        <x:v>0.010338503679987713</x:v>
      </x:c>
      <x:c r="P349" s="20" t="str">
        <x:v>4000rpm!D11</x:v>
      </x:c>
      <x:c r="Q349" s="20" t="str">
        <x:v>4000rpm!C11</x:v>
      </x:c>
      <x:c r="R349" s="20" t="str">
        <x:v>4000rpm!C3</x:v>
      </x:c>
    </x:row>
    <x:row r="350">
      <x:c r="A350" s="21" t="n">
        <x:v>4000</x:v>
      </x:c>
      <x:c r="B350" s="21" t="n">
        <x:v>0</x:v>
      </x:c>
      <x:c r="C350" s="21" t="n">
        <x:v>9</x:v>
      </x:c>
      <x:c r="D350" s="21" t="n">
        <x:v>2</x:v>
      </x:c>
      <x:c r="E350" s="21" t="str">
        <x:v>4000rpm</x:v>
      </x:c>
      <x:c r="F350" s="21" t="n">
        <x:v>11</x:v>
      </x:c>
      <x:c r="G350" s="22" t="n">
        <x:f>IFERROR('4000rpm'!N11,"")</x:f>
        <x:v>7.143597033346575</x:v>
      </x:c>
      <x:c r="H350" s="22" t="n">
        <x:f>IFERROR('4000rpm'!L11,"")</x:f>
        <x:v>4119.07482379415</x:v>
      </x:c>
      <x:c r="I350" s="22" t="n">
        <x:f>IFERROR('4000rpm'!M11,"")</x:f>
        <x:v>2232.49019607843</x:v>
      </x:c>
      <x:c r="J350" s="22" t="n">
        <x:f>IFERROR('4000rpm'!C3,"")</x:f>
        <x:v>42.4204545454545</x:v>
      </x:c>
      <x:c r="K350" s="22" t="n">
        <x:f>IF(AND(ISNUMBER(I350),ISNUMBER(J350)),I350-J350,"")</x:f>
        <x:v>2190.0697415329755</x:v>
      </x:c>
      <x:c r="L350" s="22" t="n">
        <x:f>IF(ISNUMBER(K350),K350*$B$2+$B$3,"")</x:f>
        <x:v>2034.233082879678</x:v>
      </x:c>
      <x:c r="M350" s="22" t="n">
        <x:f>IF(AND(ISNUMBER(G350),ISNUMBER(H350),H350&lt;&gt;0),G350/(H350/60)/$B$5,"")</x:f>
        <x:v>0.22759477934719932</x:v>
      </x:c>
      <x:c r="N350" s="22" t="n">
        <x:f>IF(AND(ISNUMBER(L350),ISNUMBER(H350),H350&lt;&gt;0),L350*$B$6/$B$4/(H350/60)^2/$B$5^4/$B$7,"")</x:f>
        <x:v>0.08033744091436892</x:v>
      </x:c>
      <x:c r="O350" s="22" t="n">
        <x:f>IF(ISNUMBER(N350),N350*$B$8,"")</x:f>
        <x:v>0.010379801316776578</x:v>
      </x:c>
      <x:c r="P350" s="20" t="str">
        <x:v>4000rpm!N11</x:v>
      </x:c>
      <x:c r="Q350" s="20" t="str">
        <x:v>4000rpm!M11</x:v>
      </x:c>
      <x:c r="R350" s="20" t="str">
        <x:v>4000rpm!C3</x:v>
      </x:c>
    </x:row>
    <x:row r="351">
      <x:c r="A351" s="21" t="n">
        <x:v>4000</x:v>
      </x:c>
      <x:c r="B351" s="21" t="n">
        <x:v>0</x:v>
      </x:c>
      <x:c r="C351" s="21" t="n">
        <x:v>10</x:v>
      </x:c>
      <x:c r="D351" s="21" t="n">
        <x:v>1</x:v>
      </x:c>
      <x:c r="E351" s="21" t="str">
        <x:v>4000rpm</x:v>
      </x:c>
      <x:c r="F351" s="21" t="n">
        <x:v>12</x:v>
      </x:c>
      <x:c r="G351" s="22" t="n">
        <x:f>IFERROR('4000rpm'!D12,"")</x:f>
        <x:v>8.16566629194822</x:v>
      </x:c>
      <x:c r="H351" s="22" t="n">
        <x:f>IFERROR('4000rpm'!B12,"")</x:f>
        <x:v>4096.145078125</x:v>
      </x:c>
      <x:c r="I351" s="22" t="n">
        <x:f>IFERROR('4000rpm'!C12,"")</x:f>
        <x:v>2226.56441717791</x:v>
      </x:c>
      <x:c r="J351" s="22" t="n">
        <x:f>IFERROR('4000rpm'!C3,"")</x:f>
        <x:v>42.4204545454545</x:v>
      </x:c>
      <x:c r="K351" s="22" t="n">
        <x:f>IF(AND(ISNUMBER(I351),ISNUMBER(J351)),I351-J351,"")</x:f>
        <x:v>2184.1439626324554</x:v>
      </x:c>
      <x:c r="L351" s="22" t="n">
        <x:f>IF(ISNUMBER(K351),K351*$B$2+$B$3,"")</x:f>
        <x:v>2028.8067997342405</x:v>
      </x:c>
      <x:c r="M351" s="22" t="n">
        <x:f>IF(AND(ISNUMBER(G351),ISNUMBER(H351),H351&lt;&gt;0),G351/(H351/60)/$B$5,"")</x:f>
        <x:v>0.26161420778827266</x:v>
      </x:c>
      <x:c r="N351" s="22" t="n">
        <x:f>IF(AND(ISNUMBER(L351),ISNUMBER(H351),H351&lt;&gt;0),L351*$B$6/$B$4/(H351/60)^2/$B$5^4/$B$7,"")</x:f>
        <x:v>0.08102269301817368</x:v>
      </x:c>
      <x:c r="O351" s="22" t="n">
        <x:f>IF(ISNUMBER(N351),N351*$B$8,"")</x:f>
        <x:v>0.010468337628220428</x:v>
      </x:c>
      <x:c r="P351" s="20" t="str">
        <x:v>4000rpm!D12</x:v>
      </x:c>
      <x:c r="Q351" s="20" t="str">
        <x:v>4000rpm!C12</x:v>
      </x:c>
      <x:c r="R351" s="20" t="str">
        <x:v>4000rpm!C3</x:v>
      </x:c>
    </x:row>
    <x:row r="352">
      <x:c r="A352" s="21" t="n">
        <x:v>4000</x:v>
      </x:c>
      <x:c r="B352" s="21" t="n">
        <x:v>0</x:v>
      </x:c>
      <x:c r="C352" s="21" t="n">
        <x:v>10</x:v>
      </x:c>
      <x:c r="D352" s="21" t="n">
        <x:v>2</x:v>
      </x:c>
      <x:c r="E352" s="21" t="str">
        <x:v>4000rpm</x:v>
      </x:c>
      <x:c r="F352" s="21" t="n">
        <x:v>12</x:v>
      </x:c>
      <x:c r="G352" s="22" t="n">
        <x:f>IFERROR('4000rpm'!N12,"")</x:f>
        <x:v>8.16895780109223</x:v>
      </x:c>
      <x:c r="H352" s="22" t="n">
        <x:f>IFERROR('4000rpm'!L12,"")</x:f>
        <x:v>4139.63887695312</x:v>
      </x:c>
      <x:c r="I352" s="22" t="n">
        <x:f>IFERROR('4000rpm'!M12,"")</x:f>
        <x:v>2278.0198807157</x:v>
      </x:c>
      <x:c r="J352" s="22" t="n">
        <x:f>IFERROR('4000rpm'!C3,"")</x:f>
        <x:v>42.4204545454545</x:v>
      </x:c>
      <x:c r="K352" s="22" t="n">
        <x:f>IF(AND(ISNUMBER(I352),ISNUMBER(J352)),I352-J352,"")</x:f>
        <x:v>2235.5994261702454</x:v>
      </x:c>
      <x:c r="L352" s="22" t="n">
        <x:f>IF(ISNUMBER(K352),K352*$B$2+$B$3,"")</x:f>
        <x:v>2075.924979339503</x:v>
      </x:c>
      <x:c r="M352" s="22" t="n">
        <x:f>IF(AND(ISNUMBER(G352),ISNUMBER(H352),H352&lt;&gt;0),G352/(H352/60)/$B$5,"")</x:f>
        <x:v>0.2589698613926277</x:v>
      </x:c>
      <x:c r="N352" s="22" t="n">
        <x:f>IF(AND(ISNUMBER(L352),ISNUMBER(H352),H352&lt;&gt;0),L352*$B$6/$B$4/(H352/60)^2/$B$5^4/$B$7,"")</x:f>
        <x:v>0.08117146486488624</x:v>
      </x:c>
      <x:c r="O352" s="22" t="n">
        <x:f>IF(ISNUMBER(N352),N352*$B$8,"")</x:f>
        <x:v>0.010487559328499036</x:v>
      </x:c>
      <x:c r="P352" s="20" t="str">
        <x:v>4000rpm!N12</x:v>
      </x:c>
      <x:c r="Q352" s="20" t="str">
        <x:v>4000rpm!M12</x:v>
      </x:c>
      <x:c r="R352" s="20" t="str">
        <x:v>4000rpm!C3</x:v>
      </x:c>
    </x:row>
    <x:row r="353">
      <x:c r="A353" s="21" t="n">
        <x:v>4000</x:v>
      </x:c>
      <x:c r="B353" s="21" t="n">
        <x:v>0</x:v>
      </x:c>
      <x:c r="C353" s="21" t="n">
        <x:v>11</x:v>
      </x:c>
      <x:c r="D353" s="21" t="n">
        <x:v>1</x:v>
      </x:c>
      <x:c r="E353" s="21" t="str">
        <x:v>4000rpm</x:v>
      </x:c>
      <x:c r="F353" s="21" t="n">
        <x:v>13</x:v>
      </x:c>
      <x:c r="G353" s="22" t="n">
        <x:f>IFERROR('4000rpm'!D13,"")</x:f>
        <x:v>9.174245646779564</x:v>
      </x:c>
      <x:c r="H353" s="22" t="n">
        <x:f>IFERROR('4000rpm'!B13,"")</x:f>
        <x:v>4070.9873860677</x:v>
      </x:c>
      <x:c r="I353" s="22" t="n">
        <x:f>IFERROR('4000rpm'!C13,"")</x:f>
        <x:v>2277.163507109</x:v>
      </x:c>
      <x:c r="J353" s="22" t="n">
        <x:f>IFERROR('4000rpm'!C3,"")</x:f>
        <x:v>42.4204545454545</x:v>
      </x:c>
      <x:c r="K353" s="22" t="n">
        <x:f>IF(AND(ISNUMBER(I353),ISNUMBER(J353)),I353-J353,"")</x:f>
        <x:v>2234.7430525635455</x:v>
      </x:c>
      <x:c r="L353" s="22" t="n">
        <x:f>IF(ISNUMBER(K353),K353*$B$2+$B$3,"")</x:f>
        <x:v>2075.140791176859</x:v>
      </x:c>
      <x:c r="M353" s="22" t="n">
        <x:f>IF(AND(ISNUMBER(G353),ISNUMBER(H353),H353&lt;&gt;0),G353/(H353/60)/$B$5,"")</x:f>
        <x:v>0.2957437915687447</x:v>
      </x:c>
      <x:c r="N353" s="22" t="n">
        <x:f>IF(AND(ISNUMBER(L353),ISNUMBER(H353),H353&lt;&gt;0),L353*$B$6/$B$4/(H353/60)^2/$B$5^4/$B$7,"")</x:f>
        <x:v>0.08390052852610985</x:v>
      </x:c>
      <x:c r="O353" s="22" t="n">
        <x:f>IF(ISNUMBER(N353),N353*$B$8,"")</x:f>
        <x:v>0.010840161281734385</x:v>
      </x:c>
      <x:c r="P353" s="20" t="str">
        <x:v>4000rpm!D13</x:v>
      </x:c>
      <x:c r="Q353" s="20" t="str">
        <x:v>4000rpm!C13</x:v>
      </x:c>
      <x:c r="R353" s="20" t="str">
        <x:v>4000rpm!C3</x:v>
      </x:c>
    </x:row>
    <x:row r="354">
      <x:c r="A354" s="21" t="n">
        <x:v>4000</x:v>
      </x:c>
      <x:c r="B354" s="21" t="n">
        <x:v>0</x:v>
      </x:c>
      <x:c r="C354" s="21" t="n">
        <x:v>11</x:v>
      </x:c>
      <x:c r="D354" s="21" t="n">
        <x:v>2</x:v>
      </x:c>
      <x:c r="E354" s="21" t="str">
        <x:v>4000rpm</x:v>
      </x:c>
      <x:c r="F354" s="21" t="n">
        <x:v>13</x:v>
      </x:c>
      <x:c r="G354" s="22" t="n">
        <x:f>IFERROR('4000rpm'!N13,"")</x:f>
        <x:v>9.186286662419626</x:v>
      </x:c>
      <x:c r="H354" s="22" t="n">
        <x:f>IFERROR('4000rpm'!L13,"")</x:f>
        <x:v>4131.76287576426</x:v>
      </x:c>
      <x:c r="I354" s="22" t="n">
        <x:f>IFERROR('4000rpm'!M13,"")</x:f>
        <x:v>2330.46</x:v>
      </x:c>
      <x:c r="J354" s="22" t="n">
        <x:f>IFERROR('4000rpm'!C3,"")</x:f>
        <x:v>42.4204545454545</x:v>
      </x:c>
      <x:c r="K354" s="22" t="n">
        <x:f>IF(AND(ISNUMBER(I354),ISNUMBER(J354)),I354-J354,"")</x:f>
        <x:v>2288.0395454545455</x:v>
      </x:c>
      <x:c r="L354" s="22" t="n">
        <x:f>IF(ISNUMBER(K354),K354*$B$2+$B$3,"")</x:f>
        <x:v>2123.944816089091</x:v>
      </x:c>
      <x:c r="M354" s="22" t="n">
        <x:f>IF(AND(ISNUMBER(G354),ISNUMBER(H354),H354&lt;&gt;0),G354/(H354/60)/$B$5,"")</x:f>
        <x:v>0.29177604499888865</x:v>
      </x:c>
      <x:c r="N354" s="22" t="n">
        <x:f>IF(AND(ISNUMBER(L354),ISNUMBER(H354),H354&lt;&gt;0),L354*$B$6/$B$4/(H354/60)^2/$B$5^4/$B$7,"")</x:f>
        <x:v>0.08336602478574233</x:v>
      </x:c>
      <x:c r="O354" s="22" t="n">
        <x:f>IF(ISNUMBER(N354),N354*$B$8,"")</x:f>
        <x:v>0.010771102041547702</x:v>
      </x:c>
      <x:c r="P354" s="20" t="str">
        <x:v>4000rpm!N13</x:v>
      </x:c>
      <x:c r="Q354" s="20" t="str">
        <x:v>4000rpm!M13</x:v>
      </x:c>
      <x:c r="R354" s="20" t="str">
        <x:v>4000rpm!C3</x:v>
      </x:c>
    </x:row>
    <x:row r="355">
      <x:c r="A355" s="21" t="n">
        <x:v>4000</x:v>
      </x:c>
      <x:c r="B355" s="21" t="n">
        <x:v>0</x:v>
      </x:c>
      <x:c r="C355" s="21" t="n">
        <x:v>12</x:v>
      </x:c>
      <x:c r="D355" s="21" t="n">
        <x:v>1</x:v>
      </x:c>
      <x:c r="E355" s="21" t="str">
        <x:v>4000rpm</x:v>
      </x:c>
      <x:c r="F355" s="21" t="n">
        <x:v>14</x:v>
      </x:c>
      <x:c r="G355" s="22" t="n">
        <x:f>IFERROR('4000rpm'!D14,"")</x:f>
        <x:v>10.130644047846555</x:v>
      </x:c>
      <x:c r="H355" s="22" t="n">
        <x:f>IFERROR('4000rpm'!B14,"")</x:f>
        <x:v>4076.14598592122</x:v>
      </x:c>
      <x:c r="I355" s="22" t="n">
        <x:f>IFERROR('4000rpm'!C14,"")</x:f>
        <x:v>2332.46830265848</x:v>
      </x:c>
      <x:c r="J355" s="22" t="n">
        <x:f>IFERROR('4000rpm'!C3,"")</x:f>
        <x:v>42.4204545454545</x:v>
      </x:c>
      <x:c r="K355" s="22" t="n">
        <x:f>IF(AND(ISNUMBER(I355),ISNUMBER(J355)),I355-J355,"")</x:f>
        <x:v>2290.0478481130253</x:v>
      </x:c>
      <x:c r="L355" s="22" t="n">
        <x:f>IF(ISNUMBER(K355),K355*$B$2+$B$3,"")</x:f>
        <x:v>2125.783834899882</x:v>
      </x:c>
      <x:c r="M355" s="22" t="n">
        <x:f>IF(AND(ISNUMBER(G355),ISNUMBER(H355),H355&lt;&gt;0),G355/(H355/60)/$B$5,"")</x:f>
        <x:v>0.3261612441669266</x:v>
      </x:c>
      <x:c r="N355" s="22" t="n">
        <x:f>IF(AND(ISNUMBER(L355),ISNUMBER(H355),H355&lt;&gt;0),L355*$B$6/$B$4/(H355/60)^2/$B$5^4/$B$7,"")</x:f>
        <x:v>0.08573068294545816</x:v>
      </x:c>
      <x:c r="O355" s="22" t="n">
        <x:f>IF(ISNUMBER(N355),N355*$B$8,"")</x:f>
        <x:v>0.011076621878881168</x:v>
      </x:c>
      <x:c r="P355" s="20" t="str">
        <x:v>4000rpm!D14</x:v>
      </x:c>
      <x:c r="Q355" s="20" t="str">
        <x:v>4000rpm!C14</x:v>
      </x:c>
      <x:c r="R355" s="20" t="str">
        <x:v>4000rpm!C3</x:v>
      </x:c>
    </x:row>
    <x:row r="356">
      <x:c r="A356" s="21" t="n">
        <x:v>4000</x:v>
      </x:c>
      <x:c r="B356" s="21" t="n">
        <x:v>0</x:v>
      </x:c>
      <x:c r="C356" s="21" t="n">
        <x:v>12</x:v>
      </x:c>
      <x:c r="D356" s="21" t="n">
        <x:v>2</x:v>
      </x:c>
      <x:c r="E356" s="21" t="str">
        <x:v>4000rpm</x:v>
      </x:c>
      <x:c r="F356" s="21" t="n">
        <x:v>14</x:v>
      </x:c>
      <x:c r="G356" s="22" t="n">
        <x:f>IFERROR('4000rpm'!N14,"")</x:f>
        <x:v>10.124099999999999</x:v>
      </x:c>
      <x:c r="H356" s="22" t="n">
        <x:f>IFERROR('4000rpm'!L14,"")</x:f>
        <x:v>4163.36</x:v>
      </x:c>
      <x:c r="I356" s="22" t="n">
        <x:f>IFERROR('4000rpm'!M14,"")</x:f>
        <x:v>2381.556</x:v>
      </x:c>
      <x:c r="J356" s="22" t="n">
        <x:f>IFERROR('4000rpm'!C3,"")</x:f>
        <x:v>42.4204545454545</x:v>
      </x:c>
      <x:c r="K356" s="22" t="n">
        <x:f>IF(AND(ISNUMBER(I356),ISNUMBER(J356)),I356-J356,"")</x:f>
        <x:v>2339.1355454545455</x:v>
      </x:c>
      <x:c r="L356" s="22" t="n">
        <x:f>IF(ISNUMBER(K356),K356*$B$2+$B$3,"")</x:f>
        <x:v>2170.733832057091</x:v>
      </x:c>
      <x:c r="M356" s="22" t="n">
        <x:f>IF(AND(ISNUMBER(G356),ISNUMBER(H356),H356&lt;&gt;0),G356/(H356/60)/$B$5,"")</x:f>
        <x:v>0.3191225469918754</x:v>
      </x:c>
      <x:c r="N356" s="22" t="n">
        <x:f>IF(AND(ISNUMBER(L356),ISNUMBER(H356),H356&lt;&gt;0),L356*$B$6/$B$4/(H356/60)^2/$B$5^4/$B$7,"")</x:f>
        <x:v>0.08391416684365306</x:v>
      </x:c>
      <x:c r="O356" s="22" t="n">
        <x:f>IF(ISNUMBER(N356),N356*$B$8,"")</x:f>
        <x:v>0.010841923386984222</x:v>
      </x:c>
      <x:c r="P356" s="20" t="str">
        <x:v>4000rpm!N14</x:v>
      </x:c>
      <x:c r="Q356" s="20" t="str">
        <x:v>4000rpm!M14</x:v>
      </x:c>
      <x:c r="R356" s="20" t="str">
        <x:v>4000rpm!C3</x:v>
      </x:c>
    </x:row>
    <x:row r="357">
      <x:c r="A357" s="21" t="n">
        <x:v>4000</x:v>
      </x:c>
      <x:c r="B357" s="21" t="n">
        <x:v>0</x:v>
      </x:c>
      <x:c r="C357" s="21" t="n">
        <x:v>13</x:v>
      </x:c>
      <x:c r="D357" s="21" t="n">
        <x:v>1</x:v>
      </x:c>
      <x:c r="E357" s="21" t="str">
        <x:v>4000rpm</x:v>
      </x:c>
      <x:c r="F357" s="21" t="n">
        <x:v>15</x:v>
      </x:c>
      <x:c r="G357" s="22" t="n">
        <x:f>IFERROR('4000rpm'!D15,"")</x:f>
        <x:v>9.193928729570821</x:v>
      </x:c>
      <x:c r="H357" s="22" t="n">
        <x:f>IFERROR('4000rpm'!B15,"")</x:f>
        <x:v>4094.4996145148</x:v>
      </x:c>
      <x:c r="I357" s="22" t="n">
        <x:f>IFERROR('4000rpm'!C15,"")</x:f>
        <x:v>2276.1125319693</x:v>
      </x:c>
      <x:c r="J357" s="22" t="n">
        <x:f>IFERROR('4000rpm'!C3,"")</x:f>
        <x:v>42.4204545454545</x:v>
      </x:c>
      <x:c r="K357" s="22" t="n">
        <x:f>IF(AND(ISNUMBER(I357),ISNUMBER(J357)),I357-J357,"")</x:f>
        <x:v>2233.6920774238456</x:v>
      </x:c>
      <x:c r="L357" s="22" t="n">
        <x:f>IF(ISNUMBER(K357),K357*$B$2+$B$3,"")</x:f>
        <x:v>2074.178404833635</x:v>
      </x:c>
      <x:c r="M357" s="22" t="n">
        <x:f>IF(AND(ISNUMBER(G357),ISNUMBER(H357),H357&lt;&gt;0),G357/(H357/60)/$B$5,"")</x:f>
        <x:v>0.29467638058583817</x:v>
      </x:c>
      <x:c r="N357" s="22" t="n">
        <x:f>IF(AND(ISNUMBER(L357),ISNUMBER(H357),H357&lt;&gt;0),L357*$B$6/$B$4/(H357/60)^2/$B$5^4/$B$7,"")</x:f>
        <x:v>0.08290125055052708</x:v>
      </x:c>
      <x:c r="O357" s="22" t="n">
        <x:f>IF(ISNUMBER(N357),N357*$B$8,"")</x:f>
        <x:v>0.010711052030447234</x:v>
      </x:c>
      <x:c r="P357" s="20" t="str">
        <x:v>4000rpm!D15</x:v>
      </x:c>
      <x:c r="Q357" s="20" t="str">
        <x:v>4000rpm!C15</x:v>
      </x:c>
      <x:c r="R357" s="20" t="str">
        <x:v>4000rpm!C3</x:v>
      </x:c>
    </x:row>
    <x:row r="358">
      <x:c r="A358" s="21" t="n">
        <x:v>4000</x:v>
      </x:c>
      <x:c r="B358" s="21" t="n">
        <x:v>0</x:v>
      </x:c>
      <x:c r="C358" s="21" t="n">
        <x:v>13</x:v>
      </x:c>
      <x:c r="D358" s="21" t="n">
        <x:v>2</x:v>
      </x:c>
      <x:c r="E358" s="21" t="str">
        <x:v>4000rpm</x:v>
      </x:c>
      <x:c r="F358" s="21" t="n">
        <x:v>15</x:v>
      </x:c>
      <x:c r="G358" s="22" t="n">
        <x:f>IFERROR('4000rpm'!N15,"")</x:f>
        <x:v>9.190336915424881</x:v>
      </x:c>
      <x:c r="H358" s="22" t="n">
        <x:f>IFERROR('4000rpm'!L15,"")</x:f>
        <x:v>4138.02827453613</x:v>
      </x:c>
      <x:c r="I358" s="22" t="n">
        <x:f>IFERROR('4000rpm'!M15,"")</x:f>
        <x:v>2329.26031746031</x:v>
      </x:c>
      <x:c r="J358" s="22" t="n">
        <x:f>IFERROR('4000rpm'!C3,"")</x:f>
        <x:v>42.4204545454545</x:v>
      </x:c>
      <x:c r="K358" s="22" t="n">
        <x:f>IF(AND(ISNUMBER(I358),ISNUMBER(J358)),I358-J358,"")</x:f>
        <x:v>2286.8398629148555</x:v>
      </x:c>
      <x:c r="L358" s="22" t="n">
        <x:f>IF(ISNUMBER(K358),K358*$B$2+$B$3,"")</x:f>
        <x:v>2122.8462571900363</x:v>
      </x:c>
      <x:c r="M358" s="22" t="n">
        <x:f>IF(AND(ISNUMBER(G358),ISNUMBER(H358),H358&lt;&gt;0),G358/(H358/60)/$B$5,"")</x:f>
        <x:v>0.2914627160600329</x:v>
      </x:c>
      <x:c r="N358" s="22" t="n">
        <x:f>IF(AND(ISNUMBER(L358),ISNUMBER(H358),H358&lt;&gt;0),L358*$B$6/$B$4/(H358/60)^2/$B$5^4/$B$7,"")</x:f>
        <x:v>0.08307077791898908</x:v>
      </x:c>
      <x:c r="O358" s="22" t="n">
        <x:f>IF(ISNUMBER(N358),N358*$B$8,"")</x:f>
        <x:v>0.01073295539682739</x:v>
      </x:c>
      <x:c r="P358" s="20" t="str">
        <x:v>4000rpm!N15</x:v>
      </x:c>
      <x:c r="Q358" s="20" t="str">
        <x:v>4000rpm!M15</x:v>
      </x:c>
      <x:c r="R358" s="20" t="str">
        <x:v>4000rpm!C3</x:v>
      </x:c>
    </x:row>
    <x:row r="359">
      <x:c r="A359" s="21" t="n">
        <x:v>4000</x:v>
      </x:c>
      <x:c r="B359" s="21" t="n">
        <x:v>0</x:v>
      </x:c>
      <x:c r="C359" s="21" t="n">
        <x:v>14</x:v>
      </x:c>
      <x:c r="D359" s="21" t="n">
        <x:v>1</x:v>
      </x:c>
      <x:c r="E359" s="21" t="str">
        <x:v>4000rpm</x:v>
      </x:c>
      <x:c r="F359" s="21" t="n">
        <x:v>16</x:v>
      </x:c>
      <x:c r="G359" s="22" t="n">
        <x:f>IFERROR('4000rpm'!D16,"")</x:f>
        <x:v>8.17149590390973</x:v>
      </x:c>
      <x:c r="H359" s="22" t="n">
        <x:f>IFERROR('4000rpm'!B16,"")</x:f>
        <x:v>4064.26996404474</x:v>
      </x:c>
      <x:c r="I359" s="22" t="n">
        <x:f>IFERROR('4000rpm'!C16,"")</x:f>
        <x:v>2220.84988962472</x:v>
      </x:c>
      <x:c r="J359" s="22" t="n">
        <x:f>IFERROR('4000rpm'!C3,"")</x:f>
        <x:v>42.4204545454545</x:v>
      </x:c>
      <x:c r="K359" s="22" t="n">
        <x:f>IF(AND(ISNUMBER(I359),ISNUMBER(J359)),I359-J359,"")</x:f>
        <x:v>2178.4294350792657</x:v>
      </x:c>
      <x:c r="L359" s="22" t="n">
        <x:f>IF(ISNUMBER(K359),K359*$B$2+$B$3,"")</x:f>
        <x:v>2023.5739611375643</x:v>
      </x:c>
      <x:c r="M359" s="22" t="n">
        <x:f>IF(AND(ISNUMBER(G359),ISNUMBER(H359),H359&lt;&gt;0),G359/(H359/60)/$B$5,"")</x:f>
        <x:v>0.26385422228992705</x:v>
      </x:c>
      <x:c r="N359" s="22" t="n">
        <x:f>IF(AND(ISNUMBER(L359),ISNUMBER(H359),H359&lt;&gt;0),L359*$B$6/$B$4/(H359/60)^2/$B$5^4/$B$7,"")</x:f>
        <x:v>0.08208629038581482</x:v>
      </x:c>
      <x:c r="O359" s="22" t="n">
        <x:f>IF(ISNUMBER(N359),N359*$B$8,"")</x:f>
        <x:v>0.010605757108247543</x:v>
      </x:c>
      <x:c r="P359" s="20" t="str">
        <x:v>4000rpm!D16</x:v>
      </x:c>
      <x:c r="Q359" s="20" t="str">
        <x:v>4000rpm!C16</x:v>
      </x:c>
      <x:c r="R359" s="20" t="str">
        <x:v>4000rpm!C3</x:v>
      </x:c>
    </x:row>
    <x:row r="360">
      <x:c r="A360" s="21" t="n">
        <x:v>4000</x:v>
      </x:c>
      <x:c r="B360" s="21" t="n">
        <x:v>0</x:v>
      </x:c>
      <x:c r="C360" s="21" t="n">
        <x:v>14</x:v>
      </x:c>
      <x:c r="D360" s="21" t="n">
        <x:v>2</x:v>
      </x:c>
      <x:c r="E360" s="21" t="str">
        <x:v>4000rpm</x:v>
      </x:c>
      <x:c r="F360" s="21" t="n">
        <x:v>16</x:v>
      </x:c>
      <x:c r="G360" s="22" t="n">
        <x:f>IFERROR('4000rpm'!N16,"")</x:f>
        <x:v>8.159463822046906</x:v>
      </x:c>
      <x:c r="H360" s="22" t="n">
        <x:f>IFERROR('4000rpm'!L16,"")</x:f>
        <x:v>4115.46162746263</x:v>
      </x:c>
      <x:c r="I360" s="22" t="n">
        <x:f>IFERROR('4000rpm'!M16,"")</x:f>
        <x:v>2277.25663716814</x:v>
      </x:c>
      <x:c r="J360" s="22" t="n">
        <x:f>IFERROR('4000rpm'!C3,"")</x:f>
        <x:v>42.4204545454545</x:v>
      </x:c>
      <x:c r="K360" s="22" t="n">
        <x:f>IF(AND(ISNUMBER(I360),ISNUMBER(J360)),I360-J360,"")</x:f>
        <x:v>2234.8361826226856</x:v>
      </x:c>
      <x:c r="L360" s="22" t="n">
        <x:f>IF(ISNUMBER(K360),K360*$B$2+$B$3,"")</x:f>
        <x:v>2075.226071117054</x:v>
      </x:c>
      <x:c r="M360" s="22" t="n">
        <x:f>IF(AND(ISNUMBER(G360),ISNUMBER(H360),H360&lt;&gt;0),G360/(H360/60)/$B$5,"")</x:f>
        <x:v>0.2601884974521569</x:v>
      </x:c>
      <x:c r="N360" s="22" t="n">
        <x:f>IF(AND(ISNUMBER(L360),ISNUMBER(H360),H360&lt;&gt;0),L360*$B$6/$B$4/(H360/60)^2/$B$5^4/$B$7,"")</x:f>
        <x:v>0.0821003378180895</x:v>
      </x:c>
      <x:c r="O360" s="22" t="n">
        <x:f>IF(ISNUMBER(N360),N360*$B$8,"")</x:f>
        <x:v>0.010607572072159293</x:v>
      </x:c>
      <x:c r="P360" s="20" t="str">
        <x:v>4000rpm!N16</x:v>
      </x:c>
      <x:c r="Q360" s="20" t="str">
        <x:v>4000rpm!M16</x:v>
      </x:c>
      <x:c r="R360" s="20" t="str">
        <x:v>4000rpm!C3</x:v>
      </x:c>
    </x:row>
    <x:row r="361">
      <x:c r="A361" s="21" t="n">
        <x:v>4000</x:v>
      </x:c>
      <x:c r="B361" s="21" t="n">
        <x:v>0</x:v>
      </x:c>
      <x:c r="C361" s="21" t="n">
        <x:v>15</x:v>
      </x:c>
      <x:c r="D361" s="21" t="n">
        <x:v>1</x:v>
      </x:c>
      <x:c r="E361" s="21" t="str">
        <x:v>4000rpm</x:v>
      </x:c>
      <x:c r="F361" s="21" t="n">
        <x:v>17</x:v>
      </x:c>
      <x:c r="G361" s="22" t="n">
        <x:f>IFERROR('4000rpm'!D17,"")</x:f>
        <x:v>7.169241431282774</x:v>
      </x:c>
      <x:c r="H361" s="22" t="n">
        <x:f>IFERROR('4000rpm'!B17,"")</x:f>
        <x:v>4062.97622680664</x:v>
      </x:c>
      <x:c r="I361" s="22" t="n">
        <x:f>IFERROR('4000rpm'!C17,"")</x:f>
        <x:v>2168.49898580121</x:v>
      </x:c>
      <x:c r="J361" s="22" t="n">
        <x:f>IFERROR('4000rpm'!C3,"")</x:f>
        <x:v>42.4204545454545</x:v>
      </x:c>
      <x:c r="K361" s="22" t="n">
        <x:f>IF(AND(ISNUMBER(I361),ISNUMBER(J361)),I361-J361,"")</x:f>
        <x:v>2126.0785312557555</x:v>
      </x:c>
      <x:c r="L361" s="22" t="n">
        <x:f>IF(ISNUMBER(K361),K361*$B$2+$B$3,"")</x:f>
        <x:v>1975.6358196991453</x:v>
      </x:c>
      <x:c r="M361" s="22" t="n">
        <x:f>IF(AND(ISNUMBER(G361),ISNUMBER(H361),H361&lt;&gt;0),G361/(H361/60)/$B$5,"")</x:f>
        <x:v>0.23156555186856526</x:v>
      </x:c>
      <x:c r="N361" s="22" t="n">
        <x:f>IF(AND(ISNUMBER(L361),ISNUMBER(H361),H361&lt;&gt;0),L361*$B$6/$B$4/(H361/60)^2/$B$5^4/$B$7,"")</x:f>
        <x:v>0.08019272510297988</x:v>
      </x:c>
      <x:c r="O361" s="22" t="n">
        <x:f>IF(ISNUMBER(N361),N361*$B$8,"")</x:f>
        <x:v>0.010361103666558723</x:v>
      </x:c>
      <x:c r="P361" s="20" t="str">
        <x:v>4000rpm!D17</x:v>
      </x:c>
      <x:c r="Q361" s="20" t="str">
        <x:v>4000rpm!C17</x:v>
      </x:c>
      <x:c r="R361" s="20" t="str">
        <x:v>4000rpm!C3</x:v>
      </x:c>
    </x:row>
    <x:row r="362">
      <x:c r="A362" s="21" t="n">
        <x:v>4000</x:v>
      </x:c>
      <x:c r="B362" s="21" t="n">
        <x:v>0</x:v>
      </x:c>
      <x:c r="C362" s="21" t="n">
        <x:v>15</x:v>
      </x:c>
      <x:c r="D362" s="21" t="n">
        <x:v>2</x:v>
      </x:c>
      <x:c r="E362" s="21" t="str">
        <x:v>4000rpm</x:v>
      </x:c>
      <x:c r="F362" s="21" t="n">
        <x:v>17</x:v>
      </x:c>
      <x:c r="G362" s="22" t="n">
        <x:f>IFERROR('4000rpm'!N17,"")</x:f>
        <x:v>7.159868741703915</x:v>
      </x:c>
      <x:c r="H362" s="22" t="n">
        <x:f>IFERROR('4000rpm'!L17,"")</x:f>
        <x:v>4130.78362274169</x:v>
      </x:c>
      <x:c r="I362" s="22" t="n">
        <x:f>IFERROR('4000rpm'!M17,"")</x:f>
        <x:v>2223.36702954898</x:v>
      </x:c>
      <x:c r="J362" s="22" t="n">
        <x:f>IFERROR('4000rpm'!C3,"")</x:f>
        <x:v>42.4204545454545</x:v>
      </x:c>
      <x:c r="K362" s="22" t="n">
        <x:f>IF(AND(ISNUMBER(I362),ISNUMBER(J362)),I362-J362,"")</x:f>
        <x:v>2180.9465750035256</x:v>
      </x:c>
      <x:c r="L362" s="22" t="n">
        <x:f>IF(ISNUMBER(K362),K362*$B$2+$B$3,"")</x:f>
        <x:v>2025.8789263033284</x:v>
      </x:c>
      <x:c r="M362" s="22" t="n">
        <x:f>IF(AND(ISNUMBER(G362),ISNUMBER(H362),H362&lt;&gt;0),G362/(H362/60)/$B$5,"")</x:f>
        <x:v>0.2274666034939738</x:v>
      </x:c>
      <x:c r="N362" s="22" t="n">
        <x:f>IF(AND(ISNUMBER(L362),ISNUMBER(H362),H362&lt;&gt;0),L362*$B$6/$B$4/(H362/60)^2/$B$5^4/$B$7,"")</x:f>
        <x:v>0.07955458901033487</x:v>
      </x:c>
      <x:c r="O362" s="22" t="n">
        <x:f>IF(ISNUMBER(N362),N362*$B$8,"")</x:f>
        <x:v>0.010278654863368944</x:v>
      </x:c>
      <x:c r="P362" s="20" t="str">
        <x:v>4000rpm!N17</x:v>
      </x:c>
      <x:c r="Q362" s="20" t="str">
        <x:v>4000rpm!M17</x:v>
      </x:c>
      <x:c r="R362" s="20" t="str">
        <x:v>4000rpm!C3</x:v>
      </x:c>
    </x:row>
    <x:row r="363">
      <x:c r="A363" s="21" t="n">
        <x:v>4000</x:v>
      </x:c>
      <x:c r="B363" s="21" t="n">
        <x:v>0</x:v>
      </x:c>
      <x:c r="C363" s="21" t="n">
        <x:v>16</x:v>
      </x:c>
      <x:c r="D363" s="21" t="n">
        <x:v>1</x:v>
      </x:c>
      <x:c r="E363" s="21" t="str">
        <x:v>4000rpm</x:v>
      </x:c>
      <x:c r="F363" s="21" t="n">
        <x:v>18</x:v>
      </x:c>
      <x:c r="G363" s="22" t="n">
        <x:f>IFERROR('4000rpm'!D18,"")</x:f>
        <x:v>6.148209374105565</x:v>
      </x:c>
      <x:c r="H363" s="22" t="n">
        <x:f>IFERROR('4000rpm'!B18,"")</x:f>
        <x:v>4037.85974121093</x:v>
      </x:c>
      <x:c r="I363" s="22" t="n">
        <x:f>IFERROR('4000rpm'!C18,"")</x:f>
        <x:v>2128.72184300341</x:v>
      </x:c>
      <x:c r="J363" s="22" t="n">
        <x:f>IFERROR('4000rpm'!C3,"")</x:f>
        <x:v>42.4204545454545</x:v>
      </x:c>
      <x:c r="K363" s="22" t="n">
        <x:f>IF(AND(ISNUMBER(I363),ISNUMBER(J363)),I363-J363,"")</x:f>
        <x:v>2086.3013884579555</x:v>
      </x:c>
      <x:c r="L363" s="22" t="n">
        <x:f>IF(ISNUMBER(K363),K363*$B$2+$B$3,"")</x:f>
        <x:v>1939.2115718220575</x:v>
      </x:c>
      <x:c r="M363" s="22" t="n">
        <x:f>IF(AND(ISNUMBER(G363),ISNUMBER(H363),H363&lt;&gt;0),G363/(H363/60)/$B$5,"")</x:f>
        <x:v>0.1998216073885712</x:v>
      </x:c>
      <x:c r="N363" s="22" t="n">
        <x:f>IF(AND(ISNUMBER(L363),ISNUMBER(H363),H363&lt;&gt;0),L363*$B$6/$B$4/(H363/60)^2/$B$5^4/$B$7,"")</x:f>
        <x:v>0.07969652369717849</x:v>
      </x:c>
      <x:c r="O363" s="22" t="n">
        <x:f>IF(ISNUMBER(N363),N363*$B$8,"")</x:f>
        <x:v>0.010296993185235158</x:v>
      </x:c>
      <x:c r="P363" s="20" t="str">
        <x:v>4000rpm!D18</x:v>
      </x:c>
      <x:c r="Q363" s="20" t="str">
        <x:v>4000rpm!C18</x:v>
      </x:c>
      <x:c r="R363" s="20" t="str">
        <x:v>4000rpm!C3</x:v>
      </x:c>
    </x:row>
    <x:row r="364">
      <x:c r="A364" s="21" t="n">
        <x:v>4000</x:v>
      </x:c>
      <x:c r="B364" s="21" t="n">
        <x:v>0</x:v>
      </x:c>
      <x:c r="C364" s="21" t="n">
        <x:v>16</x:v>
      </x:c>
      <x:c r="D364" s="21" t="n">
        <x:v>2</x:v>
      </x:c>
      <x:c r="E364" s="21" t="str">
        <x:v>4000rpm</x:v>
      </x:c>
      <x:c r="F364" s="21" t="n">
        <x:v>18</x:v>
      </x:c>
      <x:c r="G364" s="22" t="n">
        <x:f>IFERROR('4000rpm'!N18,"")</x:f>
        <x:v>6.148446603103785</x:v>
      </x:c>
      <x:c r="H364" s="22" t="n">
        <x:f>IFERROR('4000rpm'!L18,"")</x:f>
        <x:v>4124.19536301185</x:v>
      </x:c>
      <x:c r="I364" s="22" t="n">
        <x:f>IFERROR('4000rpm'!M18,"")</x:f>
        <x:v>2189.50087260034</x:v>
      </x:c>
      <x:c r="J364" s="22" t="n">
        <x:f>IFERROR('4000rpm'!C3,"")</x:f>
        <x:v>42.4204545454545</x:v>
      </x:c>
      <x:c r="K364" s="22" t="n">
        <x:f>IF(AND(ISNUMBER(I364),ISNUMBER(J364)),I364-J364,"")</x:f>
        <x:v>2147.0804180548853</x:v>
      </x:c>
      <x:c r="L364" s="22" t="n">
        <x:f>IF(ISNUMBER(K364),K364*$B$2+$B$3,"")</x:f>
        <x:v>1994.867415456203</x:v>
      </x:c>
      <x:c r="M364" s="22" t="n">
        <x:f>IF(AND(ISNUMBER(G364),ISNUMBER(H364),H364&lt;&gt;0),G364/(H364/60)/$B$5,"")</x:f>
        <x:v>0.19564610434059945</x:v>
      </x:c>
      <x:c r="N364" s="22" t="n">
        <x:f>IF(AND(ISNUMBER(L364),ISNUMBER(H364),H364&lt;&gt;0),L364*$B$6/$B$4/(H364/60)^2/$B$5^4/$B$7,"")</x:f>
        <x:v>0.0785872731931979</x:v>
      </x:c>
      <x:c r="O364" s="22" t="n">
        <x:f>IF(ISNUMBER(N364),N364*$B$8,"")</x:f>
        <x:v>0.010153675204094518</x:v>
      </x:c>
      <x:c r="P364" s="20" t="str">
        <x:v>4000rpm!N18</x:v>
      </x:c>
      <x:c r="Q364" s="20" t="str">
        <x:v>4000rpm!M18</x:v>
      </x:c>
      <x:c r="R364" s="20" t="str">
        <x:v>4000rpm!C3</x:v>
      </x:c>
    </x:row>
    <x:row r="365">
      <x:c r="A365" s="21" t="n">
        <x:v>4000</x:v>
      </x:c>
      <x:c r="B365" s="21" t="n">
        <x:v>0</x:v>
      </x:c>
      <x:c r="C365" s="21" t="n">
        <x:v>17</x:v>
      </x:c>
      <x:c r="D365" s="21" t="n">
        <x:v>1</x:v>
      </x:c>
      <x:c r="E365" s="21" t="str">
        <x:v>4000rpm</x:v>
      </x:c>
      <x:c r="F365" s="21" t="n">
        <x:v>19</x:v>
      </x:c>
      <x:c r="G365" s="22" t="n">
        <x:f>IFERROR('4000rpm'!D19,"")</x:f>
        <x:v>5.10858261823653</x:v>
      </x:c>
      <x:c r="H365" s="22" t="n">
        <x:f>IFERROR('4000rpm'!B19,"")</x:f>
        <x:v>4047.62584635416</x:v>
      </x:c>
      <x:c r="I365" s="22" t="n">
        <x:f>IFERROR('4000rpm'!C19,"")</x:f>
        <x:v>2094.70833333333</x:v>
      </x:c>
      <x:c r="J365" s="22" t="n">
        <x:f>IFERROR('4000rpm'!C3,"")</x:f>
        <x:v>42.4204545454545</x:v>
      </x:c>
      <x:c r="K365" s="22" t="n">
        <x:f>IF(AND(ISNUMBER(I365),ISNUMBER(J365)),I365-J365,"")</x:f>
        <x:v>2052.2878787878753</x:v>
      </x:c>
      <x:c r="L365" s="22" t="n">
        <x:f>IF(ISNUMBER(K365),K365*$B$2+$B$3,"")</x:f>
        <x:v>1908.0651289090877</x:v>
      </x:c>
      <x:c r="M365" s="22" t="n">
        <x:f>IF(AND(ISNUMBER(G365),ISNUMBER(H365),H365&lt;&gt;0),G365/(H365/60)/$B$5,"")</x:f>
        <x:v>0.16563232173228393</x:v>
      </x:c>
      <x:c r="N365" s="22" t="n">
        <x:f>IF(AND(ISNUMBER(L365),ISNUMBER(H365),H365&lt;&gt;0),L365*$B$6/$B$4/(H365/60)^2/$B$5^4/$B$7,"")</x:f>
        <x:v>0.07803853651968477</x:v>
      </x:c>
      <x:c r="O365" s="22" t="n">
        <x:f>IF(ISNUMBER(N365),N365*$B$8,"")</x:f>
        <x:v>0.010082777032812634</x:v>
      </x:c>
      <x:c r="P365" s="20" t="str">
        <x:v>4000rpm!D19</x:v>
      </x:c>
      <x:c r="Q365" s="20" t="str">
        <x:v>4000rpm!C19</x:v>
      </x:c>
      <x:c r="R365" s="20" t="str">
        <x:v>4000rpm!C3</x:v>
      </x:c>
    </x:row>
    <x:row r="366">
      <x:c r="A366" s="21" t="n">
        <x:v>4000</x:v>
      </x:c>
      <x:c r="B366" s="21" t="n">
        <x:v>0</x:v>
      </x:c>
      <x:c r="C366" s="21" t="n">
        <x:v>17</x:v>
      </x:c>
      <x:c r="D366" s="21" t="n">
        <x:v>2</x:v>
      </x:c>
      <x:c r="E366" s="21" t="str">
        <x:v>4000rpm</x:v>
      </x:c>
      <x:c r="F366" s="21" t="n">
        <x:v>19</x:v>
      </x:c>
      <x:c r="G366" s="22" t="n">
        <x:f>IFERROR('4000rpm'!N19,"")</x:f>
        <x:v>5.11349670510543</x:v>
      </x:c>
      <x:c r="H366" s="22" t="n">
        <x:f>IFERROR('4000rpm'!L19,"")</x:f>
        <x:v>4082.64284349524</x:v>
      </x:c>
      <x:c r="I366" s="22" t="n">
        <x:f>IFERROR('4000rpm'!M19,"")</x:f>
        <x:v>2156.54266958424</x:v>
      </x:c>
      <x:c r="J366" s="22" t="n">
        <x:f>IFERROR('4000rpm'!C3,"")</x:f>
        <x:v>42.4204545454545</x:v>
      </x:c>
      <x:c r="K366" s="22" t="n">
        <x:f>IF(AND(ISNUMBER(I366),ISNUMBER(J366)),I366-J366,"")</x:f>
        <x:v>2114.1222150387853</x:v>
      </x:c>
      <x:c r="L366" s="22" t="n">
        <x:f>IF(ISNUMBER(K366),K366*$B$2+$B$3,"")</x:f>
        <x:v>1964.687325288736</x:v>
      </x:c>
      <x:c r="M366" s="22" t="n">
        <x:f>IF(AND(ISNUMBER(G366),ISNUMBER(H366),H366&lt;&gt;0),G366/(H366/60)/$B$5,"")</x:f>
        <x:v>0.16436964619481892</x:v>
      </x:c>
      <x:c r="N366" s="22" t="n">
        <x:f>IF(AND(ISNUMBER(L366),ISNUMBER(H366),H366&lt;&gt;0),L366*$B$6/$B$4/(H366/60)^2/$B$5^4/$B$7,"")</x:f>
        <x:v>0.07898185117941083</x:v>
      </x:c>
      <x:c r="O366" s="22" t="n">
        <x:f>IF(ISNUMBER(N366),N366*$B$8,"")</x:f>
        <x:v>0.010204655681618435</x:v>
      </x:c>
      <x:c r="P366" s="20" t="str">
        <x:v>4000rpm!N19</x:v>
      </x:c>
      <x:c r="Q366" s="20" t="str">
        <x:v>4000rpm!M19</x:v>
      </x:c>
      <x:c r="R366" s="20" t="str">
        <x:v>4000rpm!C3</x:v>
      </x:c>
    </x:row>
    <x:row r="367">
      <x:c r="A367" s="21" t="n">
        <x:v>4000</x:v>
      </x:c>
      <x:c r="B367" s="21" t="n">
        <x:v>0</x:v>
      </x:c>
      <x:c r="C367" s="21" t="n">
        <x:v>18</x:v>
      </x:c>
      <x:c r="D367" s="21" t="n">
        <x:v>1</x:v>
      </x:c>
      <x:c r="E367" s="21" t="str">
        <x:v>4000rpm</x:v>
      </x:c>
      <x:c r="F367" s="21" t="n">
        <x:v>20</x:v>
      </x:c>
      <x:c r="G367" s="22" t="n">
        <x:f>IFERROR('4000rpm'!D20,"")</x:f>
        <x:v>4.11695570879049</x:v>
      </x:c>
      <x:c r="H367" s="22" t="n">
        <x:f>IFERROR('4000rpm'!B20,"")</x:f>
        <x:v>4036.38465207122</x:v>
      </x:c>
      <x:c r="I367" s="22" t="n">
        <x:f>IFERROR('4000rpm'!C20,"")</x:f>
        <x:v>2072.50699300699</x:v>
      </x:c>
      <x:c r="J367" s="22" t="n">
        <x:f>IFERROR('4000rpm'!C3,"")</x:f>
        <x:v>42.4204545454545</x:v>
      </x:c>
      <x:c r="K367" s="22" t="n">
        <x:f>IF(AND(ISNUMBER(I367),ISNUMBER(J367)),I367-J367,"")</x:f>
        <x:v>2030.0865384615354</x:v>
      </x:c>
      <x:c r="L367" s="22" t="n">
        <x:f>IF(ISNUMBER(K367),K367*$B$2+$B$3,"")</x:f>
        <x:v>1887.7351839615358</x:v>
      </x:c>
      <x:c r="M367" s="22" t="n">
        <x:f>IF(AND(ISNUMBER(G367),ISNUMBER(H367),H367&lt;&gt;0),G367/(H367/60)/$B$5,"")</x:f>
        <x:v>0.13385317505328326</x:v>
      </x:c>
      <x:c r="N367" s="22" t="n">
        <x:f>IF(AND(ISNUMBER(L367),ISNUMBER(H367),H367&lt;&gt;0),L367*$B$6/$B$4/(H367/60)^2/$B$5^4/$B$7,"")</x:f>
        <x:v>0.07763769279502551</x:v>
      </x:c>
      <x:c r="O367" s="22" t="n">
        <x:f>IF(ISNUMBER(N367),N367*$B$8,"")</x:f>
        <x:v>0.01003098700597478</x:v>
      </x:c>
      <x:c r="P367" s="20" t="str">
        <x:v>4000rpm!D20</x:v>
      </x:c>
      <x:c r="Q367" s="20" t="str">
        <x:v>4000rpm!C20</x:v>
      </x:c>
      <x:c r="R367" s="20" t="str">
        <x:v>4000rpm!C3</x:v>
      </x:c>
    </x:row>
    <x:row r="368">
      <x:c r="A368" s="21" t="n">
        <x:v>4000</x:v>
      </x:c>
      <x:c r="B368" s="21" t="n">
        <x:v>0</x:v>
      </x:c>
      <x:c r="C368" s="21" t="n">
        <x:v>18</x:v>
      </x:c>
      <x:c r="D368" s="21" t="n">
        <x:v>2</x:v>
      </x:c>
      <x:c r="E368" s="21" t="str">
        <x:v>4000rpm</x:v>
      </x:c>
      <x:c r="F368" s="21" t="n">
        <x:v>20</x:v>
      </x:c>
      <x:c r="G368" s="22" t="n">
        <x:f>IFERROR('4000rpm'!N20,"")</x:f>
        <x:v>4.095808513056135</x:v>
      </x:c>
      <x:c r="H368" s="22" t="n">
        <x:f>IFERROR('4000rpm'!L20,"")</x:f>
        <x:v>4094.66640403054</x:v>
      </x:c>
      <x:c r="I368" s="22" t="n">
        <x:f>IFERROR('4000rpm'!M20,"")</x:f>
        <x:v>2133.59318181818</x:v>
      </x:c>
      <x:c r="J368" s="22" t="n">
        <x:f>IFERROR('4000rpm'!C3,"")</x:f>
        <x:v>42.4204545454545</x:v>
      </x:c>
      <x:c r="K368" s="22" t="n">
        <x:f>IF(AND(ISNUMBER(I368),ISNUMBER(J368)),I368-J368,"")</x:f>
        <x:v>2091.1727272727253</x:v>
      </x:c>
      <x:c r="L368" s="22" t="n">
        <x:f>IF(ISNUMBER(K368),K368*$B$2+$B$3,"")</x:f>
        <x:v>1943.6722957454529</x:v>
      </x:c>
      <x:c r="M368" s="22" t="n">
        <x:f>IF(AND(ISNUMBER(G368),ISNUMBER(H368),H368&lt;&gt;0),G368/(H368/60)/$B$5,"")</x:f>
        <x:v>0.13127020026580632</x:v>
      </x:c>
      <x:c r="N368" s="22" t="n">
        <x:f>IF(AND(ISNUMBER(L368),ISNUMBER(H368),H368&lt;&gt;0),L368*$B$6/$B$4/(H368/60)^2/$B$5^4/$B$7,"")</x:f>
        <x:v>0.07767882304823574</x:v>
      </x:c>
      <x:c r="O368" s="22" t="n">
        <x:f>IF(ISNUMBER(N368),N368*$B$8,"")</x:f>
        <x:v>0.01003630113910588</x:v>
      </x:c>
      <x:c r="P368" s="20" t="str">
        <x:v>4000rpm!N20</x:v>
      </x:c>
      <x:c r="Q368" s="20" t="str">
        <x:v>4000rpm!M20</x:v>
      </x:c>
      <x:c r="R368" s="20" t="str">
        <x:v>4000rpm!C3</x:v>
      </x:c>
    </x:row>
    <x:row r="369">
      <x:c r="A369" s="21" t="n">
        <x:v>4000</x:v>
      </x:c>
      <x:c r="B369" s="21" t="n">
        <x:v>0</x:v>
      </x:c>
      <x:c r="C369" s="21" t="n">
        <x:v>19</x:v>
      </x:c>
      <x:c r="D369" s="21" t="n">
        <x:v>1</x:v>
      </x:c>
      <x:c r="E369" s="21" t="str">
        <x:v>4000rpm</x:v>
      </x:c>
      <x:c r="F369" s="21" t="n">
        <x:v>21</x:v>
      </x:c>
      <x:c r="G369" s="22" t="n">
        <x:f>IFERROR('4000rpm'!D21,"")</x:f>
        <x:v>3.0745860053433303</x:v>
      </x:c>
      <x:c r="H369" s="22" t="n">
        <x:f>IFERROR('4000rpm'!B21,"")</x:f>
        <x:v>4000.12006293402</x:v>
      </x:c>
      <x:c r="I369" s="22" t="n">
        <x:f>IFERROR('4000rpm'!C21,"")</x:f>
        <x:v>2058.48423005565</x:v>
      </x:c>
      <x:c r="J369" s="22" t="n">
        <x:f>IFERROR('4000rpm'!C3,"")</x:f>
        <x:v>42.4204545454545</x:v>
      </x:c>
      <x:c r="K369" s="22" t="n">
        <x:f>IF(AND(ISNUMBER(I369),ISNUMBER(J369)),I369-J369,"")</x:f>
        <x:v>2016.0637755101957</x:v>
      </x:c>
      <x:c r="L369" s="22" t="n">
        <x:f>IF(ISNUMBER(K369),K369*$B$2+$B$3,"")</x:f>
        <x:v>1874.8944277448902</x:v>
      </x:c>
      <x:c r="M369" s="22" t="n">
        <x:f>IF(AND(ISNUMBER(G369),ISNUMBER(H369),H369&lt;&gt;0),G369/(H369/60)/$B$5,"")</x:f>
        <x:v>0.1008692166062698</x:v>
      </x:c>
      <x:c r="N369" s="22" t="n">
        <x:f>IF(AND(ISNUMBER(L369),ISNUMBER(H369),H369&lt;&gt;0),L369*$B$6/$B$4/(H369/60)^2/$B$5^4/$B$7,"")</x:f>
        <x:v>0.07851405491541709</x:v>
      </x:c>
      <x:c r="O369" s="22" t="n">
        <x:f>IF(ISNUMBER(N369),N369*$B$8,"")</x:f>
        <x:v>0.010144215216727839</x:v>
      </x:c>
      <x:c r="P369" s="20" t="str">
        <x:v>4000rpm!D21</x:v>
      </x:c>
      <x:c r="Q369" s="20" t="str">
        <x:v>4000rpm!C21</x:v>
      </x:c>
      <x:c r="R369" s="20" t="str">
        <x:v>4000rpm!C3</x:v>
      </x:c>
    </x:row>
    <x:row r="370">
      <x:c r="A370" s="21" t="n">
        <x:v>4000</x:v>
      </x:c>
      <x:c r="B370" s="21" t="n">
        <x:v>0</x:v>
      </x:c>
      <x:c r="C370" s="21" t="n">
        <x:v>19</x:v>
      </x:c>
      <x:c r="D370" s="21" t="n">
        <x:v>2</x:v>
      </x:c>
      <x:c r="E370" s="21" t="str">
        <x:v>4000rpm</x:v>
      </x:c>
      <x:c r="F370" s="21" t="n">
        <x:v>21</x:v>
      </x:c>
      <x:c r="G370" s="22" t="n">
        <x:f>IFERROR('4000rpm'!N21,"")</x:f>
        <x:v>3.07430864464152</x:v>
      </x:c>
      <x:c r="H370" s="22" t="n">
        <x:f>IFERROR('4000rpm'!L21,"")</x:f>
        <x:v>4061.55477201021</x:v>
      </x:c>
      <x:c r="I370" s="22" t="n">
        <x:f>IFERROR('4000rpm'!M21,"")</x:f>
        <x:v>2120.45817490494</x:v>
      </x:c>
      <x:c r="J370" s="22" t="n">
        <x:f>IFERROR('4000rpm'!C3,"")</x:f>
        <x:v>42.4204545454545</x:v>
      </x:c>
      <x:c r="K370" s="22" t="n">
        <x:f>IF(AND(ISNUMBER(I370),ISNUMBER(J370)),I370-J370,"")</x:f>
        <x:v>2078.0377203594853</x:v>
      </x:c>
      <x:c r="L370" s="22" t="n">
        <x:f>IF(ISNUMBER(K370),K370*$B$2+$B$3,"")</x:f>
        <x:v>1931.6444648349436</x:v>
      </x:c>
      <x:c r="M370" s="22" t="n">
        <x:f>IF(AND(ISNUMBER(G370),ISNUMBER(H370),H370&lt;&gt;0),G370/(H370/60)/$B$5,"")</x:f>
        <x:v>0.0993345161358643</x:v>
      </x:c>
      <x:c r="N370" s="22" t="n">
        <x:f>IF(AND(ISNUMBER(L370),ISNUMBER(H370),H370&lt;&gt;0),L370*$B$6/$B$4/(H370/60)^2/$B$5^4/$B$7,"")</x:f>
        <x:v>0.0784619699942345</x:v>
      </x:c>
      <x:c r="O370" s="22" t="n">
        <x:f>IF(ISNUMBER(N370),N370*$B$8,"")</x:f>
        <x:v>0.01013748571268437</x:v>
      </x:c>
      <x:c r="P370" s="20" t="str">
        <x:v>4000rpm!N21</x:v>
      </x:c>
      <x:c r="Q370" s="20" t="str">
        <x:v>4000rpm!M21</x:v>
      </x:c>
      <x:c r="R370" s="20" t="str">
        <x:v>4000rpm!C3</x:v>
      </x:c>
    </x:row>
    <x:row r="371">
      <x:c r="A371" s="21" t="n">
        <x:v>4000</x:v>
      </x:c>
      <x:c r="B371" s="21" t="n">
        <x:v>0</x:v>
      </x:c>
      <x:c r="C371" s="21" t="n">
        <x:v>20</x:v>
      </x:c>
      <x:c r="D371" s="21" t="n">
        <x:v>1</x:v>
      </x:c>
      <x:c r="E371" s="21" t="str">
        <x:v>4000rpm</x:v>
      </x:c>
      <x:c r="F371" s="21" t="n">
        <x:v>22</x:v>
      </x:c>
      <x:c r="G371" s="22" t="n">
        <x:f>IFERROR('4000rpm'!D22,"")</x:f>
        <x:v>2.04589889983872</x:v>
      </x:c>
      <x:c r="H371" s="22" t="n">
        <x:f>IFERROR('4000rpm'!B22,"")</x:f>
        <x:v>4024.16968712439</x:v>
      </x:c>
      <x:c r="I371" s="22" t="n">
        <x:f>IFERROR('4000rpm'!C22,"")</x:f>
        <x:v>2044.02123552123</x:v>
      </x:c>
      <x:c r="J371" s="22" t="n">
        <x:f>IFERROR('4000rpm'!C3,"")</x:f>
        <x:v>42.4204545454545</x:v>
      </x:c>
      <x:c r="K371" s="22" t="n">
        <x:f>IF(AND(ISNUMBER(I371),ISNUMBER(J371)),I371-J371,"")</x:f>
        <x:v>2001.6007809757755</x:v>
      </x:c>
      <x:c r="L371" s="22" t="n">
        <x:f>IF(ISNUMBER(K371),K371*$B$2+$B$3,"")</x:f>
        <x:v>1861.6505479457655</x:v>
      </x:c>
      <x:c r="M371" s="22" t="n">
        <x:f>IF(AND(ISNUMBER(G371),ISNUMBER(H371),H371&lt;&gt;0),G371/(H371/60)/$B$5,"")</x:f>
        <x:v>0.06671951983765192</x:v>
      </x:c>
      <x:c r="N371" s="22" t="n">
        <x:f>IF(AND(ISNUMBER(L371),ISNUMBER(H371),H371&lt;&gt;0),L371*$B$6/$B$4/(H371/60)^2/$B$5^4/$B$7,"")</x:f>
        <x:v>0.07703041444702469</x:v>
      </x:c>
      <x:c r="O371" s="22" t="n">
        <x:f>IF(ISNUMBER(N371),N371*$B$8,"")</x:f>
        <x:v>0.009952525101730808</x:v>
      </x:c>
      <x:c r="P371" s="20" t="str">
        <x:v>4000rpm!D22</x:v>
      </x:c>
      <x:c r="Q371" s="20" t="str">
        <x:v>4000rpm!C22</x:v>
      </x:c>
      <x:c r="R371" s="20" t="str">
        <x:v>4000rpm!C3</x:v>
      </x:c>
    </x:row>
    <x:row r="372">
      <x:c r="A372" s="21" t="n">
        <x:v>4000</x:v>
      </x:c>
      <x:c r="B372" s="21" t="n">
        <x:v>0</x:v>
      </x:c>
      <x:c r="C372" s="21" t="n">
        <x:v>20</x:v>
      </x:c>
      <x:c r="D372" s="21" t="n">
        <x:v>2</x:v>
      </x:c>
      <x:c r="E372" s="21" t="str">
        <x:v>4000rpm</x:v>
      </x:c>
      <x:c r="F372" s="21" t="n">
        <x:v>22</x:v>
      </x:c>
      <x:c r="G372" s="22" t="n">
        <x:f>IFERROR('4000rpm'!N22,"")</x:f>
        <x:v>2.0538157482038697</x:v>
      </x:c>
      <x:c r="H372" s="22" t="n">
        <x:f>IFERROR('4000rpm'!L22,"")</x:f>
        <x:v>4069.22544508713</x:v>
      </x:c>
      <x:c r="I372" s="22" t="n">
        <x:f>IFERROR('4000rpm'!M22,"")</x:f>
        <x:v>2104.86603773584</x:v>
      </x:c>
      <x:c r="J372" s="22" t="n">
        <x:f>IFERROR('4000rpm'!C3,"")</x:f>
        <x:v>42.4204545454545</x:v>
      </x:c>
      <x:c r="K372" s="22" t="n">
        <x:f>IF(AND(ISNUMBER(I372),ISNUMBER(J372)),I372-J372,"")</x:f>
        <x:v>2062.4455831903856</x:v>
      </x:c>
      <x:c r="L372" s="22" t="n">
        <x:f>IF(ISNUMBER(K372),K372*$B$2+$B$3,"")</x:f>
        <x:v>1917.3666200921016</x:v>
      </x:c>
      <x:c r="M372" s="22" t="n">
        <x:f>IF(AND(ISNUMBER(G372),ISNUMBER(H372),H372&lt;&gt;0),G372/(H372/60)/$B$5,"")</x:f>
        <x:v>0.0662361005517521</x:v>
      </x:c>
      <x:c r="N372" s="22" t="n">
        <x:f>IF(AND(ISNUMBER(L372),ISNUMBER(H372),H372&lt;&gt;0),L372*$B$6/$B$4/(H372/60)^2/$B$5^4/$B$7,"")</x:f>
        <x:v>0.07758866903873218</x:v>
      </x:c>
      <x:c r="O372" s="22" t="n">
        <x:f>IF(ISNUMBER(N372),N372*$B$8,"")</x:f>
        <x:v>0.010024653012206303</x:v>
      </x:c>
      <x:c r="P372" s="20" t="str">
        <x:v>4000rpm!N22</x:v>
      </x:c>
      <x:c r="Q372" s="20" t="str">
        <x:v>4000rpm!M22</x:v>
      </x:c>
      <x:c r="R372" s="20" t="str">
        <x:v>4000rpm!C3</x:v>
      </x:c>
    </x:row>
    <x:row r="373">
      <x:c r="A373" s="21" t="n">
        <x:v>4000</x:v>
      </x:c>
      <x:c r="B373" s="21" t="n">
        <x:v>0</x:v>
      </x:c>
      <x:c r="C373" s="21" t="n">
        <x:v>21</x:v>
      </x:c>
      <x:c r="D373" s="21" t="n">
        <x:v>1</x:v>
      </x:c>
      <x:c r="E373" s="21" t="str">
        <x:v>4000rpm</x:v>
      </x:c>
      <x:c r="F373" s="21" t="n">
        <x:v>23</x:v>
      </x:c>
      <x:c r="G373" s="22" t="n">
        <x:f>IFERROR('4000rpm'!D23,"")</x:f>
        <x:v>1.022867109677562</x:v>
      </x:c>
      <x:c r="H373" s="22" t="n">
        <x:f>IFERROR('4000rpm'!B23,"")</x:f>
        <x:v>3991.42747913707</x:v>
      </x:c>
      <x:c r="I373" s="22" t="n">
        <x:f>IFERROR('4000rpm'!C23,"")</x:f>
        <x:v>2020.57858769931</x:v>
      </x:c>
      <x:c r="J373" s="22" t="n">
        <x:f>IFERROR('4000rpm'!C3,"")</x:f>
        <x:v>42.4204545454545</x:v>
      </x:c>
      <x:c r="K373" s="22" t="n">
        <x:f>IF(AND(ISNUMBER(I373),ISNUMBER(J373)),I373-J373,"")</x:f>
        <x:v>1978.1581331538555</x:v>
      </x:c>
      <x:c r="L373" s="22" t="n">
        <x:f>IF(ISNUMBER(K373),K373*$B$2+$B$3,"")</x:f>
        <x:v>1840.1839277940508</x:v>
      </x:c>
      <x:c r="M373" s="22" t="n">
        <x:f>IF(AND(ISNUMBER(G373),ISNUMBER(H373),H373&lt;&gt;0),G373/(H373/60)/$B$5,"")</x:f>
        <x:v>0.03363070719202878</x:v>
      </x:c>
      <x:c r="N373" s="22" t="n">
        <x:f>IF(AND(ISNUMBER(L373),ISNUMBER(H373),H373&lt;&gt;0),L373*$B$6/$B$4/(H373/60)^2/$B$5^4/$B$7,"")</x:f>
        <x:v>0.07739651220243618</x:v>
      </x:c>
      <x:c r="O373" s="22" t="n">
        <x:f>IF(ISNUMBER(N373),N373*$B$8,"")</x:f>
        <x:v>0.009999825861133134</x:v>
      </x:c>
      <x:c r="P373" s="20" t="str">
        <x:v>4000rpm!D23</x:v>
      </x:c>
      <x:c r="Q373" s="20" t="str">
        <x:v>4000rpm!C23</x:v>
      </x:c>
      <x:c r="R373" s="20" t="str">
        <x:v>4000rpm!C3</x:v>
      </x:c>
    </x:row>
    <x:row r="374">
      <x:c r="A374" s="21" t="n">
        <x:v>4000</x:v>
      </x:c>
      <x:c r="B374" s="21" t="n">
        <x:v>0</x:v>
      </x:c>
      <x:c r="C374" s="21" t="n">
        <x:v>21</x:v>
      </x:c>
      <x:c r="D374" s="21" t="n">
        <x:v>2</x:v>
      </x:c>
      <x:c r="E374" s="21" t="str">
        <x:v>4000rpm</x:v>
      </x:c>
      <x:c r="F374" s="21" t="n">
        <x:v>23</x:v>
      </x:c>
      <x:c r="G374" s="22" t="n">
        <x:f>IFERROR('4000rpm'!N23,"")</x:f>
        <x:v>1.019875471511583</x:v>
      </x:c>
      <x:c r="H374" s="22" t="n">
        <x:f>IFERROR('4000rpm'!L23,"")</x:f>
        <x:v>4010.15649414062</x:v>
      </x:c>
      <x:c r="I374" s="22" t="n">
        <x:f>IFERROR('4000rpm'!M23,"")</x:f>
        <x:v>2075.52808988764</x:v>
      </x:c>
      <x:c r="J374" s="22" t="n">
        <x:f>IFERROR('4000rpm'!C3,"")</x:f>
        <x:v>42.4204545454545</x:v>
      </x:c>
      <x:c r="K374" s="22" t="n">
        <x:f>IF(AND(ISNUMBER(I374),ISNUMBER(J374)),I374-J374,"")</x:f>
        <x:v>2033.1076353421854</x:v>
      </x:c>
      <x:c r="L374" s="22" t="n">
        <x:f>IF(ISNUMBER(K374),K374*$B$2+$B$3,"")</x:f>
        <x:v>1890.501626543922</x:v>
      </x:c>
      <x:c r="M374" s="22" t="n">
        <x:f>IF(AND(ISNUMBER(G374),ISNUMBER(H374),H374&lt;&gt;0),G374/(H374/60)/$B$5,"")</x:f>
        <x:v>0.03337573623143685</x:v>
      </x:c>
      <x:c r="N374" s="22" t="n">
        <x:f>IF(AND(ISNUMBER(L374),ISNUMBER(H374),H374&lt;&gt;0),L374*$B$6/$B$4/(H374/60)^2/$B$5^4/$B$7,"")</x:f>
        <x:v>0.07877185193584815</x:v>
      </x:c>
      <x:c r="O374" s="22" t="n">
        <x:f>IF(ISNUMBER(N374),N374*$B$8,"")</x:f>
        <x:v>0.01017752324623034</x:v>
      </x:c>
      <x:c r="P374" s="20" t="str">
        <x:v>4000rpm!N23</x:v>
      </x:c>
      <x:c r="Q374" s="20" t="str">
        <x:v>4000rpm!M23</x:v>
      </x:c>
      <x:c r="R374" s="20" t="str">
        <x:v>4000rpm!C3</x:v>
      </x:c>
    </x:row>
    <x:row r="375">
      <x:c r="A375" s="21" t="n">
        <x:v>4000</x:v>
      </x:c>
      <x:c r="B375" s="21" t="n">
        <x:v>0</x:v>
      </x:c>
      <x:c r="C375" s="21" t="n">
        <x:v>22</x:v>
      </x:c>
      <x:c r="D375" s="21" t="n">
        <x:v>1</x:v>
      </x:c>
      <x:c r="E375" s="21" t="str">
        <x:v>4000rpm</x:v>
      </x:c>
      <x:c r="F375" s="21" t="n">
        <x:v>24</x:v>
      </x:c>
      <x:c r="G375" s="22" t="n">
        <x:f>IFERROR('4000rpm'!D24,"")</x:f>
        <x:v>0.011475144074884815</x:v>
      </x:c>
      <x:c r="H375" s="22" t="n">
        <x:f>IFERROR('4000rpm'!B24,"")</x:f>
        <x:v>3974.51545715332</x:v>
      </x:c>
      <x:c r="I375" s="22" t="n">
        <x:f>IFERROR('4000rpm'!C24,"")</x:f>
        <x:v>2015.25925925925</x:v>
      </x:c>
      <x:c r="J375" s="22" t="n">
        <x:f>IFERROR('4000rpm'!C3,"")</x:f>
        <x:v>42.4204545454545</x:v>
      </x:c>
      <x:c r="K375" s="22" t="n">
        <x:f>IF(AND(ISNUMBER(I375),ISNUMBER(J375)),I375-J375,"")</x:f>
        <x:v>1972.8388047137955</x:v>
      </x:c>
      <x:c r="L375" s="22" t="n">
        <x:f>IF(ISNUMBER(K375),K375*$B$2+$B$3,"")</x:f>
        <x:v>1835.3129761868604</x:v>
      </x:c>
      <x:c r="M375" s="22" t="n">
        <x:f>IF(AND(ISNUMBER(G375),ISNUMBER(H375),H375&lt;&gt;0),G375/(H375/60)/$B$5,"")</x:f>
        <x:v>0.00037889509690190406</x:v>
      </x:c>
      <x:c r="N375" s="22" t="n">
        <x:f>IF(AND(ISNUMBER(L375),ISNUMBER(H375),H375&lt;&gt;0),L375*$B$6/$B$4/(H375/60)^2/$B$5^4/$B$7,"")</x:f>
        <x:v>0.07784996061922687</x:v>
      </x:c>
      <x:c r="O375" s="22" t="n">
        <x:f>IF(ISNUMBER(N375),N375*$B$8,"")</x:f>
        <x:v>0.01005841254774058</x:v>
      </x:c>
      <x:c r="P375" s="20" t="str">
        <x:v>4000rpm!D24</x:v>
      </x:c>
      <x:c r="Q375" s="20" t="str">
        <x:v>4000rpm!C24</x:v>
      </x:c>
      <x:c r="R375" s="20" t="str">
        <x:v>4000rpm!C3</x:v>
      </x:c>
    </x:row>
    <x:row r="376">
      <x:c r="A376" s="21" t="n">
        <x:v>4000</x:v>
      </x:c>
      <x:c r="B376" s="21" t="n">
        <x:v>0</x:v>
      </x:c>
      <x:c r="C376" s="21" t="n">
        <x:v>22</x:v>
      </x:c>
      <x:c r="D376" s="21" t="n">
        <x:v>2</x:v>
      </x:c>
      <x:c r="E376" s="21" t="str">
        <x:v>4000rpm</x:v>
      </x:c>
      <x:c r="F376" s="21" t="n">
        <x:v>24</x:v>
      </x:c>
      <x:c r="G376" s="22" t="n">
        <x:f>IFERROR('4000rpm'!N24,"")</x:f>
        <x:v>0.0165700690842987</x:v>
      </x:c>
      <x:c r="H376" s="22" t="n">
        <x:f>IFERROR('4000rpm'!L24,"")</x:f>
        <x:v>4045.14792887369</x:v>
      </x:c>
      <x:c r="I376" s="22" t="n">
        <x:f>IFERROR('4000rpm'!M24,"")</x:f>
        <x:v>2077.13833992094</x:v>
      </x:c>
      <x:c r="J376" s="22" t="n">
        <x:f>IFERROR('4000rpm'!C3,"")</x:f>
        <x:v>42.4204545454545</x:v>
      </x:c>
      <x:c r="K376" s="22" t="n">
        <x:f>IF(AND(ISNUMBER(I376),ISNUMBER(J376)),I376-J376,"")</x:f>
        <x:v>2034.7178853754854</x:v>
      </x:c>
      <x:c r="L376" s="22" t="n">
        <x:f>IF(ISNUMBER(K376),K376*$B$2+$B$3,"")</x:f>
        <x:v>1891.9761453814149</x:v>
      </x:c>
      <x:c r="M376" s="22" t="n">
        <x:f>IF(AND(ISNUMBER(G376),ISNUMBER(H376),H376&lt;&gt;0),G376/(H376/60)/$B$5,"")</x:f>
        <x:v>0.0005375698952995028</x:v>
      </x:c>
      <x:c r="N376" s="22" t="n">
        <x:f>IF(AND(ISNUMBER(L376),ISNUMBER(H376),H376&lt;&gt;0),L376*$B$6/$B$4/(H376/60)^2/$B$5^4/$B$7,"")</x:f>
        <x:v>0.07747533855808358</x:v>
      </x:c>
      <x:c r="O376" s="22" t="n">
        <x:f>IF(ISNUMBER(N376),N376*$B$8,"")</x:f>
        <x:v>0.010010010426397264</x:v>
      </x:c>
      <x:c r="P376" s="20" t="str">
        <x:v>4000rpm!N24</x:v>
      </x:c>
      <x:c r="Q376" s="20" t="str">
        <x:v>4000rpm!M24</x:v>
      </x:c>
      <x:c r="R376" s="20" t="str">
        <x:v>4000rpm!C3</x:v>
      </x:c>
    </x:row>
    <x:row r="377">
      <x:c r="A377" s="21" t="n">
        <x:v>4000</x:v>
      </x:c>
      <x:c r="B377" s="21" t="n">
        <x:v>0</x:v>
      </x:c>
      <x:c r="C377" s="21" t="n">
        <x:v>23</x:v>
      </x:c>
      <x:c r="D377" s="21" t="n">
        <x:v>1</x:v>
      </x:c>
      <x:c r="E377" s="21" t="str">
        <x:v>4000rpm</x:v>
      </x:c>
      <x:c r="F377" s="21" t="n">
        <x:v>25</x:v>
      </x:c>
      <x:c r="G377" s="22" t="n">
        <x:f>IFERROR('4000rpm'!D25,"")</x:f>
        <x:v>0.00014885656890415005</x:v>
      </x:c>
      <x:c r="H377" s="22" t="n">
        <x:f>IFERROR('4000rpm'!B25,"")</x:f>
        <x:v>0</x:v>
      </x:c>
      <x:c r="I377" s="22" t="n">
        <x:f>IFERROR('4000rpm'!C25,"")</x:f>
        <x:v>42.531746031746</x:v>
      </x:c>
      <x:c r="J377" s="22" t="n">
        <x:f>IFERROR('4000rpm'!C3,"")</x:f>
        <x:v>42.4204545454545</x:v>
      </x:c>
      <x:c r="K377" s="22" t="n">
        <x:f>IF(AND(ISNUMBER(I377),ISNUMBER(J377)),I377-J377,"")</x:f>
        <x:v>0.1112914862915062</x:v>
      </x:c>
      <x:c r="L377" s="22" t="n">
        <x:f>IF(ISNUMBER(K377),K377*$B$2+$B$3,"")</x:f>
        <x:v>28.870610504329022</x:v>
      </x:c>
      <x:c r="M377" s="22" t="str">
        <x:f>IF(AND(ISNUMBER(G377),ISNUMBER(H377),H377&lt;&gt;0),G377/(H377/60)/$B$5,"")</x:f>
      </x:c>
      <x:c r="N377" s="22" t="str">
        <x:f>IF(AND(ISNUMBER(L377),ISNUMBER(H377),H377&lt;&gt;0),L377*$B$6/$B$4/(H377/60)^2/$B$5^4/$B$7,"")</x:f>
      </x:c>
      <x:c r="O377" s="22" t="str">
        <x:f>IF(ISNUMBER(N377),N377*$B$8,"")</x:f>
      </x:c>
      <x:c r="P377" s="20" t="str">
        <x:v>4000rpm!D25</x:v>
      </x:c>
      <x:c r="Q377" s="20" t="str">
        <x:v>4000rpm!C25</x:v>
      </x:c>
      <x:c r="R377" s="20" t="str">
        <x:v>4000rpm!C3</x:v>
      </x:c>
    </x:row>
    <x:row r="378">
      <x:c r="A378" s="21" t="n">
        <x:v>4000</x:v>
      </x:c>
      <x:c r="B378" s="21" t="n">
        <x:v>0</x:v>
      </x:c>
      <x:c r="C378" s="21" t="n">
        <x:v>23</x:v>
      </x:c>
      <x:c r="D378" s="21" t="n">
        <x:v>2</x:v>
      </x:c>
      <x:c r="E378" s="21" t="str">
        <x:v>4000rpm</x:v>
      </x:c>
      <x:c r="F378" s="21" t="n">
        <x:v>25</x:v>
      </x:c>
      <x:c r="G378" s="22" t="str">
        <x:f>IFERROR('4000rpm'!N25,"")</x:f>
      </x:c>
      <x:c r="H378" s="22" t="str">
        <x:f>IFERROR('4000rpm'!L25,"")</x:f>
      </x:c>
      <x:c r="I378" s="22" t="str">
        <x:f>IFERROR('4000rpm'!M25,"")</x:f>
      </x:c>
      <x:c r="J378" s="22" t="n">
        <x:f>IFERROR('4000rpm'!C3,"")</x:f>
        <x:v>42.4204545454545</x:v>
      </x:c>
      <x:c r="K378" s="22" t="str">
        <x:f>IF(AND(ISNUMBER(I378),ISNUMBER(J378)),I378-J378,"")</x:f>
      </x:c>
      <x:c r="L378" s="22" t="str">
        <x:f>IF(ISNUMBER(K378),K378*$B$2+$B$3,"")</x:f>
      </x:c>
      <x:c r="M378" s="22" t="str">
        <x:f>IF(AND(ISNUMBER(G378),ISNUMBER(H378),H378&lt;&gt;0),G378/(H378/60)/$B$5,"")</x:f>
      </x:c>
      <x:c r="N378" s="22" t="str">
        <x:f>IF(AND(ISNUMBER(L378),ISNUMBER(H378),H378&lt;&gt;0),L378*$B$6/$B$4/(H378/60)^2/$B$5^4/$B$7,"")</x:f>
      </x:c>
      <x:c r="O378" s="22" t="str">
        <x:f>IF(ISNUMBER(N378),N378*$B$8,"")</x:f>
      </x:c>
      <x:c r="P378" s="20" t="str">
        <x:v>4000rpm!N25</x:v>
      </x:c>
      <x:c r="Q378" s="20" t="str">
        <x:v>4000rpm!M25</x:v>
      </x:c>
      <x:c r="R378" s="20" t="str">
        <x:v>4000rpm!C3</x:v>
      </x:c>
    </x:row>
    <x:row r="379">
      <x:c r="A379" s="21" t="n">
        <x:v>4000</x:v>
      </x:c>
      <x:c r="B379" s="21" t="n">
        <x:v>0</x:v>
      </x:c>
      <x:c r="C379" s="21" t="n">
        <x:v>24</x:v>
      </x:c>
      <x:c r="D379" s="21" t="n">
        <x:v>1</x:v>
      </x:c>
      <x:c r="E379" s="21" t="str">
        <x:v>4000rpm</x:v>
      </x:c>
      <x:c r="F379" s="21" t="n">
        <x:v>27</x:v>
      </x:c>
      <x:c r="G379" s="22" t="str">
        <x:f>IFERROR('4000rpm'!D27,"")</x:f>
      </x:c>
      <x:c r="H379" s="22" t="n">
        <x:f>IFERROR('4000rpm'!B27,"")</x:f>
        <x:v>0.9659258262890683</x:v>
      </x:c>
      <x:c r="I379" s="22" t="str">
        <x:f>IFERROR('4000rpm'!C27,"")</x:f>
      </x:c>
      <x:c r="J379" s="22" t="n">
        <x:f>IFERROR('4000rpm'!C3,"")</x:f>
        <x:v>42.4204545454545</x:v>
      </x:c>
      <x:c r="K379" s="22" t="str">
        <x:f>IF(AND(ISNUMBER(I379),ISNUMBER(J379)),I379-J379,"")</x:f>
      </x:c>
      <x:c r="L379" s="22" t="str">
        <x:f>IF(ISNUMBER(K379),K379*$B$2+$B$3,"")</x:f>
      </x:c>
      <x:c r="M379" s="22" t="str">
        <x:f>IF(AND(ISNUMBER(G379),ISNUMBER(H379),H379&lt;&gt;0),G379/(H379/60)/$B$5,"")</x:f>
      </x:c>
      <x:c r="N379" s="22" t="str">
        <x:f>IF(AND(ISNUMBER(L379),ISNUMBER(H379),H379&lt;&gt;0),L379*$B$6/$B$4/(H379/60)^2/$B$5^4/$B$7,"")</x:f>
      </x:c>
      <x:c r="O379" s="22" t="str">
        <x:f>IF(ISNUMBER(N379),N379*$B$8,"")</x:f>
      </x:c>
      <x:c r="P379" s="20" t="str">
        <x:v>4000rpm!D27</x:v>
      </x:c>
      <x:c r="Q379" s="20" t="str">
        <x:v>4000rpm!C27</x:v>
      </x:c>
      <x:c r="R379" s="20" t="str">
        <x:v>4000rpm!C3</x:v>
      </x:c>
    </x:row>
    <x:row r="380">
      <x:c r="A380" s="21" t="n">
        <x:v>4000</x:v>
      </x:c>
      <x:c r="B380" s="21" t="n">
        <x:v>0</x:v>
      </x:c>
      <x:c r="C380" s="21" t="n">
        <x:v>24</x:v>
      </x:c>
      <x:c r="D380" s="21" t="n">
        <x:v>2</x:v>
      </x:c>
      <x:c r="E380" s="21" t="str">
        <x:v>4000rpm</x:v>
      </x:c>
      <x:c r="F380" s="21" t="n">
        <x:v>27</x:v>
      </x:c>
      <x:c r="G380" s="22" t="str">
        <x:f>IFERROR('4000rpm'!N27,"")</x:f>
      </x:c>
      <x:c r="H380" s="22" t="str">
        <x:f>IFERROR('4000rpm'!L27,"")</x:f>
      </x:c>
      <x:c r="I380" s="22" t="str">
        <x:f>IFERROR('4000rpm'!M27,"")</x:f>
      </x:c>
      <x:c r="J380" s="22" t="n">
        <x:f>IFERROR('4000rpm'!C3,"")</x:f>
        <x:v>42.4204545454545</x:v>
      </x:c>
      <x:c r="K380" s="22" t="str">
        <x:f>IF(AND(ISNUMBER(I380),ISNUMBER(J380)),I380-J380,"")</x:f>
      </x:c>
      <x:c r="L380" s="22" t="str">
        <x:f>IF(ISNUMBER(K380),K380*$B$2+$B$3,"")</x:f>
      </x:c>
      <x:c r="M380" s="22" t="str">
        <x:f>IF(AND(ISNUMBER(G380),ISNUMBER(H380),H380&lt;&gt;0),G380/(H380/60)/$B$5,"")</x:f>
      </x:c>
      <x:c r="N380" s="22" t="str">
        <x:f>IF(AND(ISNUMBER(L380),ISNUMBER(H380),H380&lt;&gt;0),L380*$B$6/$B$4/(H380/60)^2/$B$5^4/$B$7,"")</x:f>
      </x:c>
      <x:c r="O380" s="22" t="str">
        <x:f>IF(ISNUMBER(N380),N380*$B$8,"")</x:f>
      </x:c>
      <x:c r="P380" s="20" t="str">
        <x:v>4000rpm!N27</x:v>
      </x:c>
      <x:c r="Q380" s="20" t="str">
        <x:v>4000rpm!M27</x:v>
      </x:c>
      <x:c r="R380" s="20" t="str">
        <x:v>4000rpm!C3</x:v>
      </x:c>
    </x:row>
    <x:row r="381">
      <x:c r="A381" s="21" t="n">
        <x:v>4000</x:v>
      </x:c>
      <x:c r="B381" s="21" t="n">
        <x:v>15</x:v>
      </x:c>
      <x:c r="C381" s="21" t="n">
        <x:v>1</x:v>
      </x:c>
      <x:c r="D381" s="21" t="n">
        <x:v>1</x:v>
      </x:c>
      <x:c r="E381" s="21" t="str">
        <x:v>4000rpm</x:v>
      </x:c>
      <x:c r="F381" s="21" t="n">
        <x:v>30</x:v>
      </x:c>
      <x:c r="G381" s="22" t="n">
        <x:f>IFERROR('4000rpm'!E30,"")</x:f>
        <x:v>0.09194229550060595</x:v>
      </x:c>
      <x:c r="H381" s="22" t="n">
        <x:f>IFERROR('4000rpm'!C30,"")</x:f>
        <x:v>0</x:v>
      </x:c>
      <x:c r="I381" s="22" t="n">
        <x:f>IFERROR('4000rpm'!D30,"")</x:f>
        <x:v>57.8352272727272</x:v>
      </x:c>
      <x:c r="J381" s="22" t="n">
        <x:f>IFERROR('4000rpm'!D30,"")</x:f>
        <x:v>57.8352272727272</x:v>
      </x:c>
      <x:c r="K381" s="22" t="n">
        <x:f>IF(AND(ISNUMBER(I381),ISNUMBER(J381)),I381-J381,"")</x:f>
        <x:v>0</x:v>
      </x:c>
      <x:c r="L381" s="22" t="n">
        <x:f>IF(ISNUMBER(K381),K381*$B$2+$B$3,"")</x:f>
        <x:v>28.7687</x:v>
      </x:c>
      <x:c r="M381" s="22" t="str">
        <x:f>IF(AND(ISNUMBER(G381),ISNUMBER(H381),H381&lt;&gt;0),G381/(H381/60)/$B$5,"")</x:f>
      </x:c>
      <x:c r="N381" s="22" t="str">
        <x:f>IF(AND(ISNUMBER(L381),ISNUMBER(H381),H381&lt;&gt;0),L381*$B$6/$B$4/(H381/60)^2/$B$5^4/$B$7,"")</x:f>
      </x:c>
      <x:c r="O381" s="22" t="str">
        <x:f>IF(ISNUMBER(N381),N381*$B$8,"")</x:f>
      </x:c>
      <x:c r="P381" s="20" t="str">
        <x:v>4000rpm!E30</x:v>
      </x:c>
      <x:c r="Q381" s="20" t="str">
        <x:v>4000rpm!D30</x:v>
      </x:c>
      <x:c r="R381" s="20" t="str">
        <x:v>4000rpm!D30</x:v>
      </x:c>
    </x:row>
    <x:row r="382">
      <x:c r="A382" s="21" t="n">
        <x:v>4000</x:v>
      </x:c>
      <x:c r="B382" s="21" t="n">
        <x:v>15</x:v>
      </x:c>
      <x:c r="C382" s="21" t="n">
        <x:v>1</x:v>
      </x:c>
      <x:c r="D382" s="21" t="n">
        <x:v>2</x:v>
      </x:c>
      <x:c r="E382" s="21" t="str">
        <x:v>4000rpm</x:v>
      </x:c>
      <x:c r="F382" s="21" t="n">
        <x:v>30</x:v>
      </x:c>
      <x:c r="G382" s="22" t="n">
        <x:f>IFERROR('4000rpm'!P30,"")</x:f>
        <x:v>0.06176595546066953</x:v>
      </x:c>
      <x:c r="H382" s="22" t="n">
        <x:f>IFERROR('4000rpm'!N30,"")</x:f>
        <x:v>0</x:v>
      </x:c>
      <x:c r="I382" s="22" t="n">
        <x:f>IFERROR('4000rpm'!O30,"")</x:f>
        <x:v>56.8837209302325</x:v>
      </x:c>
      <x:c r="J382" s="22" t="n">
        <x:f>IFERROR('4000rpm'!D30,"")</x:f>
        <x:v>57.8352272727272</x:v>
      </x:c>
      <x:c r="K382" s="22" t="n">
        <x:f>IF(AND(ISNUMBER(I382),ISNUMBER(J382)),I382-J382,"")</x:f>
        <x:v>-0.951506342494703</x:v>
      </x:c>
      <x:c r="L382" s="22" t="n">
        <x:f>IF(ISNUMBER(K382),K382*$B$2+$B$3,"")</x:f>
        <x:v>27.89739803012686</x:v>
      </x:c>
      <x:c r="M382" s="22" t="str">
        <x:f>IF(AND(ISNUMBER(G382),ISNUMBER(H382),H382&lt;&gt;0),G382/(H382/60)/$B$5,"")</x:f>
      </x:c>
      <x:c r="N382" s="22" t="str">
        <x:f>IF(AND(ISNUMBER(L382),ISNUMBER(H382),H382&lt;&gt;0),L382*$B$6/$B$4/(H382/60)^2/$B$5^4/$B$7,"")</x:f>
      </x:c>
      <x:c r="O382" s="22" t="str">
        <x:f>IF(ISNUMBER(N382),N382*$B$8,"")</x:f>
      </x:c>
      <x:c r="P382" s="20" t="str">
        <x:v>4000rpm!P30</x:v>
      </x:c>
      <x:c r="Q382" s="20" t="str">
        <x:v>4000rpm!O30</x:v>
      </x:c>
      <x:c r="R382" s="20" t="str">
        <x:v>4000rpm!D30</x:v>
      </x:c>
    </x:row>
    <x:row r="383">
      <x:c r="A383" s="21" t="n">
        <x:v>4000</x:v>
      </x:c>
      <x:c r="B383" s="21" t="n">
        <x:v>15</x:v>
      </x:c>
      <x:c r="C383" s="21" t="n">
        <x:v>2</x:v>
      </x:c>
      <x:c r="D383" s="21" t="n">
        <x:v>1</x:v>
      </x:c>
      <x:c r="E383" s="21" t="str">
        <x:v>4000rpm</x:v>
      </x:c>
      <x:c r="F383" s="21" t="n">
        <x:v>31</x:v>
      </x:c>
      <x:c r="G383" s="22" t="n">
        <x:f>IFERROR('4000rpm'!E31,"")</x:f>
        <x:v>0.10812910343802554</x:v>
      </x:c>
      <x:c r="H383" s="22" t="n">
        <x:f>IFERROR('4000rpm'!C31,"")</x:f>
        <x:v>4061.5625887784</x:v>
      </x:c>
      <x:c r="I383" s="22" t="n">
        <x:f>IFERROR('4000rpm'!D31,"")</x:f>
        <x:v>2097.93836671802</x:v>
      </x:c>
      <x:c r="J383" s="22" t="n">
        <x:f>IFERROR('4000rpm'!D30,"")</x:f>
        <x:v>57.8352272727272</x:v>
      </x:c>
      <x:c r="K383" s="22" t="n">
        <x:f>IF(AND(ISNUMBER(I383),ISNUMBER(J383)),I383-J383,"")</x:f>
        <x:v>2040.1031394452928</x:v>
      </x:c>
      <x:c r="L383" s="22" t="n">
        <x:f>IF(ISNUMBER(K383),K383*$B$2+$B$3,"")</x:f>
        <x:v>1896.9074656151702</x:v>
      </x:c>
      <x:c r="M383" s="22" t="n">
        <x:f>IF(AND(ISNUMBER(G383),ISNUMBER(H383),H383&lt;&gt;0),G383/(H383/60)/$B$5,"")</x:f>
        <x:v>0.003493771361314165</x:v>
      </x:c>
      <x:c r="N383" s="22" t="n">
        <x:f>IF(AND(ISNUMBER(L383),ISNUMBER(H383),H383&lt;&gt;0),L383*$B$6/$B$4/(H383/60)^2/$B$5^4/$B$7,"")</x:f>
        <x:v>0.07705068218886364</x:v>
      </x:c>
      <x:c r="O383" s="22" t="n">
        <x:f>IF(ISNUMBER(N383),N383*$B$8,"")</x:f>
        <x:v>0.009955143745429608</x:v>
      </x:c>
      <x:c r="P383" s="20" t="str">
        <x:v>4000rpm!E31</x:v>
      </x:c>
      <x:c r="Q383" s="20" t="str">
        <x:v>4000rpm!D31</x:v>
      </x:c>
      <x:c r="R383" s="20" t="str">
        <x:v>4000rpm!D30</x:v>
      </x:c>
    </x:row>
    <x:row r="384">
      <x:c r="A384" s="21" t="n">
        <x:v>4000</x:v>
      </x:c>
      <x:c r="B384" s="21" t="n">
        <x:v>15</x:v>
      </x:c>
      <x:c r="C384" s="21" t="n">
        <x:v>2</x:v>
      </x:c>
      <x:c r="D384" s="21" t="n">
        <x:v>2</x:v>
      </x:c>
      <x:c r="E384" s="21" t="str">
        <x:v>4000rpm</x:v>
      </x:c>
      <x:c r="F384" s="21" t="n">
        <x:v>31</x:v>
      </x:c>
      <x:c r="G384" s="22" t="n">
        <x:f>IFERROR('4000rpm'!P31,"")</x:f>
        <x:v>0.1129557915111323</x:v>
      </x:c>
      <x:c r="H384" s="22" t="n">
        <x:f>IFERROR('4000rpm'!N31,"")</x:f>
        <x:v>4021.63464355468</x:v>
      </x:c>
      <x:c r="I384" s="22" t="n">
        <x:f>IFERROR('4000rpm'!O31,"")</x:f>
        <x:v>2079.78406169665</x:v>
      </x:c>
      <x:c r="J384" s="22" t="n">
        <x:f>IFERROR('4000rpm'!D30,"")</x:f>
        <x:v>57.8352272727272</x:v>
      </x:c>
      <x:c r="K384" s="22" t="n">
        <x:f>IF(AND(ISNUMBER(I384),ISNUMBER(J384)),I384-J384,"")</x:f>
        <x:v>2021.9488344239228</x:v>
      </x:c>
      <x:c r="L384" s="22" t="n">
        <x:f>IF(ISNUMBER(K384),K384*$B$2+$B$3,"")</x:f>
        <x:v>1880.2834232726616</x:v>
      </x:c>
      <x:c r="M384" s="22" t="n">
        <x:f>IF(AND(ISNUMBER(G384),ISNUMBER(H384),H384&lt;&gt;0),G384/(H384/60)/$B$5,"")</x:f>
        <x:v>0.0036859625501430146</x:v>
      </x:c>
      <x:c r="N384" s="22" t="n">
        <x:f>IF(AND(ISNUMBER(L384),ISNUMBER(H384),H384&lt;&gt;0),L384*$B$6/$B$4/(H384/60)^2/$B$5^4/$B$7,"")</x:f>
        <x:v>0.0778995113070922</x:v>
      </x:c>
      <x:c r="O384" s="22" t="n">
        <x:f>IF(ISNUMBER(N384),N384*$B$8,"")</x:f>
        <x:v>0.010064814622405865</x:v>
      </x:c>
      <x:c r="P384" s="20" t="str">
        <x:v>4000rpm!P31</x:v>
      </x:c>
      <x:c r="Q384" s="20" t="str">
        <x:v>4000rpm!O31</x:v>
      </x:c>
      <x:c r="R384" s="20" t="str">
        <x:v>4000rpm!D30</x:v>
      </x:c>
    </x:row>
    <x:row r="385">
      <x:c r="A385" s="21" t="n">
        <x:v>4000</x:v>
      </x:c>
      <x:c r="B385" s="21" t="n">
        <x:v>15</x:v>
      </x:c>
      <x:c r="C385" s="21" t="n">
        <x:v>3</x:v>
      </x:c>
      <x:c r="D385" s="21" t="n">
        <x:v>1</x:v>
      </x:c>
      <x:c r="E385" s="21" t="str">
        <x:v>4000rpm</x:v>
      </x:c>
      <x:c r="F385" s="21" t="n">
        <x:v>32</x:v>
      </x:c>
      <x:c r="G385" s="22" t="n">
        <x:f>IFERROR('4000rpm'!E32,"")</x:f>
        <x:v>0.9166716538878252</x:v>
      </x:c>
      <x:c r="H385" s="22" t="n">
        <x:f>IFERROR('4000rpm'!C32,"")</x:f>
        <x:v>4028.17561558314</x:v>
      </x:c>
      <x:c r="I385" s="22" t="n">
        <x:f>IFERROR('4000rpm'!D32,"")</x:f>
        <x:v>2064.67522935779</x:v>
      </x:c>
      <x:c r="J385" s="22" t="n">
        <x:f>IFERROR('4000rpm'!D30,"")</x:f>
        <x:v>57.8352272727272</x:v>
      </x:c>
      <x:c r="K385" s="22" t="n">
        <x:f>IF(AND(ISNUMBER(I385),ISNUMBER(J385)),I385-J385,"")</x:f>
        <x:v>2006.840002085063</x:v>
      </x:c>
      <x:c r="L385" s="22" t="n">
        <x:f>IF(ISNUMBER(K385),K385*$B$2+$B$3,"")</x:f>
        <x:v>1866.448144629309</x:v>
      </x:c>
      <x:c r="M385" s="22" t="n">
        <x:f>IF(AND(ISNUMBER(G385),ISNUMBER(H385),H385&lt;&gt;0),G385/(H385/60)/$B$5,"")</x:f>
        <x:v>0.029864168990730203</x:v>
      </x:c>
      <x:c r="N385" s="22" t="n">
        <x:f>IF(AND(ISNUMBER(L385),ISNUMBER(H385),H385&lt;&gt;0),L385*$B$6/$B$4/(H385/60)^2/$B$5^4/$B$7,"")</x:f>
        <x:v>0.07707539850123164</x:v>
      </x:c>
      <x:c r="O385" s="22" t="n">
        <x:f>IF(ISNUMBER(N385),N385*$B$8,"")</x:f>
        <x:v>0.009958337155734234</x:v>
      </x:c>
      <x:c r="P385" s="20" t="str">
        <x:v>4000rpm!E32</x:v>
      </x:c>
      <x:c r="Q385" s="20" t="str">
        <x:v>4000rpm!D32</x:v>
      </x:c>
      <x:c r="R385" s="20" t="str">
        <x:v>4000rpm!D30</x:v>
      </x:c>
    </x:row>
    <x:row r="386">
      <x:c r="A386" s="21" t="n">
        <x:v>4000</x:v>
      </x:c>
      <x:c r="B386" s="21" t="n">
        <x:v>15</x:v>
      </x:c>
      <x:c r="C386" s="21" t="n">
        <x:v>3</x:v>
      </x:c>
      <x:c r="D386" s="21" t="n">
        <x:v>2</x:v>
      </x:c>
      <x:c r="E386" s="21" t="str">
        <x:v>4000rpm</x:v>
      </x:c>
      <x:c r="F386" s="21" t="n">
        <x:v>32</x:v>
      </x:c>
      <x:c r="G386" s="22" t="n">
        <x:f>IFERROR('4000rpm'!P32,"")</x:f>
        <x:v>1.0280992221507028</x:v>
      </x:c>
      <x:c r="H386" s="22" t="n">
        <x:f>IFERROR('4000rpm'!N32,"")</x:f>
        <x:v>4004.11200420673</x:v>
      </x:c>
      <x:c r="I386" s="22" t="n">
        <x:f>IFERROR('4000rpm'!O32,"")</x:f>
        <x:v>2043.50769230769</x:v>
      </x:c>
      <x:c r="J386" s="22" t="n">
        <x:f>IFERROR('4000rpm'!D30,"")</x:f>
        <x:v>57.8352272727272</x:v>
      </x:c>
      <x:c r="K386" s="22" t="n">
        <x:f>IF(AND(ISNUMBER(I386),ISNUMBER(J386)),I386-J386,"")</x:f>
        <x:v>1985.6724650349627</x:v>
      </x:c>
      <x:c r="L386" s="22" t="n">
        <x:f>IF(ISNUMBER(K386),K386*$B$2+$B$3,"")</x:f>
        <x:v>1847.0648616122355</x:v>
      </x:c>
      <x:c r="M386" s="22" t="n">
        <x:f>IF(AND(ISNUMBER(G386),ISNUMBER(H386),H386&lt;&gt;0),G386/(H386/60)/$B$5,"")</x:f>
        <x:v>0.03369565027671827</x:v>
      </x:c>
      <x:c r="N386" s="22" t="n">
        <x:f>IF(AND(ISNUMBER(L386),ISNUMBER(H386),H386&lt;&gt;0),L386*$B$6/$B$4/(H386/60)^2/$B$5^4/$B$7,"")</x:f>
        <x:v>0.07719449931066294</x:v>
      </x:c>
      <x:c r="O386" s="22" t="n">
        <x:f>IF(ISNUMBER(N386),N386*$B$8,"")</x:f>
        <x:v>0.009973725282670985</x:v>
      </x:c>
      <x:c r="P386" s="20" t="str">
        <x:v>4000rpm!P32</x:v>
      </x:c>
      <x:c r="Q386" s="20" t="str">
        <x:v>4000rpm!O32</x:v>
      </x:c>
      <x:c r="R386" s="20" t="str">
        <x:v>4000rpm!D30</x:v>
      </x:c>
    </x:row>
    <x:row r="387">
      <x:c r="A387" s="21" t="n">
        <x:v>4000</x:v>
      </x:c>
      <x:c r="B387" s="21" t="n">
        <x:v>15</x:v>
      </x:c>
      <x:c r="C387" s="21" t="n">
        <x:v>4</x:v>
      </x:c>
      <x:c r="D387" s="21" t="n">
        <x:v>1</x:v>
      </x:c>
      <x:c r="E387" s="21" t="str">
        <x:v>4000rpm</x:v>
      </x:c>
      <x:c r="F387" s="21" t="n">
        <x:v>33</x:v>
      </x:c>
      <x:c r="G387" s="22" t="n">
        <x:f>IFERROR('4000rpm'!E33,"")</x:f>
        <x:v>2.0541121218721834</x:v>
      </x:c>
      <x:c r="H387" s="22" t="n">
        <x:f>IFERROR('4000rpm'!C33,"")</x:f>
        <x:v>4016.76992692618</x:v>
      </x:c>
      <x:c r="I387" s="22" t="n">
        <x:f>IFERROR('4000rpm'!D33,"")</x:f>
        <x:v>2051.97386759581</x:v>
      </x:c>
      <x:c r="J387" s="22" t="n">
        <x:f>IFERROR('4000rpm'!D30,"")</x:f>
        <x:v>57.8352272727272</x:v>
      </x:c>
      <x:c r="K387" s="22" t="n">
        <x:f>IF(AND(ISNUMBER(I387),ISNUMBER(J387)),I387-J387,"")</x:f>
        <x:v>1994.1386403230829</x:v>
      </x:c>
      <x:c r="L387" s="22" t="n">
        <x:f>IF(ISNUMBER(K387),K387*$B$2+$B$3,"")</x:f>
        <x:v>1854.8174060529695</x:v>
      </x:c>
      <x:c r="M387" s="22" t="n">
        <x:f>IF(AND(ISNUMBER(G387),ISNUMBER(H387),H387&lt;&gt;0),G387/(H387/60)/$B$5,"")</x:f>
        <x:v>0.06711076930836793</x:v>
      </x:c>
      <x:c r="N387" s="22" t="n">
        <x:f>IF(AND(ISNUMBER(L387),ISNUMBER(H387),H387&lt;&gt;0),L387*$B$6/$B$4/(H387/60)^2/$B$5^4/$B$7,"")</x:f>
        <x:v>0.0770307083806764</x:v>
      </x:c>
      <x:c r="O387" s="22" t="n">
        <x:f>IF(ISNUMBER(N387),N387*$B$8,"")</x:f>
        <x:v>0.009952563078704811</x:v>
      </x:c>
      <x:c r="P387" s="20" t="str">
        <x:v>4000rpm!E33</x:v>
      </x:c>
      <x:c r="Q387" s="20" t="str">
        <x:v>4000rpm!D33</x:v>
      </x:c>
      <x:c r="R387" s="20" t="str">
        <x:v>4000rpm!D30</x:v>
      </x:c>
    </x:row>
    <x:row r="388">
      <x:c r="A388" s="21" t="n">
        <x:v>4000</x:v>
      </x:c>
      <x:c r="B388" s="21" t="n">
        <x:v>15</x:v>
      </x:c>
      <x:c r="C388" s="21" t="n">
        <x:v>4</x:v>
      </x:c>
      <x:c r="D388" s="21" t="n">
        <x:v>2</x:v>
      </x:c>
      <x:c r="E388" s="21" t="str">
        <x:v>4000rpm</x:v>
      </x:c>
      <x:c r="F388" s="21" t="n">
        <x:v>33</x:v>
      </x:c>
      <x:c r="G388" s="22" t="n">
        <x:f>IFERROR('4000rpm'!P33,"")</x:f>
        <x:v>2.0560730109465615</x:v>
      </x:c>
      <x:c r="H388" s="22" t="n">
        <x:f>IFERROR('4000rpm'!N33,"")</x:f>
        <x:v>4008.04097945601</x:v>
      </x:c>
      <x:c r="I388" s="22" t="n">
        <x:f>IFERROR('4000rpm'!O33,"")</x:f>
        <x:v>2033.9489981785</x:v>
      </x:c>
      <x:c r="J388" s="22" t="n">
        <x:f>IFERROR('4000rpm'!D30,"")</x:f>
        <x:v>57.8352272727272</x:v>
      </x:c>
      <x:c r="K388" s="22" t="n">
        <x:f>IF(AND(ISNUMBER(I388),ISNUMBER(J388)),I388-J388,"")</x:f>
        <x:v>1976.1137709057728</x:v>
      </x:c>
      <x:c r="L388" s="22" t="n">
        <x:f>IF(ISNUMBER(K388),K388*$B$2+$B$3,"")</x:f>
        <x:v>1838.3118889285834</x:v>
      </x:c>
      <x:c r="M388" s="22" t="n">
        <x:f>IF(AND(ISNUMBER(G388),ISNUMBER(H388),H388&lt;&gt;0),G388/(H388/60)/$B$5,"")</x:f>
        <x:v>0.06732113165458488</x:v>
      </x:c>
      <x:c r="N388" s="22" t="n">
        <x:f>IF(AND(ISNUMBER(L388),ISNUMBER(H388),H388&lt;&gt;0),L388*$B$6/$B$4/(H388/60)^2/$B$5^4/$B$7,"")</x:f>
        <x:v>0.07667813338681816</x:v>
      </x:c>
      <x:c r="O388" s="22" t="n">
        <x:f>IF(ISNUMBER(N388),N388*$B$8,"")</x:f>
        <x:v>0.00990700949442506</x:v>
      </x:c>
      <x:c r="P388" s="20" t="str">
        <x:v>4000rpm!P33</x:v>
      </x:c>
      <x:c r="Q388" s="20" t="str">
        <x:v>4000rpm!O33</x:v>
      </x:c>
      <x:c r="R388" s="20" t="str">
        <x:v>4000rpm!D30</x:v>
      </x:c>
    </x:row>
    <x:row r="389">
      <x:c r="A389" s="21" t="n">
        <x:v>4000</x:v>
      </x:c>
      <x:c r="B389" s="21" t="n">
        <x:v>15</x:v>
      </x:c>
      <x:c r="C389" s="21" t="n">
        <x:v>5</x:v>
      </x:c>
      <x:c r="D389" s="21" t="n">
        <x:v>1</x:v>
      </x:c>
      <x:c r="E389" s="21" t="str">
        <x:v>4000rpm</x:v>
      </x:c>
      <x:c r="F389" s="21" t="n">
        <x:v>34</x:v>
      </x:c>
      <x:c r="G389" s="22" t="n">
        <x:f>IFERROR('4000rpm'!E34,"")</x:f>
        <x:v>3.0722109273712506</x:v>
      </x:c>
      <x:c r="H389" s="22" t="n">
        <x:f>IFERROR('4000rpm'!C34,"")</x:f>
        <x:v>4032.95729417067</x:v>
      </x:c>
      <x:c r="I389" s="22" t="n">
        <x:f>IFERROR('4000rpm'!D34,"")</x:f>
        <x:v>2033.3679245283</x:v>
      </x:c>
      <x:c r="J389" s="22" t="n">
        <x:f>IFERROR('4000rpm'!D30,"")</x:f>
        <x:v>57.8352272727272</x:v>
      </x:c>
      <x:c r="K389" s="22" t="n">
        <x:f>IF(AND(ISNUMBER(I389),ISNUMBER(J389)),I389-J389,"")</x:f>
        <x:v>1975.5326972555727</x:v>
      </x:c>
      <x:c r="L389" s="22" t="n">
        <x:f>IF(ISNUMBER(K389),K389*$B$2+$B$3,"")</x:f>
        <x:v>1837.779795138506</x:v>
      </x:c>
      <x:c r="M389" s="22" t="n">
        <x:f>IF(AND(ISNUMBER(G389),ISNUMBER(H389),H389&lt;&gt;0),G389/(H389/60)/$B$5,"")</x:f>
        <x:v>0.09997063138738324</x:v>
      </x:c>
      <x:c r="N389" s="22" t="n">
        <x:f>IF(AND(ISNUMBER(L389),ISNUMBER(H389),H389&lt;&gt;0),L389*$B$6/$B$4/(H389/60)^2/$B$5^4/$B$7,"")</x:f>
        <x:v>0.0757116775119623</x:v>
      </x:c>
      <x:c r="O389" s="22" t="n">
        <x:f>IF(ISNUMBER(N389),N389*$B$8,"")</x:f>
        <x:v>0.009782140941876467</x:v>
      </x:c>
      <x:c r="P389" s="20" t="str">
        <x:v>4000rpm!E34</x:v>
      </x:c>
      <x:c r="Q389" s="20" t="str">
        <x:v>4000rpm!D34</x:v>
      </x:c>
      <x:c r="R389" s="20" t="str">
        <x:v>4000rpm!D30</x:v>
      </x:c>
    </x:row>
    <x:row r="390">
      <x:c r="A390" s="21" t="n">
        <x:v>4000</x:v>
      </x:c>
      <x:c r="B390" s="21" t="n">
        <x:v>15</x:v>
      </x:c>
      <x:c r="C390" s="21" t="n">
        <x:v>5</x:v>
      </x:c>
      <x:c r="D390" s="21" t="n">
        <x:v>2</x:v>
      </x:c>
      <x:c r="E390" s="21" t="str">
        <x:v>4000rpm</x:v>
      </x:c>
      <x:c r="F390" s="21" t="n">
        <x:v>34</x:v>
      </x:c>
      <x:c r="G390" s="22" t="n">
        <x:f>IFERROR('4000rpm'!P34,"")</x:f>
        <x:v>3.08168229255364</x:v>
      </x:c>
      <x:c r="H390" s="22" t="n">
        <x:f>IFERROR('4000rpm'!N34,"")</x:f>
        <x:v>3991.99475097656</x:v>
      </x:c>
      <x:c r="I390" s="22" t="n">
        <x:f>IFERROR('4000rpm'!O34,"")</x:f>
        <x:v>2013.77664974619</x:v>
      </x:c>
      <x:c r="J390" s="22" t="n">
        <x:f>IFERROR('4000rpm'!D30,"")</x:f>
        <x:v>57.8352272727272</x:v>
      </x:c>
      <x:c r="K390" s="22" t="n">
        <x:f>IF(AND(ISNUMBER(I390),ISNUMBER(J390)),I390-J390,"")</x:f>
        <x:v>1955.9414224734628</x:v>
      </x:c>
      <x:c r="L390" s="22" t="n">
        <x:f>IF(ISNUMBER(K390),K390*$B$2+$B$3,"")</x:f>
        <x:v>1819.8399080903298</x:v>
      </x:c>
      <x:c r="M390" s="22" t="n">
        <x:f>IF(AND(ISNUMBER(G390),ISNUMBER(H390),H390&lt;&gt;0),G390/(H390/60)/$B$5,"")</x:f>
        <x:v>0.1013078106547325</x:v>
      </x:c>
      <x:c r="N390" s="22" t="n">
        <x:f>IF(AND(ISNUMBER(L390),ISNUMBER(H390),H390&lt;&gt;0),L390*$B$6/$B$4/(H390/60)^2/$B$5^4/$B$7,"")</x:f>
        <x:v>0.07651910895859312</x:v>
      </x:c>
      <x:c r="O390" s="22" t="n">
        <x:f>IF(ISNUMBER(N390),N390*$B$8,"")</x:f>
        <x:v>0.00988646313458707</x:v>
      </x:c>
      <x:c r="P390" s="20" t="str">
        <x:v>4000rpm!P34</x:v>
      </x:c>
      <x:c r="Q390" s="20" t="str">
        <x:v>4000rpm!O34</x:v>
      </x:c>
      <x:c r="R390" s="20" t="str">
        <x:v>4000rpm!D30</x:v>
      </x:c>
    </x:row>
    <x:row r="391">
      <x:c r="A391" s="21" t="n">
        <x:v>4000</x:v>
      </x:c>
      <x:c r="B391" s="21" t="n">
        <x:v>15</x:v>
      </x:c>
      <x:c r="C391" s="21" t="n">
        <x:v>6</x:v>
      </x:c>
      <x:c r="D391" s="21" t="n">
        <x:v>1</x:v>
      </x:c>
      <x:c r="E391" s="21" t="str">
        <x:v>4000rpm</x:v>
      </x:c>
      <x:c r="F391" s="21" t="n">
        <x:v>35</x:v>
      </x:c>
      <x:c r="G391" s="22" t="n">
        <x:f>IFERROR('4000rpm'!E35,"")</x:f>
        <x:v>4.10718907319655</x:v>
      </x:c>
      <x:c r="H391" s="22" t="n">
        <x:f>IFERROR('4000rpm'!C35,"")</x:f>
        <x:v>4028.13439489294</x:v>
      </x:c>
      <x:c r="I391" s="22" t="n">
        <x:f>IFERROR('4000rpm'!D35,"")</x:f>
        <x:v>2039.38405797101</x:v>
      </x:c>
      <x:c r="J391" s="22" t="n">
        <x:f>IFERROR('4000rpm'!D30,"")</x:f>
        <x:v>57.8352272727272</x:v>
      </x:c>
      <x:c r="K391" s="22" t="n">
        <x:f>IF(AND(ISNUMBER(I391),ISNUMBER(J391)),I391-J391,"")</x:f>
        <x:v>1981.5488306982827</x:v>
      </x:c>
      <x:c r="L391" s="22" t="n">
        <x:f>IF(ISNUMBER(K391),K391*$B$2+$B$3,"")</x:f>
        <x:v>1843.288816661063</x:v>
      </x:c>
      <x:c r="M391" s="22" t="n">
        <x:f>IF(AND(ISNUMBER(G391),ISNUMBER(H391),H391&lt;&gt;0),G391/(H391/60)/$B$5,"")</x:f>
        <x:v>0.13380913789559257</x:v>
      </x:c>
      <x:c r="N391" s="22" t="n">
        <x:f>IF(AND(ISNUMBER(L391),ISNUMBER(H391),H391&lt;&gt;0),L391*$B$6/$B$4/(H391/60)^2/$B$5^4/$B$7,"")</x:f>
        <x:v>0.07612058670183904</x:v>
      </x:c>
      <x:c r="O391" s="22" t="n">
        <x:f>IF(ISNUMBER(N391),N391*$B$8,"")</x:f>
        <x:v>0.009834973047296015</x:v>
      </x:c>
      <x:c r="P391" s="20" t="str">
        <x:v>4000rpm!E35</x:v>
      </x:c>
      <x:c r="Q391" s="20" t="str">
        <x:v>4000rpm!D35</x:v>
      </x:c>
      <x:c r="R391" s="20" t="str">
        <x:v>4000rpm!D30</x:v>
      </x:c>
    </x:row>
    <x:row r="392">
      <x:c r="A392" s="21" t="n">
        <x:v>4000</x:v>
      </x:c>
      <x:c r="B392" s="21" t="n">
        <x:v>15</x:v>
      </x:c>
      <x:c r="C392" s="21" t="n">
        <x:v>6</x:v>
      </x:c>
      <x:c r="D392" s="21" t="n">
        <x:v>2</x:v>
      </x:c>
      <x:c r="E392" s="21" t="str">
        <x:v>4000rpm</x:v>
      </x:c>
      <x:c r="F392" s="21" t="n">
        <x:v>35</x:v>
      </x:c>
      <x:c r="G392" s="22" t="n">
        <x:f>IFERROR('4000rpm'!P35,"")</x:f>
        <x:v>4.120213374926298</x:v>
      </x:c>
      <x:c r="H392" s="22" t="n">
        <x:f>IFERROR('4000rpm'!N35,"")</x:f>
        <x:v>4008.16130960398</x:v>
      </x:c>
      <x:c r="I392" s="22" t="n">
        <x:f>IFERROR('4000rpm'!O35,"")</x:f>
        <x:v>2014.62199312714</x:v>
      </x:c>
      <x:c r="J392" s="22" t="n">
        <x:f>IFERROR('4000rpm'!D30,"")</x:f>
        <x:v>57.8352272727272</x:v>
      </x:c>
      <x:c r="K392" s="22" t="n">
        <x:f>IF(AND(ISNUMBER(I392),ISNUMBER(J392)),I392-J392,"")</x:f>
        <x:v>1956.7867658544128</x:v>
      </x:c>
      <x:c r="L392" s="22" t="n">
        <x:f>IF(ISNUMBER(K392),K392*$B$2+$B$3,"")</x:f>
        <x:v>1820.6139957870128</x:v>
      </x:c>
      <x:c r="M392" s="22" t="n">
        <x:f>IF(AND(ISNUMBER(G392),ISNUMBER(H392),H392&lt;&gt;0),G392/(H392/60)/$B$5,"")</x:f>
        <x:v>0.13490235918434593</x:v>
      </x:c>
      <x:c r="N392" s="22" t="n">
        <x:f>IF(AND(ISNUMBER(L392),ISNUMBER(H392),H392&lt;&gt;0),L392*$B$6/$B$4/(H392/60)^2/$B$5^4/$B$7,"")</x:f>
        <x:v>0.07593537405809711</x:v>
      </x:c>
      <x:c r="O392" s="22" t="n">
        <x:f>IF(ISNUMBER(N392),N392*$B$8,"")</x:f>
        <x:v>0.00981104310352988</x:v>
      </x:c>
      <x:c r="P392" s="20" t="str">
        <x:v>4000rpm!P35</x:v>
      </x:c>
      <x:c r="Q392" s="20" t="str">
        <x:v>4000rpm!O35</x:v>
      </x:c>
      <x:c r="R392" s="20" t="str">
        <x:v>4000rpm!D30</x:v>
      </x:c>
    </x:row>
    <x:row r="393">
      <x:c r="A393" s="21" t="n">
        <x:v>4000</x:v>
      </x:c>
      <x:c r="B393" s="21" t="n">
        <x:v>15</x:v>
      </x:c>
      <x:c r="C393" s="21" t="n">
        <x:v>7</x:v>
      </x:c>
      <x:c r="D393" s="21" t="n">
        <x:v>1</x:v>
      </x:c>
      <x:c r="E393" s="21" t="str">
        <x:v>4000rpm</x:v>
      </x:c>
      <x:c r="F393" s="21" t="n">
        <x:v>36</x:v>
      </x:c>
      <x:c r="G393" s="22" t="n">
        <x:f>IFERROR('4000rpm'!E36,"")</x:f>
        <x:v>5.124230364286427</x:v>
      </x:c>
      <x:c r="H393" s="22" t="n">
        <x:f>IFERROR('4000rpm'!C36,"")</x:f>
        <x:v>4036.77712576729</x:v>
      </x:c>
      <x:c r="I393" s="22" t="n">
        <x:f>IFERROR('4000rpm'!D36,"")</x:f>
        <x:v>2033.7109929078</x:v>
      </x:c>
      <x:c r="J393" s="22" t="n">
        <x:f>IFERROR('4000rpm'!D30,"")</x:f>
        <x:v>57.8352272727272</x:v>
      </x:c>
      <x:c r="K393" s="22" t="n">
        <x:f>IF(AND(ISNUMBER(I393),ISNUMBER(J393)),I393-J393,"")</x:f>
        <x:v>1975.8757656350726</x:v>
      </x:c>
      <x:c r="L393" s="22" t="n">
        <x:f>IF(ISNUMBER(K393),K393*$B$2+$B$3,"")</x:f>
        <x:v>1838.093945598161</x:v>
      </x:c>
      <x:c r="M393" s="22" t="n">
        <x:f>IF(AND(ISNUMBER(G393),ISNUMBER(H393),H393&lt;&gt;0),G393/(H393/60)/$B$5,"")</x:f>
        <x:v>0.1665861541186081</x:v>
      </x:c>
      <x:c r="N393" s="22" t="n">
        <x:f>IF(AND(ISNUMBER(L393),ISNUMBER(H393),H393&lt;&gt;0),L393*$B$6/$B$4/(H393/60)^2/$B$5^4/$B$7,"")</x:f>
        <x:v>0.07558137747109578</x:v>
      </x:c>
      <x:c r="O393" s="22" t="n">
        <x:f>IF(ISNUMBER(N393),N393*$B$8,"")</x:f>
        <x:v>0.009765305845807077</x:v>
      </x:c>
      <x:c r="P393" s="20" t="str">
        <x:v>4000rpm!E36</x:v>
      </x:c>
      <x:c r="Q393" s="20" t="str">
        <x:v>4000rpm!D36</x:v>
      </x:c>
      <x:c r="R393" s="20" t="str">
        <x:v>4000rpm!D30</x:v>
      </x:c>
    </x:row>
    <x:row r="394">
      <x:c r="A394" s="21" t="n">
        <x:v>4000</x:v>
      </x:c>
      <x:c r="B394" s="21" t="n">
        <x:v>15</x:v>
      </x:c>
      <x:c r="C394" s="21" t="n">
        <x:v>7</x:v>
      </x:c>
      <x:c r="D394" s="21" t="n">
        <x:v>2</x:v>
      </x:c>
      <x:c r="E394" s="21" t="str">
        <x:v>4000rpm</x:v>
      </x:c>
      <x:c r="F394" s="21" t="n">
        <x:v>36</x:v>
      </x:c>
      <x:c r="G394" s="22" t="n">
        <x:f>IFERROR('4000rpm'!P36,"")</x:f>
        <x:v>5.1288380640513695</x:v>
      </x:c>
      <x:c r="H394" s="22" t="n">
        <x:f>IFERROR('4000rpm'!N36,"")</x:f>
        <x:v>3994.23123446377</x:v>
      </x:c>
      <x:c r="I394" s="22" t="n">
        <x:f>IFERROR('4000rpm'!O36,"")</x:f>
        <x:v>2004.08755760368</x:v>
      </x:c>
      <x:c r="J394" s="22" t="n">
        <x:f>IFERROR('4000rpm'!D30,"")</x:f>
        <x:v>57.8352272727272</x:v>
      </x:c>
      <x:c r="K394" s="22" t="n">
        <x:f>IF(AND(ISNUMBER(I394),ISNUMBER(J394)),I394-J394,"")</x:f>
        <x:v>1946.2523303309526</x:v>
      </x:c>
      <x:c r="L394" s="22" t="n">
        <x:f>IF(ISNUMBER(K394),K394*$B$2+$B$3,"")</x:f>
        <x:v>1810.967528902696</x:v>
      </x:c>
      <x:c r="M394" s="22" t="n">
        <x:f>IF(AND(ISNUMBER(G394),ISNUMBER(H394),H394&lt;&gt;0),G394/(H394/60)/$B$5,"")</x:f>
        <x:v>0.16851199189884292</x:v>
      </x:c>
      <x:c r="N394" s="22" t="n">
        <x:f>IF(AND(ISNUMBER(L394),ISNUMBER(H394),H394&lt;&gt;0),L394*$B$6/$B$4/(H394/60)^2/$B$5^4/$B$7,"")</x:f>
        <x:v>0.07606080176803738</x:v>
      </x:c>
      <x:c r="O394" s="22" t="n">
        <x:f>IF(ISNUMBER(N394),N394*$B$8,"")</x:f>
        <x:v>0.009827248682074333</x:v>
      </x:c>
      <x:c r="P394" s="20" t="str">
        <x:v>4000rpm!P36</x:v>
      </x:c>
      <x:c r="Q394" s="20" t="str">
        <x:v>4000rpm!O36</x:v>
      </x:c>
      <x:c r="R394" s="20" t="str">
        <x:v>4000rpm!D30</x:v>
      </x:c>
    </x:row>
    <x:row r="395">
      <x:c r="A395" s="21" t="n">
        <x:v>4000</x:v>
      </x:c>
      <x:c r="B395" s="21" t="n">
        <x:v>15</x:v>
      </x:c>
      <x:c r="C395" s="21" t="n">
        <x:v>8</x:v>
      </x:c>
      <x:c r="D395" s="21" t="n">
        <x:v>1</x:v>
      </x:c>
      <x:c r="E395" s="21" t="str">
        <x:v>4000rpm</x:v>
      </x:c>
      <x:c r="F395" s="21" t="n">
        <x:v>37</x:v>
      </x:c>
      <x:c r="G395" s="22" t="n">
        <x:f>IFERROR('4000rpm'!E37,"")</x:f>
        <x:v>6.168108241829824</x:v>
      </x:c>
      <x:c r="H395" s="22" t="n">
        <x:f>IFERROR('4000rpm'!C37,"")</x:f>
        <x:v>3994.40221747036</x:v>
      </x:c>
      <x:c r="I395" s="22" t="n">
        <x:f>IFERROR('4000rpm'!D37,"")</x:f>
        <x:v>2032.24912891986</x:v>
      </x:c>
      <x:c r="J395" s="22" t="n">
        <x:f>IFERROR('4000rpm'!D30,"")</x:f>
        <x:v>57.8352272727272</x:v>
      </x:c>
      <x:c r="K395" s="22" t="n">
        <x:f>IF(AND(ISNUMBER(I395),ISNUMBER(J395)),I395-J395,"")</x:f>
        <x:v>1974.4139016471327</x:v>
      </x:c>
      <x:c r="L395" s="22" t="n">
        <x:f>IF(ISNUMBER(K395),K395*$B$2+$B$3,"")</x:f>
        <x:v>1836.7553050494926</x:v>
      </x:c>
      <x:c r="M395" s="22" t="n">
        <x:f>IF(AND(ISNUMBER(G395),ISNUMBER(H395),H395&lt;&gt;0),G395/(H395/60)/$B$5,"")</x:f>
        <x:v>0.2026493527171161</x:v>
      </x:c>
      <x:c r="N395" s="22" t="n">
        <x:f>IF(AND(ISNUMBER(L395),ISNUMBER(H395),H395&lt;&gt;0),L395*$B$6/$B$4/(H395/60)^2/$B$5^4/$B$7,"")</x:f>
        <x:v>0.0771372864753372</x:v>
      </x:c>
      <x:c r="O395" s="22" t="n">
        <x:f>IF(ISNUMBER(N395),N395*$B$8,"")</x:f>
        <x:v>0.009966333239102114</x:v>
      </x:c>
      <x:c r="P395" s="20" t="str">
        <x:v>4000rpm!E37</x:v>
      </x:c>
      <x:c r="Q395" s="20" t="str">
        <x:v>4000rpm!D37</x:v>
      </x:c>
      <x:c r="R395" s="20" t="str">
        <x:v>4000rpm!D30</x:v>
      </x:c>
    </x:row>
    <x:row r="396">
      <x:c r="A396" s="21" t="n">
        <x:v>4000</x:v>
      </x:c>
      <x:c r="B396" s="21" t="n">
        <x:v>15</x:v>
      </x:c>
      <x:c r="C396" s="21" t="n">
        <x:v>8</x:v>
      </x:c>
      <x:c r="D396" s="21" t="n">
        <x:v>2</x:v>
      </x:c>
      <x:c r="E396" s="21" t="str">
        <x:v>4000rpm</x:v>
      </x:c>
      <x:c r="F396" s="21" t="n">
        <x:v>37</x:v>
      </x:c>
      <x:c r="G396" s="22" t="n">
        <x:f>IFERROR('4000rpm'!P37,"")</x:f>
        <x:v>6.1614739076626135</x:v>
      </x:c>
      <x:c r="H396" s="22" t="n">
        <x:f>IFERROR('4000rpm'!N37,"")</x:f>
        <x:v>4004.957734375</x:v>
      </x:c>
      <x:c r="I396" s="22" t="n">
        <x:f>IFERROR('4000rpm'!O37,"")</x:f>
        <x:v>2019.25502008032</x:v>
      </x:c>
      <x:c r="J396" s="22" t="n">
        <x:f>IFERROR('4000rpm'!D30,"")</x:f>
        <x:v>57.8352272727272</x:v>
      </x:c>
      <x:c r="K396" s="22" t="n">
        <x:f>IF(AND(ISNUMBER(I396),ISNUMBER(J396)),I396-J396,"")</x:f>
        <x:v>1961.4197928075928</x:v>
      </x:c>
      <x:c r="L396" s="22" t="n">
        <x:f>IF(ISNUMBER(K396),K396*$B$2+$B$3,"")</x:f>
        <x:v>1824.8564956322552</x:v>
      </x:c>
      <x:c r="M396" s="22" t="n">
        <x:f>IF(AND(ISNUMBER(G396),ISNUMBER(H396),H396&lt;&gt;0),G396/(H396/60)/$B$5,"")</x:f>
        <x:v>0.20189785509930294</x:v>
      </x:c>
      <x:c r="N396" s="22" t="n">
        <x:f>IF(AND(ISNUMBER(L396),ISNUMBER(H396),H396&lt;&gt;0),L396*$B$6/$B$4/(H396/60)^2/$B$5^4/$B$7,"")</x:f>
        <x:v>0.07623413660773719</x:v>
      </x:c>
      <x:c r="O396" s="22" t="n">
        <x:f>IF(ISNUMBER(N396),N396*$B$8,"")</x:f>
        <x:v>0.009849643983404346</x:v>
      </x:c>
      <x:c r="P396" s="20" t="str">
        <x:v>4000rpm!P37</x:v>
      </x:c>
      <x:c r="Q396" s="20" t="str">
        <x:v>4000rpm!O37</x:v>
      </x:c>
      <x:c r="R396" s="20" t="str">
        <x:v>4000rpm!D30</x:v>
      </x:c>
    </x:row>
    <x:row r="397">
      <x:c r="A397" s="21" t="n">
        <x:v>4000</x:v>
      </x:c>
      <x:c r="B397" s="21" t="n">
        <x:v>15</x:v>
      </x:c>
      <x:c r="C397" s="21" t="n">
        <x:v>9</x:v>
      </x:c>
      <x:c r="D397" s="21" t="n">
        <x:v>1</x:v>
      </x:c>
      <x:c r="E397" s="21" t="str">
        <x:v>4000rpm</x:v>
      </x:c>
      <x:c r="F397" s="21" t="n">
        <x:v>38</x:v>
      </x:c>
      <x:c r="G397" s="22" t="n">
        <x:f>IFERROR('4000rpm'!E38,"")</x:f>
        <x:v>7.172422706372099</x:v>
      </x:c>
      <x:c r="H397" s="22" t="n">
        <x:f>IFERROR('4000rpm'!C38,"")</x:f>
        <x:v>4027.30541992187</x:v>
      </x:c>
      <x:c r="I397" s="22" t="n">
        <x:f>IFERROR('4000rpm'!D38,"")</x:f>
        <x:v>2036.35774058577</x:v>
      </x:c>
      <x:c r="J397" s="22" t="n">
        <x:f>IFERROR('4000rpm'!D30,"")</x:f>
        <x:v>57.8352272727272</x:v>
      </x:c>
      <x:c r="K397" s="22" t="n">
        <x:f>IF(AND(ISNUMBER(I397),ISNUMBER(J397)),I397-J397,"")</x:f>
        <x:v>1978.5225133130427</x:v>
      </x:c>
      <x:c r="L397" s="22" t="n">
        <x:f>IF(ISNUMBER(K397),K397*$B$2+$B$3,"")</x:f>
        <x:v>1840.5175936208598</x:v>
      </x:c>
      <x:c r="M397" s="22" t="n">
        <x:f>IF(AND(ISNUMBER(G397),ISNUMBER(H397),H397&lt;&gt;0),G397/(H397/60)/$B$5,"")</x:f>
        <x:v>0.23372024820923656</x:v>
      </x:c>
      <x:c r="N397" s="22" t="n">
        <x:f>IF(AND(ISNUMBER(L397),ISNUMBER(H397),H397&lt;&gt;0),L397*$B$6/$B$4/(H397/60)^2/$B$5^4/$B$7,"")</x:f>
        <x:v>0.07603743929720014</x:v>
      </x:c>
      <x:c r="O397" s="22" t="n">
        <x:f>IF(ISNUMBER(N397),N397*$B$8,"")</x:f>
        <x:v>0.009824230191532444</x:v>
      </x:c>
      <x:c r="P397" s="20" t="str">
        <x:v>4000rpm!E38</x:v>
      </x:c>
      <x:c r="Q397" s="20" t="str">
        <x:v>4000rpm!D38</x:v>
      </x:c>
      <x:c r="R397" s="20" t="str">
        <x:v>4000rpm!D30</x:v>
      </x:c>
    </x:row>
    <x:row r="398">
      <x:c r="A398" s="21" t="n">
        <x:v>4000</x:v>
      </x:c>
      <x:c r="B398" s="21" t="n">
        <x:v>15</x:v>
      </x:c>
      <x:c r="C398" s="21" t="n">
        <x:v>9</x:v>
      </x:c>
      <x:c r="D398" s="21" t="n">
        <x:v>2</x:v>
      </x:c>
      <x:c r="E398" s="21" t="str">
        <x:v>4000rpm</x:v>
      </x:c>
      <x:c r="F398" s="21" t="n">
        <x:v>38</x:v>
      </x:c>
      <x:c r="G398" s="22" t="n">
        <x:f>IFERROR('4000rpm'!P38,"")</x:f>
        <x:v>7.1753523178811545</x:v>
      </x:c>
      <x:c r="H398" s="22" t="n">
        <x:f>IFERROR('4000rpm'!N38,"")</x:f>
        <x:v>3981.36432150135</x:v>
      </x:c>
      <x:c r="I398" s="22" t="n">
        <x:f>IFERROR('4000rpm'!O38,"")</x:f>
        <x:v>2023.32173913043</x:v>
      </x:c>
      <x:c r="J398" s="22" t="n">
        <x:f>IFERROR('4000rpm'!D30,"")</x:f>
        <x:v>57.8352272727272</x:v>
      </x:c>
      <x:c r="K398" s="22" t="n">
        <x:f>IF(AND(ISNUMBER(I398),ISNUMBER(J398)),I398-J398,"")</x:f>
        <x:v>1965.4865118577027</x:v>
      </x:c>
      <x:c r="L398" s="22" t="n">
        <x:f>IF(ISNUMBER(K398),K398*$B$2+$B$3,"")</x:f>
        <x:v>1828.5804228001932</x:v>
      </x:c>
      <x:c r="M398" s="22" t="n">
        <x:f>IF(AND(ISNUMBER(G398),ISNUMBER(H398),H398&lt;&gt;0),G398/(H398/60)/$B$5,"")</x:f>
        <x:v>0.23651371986376904</x:v>
      </x:c>
      <x:c r="N398" s="22" t="n">
        <x:f>IF(AND(ISNUMBER(L398),ISNUMBER(H398),H398&lt;&gt;0),L398*$B$6/$B$4/(H398/60)^2/$B$5^4/$B$7,"")</x:f>
        <x:v>0.0772977527376787</x:v>
      </x:c>
      <x:c r="O398" s="22" t="n">
        <x:f>IF(ISNUMBER(N398),N398*$B$8,"")</x:f>
        <x:v>0.009987065887568298</x:v>
      </x:c>
      <x:c r="P398" s="20" t="str">
        <x:v>4000rpm!P38</x:v>
      </x:c>
      <x:c r="Q398" s="20" t="str">
        <x:v>4000rpm!O38</x:v>
      </x:c>
      <x:c r="R398" s="20" t="str">
        <x:v>4000rpm!D30</x:v>
      </x:c>
    </x:row>
    <x:row r="399">
      <x:c r="A399" s="21" t="n">
        <x:v>4000</x:v>
      </x:c>
      <x:c r="B399" s="21" t="n">
        <x:v>15</x:v>
      </x:c>
      <x:c r="C399" s="21" t="n">
        <x:v>10</x:v>
      </x:c>
      <x:c r="D399" s="21" t="n">
        <x:v>1</x:v>
      </x:c>
      <x:c r="E399" s="21" t="str">
        <x:v>4000rpm</x:v>
      </x:c>
      <x:c r="F399" s="21" t="n">
        <x:v>39</x:v>
      </x:c>
      <x:c r="G399" s="22" t="n">
        <x:f>IFERROR('4000rpm'!E39,"")</x:f>
        <x:v>8.196911095115903</x:v>
      </x:c>
      <x:c r="H399" s="22" t="n">
        <x:f>IFERROR('4000rpm'!C39,"")</x:f>
        <x:v>4044.00804602581</x:v>
      </x:c>
      <x:c r="I399" s="22" t="n">
        <x:f>IFERROR('4000rpm'!D39,"")</x:f>
        <x:v>2050.88036117381</x:v>
      </x:c>
      <x:c r="J399" s="22" t="n">
        <x:f>IFERROR('4000rpm'!D30,"")</x:f>
        <x:v>57.8352272727272</x:v>
      </x:c>
      <x:c r="K399" s="22" t="n">
        <x:f>IF(AND(ISNUMBER(I399),ISNUMBER(J399)),I399-J399,"")</x:f>
        <x:v>1993.0451339010826</x:v>
      </x:c>
      <x:c r="L399" s="22" t="n">
        <x:f>IF(ISNUMBER(K399),K399*$B$2+$B$3,"")</x:f>
        <x:v>1853.8160734742926</x:v>
      </x:c>
      <x:c r="M399" s="22" t="n">
        <x:f>IF(AND(ISNUMBER(G399),ISNUMBER(H399),H399&lt;&gt;0),G399/(H399/60)/$B$5,"")</x:f>
        <x:v>0.266000983486276</x:v>
      </x:c>
      <x:c r="N399" s="22" t="n">
        <x:f>IF(AND(ISNUMBER(L399),ISNUMBER(H399),H399&lt;&gt;0),L399*$B$6/$B$4/(H399/60)^2/$B$5^4/$B$7,"")</x:f>
        <x:v>0.07595550648521693</x:v>
      </x:c>
      <x:c r="O399" s="22" t="n">
        <x:f>IF(ISNUMBER(N399),N399*$B$8,"")</x:f>
        <x:v>0.009813644264223445</x:v>
      </x:c>
      <x:c r="P399" s="20" t="str">
        <x:v>4000rpm!E39</x:v>
      </x:c>
      <x:c r="Q399" s="20" t="str">
        <x:v>4000rpm!D39</x:v>
      </x:c>
      <x:c r="R399" s="20" t="str">
        <x:v>4000rpm!D30</x:v>
      </x:c>
    </x:row>
    <x:row r="400">
      <x:c r="A400" s="21" t="n">
        <x:v>4000</x:v>
      </x:c>
      <x:c r="B400" s="21" t="n">
        <x:v>15</x:v>
      </x:c>
      <x:c r="C400" s="21" t="n">
        <x:v>10</x:v>
      </x:c>
      <x:c r="D400" s="21" t="n">
        <x:v>2</x:v>
      </x:c>
      <x:c r="E400" s="21" t="str">
        <x:v>4000rpm</x:v>
      </x:c>
      <x:c r="F400" s="21" t="n">
        <x:v>39</x:v>
      </x:c>
      <x:c r="G400" s="22" t="n">
        <x:f>IFERROR('4000rpm'!P39,"")</x:f>
        <x:v>8.196531883486557</x:v>
      </x:c>
      <x:c r="H400" s="22" t="n">
        <x:f>IFERROR('4000rpm'!N39,"")</x:f>
        <x:v>3997.89788818359</x:v>
      </x:c>
      <x:c r="I400" s="22" t="n">
        <x:f>IFERROR('4000rpm'!O39,"")</x:f>
        <x:v>2040.30232558139</x:v>
      </x:c>
      <x:c r="J400" s="22" t="n">
        <x:f>IFERROR('4000rpm'!D30,"")</x:f>
        <x:v>57.8352272727272</x:v>
      </x:c>
      <x:c r="K400" s="22" t="n">
        <x:f>IF(AND(ISNUMBER(I400),ISNUMBER(J400)),I400-J400,"")</x:f>
        <x:v>1982.4670983086628</x:v>
      </x:c>
      <x:c r="L400" s="22" t="n">
        <x:f>IF(ISNUMBER(K400),K400*$B$2+$B$3,"")</x:f>
        <x:v>1844.129681658029</x:v>
      </x:c>
      <x:c r="M400" s="22" t="n">
        <x:f>IF(AND(ISNUMBER(G400),ISNUMBER(H400),H400&lt;&gt;0),G400/(H400/60)/$B$5,"")</x:f>
        <x:v>0.26905648474486354</x:v>
      </x:c>
      <x:c r="N400" s="22" t="n">
        <x:f>IF(AND(ISNUMBER(L400),ISNUMBER(H400),H400&lt;&gt;0),L400*$B$6/$B$4/(H400/60)^2/$B$5^4/$B$7,"")</x:f>
        <x:v>0.07731160790969471</x:v>
      </x:c>
      <x:c r="O400" s="22" t="n">
        <x:f>IF(ISNUMBER(N400),N400*$B$8,"")</x:f>
        <x:v>0.009988856010966544</x:v>
      </x:c>
      <x:c r="P400" s="20" t="str">
        <x:v>4000rpm!P39</x:v>
      </x:c>
      <x:c r="Q400" s="20" t="str">
        <x:v>4000rpm!O39</x:v>
      </x:c>
      <x:c r="R400" s="20" t="str">
        <x:v>4000rpm!D30</x:v>
      </x:c>
    </x:row>
    <x:row r="401">
      <x:c r="A401" s="21" t="n">
        <x:v>4000</x:v>
      </x:c>
      <x:c r="B401" s="21" t="n">
        <x:v>15</x:v>
      </x:c>
      <x:c r="C401" s="21" t="n">
        <x:v>11</x:v>
      </x:c>
      <x:c r="D401" s="21" t="n">
        <x:v>1</x:v>
      </x:c>
      <x:c r="E401" s="21" t="str">
        <x:v>4000rpm</x:v>
      </x:c>
      <x:c r="F401" s="21" t="n">
        <x:v>40</x:v>
      </x:c>
      <x:c r="G401" s="22" t="n">
        <x:f>IFERROR('4000rpm'!E40,"")</x:f>
        <x:v>9.218815061544671</x:v>
      </x:c>
      <x:c r="H401" s="22" t="n">
        <x:f>IFERROR('4000rpm'!C40,"")</x:f>
        <x:v>4000.64711692116</x:v>
      </x:c>
      <x:c r="I401" s="22" t="n">
        <x:f>IFERROR('4000rpm'!D40,"")</x:f>
        <x:v>2069.35990888382</x:v>
      </x:c>
      <x:c r="J401" s="22" t="n">
        <x:f>IFERROR('4000rpm'!D30,"")</x:f>
        <x:v>57.8352272727272</x:v>
      </x:c>
      <x:c r="K401" s="22" t="n">
        <x:f>IF(AND(ISNUMBER(I401),ISNUMBER(J401)),I401-J401,"")</x:f>
        <x:v>2011.5246816110928</x:v>
      </x:c>
      <x:c r="L401" s="22" t="n">
        <x:f>IF(ISNUMBER(K401),K401*$B$2+$B$3,"")</x:f>
        <x:v>1870.7379431487307</x:v>
      </x:c>
      <x:c r="M401" s="22" t="n">
        <x:f>IF(AND(ISNUMBER(G401),ISNUMBER(H401),H401&lt;&gt;0),G401/(H401/60)/$B$5,"")</x:f>
        <x:v>0.30240563943505305</x:v>
      </x:c>
      <x:c r="N401" s="22" t="n">
        <x:f>IF(AND(ISNUMBER(L401),ISNUMBER(H401),H401&lt;&gt;0),L401*$B$6/$B$4/(H401/60)^2/$B$5^4/$B$7,"")</x:f>
        <x:v>0.07831935579851285</x:v>
      </x:c>
      <x:c r="O401" s="22" t="n">
        <x:f>IF(ISNUMBER(N401),N401*$B$8,"")</x:f>
        <x:v>0.01011905959654606</x:v>
      </x:c>
      <x:c r="P401" s="20" t="str">
        <x:v>4000rpm!E40</x:v>
      </x:c>
      <x:c r="Q401" s="20" t="str">
        <x:v>4000rpm!D40</x:v>
      </x:c>
      <x:c r="R401" s="20" t="str">
        <x:v>4000rpm!D30</x:v>
      </x:c>
    </x:row>
    <x:row r="402">
      <x:c r="A402" s="21" t="n">
        <x:v>4000</x:v>
      </x:c>
      <x:c r="B402" s="21" t="n">
        <x:v>15</x:v>
      </x:c>
      <x:c r="C402" s="21" t="n">
        <x:v>11</x:v>
      </x:c>
      <x:c r="D402" s="21" t="n">
        <x:v>2</x:v>
      </x:c>
      <x:c r="E402" s="21" t="str">
        <x:v>4000rpm</x:v>
      </x:c>
      <x:c r="F402" s="21" t="n">
        <x:v>40</x:v>
      </x:c>
      <x:c r="G402" s="22" t="n">
        <x:f>IFERROR('4000rpm'!P40,"")</x:f>
        <x:v>9.217778233737011</x:v>
      </x:c>
      <x:c r="H402" s="22" t="n">
        <x:f>IFERROR('4000rpm'!N40,"")</x:f>
        <x:v>3992.91541992187</x:v>
      </x:c>
      <x:c r="I402" s="22" t="n">
        <x:f>IFERROR('4000rpm'!O40,"")</x:f>
        <x:v>2067.16733067729</x:v>
      </x:c>
      <x:c r="J402" s="22" t="n">
        <x:f>IFERROR('4000rpm'!D30,"")</x:f>
        <x:v>57.8352272727272</x:v>
      </x:c>
      <x:c r="K402" s="22" t="n">
        <x:f>IF(AND(ISNUMBER(I402),ISNUMBER(J402)),I402-J402,"")</x:f>
        <x:v>2009.3321034045628</x:v>
      </x:c>
      <x:c r="L402" s="22" t="n">
        <x:f>IF(ISNUMBER(K402),K402*$B$2+$B$3,"")</x:f>
        <x:v>1868.7301817443854</x:v>
      </x:c>
      <x:c r="M402" s="22" t="n">
        <x:f>IF(AND(ISNUMBER(G402),ISNUMBER(H402),H402&lt;&gt;0),G402/(H402/60)/$B$5,"")</x:f>
        <x:v>0.3029571267324239</x:v>
      </x:c>
      <x:c r="N402" s="22" t="n">
        <x:f>IF(AND(ISNUMBER(L402),ISNUMBER(H402),H402&lt;&gt;0),L402*$B$6/$B$4/(H402/60)^2/$B$5^4/$B$7,"")</x:f>
        <x:v>0.07853857567186748</x:v>
      </x:c>
      <x:c r="O402" s="22" t="n">
        <x:f>IF(ISNUMBER(N402),N402*$B$8,"")</x:f>
        <x:v>0.010147383360711455</x:v>
      </x:c>
      <x:c r="P402" s="20" t="str">
        <x:v>4000rpm!P40</x:v>
      </x:c>
      <x:c r="Q402" s="20" t="str">
        <x:v>4000rpm!O40</x:v>
      </x:c>
      <x:c r="R402" s="20" t="str">
        <x:v>4000rpm!D30</x:v>
      </x:c>
    </x:row>
    <x:row r="403">
      <x:c r="A403" s="21" t="n">
        <x:v>4000</x:v>
      </x:c>
      <x:c r="B403" s="21" t="n">
        <x:v>15</x:v>
      </x:c>
      <x:c r="C403" s="21" t="n">
        <x:v>12</x:v>
      </x:c>
      <x:c r="D403" s="21" t="n">
        <x:v>1</x:v>
      </x:c>
      <x:c r="E403" s="21" t="str">
        <x:v>4000rpm</x:v>
      </x:c>
      <x:c r="F403" s="21" t="n">
        <x:v>41</x:v>
      </x:c>
      <x:c r="G403" s="22" t="n">
        <x:f>IFERROR('4000rpm'!E41,"")</x:f>
        <x:v>10.151289688681882</x:v>
      </x:c>
      <x:c r="H403" s="22" t="n">
        <x:f>IFERROR('4000rpm'!C41,"")</x:f>
        <x:v>4013.11771484375</x:v>
      </x:c>
      <x:c r="I403" s="22" t="n">
        <x:f>IFERROR('4000rpm'!D41,"")</x:f>
        <x:v>2106.15169660678</x:v>
      </x:c>
      <x:c r="J403" s="22" t="n">
        <x:f>IFERROR('4000rpm'!D30,"")</x:f>
        <x:v>57.8352272727272</x:v>
      </x:c>
      <x:c r="K403" s="22" t="n">
        <x:f>IF(AND(ISNUMBER(I403),ISNUMBER(J403)),I403-J403,"")</x:f>
        <x:v>2048.316469334053</x:v>
      </x:c>
      <x:c r="L403" s="22" t="n">
        <x:f>IF(ISNUMBER(K403),K403*$B$2+$B$3,"")</x:f>
        <x:v>1904.428477500947</x:v>
      </x:c>
      <x:c r="M403" s="22" t="n">
        <x:f>IF(AND(ISNUMBER(G403),ISNUMBER(H403),H403&lt;&gt;0),G403/(H403/60)/$B$5,"")</x:f>
        <x:v>0.33195892633076757</x:v>
      </x:c>
      <x:c r="N403" s="22" t="n">
        <x:f>IF(AND(ISNUMBER(L403),ISNUMBER(H403),H403&lt;&gt;0),L403*$B$6/$B$4/(H403/60)^2/$B$5^4/$B$7,"")</x:f>
        <x:v>0.07923508203510178</x:v>
      </x:c>
      <x:c r="O403" s="22" t="n">
        <x:f>IF(ISNUMBER(N403),N403*$B$8,"")</x:f>
        <x:v>0.010237373751044509</x:v>
      </x:c>
      <x:c r="P403" s="20" t="str">
        <x:v>4000rpm!E41</x:v>
      </x:c>
      <x:c r="Q403" s="20" t="str">
        <x:v>4000rpm!D41</x:v>
      </x:c>
      <x:c r="R403" s="20" t="str">
        <x:v>4000rpm!D30</x:v>
      </x:c>
    </x:row>
    <x:row r="404">
      <x:c r="A404" s="21" t="n">
        <x:v>4000</x:v>
      </x:c>
      <x:c r="B404" s="21" t="n">
        <x:v>15</x:v>
      </x:c>
      <x:c r="C404" s="21" t="n">
        <x:v>12</x:v>
      </x:c>
      <x:c r="D404" s="21" t="n">
        <x:v>2</x:v>
      </x:c>
      <x:c r="E404" s="21" t="str">
        <x:v>4000rpm</x:v>
      </x:c>
      <x:c r="F404" s="21" t="n">
        <x:v>41</x:v>
      </x:c>
      <x:c r="G404" s="22" t="n">
        <x:f>IFERROR('4000rpm'!P41,"")</x:f>
        <x:v>10.149778877659713</x:v>
      </x:c>
      <x:c r="H404" s="22" t="n">
        <x:f>IFERROR('4000rpm'!N41,"")</x:f>
        <x:v>3981.79779730902</x:v>
      </x:c>
      <x:c r="I404" s="22" t="n">
        <x:f>IFERROR('4000rpm'!O41,"")</x:f>
        <x:v>2089.48930481283</x:v>
      </x:c>
      <x:c r="J404" s="22" t="n">
        <x:f>IFERROR('4000rpm'!D30,"")</x:f>
        <x:v>57.8352272727272</x:v>
      </x:c>
      <x:c r="K404" s="22" t="n">
        <x:f>IF(AND(ISNUMBER(I404),ISNUMBER(J404)),I404-J404,"")</x:f>
        <x:v>2031.654077540103</x:v>
      </x:c>
      <x:c r="L404" s="22" t="n">
        <x:f>IF(ISNUMBER(K404),K404*$B$2+$B$3,"")</x:f>
        <x:v>1889.1705920360926</x:v>
      </x:c>
      <x:c r="M404" s="22" t="n">
        <x:f>IF(AND(ISNUMBER(G404),ISNUMBER(H404),H404&lt;&gt;0),G404/(H404/60)/$B$5,"")</x:f>
        <x:v>0.3345202460043772</x:v>
      </x:c>
      <x:c r="N404" s="22" t="n">
        <x:f>IF(AND(ISNUMBER(L404),ISNUMBER(H404),H404&lt;&gt;0),L404*$B$6/$B$4/(H404/60)^2/$B$5^4/$B$7,"")</x:f>
        <x:v>0.07984163375484025</x:v>
      </x:c>
      <x:c r="O404" s="22" t="n">
        <x:f>IF(ISNUMBER(N404),N404*$B$8,"")</x:f>
        <x:v>0.01031574177307231</x:v>
      </x:c>
      <x:c r="P404" s="20" t="str">
        <x:v>4000rpm!P41</x:v>
      </x:c>
      <x:c r="Q404" s="20" t="str">
        <x:v>4000rpm!O41</x:v>
      </x:c>
      <x:c r="R404" s="20" t="str">
        <x:v>4000rpm!D30</x:v>
      </x:c>
    </x:row>
    <x:row r="405">
      <x:c r="A405" s="21" t="n">
        <x:v>4000</x:v>
      </x:c>
      <x:c r="B405" s="21" t="n">
        <x:v>15</x:v>
      </x:c>
      <x:c r="C405" s="21" t="n">
        <x:v>13</x:v>
      </x:c>
      <x:c r="D405" s="21" t="n">
        <x:v>1</x:v>
      </x:c>
      <x:c r="E405" s="21" t="str">
        <x:v>4000rpm</x:v>
      </x:c>
      <x:c r="F405" s="21" t="n">
        <x:v>42</x:v>
      </x:c>
      <x:c r="G405" s="22" t="n">
        <x:f>IFERROR('4000rpm'!E42,"")</x:f>
        <x:v>8.213859247760798</x:v>
      </x:c>
      <x:c r="H405" s="22" t="n">
        <x:f>IFERROR('4000rpm'!C42,"")</x:f>
        <x:v>3994.97328694661</x:v>
      </x:c>
      <x:c r="I405" s="22" t="n">
        <x:f>IFERROR('4000rpm'!D42,"")</x:f>
        <x:v>2050.94303797468</x:v>
      </x:c>
      <x:c r="J405" s="22" t="n">
        <x:f>IFERROR('4000rpm'!D30,"")</x:f>
        <x:v>57.8352272727272</x:v>
      </x:c>
      <x:c r="K405" s="22" t="n">
        <x:f>IF(AND(ISNUMBER(I405),ISNUMBER(J405)),I405-J405,"")</x:f>
        <x:v>1993.1078107019528</x:v>
      </x:c>
      <x:c r="L405" s="22" t="n">
        <x:f>IF(ISNUMBER(K405),K405*$B$2+$B$3,"")</x:f>
        <x:v>1853.8734671222637</x:v>
      </x:c>
      <x:c r="M405" s="22" t="n">
        <x:f>IF(AND(ISNUMBER(G405),ISNUMBER(H405),H405&lt;&gt;0),G405/(H405/60)/$B$5,"")</x:f>
        <x:v>0.26982265138171124</x:v>
      </x:c>
      <x:c r="N405" s="22" t="n">
        <x:f>IF(AND(ISNUMBER(L405),ISNUMBER(H405),H405&lt;&gt;0),L405*$B$6/$B$4/(H405/60)^2/$B$5^4/$B$7,"")</x:f>
        <x:v>0.07783393226948462</x:v>
      </x:c>
      <x:c r="O405" s="22" t="n">
        <x:f>IF(ISNUMBER(N405),N405*$B$8,"")</x:f>
        <x:v>0.010056341644263113</x:v>
      </x:c>
      <x:c r="P405" s="20" t="str">
        <x:v>4000rpm!E42</x:v>
      </x:c>
      <x:c r="Q405" s="20" t="str">
        <x:v>4000rpm!D42</x:v>
      </x:c>
      <x:c r="R405" s="20" t="str">
        <x:v>4000rpm!D30</x:v>
      </x:c>
    </x:row>
    <x:row r="406">
      <x:c r="A406" s="21" t="n">
        <x:v>4000</x:v>
      </x:c>
      <x:c r="B406" s="21" t="n">
        <x:v>15</x:v>
      </x:c>
      <x:c r="C406" s="21" t="n">
        <x:v>13</x:v>
      </x:c>
      <x:c r="D406" s="21" t="n">
        <x:v>2</x:v>
      </x:c>
      <x:c r="E406" s="21" t="str">
        <x:v>4000rpm</x:v>
      </x:c>
      <x:c r="F406" s="21" t="n">
        <x:v>42</x:v>
      </x:c>
      <x:c r="G406" s="22" t="n">
        <x:f>IFERROR('4000rpm'!P42,"")</x:f>
        <x:v>9.220338342884133</x:v>
      </x:c>
      <x:c r="H406" s="22" t="n">
        <x:f>IFERROR('4000rpm'!N42,"")</x:f>
        <x:v>3952.92456054687</x:v>
      </x:c>
      <x:c r="I406" s="22" t="n">
        <x:f>IFERROR('4000rpm'!O42,"")</x:f>
        <x:v>2077.0731070496</x:v>
      </x:c>
      <x:c r="J406" s="22" t="n">
        <x:f>IFERROR('4000rpm'!D30,"")</x:f>
        <x:v>57.8352272727272</x:v>
      </x:c>
      <x:c r="K406" s="22" t="n">
        <x:f>IF(AND(ISNUMBER(I406),ISNUMBER(J406)),I406-J406,"")</x:f>
        <x:v>2019.2378797768727</x:v>
      </x:c>
      <x:c r="L406" s="22" t="n">
        <x:f>IF(ISNUMBER(K406),K406*$B$2+$B$3,"")</x:f>
        <x:v>1877.8009804147205</x:v>
      </x:c>
      <x:c r="M406" s="22" t="n">
        <x:f>IF(AND(ISNUMBER(G406),ISNUMBER(H406),H406&lt;&gt;0),G406/(H406/60)/$B$5,"")</x:f>
        <x:v>0.3061070700187452</x:v>
      </x:c>
      <x:c r="N406" s="22" t="n">
        <x:f>IF(AND(ISNUMBER(L406),ISNUMBER(H406),H406&lt;&gt;0),L406*$B$6/$B$4/(H406/60)^2/$B$5^4/$B$7,"")</x:f>
        <x:v>0.08052470673758648</x:v>
      </x:c>
      <x:c r="O406" s="22" t="n">
        <x:f>IF(ISNUMBER(N406),N406*$B$8,"")</x:f>
        <x:v>0.01040399653654332</x:v>
      </x:c>
      <x:c r="P406" s="20" t="str">
        <x:v>4000rpm!P42</x:v>
      </x:c>
      <x:c r="Q406" s="20" t="str">
        <x:v>4000rpm!O42</x:v>
      </x:c>
      <x:c r="R406" s="20" t="str">
        <x:v>4000rpm!D30</x:v>
      </x:c>
    </x:row>
    <x:row r="407">
      <x:c r="A407" s="21" t="n">
        <x:v>4000</x:v>
      </x:c>
      <x:c r="B407" s="21" t="n">
        <x:v>15</x:v>
      </x:c>
      <x:c r="C407" s="21" t="n">
        <x:v>14</x:v>
      </x:c>
      <x:c r="D407" s="21" t="n">
        <x:v>1</x:v>
      </x:c>
      <x:c r="E407" s="21" t="str">
        <x:v>4000rpm</x:v>
      </x:c>
      <x:c r="F407" s="21" t="n">
        <x:v>43</x:v>
      </x:c>
      <x:c r="G407" s="22" t="n">
        <x:f>IFERROR('4000rpm'!E43,"")</x:f>
        <x:v>7.1730978166932875</x:v>
      </x:c>
      <x:c r="H407" s="22" t="n">
        <x:f>IFERROR('4000rpm'!C43,"")</x:f>
        <x:v>3992.04537398726</x:v>
      </x:c>
      <x:c r="I407" s="22" t="n">
        <x:f>IFERROR('4000rpm'!D43,"")</x:f>
        <x:v>2052.9268738574</x:v>
      </x:c>
      <x:c r="J407" s="22" t="n">
        <x:f>IFERROR('4000rpm'!D30,"")</x:f>
        <x:v>57.8352272727272</x:v>
      </x:c>
      <x:c r="K407" s="22" t="n">
        <x:f>IF(AND(ISNUMBER(I407),ISNUMBER(J407)),I407-J407,"")</x:f>
        <x:v>1995.0916465846728</x:v>
      </x:c>
      <x:c r="L407" s="22" t="n">
        <x:f>IF(ISNUMBER(K407),K407*$B$2+$B$3,"")</x:f>
        <x:v>1855.6900815107576</x:v>
      </x:c>
      <x:c r="M407" s="22" t="n">
        <x:f>IF(AND(ISNUMBER(G407),ISNUMBER(H407),H407&lt;&gt;0),G407/(H407/60)/$B$5,"")</x:f>
        <x:v>0.23580679359196052</x:v>
      </x:c>
      <x:c r="N407" s="22" t="n">
        <x:f>IF(AND(ISNUMBER(L407),ISNUMBER(H407),H407&lt;&gt;0),L407*$B$6/$B$4/(H407/60)^2/$B$5^4/$B$7,"")</x:f>
        <x:v>0.0780245282258854</x:v>
      </x:c>
      <x:c r="O407" s="22" t="n">
        <x:f>IF(ISNUMBER(N407),N407*$B$8,"")</x:f>
        <x:v>0.010080967125691252</x:v>
      </x:c>
      <x:c r="P407" s="20" t="str">
        <x:v>4000rpm!E43</x:v>
      </x:c>
      <x:c r="Q407" s="20" t="str">
        <x:v>4000rpm!D43</x:v>
      </x:c>
      <x:c r="R407" s="20" t="str">
        <x:v>4000rpm!D30</x:v>
      </x:c>
    </x:row>
    <x:row r="408">
      <x:c r="A408" s="21" t="n">
        <x:v>4000</x:v>
      </x:c>
      <x:c r="B408" s="21" t="n">
        <x:v>15</x:v>
      </x:c>
      <x:c r="C408" s="21" t="n">
        <x:v>14</x:v>
      </x:c>
      <x:c r="D408" s="21" t="n">
        <x:v>2</x:v>
      </x:c>
      <x:c r="E408" s="21" t="str">
        <x:v>4000rpm</x:v>
      </x:c>
      <x:c r="F408" s="21" t="n">
        <x:v>43</x:v>
      </x:c>
      <x:c r="G408" s="22" t="n">
        <x:f>IFERROR('4000rpm'!P43,"")</x:f>
        <x:v>8.20369989019867</x:v>
      </x:c>
      <x:c r="H408" s="22" t="n">
        <x:f>IFERROR('4000rpm'!N43,"")</x:f>
        <x:v>3993.95604359019</x:v>
      </x:c>
      <x:c r="I408" s="22" t="n">
        <x:f>IFERROR('4000rpm'!O43,"")</x:f>
        <x:v>2035.70681818181</x:v>
      </x:c>
      <x:c r="J408" s="22" t="n">
        <x:f>IFERROR('4000rpm'!D30,"")</x:f>
        <x:v>57.8352272727272</x:v>
      </x:c>
      <x:c r="K408" s="22" t="n">
        <x:f>IF(AND(ISNUMBER(I408),ISNUMBER(J408)),I408-J408,"")</x:f>
        <x:v>1977.8715909090827</x:v>
      </x:c>
      <x:c r="L408" s="22" t="n">
        <x:f>IF(ISNUMBER(K408),K408*$B$2+$B$3,"")</x:f>
        <x:v>1839.9215387681743</x:v>
      </x:c>
      <x:c r="M408" s="22" t="n">
        <x:f>IF(AND(ISNUMBER(G408),ISNUMBER(H408),H408&lt;&gt;0),G408/(H408/60)/$B$5,"")</x:f>
        <x:v>0.2695575573964956</x:v>
      </x:c>
      <x:c r="N408" s="22" t="n">
        <x:f>IF(AND(ISNUMBER(L408),ISNUMBER(H408),H408&lt;&gt;0),L408*$B$6/$B$4/(H408/60)^2/$B$5^4/$B$7,"")</x:f>
        <x:v>0.07728752223180722</x:v>
      </x:c>
      <x:c r="O408" s="22" t="n">
        <x:f>IF(ISNUMBER(N408),N408*$B$8,"")</x:f>
        <x:v>0.009985744080237776</x:v>
      </x:c>
      <x:c r="P408" s="20" t="str">
        <x:v>4000rpm!P43</x:v>
      </x:c>
      <x:c r="Q408" s="20" t="str">
        <x:v>4000rpm!O43</x:v>
      </x:c>
      <x:c r="R408" s="20" t="str">
        <x:v>4000rpm!D30</x:v>
      </x:c>
    </x:row>
    <x:row r="409">
      <x:c r="A409" s="21" t="n">
        <x:v>4000</x:v>
      </x:c>
      <x:c r="B409" s="21" t="n">
        <x:v>15</x:v>
      </x:c>
      <x:c r="C409" s="21" t="n">
        <x:v>15</x:v>
      </x:c>
      <x:c r="D409" s="21" t="n">
        <x:v>1</x:v>
      </x:c>
      <x:c r="E409" s="21" t="str">
        <x:v>4000rpm</x:v>
      </x:c>
      <x:c r="F409" s="21" t="n">
        <x:v>44</x:v>
      </x:c>
      <x:c r="G409" s="22" t="n">
        <x:f>IFERROR('4000rpm'!E44,"")</x:f>
        <x:v>6.1717818244301546</x:v>
      </x:c>
      <x:c r="H409" s="22" t="n">
        <x:f>IFERROR('4000rpm'!C44,"")</x:f>
        <x:v>3999.07795898437</x:v>
      </x:c>
      <x:c r="I409" s="22" t="n">
        <x:f>IFERROR('4000rpm'!D44,"")</x:f>
        <x:v>2027.16700201207</x:v>
      </x:c>
      <x:c r="J409" s="22" t="n">
        <x:f>IFERROR('4000rpm'!D30,"")</x:f>
        <x:v>57.8352272727272</x:v>
      </x:c>
      <x:c r="K409" s="22" t="n">
        <x:f>IF(AND(ISNUMBER(I409),ISNUMBER(J409)),I409-J409,"")</x:f>
        <x:v>1969.3317747393428</x:v>
      </x:c>
      <x:c r="L409" s="22" t="n">
        <x:f>IF(ISNUMBER(K409),K409*$B$2+$B$3,"")</x:f>
        <x:v>1832.101560783014</x:v>
      </x:c>
      <x:c r="M409" s="22" t="n">
        <x:f>IF(AND(ISNUMBER(G409),ISNUMBER(H409),H409&lt;&gt;0),G409/(H409/60)/$B$5,"")</x:f>
        <x:v>0.20253296625454928</x:v>
      </x:c>
      <x:c r="N409" s="22" t="n">
        <x:f>IF(AND(ISNUMBER(L409),ISNUMBER(H409),H409&lt;&gt;0),L409*$B$6/$B$4/(H409/60)^2/$B$5^4/$B$7,"")</x:f>
        <x:v>0.07676202914192327</x:v>
      </x:c>
      <x:c r="O409" s="22" t="n">
        <x:f>IF(ISNUMBER(N409),N409*$B$8,"")</x:f>
        <x:v>0.009917849038968684</x:v>
      </x:c>
      <x:c r="P409" s="20" t="str">
        <x:v>4000rpm!E44</x:v>
      </x:c>
      <x:c r="Q409" s="20" t="str">
        <x:v>4000rpm!D44</x:v>
      </x:c>
      <x:c r="R409" s="20" t="str">
        <x:v>4000rpm!D30</x:v>
      </x:c>
    </x:row>
    <x:row r="410">
      <x:c r="A410" s="21" t="n">
        <x:v>4000</x:v>
      </x:c>
      <x:c r="B410" s="21" t="n">
        <x:v>15</x:v>
      </x:c>
      <x:c r="C410" s="21" t="n">
        <x:v>15</x:v>
      </x:c>
      <x:c r="D410" s="21" t="n">
        <x:v>2</x:v>
      </x:c>
      <x:c r="E410" s="21" t="str">
        <x:v>4000rpm</x:v>
      </x:c>
      <x:c r="F410" s="21" t="n">
        <x:v>44</x:v>
      </x:c>
      <x:c r="G410" s="22" t="n">
        <x:f>IFERROR('4000rpm'!P44,"")</x:f>
        <x:v>7.18793141091162</x:v>
      </x:c>
      <x:c r="H410" s="22" t="n">
        <x:f>IFERROR('4000rpm'!N44,"")</x:f>
        <x:v>3968.23141202059</x:v>
      </x:c>
      <x:c r="I410" s="22" t="n">
        <x:f>IFERROR('4000rpm'!O44,"")</x:f>
        <x:v>2031.90610328638</x:v>
      </x:c>
      <x:c r="J410" s="22" t="n">
        <x:f>IFERROR('4000rpm'!D30,"")</x:f>
        <x:v>57.8352272727272</x:v>
      </x:c>
      <x:c r="K410" s="22" t="n">
        <x:f>IF(AND(ISNUMBER(I410),ISNUMBER(J410)),I410-J410,"")</x:f>
        <x:v>1974.0708760136527</x:v>
      </x:c>
      <x:c r="L410" s="22" t="n">
        <x:f>IF(ISNUMBER(K410),K410*$B$2+$B$3,"")</x:f>
        <x:v>1836.44119373271</x:v>
      </x:c>
      <x:c r="M410" s="22" t="n">
        <x:f>IF(AND(ISNUMBER(G410),ISNUMBER(H410),H410&lt;&gt;0),G410/(H410/60)/$B$5,"")</x:f>
        <x:v>0.23771246872448729</x:v>
      </x:c>
      <x:c r="N410" s="22" t="n">
        <x:f>IF(AND(ISNUMBER(L410),ISNUMBER(H410),H410&lt;&gt;0),L410*$B$6/$B$4/(H410/60)^2/$B$5^4/$B$7,"")</x:f>
        <x:v>0.07814472864258983</x:v>
      </x:c>
      <x:c r="O410" s="22" t="n">
        <x:f>IF(ISNUMBER(N410),N410*$B$8,"")</x:f>
        <x:v>0.010096497324679238</x:v>
      </x:c>
      <x:c r="P410" s="20" t="str">
        <x:v>4000rpm!P44</x:v>
      </x:c>
      <x:c r="Q410" s="20" t="str">
        <x:v>4000rpm!O44</x:v>
      </x:c>
      <x:c r="R410" s="20" t="str">
        <x:v>4000rpm!D30</x:v>
      </x:c>
    </x:row>
    <x:row r="411">
      <x:c r="A411" s="21" t="n">
        <x:v>4000</x:v>
      </x:c>
      <x:c r="B411" s="21" t="n">
        <x:v>15</x:v>
      </x:c>
      <x:c r="C411" s="21" t="n">
        <x:v>16</x:v>
      </x:c>
      <x:c r="D411" s="21" t="n">
        <x:v>1</x:v>
      </x:c>
      <x:c r="E411" s="21" t="str">
        <x:v>4000rpm</x:v>
      </x:c>
      <x:c r="F411" s="21" t="n">
        <x:v>45</x:v>
      </x:c>
      <x:c r="G411" s="22" t="n">
        <x:f>IFERROR('4000rpm'!E45,"")</x:f>
        <x:v>5.142752333855244</x:v>
      </x:c>
      <x:c r="H411" s="22" t="n">
        <x:f>IFERROR('4000rpm'!C45,"")</x:f>
        <x:v>4008.39086914062</x:v>
      </x:c>
      <x:c r="I411" s="22" t="n">
        <x:f>IFERROR('4000rpm'!D45,"")</x:f>
        <x:v>2016.66176470588</x:v>
      </x:c>
      <x:c r="J411" s="22" t="n">
        <x:f>IFERROR('4000rpm'!D30,"")</x:f>
        <x:v>57.8352272727272</x:v>
      </x:c>
      <x:c r="K411" s="22" t="n">
        <x:f>IF(AND(ISNUMBER(I411),ISNUMBER(J411)),I411-J411,"")</x:f>
        <x:v>1958.8265374331527</x:v>
      </x:c>
      <x:c r="L411" s="22" t="n">
        <x:f>IF(ISNUMBER(K411),K411*$B$2+$B$3,"")</x:f>
        <x:v>1822.4818309398374</x:v>
      </x:c>
      <x:c r="M411" s="22" t="n">
        <x:f>IF(AND(ISNUMBER(G411),ISNUMBER(H411),H411&lt;&gt;0),G411/(H411/60)/$B$5,"")</x:f>
        <x:v>0.16837227284375617</x:v>
      </x:c>
      <x:c r="N411" s="22" t="n">
        <x:f>IF(AND(ISNUMBER(L411),ISNUMBER(H411),H411&lt;&gt;0),L411*$B$6/$B$4/(H411/60)^2/$B$5^4/$B$7,"")</x:f>
        <x:v>0.07600457269002521</x:v>
      </x:c>
      <x:c r="O411" s="22" t="n">
        <x:f>IF(ISNUMBER(N411),N411*$B$8,"")</x:f>
        <x:v>0.009819983742447816</x:v>
      </x:c>
      <x:c r="P411" s="20" t="str">
        <x:v>4000rpm!E45</x:v>
      </x:c>
      <x:c r="Q411" s="20" t="str">
        <x:v>4000rpm!D45</x:v>
      </x:c>
      <x:c r="R411" s="20" t="str">
        <x:v>4000rpm!D30</x:v>
      </x:c>
    </x:row>
    <x:row r="412">
      <x:c r="A412" s="21" t="n">
        <x:v>4000</x:v>
      </x:c>
      <x:c r="B412" s="21" t="n">
        <x:v>15</x:v>
      </x:c>
      <x:c r="C412" s="21" t="n">
        <x:v>16</x:v>
      </x:c>
      <x:c r="D412" s="21" t="n">
        <x:v>2</x:v>
      </x:c>
      <x:c r="E412" s="21" t="str">
        <x:v>4000rpm</x:v>
      </x:c>
      <x:c r="F412" s="21" t="n">
        <x:v>45</x:v>
      </x:c>
      <x:c r="G412" s="22" t="n">
        <x:f>IFERROR('4000rpm'!P45,"")</x:f>
        <x:v>6.172217521005047</x:v>
      </x:c>
      <x:c r="H412" s="22" t="n">
        <x:f>IFERROR('4000rpm'!N45,"")</x:f>
        <x:v>3963.06375399502</x:v>
      </x:c>
      <x:c r="I412" s="22" t="n">
        <x:f>IFERROR('4000rpm'!O45,"")</x:f>
        <x:v>2009.34772727272</x:v>
      </x:c>
      <x:c r="J412" s="22" t="n">
        <x:f>IFERROR('4000rpm'!D30,"")</x:f>
        <x:v>57.8352272727272</x:v>
      </x:c>
      <x:c r="K412" s="22" t="n">
        <x:f>IF(AND(ISNUMBER(I412),ISNUMBER(J412)),I412-J412,"")</x:f>
        <x:v>1951.5124999999928</x:v>
      </x:c>
      <x:c r="L412" s="22" t="n">
        <x:f>IF(ISNUMBER(K412),K412*$B$2+$B$3,"")</x:f>
        <x:v>1815.7843083499934</x:v>
      </x:c>
      <x:c r="M412" s="22" t="n">
        <x:f>IF(AND(ISNUMBER(G412),ISNUMBER(H412),H412&lt;&gt;0),G412/(H412/60)/$B$5,"")</x:f>
        <x:v>0.204387905323996</x:v>
      </x:c>
      <x:c r="N412" s="22" t="n">
        <x:f>IF(AND(ISNUMBER(L412),ISNUMBER(H412),H412&lt;&gt;0),L412*$B$6/$B$4/(H412/60)^2/$B$5^4/$B$7,"")</x:f>
        <x:v>0.07746736491962548</x:v>
      </x:c>
      <x:c r="O412" s="22" t="n">
        <x:f>IF(ISNUMBER(N412),N412*$B$8,"")</x:f>
        <x:v>0.010008980212066003</x:v>
      </x:c>
      <x:c r="P412" s="20" t="str">
        <x:v>4000rpm!P45</x:v>
      </x:c>
      <x:c r="Q412" s="20" t="str">
        <x:v>4000rpm!O45</x:v>
      </x:c>
      <x:c r="R412" s="20" t="str">
        <x:v>4000rpm!D30</x:v>
      </x:c>
    </x:row>
    <x:row r="413">
      <x:c r="A413" s="21" t="n">
        <x:v>4000</x:v>
      </x:c>
      <x:c r="B413" s="21" t="n">
        <x:v>15</x:v>
      </x:c>
      <x:c r="C413" s="21" t="n">
        <x:v>17</x:v>
      </x:c>
      <x:c r="D413" s="21" t="n">
        <x:v>1</x:v>
      </x:c>
      <x:c r="E413" s="21" t="str">
        <x:v>4000rpm</x:v>
      </x:c>
      <x:c r="F413" s="21" t="n">
        <x:v>46</x:v>
      </x:c>
      <x:c r="G413" s="22" t="n">
        <x:f>IFERROR('4000rpm'!E46,"")</x:f>
        <x:v>4.122305944474676</x:v>
      </x:c>
      <x:c r="H413" s="22" t="n">
        <x:f>IFERROR('4000rpm'!C46,"")</x:f>
        <x:v>3995.2149609375</x:v>
      </x:c>
      <x:c r="I413" s="22" t="n">
        <x:f>IFERROR('4000rpm'!D46,"")</x:f>
        <x:v>2009.62425447316</x:v>
      </x:c>
      <x:c r="J413" s="22" t="n">
        <x:f>IFERROR('4000rpm'!D30,"")</x:f>
        <x:v>57.8352272727272</x:v>
      </x:c>
      <x:c r="K413" s="22" t="n">
        <x:f>IF(AND(ISNUMBER(I413),ISNUMBER(J413)),I413-J413,"")</x:f>
        <x:v>1951.7890272004327</x:v>
      </x:c>
      <x:c r="L413" s="22" t="n">
        <x:f>IF(ISNUMBER(K413),K413*$B$2+$B$3,"")</x:f>
        <x:v>1816.0375265196537</x:v>
      </x:c>
      <x:c r="M413" s="22" t="n">
        <x:f>IF(AND(ISNUMBER(G413),ISNUMBER(H413),H413&lt;&gt;0),G413/(H413/60)/$B$5,"")</x:f>
        <x:v>0.13540824145200575</x:v>
      </x:c>
      <x:c r="N413" s="22" t="n">
        <x:f>IF(AND(ISNUMBER(L413),ISNUMBER(H413),H413&lt;&gt;0),L413*$B$6/$B$4/(H413/60)^2/$B$5^4/$B$7,"")</x:f>
        <x:v>0.07623618557308505</x:v>
      </x:c>
      <x:c r="O413" s="22" t="n">
        <x:f>IF(ISNUMBER(N413),N413*$B$8,"")</x:f>
        <x:v>0.009849908714928945</x:v>
      </x:c>
      <x:c r="P413" s="20" t="str">
        <x:v>4000rpm!E46</x:v>
      </x:c>
      <x:c r="Q413" s="20" t="str">
        <x:v>4000rpm!D46</x:v>
      </x:c>
      <x:c r="R413" s="20" t="str">
        <x:v>4000rpm!D30</x:v>
      </x:c>
    </x:row>
    <x:row r="414">
      <x:c r="A414" s="21" t="n">
        <x:v>4000</x:v>
      </x:c>
      <x:c r="B414" s="21" t="n">
        <x:v>15</x:v>
      </x:c>
      <x:c r="C414" s="21" t="n">
        <x:v>17</x:v>
      </x:c>
      <x:c r="D414" s="21" t="n">
        <x:v>2</x:v>
      </x:c>
      <x:c r="E414" s="21" t="str">
        <x:v>4000rpm</x:v>
      </x:c>
      <x:c r="F414" s="21" t="n">
        <x:v>46</x:v>
      </x:c>
      <x:c r="G414" s="22" t="n">
        <x:f>IFERROR('4000rpm'!P46,"")</x:f>
        <x:v>5.149356040207703</x:v>
      </x:c>
      <x:c r="H414" s="22" t="n">
        <x:f>IFERROR('4000rpm'!N46,"")</x:f>
        <x:v>3979.91123744419</x:v>
      </x:c>
      <x:c r="I414" s="22" t="n">
        <x:f>IFERROR('4000rpm'!O46,"")</x:f>
        <x:v>1995.04705882352</x:v>
      </x:c>
      <x:c r="J414" s="22" t="n">
        <x:f>IFERROR('4000rpm'!D30,"")</x:f>
        <x:v>57.8352272727272</x:v>
      </x:c>
      <x:c r="K414" s="22" t="n">
        <x:f>IF(AND(ISNUMBER(I414),ISNUMBER(J414)),I414-J414,"")</x:f>
        <x:v>1937.2118315507928</x:v>
      </x:c>
      <x:c r="L414" s="22" t="n">
        <x:f>IF(ISNUMBER(K414),K414*$B$2+$B$3,"")</x:f>
        <x:v>1802.6890718457134</x:v>
      </x:c>
      <x:c r="M414" s="22" t="n">
        <x:f>IF(AND(ISNUMBER(G414),ISNUMBER(H414),H414&lt;&gt;0),G414/(H414/60)/$B$5,"")</x:f>
        <x:v>0.16979486950758546</x:v>
      </x:c>
      <x:c r="N414" s="22" t="n">
        <x:f>IF(AND(ISNUMBER(L414),ISNUMBER(H414),H414&lt;&gt;0),L414*$B$6/$B$4/(H414/60)^2/$B$5^4/$B$7,"")</x:f>
        <x:v>0.07625892802989545</x:v>
      </x:c>
      <x:c r="O414" s="22" t="n">
        <x:f>IF(ISNUMBER(N414),N414*$B$8,"")</x:f>
        <x:v>0.009852847098084552</x:v>
      </x:c>
      <x:c r="P414" s="20" t="str">
        <x:v>4000rpm!P46</x:v>
      </x:c>
      <x:c r="Q414" s="20" t="str">
        <x:v>4000rpm!O46</x:v>
      </x:c>
      <x:c r="R414" s="20" t="str">
        <x:v>4000rpm!D30</x:v>
      </x:c>
    </x:row>
    <x:row r="415">
      <x:c r="A415" s="21" t="n">
        <x:v>4000</x:v>
      </x:c>
      <x:c r="B415" s="21" t="n">
        <x:v>15</x:v>
      </x:c>
      <x:c r="C415" s="21" t="n">
        <x:v>18</x:v>
      </x:c>
      <x:c r="D415" s="21" t="n">
        <x:v>1</x:v>
      </x:c>
      <x:c r="E415" s="21" t="str">
        <x:v>4000rpm</x:v>
      </x:c>
      <x:c r="F415" s="21" t="n">
        <x:v>47</x:v>
      </x:c>
      <x:c r="G415" s="22" t="n">
        <x:f>IFERROR('4000rpm'!E47,"")</x:f>
        <x:v>3.086118235747163</x:v>
      </x:c>
      <x:c r="H415" s="22" t="n">
        <x:f>IFERROR('4000rpm'!C47,"")</x:f>
        <x:v>4002.35602032696</x:v>
      </x:c>
      <x:c r="I415" s="22" t="n">
        <x:f>IFERROR('4000rpm'!D47,"")</x:f>
        <x:v>2010.19074074074</x:v>
      </x:c>
      <x:c r="J415" s="22" t="n">
        <x:f>IFERROR('4000rpm'!D30,"")</x:f>
        <x:v>57.8352272727272</x:v>
      </x:c>
      <x:c r="K415" s="22" t="n">
        <x:f>IF(AND(ISNUMBER(I415),ISNUMBER(J415)),I415-J415,"")</x:f>
        <x:v>1952.3555134680128</x:v>
      </x:c>
      <x:c r="L415" s="22" t="n">
        <x:f>IF(ISNUMBER(K415),K415*$B$2+$B$3,"")</x:f>
        <x:v>1816.5562625267671</x:v>
      </x:c>
      <x:c r="M415" s="22" t="n">
        <x:f>IF(AND(ISNUMBER(G415),ISNUMBER(H415),H415&lt;&gt;0),G415/(H415/60)/$B$5,"")</x:f>
        <x:v>0.10119099627463599</x:v>
      </x:c>
      <x:c r="N415" s="22" t="n">
        <x:f>IF(AND(ISNUMBER(L415),ISNUMBER(H415),H415&lt;&gt;0),L415*$B$6/$B$4/(H415/60)^2/$B$5^4/$B$7,"")</x:f>
        <x:v>0.07598608352974842</x:v>
      </x:c>
      <x:c r="O415" s="22" t="n">
        <x:f>IF(ISNUMBER(N415),N415*$B$8,"")</x:f>
        <x:v>0.00981759489600209</x:v>
      </x:c>
      <x:c r="P415" s="20" t="str">
        <x:v>4000rpm!E47</x:v>
      </x:c>
      <x:c r="Q415" s="20" t="str">
        <x:v>4000rpm!D47</x:v>
      </x:c>
      <x:c r="R415" s="20" t="str">
        <x:v>4000rpm!D30</x:v>
      </x:c>
    </x:row>
    <x:row r="416">
      <x:c r="A416" s="21" t="n">
        <x:v>4000</x:v>
      </x:c>
      <x:c r="B416" s="21" t="n">
        <x:v>15</x:v>
      </x:c>
      <x:c r="C416" s="21" t="n">
        <x:v>18</x:v>
      </x:c>
      <x:c r="D416" s="21" t="n">
        <x:v>2</x:v>
      </x:c>
      <x:c r="E416" s="21" t="str">
        <x:v>4000rpm</x:v>
      </x:c>
      <x:c r="F416" s="21" t="n">
        <x:v>47</x:v>
      </x:c>
      <x:c r="G416" s="22" t="n">
        <x:f>IFERROR('4000rpm'!P47,"")</x:f>
        <x:v>4.123053113996059</x:v>
      </x:c>
      <x:c r="H416" s="22" t="n">
        <x:f>IFERROR('4000rpm'!N47,"")</x:f>
        <x:v>3981.30110307173</x:v>
      </x:c>
      <x:c r="I416" s="22" t="n">
        <x:f>IFERROR('4000rpm'!O47,"")</x:f>
        <x:v>1993.81306306306</x:v>
      </x:c>
      <x:c r="J416" s="22" t="n">
        <x:f>IFERROR('4000rpm'!D30,"")</x:f>
        <x:v>57.8352272727272</x:v>
      </x:c>
      <x:c r="K416" s="22" t="n">
        <x:f>IF(AND(ISNUMBER(I416),ISNUMBER(J416)),I416-J416,"")</x:f>
        <x:v>1935.9778357903328</x:v>
      </x:c>
      <x:c r="L416" s="22" t="n">
        <x:f>IF(ISNUMBER(K416),K416*$B$2+$B$3,"")</x:f>
        <x:v>1801.559092055894</x:v>
      </x:c>
      <x:c r="M416" s="22" t="n">
        <x:f>IF(AND(ISNUMBER(G416),ISNUMBER(H416),H416&lt;&gt;0),G416/(H416/60)/$B$5,"")</x:f>
        <x:v>0.13590609497201497</x:v>
      </x:c>
      <x:c r="N416" s="22" t="n">
        <x:f>IF(AND(ISNUMBER(L416),ISNUMBER(H416),H416&lt;&gt;0),L416*$B$6/$B$4/(H416/60)^2/$B$5^4/$B$7,"")</x:f>
        <x:v>0.07615792556903013</x:v>
      </x:c>
      <x:c r="O416" s="22" t="n">
        <x:f>IF(ISNUMBER(N416),N416*$B$8,"")</x:f>
        <x:v>0.009839797323728347</x:v>
      </x:c>
      <x:c r="P416" s="20" t="str">
        <x:v>4000rpm!P47</x:v>
      </x:c>
      <x:c r="Q416" s="20" t="str">
        <x:v>4000rpm!O47</x:v>
      </x:c>
      <x:c r="R416" s="20" t="str">
        <x:v>4000rpm!D30</x:v>
      </x:c>
    </x:row>
    <x:row r="417">
      <x:c r="A417" s="21" t="n">
        <x:v>4000</x:v>
      </x:c>
      <x:c r="B417" s="21" t="n">
        <x:v>15</x:v>
      </x:c>
      <x:c r="C417" s="21" t="n">
        <x:v>19</x:v>
      </x:c>
      <x:c r="D417" s="21" t="n">
        <x:v>1</x:v>
      </x:c>
      <x:c r="E417" s="21" t="str">
        <x:v>4000rpm</x:v>
      </x:c>
      <x:c r="F417" s="21" t="n">
        <x:v>48</x:v>
      </x:c>
      <x:c r="G417" s="22" t="n">
        <x:f>IFERROR('4000rpm'!E48,"")</x:f>
        <x:v>2.0692339947617002</x:v>
      </x:c>
      <x:c r="H417" s="22" t="n">
        <x:f>IFERROR('4000rpm'!C48,"")</x:f>
        <x:v>3964.92717375578</x:v>
      </x:c>
      <x:c r="I417" s="22" t="n">
        <x:f>IFERROR('4000rpm'!D48,"")</x:f>
        <x:v>2021.49812030075</x:v>
      </x:c>
      <x:c r="J417" s="22" t="n">
        <x:f>IFERROR('4000rpm'!D30,"")</x:f>
        <x:v>57.8352272727272</x:v>
      </x:c>
      <x:c r="K417" s="22" t="n">
        <x:f>IF(AND(ISNUMBER(I417),ISNUMBER(J417)),I417-J417,"")</x:f>
        <x:v>1963.6628930280228</x:v>
      </x:c>
      <x:c r="L417" s="22" t="n">
        <x:f>IF(ISNUMBER(K417),K417*$B$2+$B$3,"")</x:f>
        <x:v>1826.9105204489047</x:v>
      </x:c>
      <x:c r="M417" s="22" t="n">
        <x:f>IF(AND(ISNUMBER(G417),ISNUMBER(H417),H417&lt;&gt;0),G417/(H417/60)/$B$5,"")</x:f>
        <x:v>0.06848877817547244</x:v>
      </x:c>
      <x:c r="N417" s="22" t="n">
        <x:f>IF(AND(ISNUMBER(L417),ISNUMBER(H417),H417&lt;&gt;0),L417*$B$6/$B$4/(H417/60)^2/$B$5^4/$B$7,"")</x:f>
        <x:v>0.0778688013986925</x:v>
      </x:c>
      <x:c r="O417" s="22" t="n">
        <x:f>IF(ISNUMBER(N417),N417*$B$8,"")</x:f>
        <x:v>0.010060846824278151</x:v>
      </x:c>
      <x:c r="P417" s="20" t="str">
        <x:v>4000rpm!E48</x:v>
      </x:c>
      <x:c r="Q417" s="20" t="str">
        <x:v>4000rpm!D48</x:v>
      </x:c>
      <x:c r="R417" s="20" t="str">
        <x:v>4000rpm!D30</x:v>
      </x:c>
    </x:row>
    <x:row r="418">
      <x:c r="A418" s="21" t="n">
        <x:v>4000</x:v>
      </x:c>
      <x:c r="B418" s="21" t="n">
        <x:v>15</x:v>
      </x:c>
      <x:c r="C418" s="21" t="n">
        <x:v>19</x:v>
      </x:c>
      <x:c r="D418" s="21" t="n">
        <x:v>2</x:v>
      </x:c>
      <x:c r="E418" s="21" t="str">
        <x:v>4000rpm</x:v>
      </x:c>
      <x:c r="F418" s="21" t="n">
        <x:v>48</x:v>
      </x:c>
      <x:c r="G418" s="22" t="n">
        <x:f>IFERROR('4000rpm'!P48,"")</x:f>
        <x:v>3.096458016989021</x:v>
      </x:c>
      <x:c r="H418" s="22" t="n">
        <x:f>IFERROR('4000rpm'!N48,"")</x:f>
        <x:v>3981.98081752232</x:v>
      </x:c>
      <x:c r="I418" s="22" t="n">
        <x:f>IFERROR('4000rpm'!O48,"")</x:f>
        <x:v>1991.40435835351</x:v>
      </x:c>
      <x:c r="J418" s="22" t="n">
        <x:f>IFERROR('4000rpm'!D30,"")</x:f>
        <x:v>57.8352272727272</x:v>
      </x:c>
      <x:c r="K418" s="22" t="n">
        <x:f>IF(AND(ISNUMBER(I418),ISNUMBER(J418)),I418-J418,"")</x:f>
        <x:v>1933.5691310807827</x:v>
      </x:c>
      <x:c r="L418" s="22" t="n">
        <x:f>IF(ISNUMBER(K418),K418*$B$2+$B$3,"")</x:f>
        <x:v>1799.3534218837212</x:v>
      </x:c>
      <x:c r="M418" s="22" t="n">
        <x:f>IF(AND(ISNUMBER(G418),ISNUMBER(H418),H418&lt;&gt;0),G418/(H418/60)/$B$5,"")</x:f>
        <x:v>0.10204954228475621</x:v>
      </x:c>
      <x:c r="N418" s="22" t="n">
        <x:f>IF(AND(ISNUMBER(L418),ISNUMBER(H418),H418&lt;&gt;0),L418*$B$6/$B$4/(H418/60)^2/$B$5^4/$B$7,"")</x:f>
        <x:v>0.07603871861981007</x:v>
      </x:c>
      <x:c r="O418" s="22" t="n">
        <x:f>IF(ISNUMBER(N418),N418*$B$8,"")</x:f>
        <x:v>0.009824395483261432</x:v>
      </x:c>
      <x:c r="P418" s="20" t="str">
        <x:v>4000rpm!P48</x:v>
      </x:c>
      <x:c r="Q418" s="20" t="str">
        <x:v>4000rpm!O48</x:v>
      </x:c>
      <x:c r="R418" s="20" t="str">
        <x:v>4000rpm!D30</x:v>
      </x:c>
    </x:row>
    <x:row r="419">
      <x:c r="A419" s="21" t="n">
        <x:v>4000</x:v>
      </x:c>
      <x:c r="B419" s="21" t="n">
        <x:v>15</x:v>
      </x:c>
      <x:c r="C419" s="21" t="n">
        <x:v>20</x:v>
      </x:c>
      <x:c r="D419" s="21" t="n">
        <x:v>1</x:v>
      </x:c>
      <x:c r="E419" s="21" t="str">
        <x:v>4000rpm</x:v>
      </x:c>
      <x:c r="F419" s="21" t="n">
        <x:v>49</x:v>
      </x:c>
      <x:c r="G419" s="22" t="n">
        <x:f>IFERROR('4000rpm'!E49,"")</x:f>
        <x:v>1.0368417603062845</x:v>
      </x:c>
      <x:c r="H419" s="22" t="n">
        <x:f>IFERROR('4000rpm'!C49,"")</x:f>
        <x:v>3982.34716796875</x:v>
      </x:c>
      <x:c r="I419" s="22" t="n">
        <x:f>IFERROR('4000rpm'!D49,"")</x:f>
        <x:v>2023.23214285714</x:v>
      </x:c>
      <x:c r="J419" s="22" t="n">
        <x:f>IFERROR('4000rpm'!D30,"")</x:f>
        <x:v>57.8352272727272</x:v>
      </x:c>
      <x:c r="K419" s="22" t="n">
        <x:f>IF(AND(ISNUMBER(I419),ISNUMBER(J419)),I419-J419,"")</x:f>
        <x:v>1965.3969155844127</x:v>
      </x:c>
      <x:c r="L419" s="22" t="n">
        <x:f>IF(ISNUMBER(K419),K419*$B$2+$B$3,"")</x:f>
        <x:v>1828.4983787759713</x:v>
      </x:c>
      <x:c r="M419" s="22" t="n">
        <x:f>IF(AND(ISNUMBER(G419),ISNUMBER(H419),H419&lt;&gt;0),G419/(H419/60)/$B$5,"")</x:f>
        <x:v>0.034167908206391574</x:v>
      </x:c>
      <x:c r="N419" s="22" t="n">
        <x:f>IF(AND(ISNUMBER(L419),ISNUMBER(H419),H419&lt;&gt;0),L419*$B$6/$B$4/(H419/60)^2/$B$5^4/$B$7,"")</x:f>
        <x:v>0.07725613669812711</x:v>
      </x:c>
      <x:c r="O419" s="22" t="n">
        <x:f>IF(ISNUMBER(N419),N419*$B$8,"")</x:f>
        <x:v>0.009981688989608642</x:v>
      </x:c>
      <x:c r="P419" s="20" t="str">
        <x:v>4000rpm!E49</x:v>
      </x:c>
      <x:c r="Q419" s="20" t="str">
        <x:v>4000rpm!D49</x:v>
      </x:c>
      <x:c r="R419" s="20" t="str">
        <x:v>4000rpm!D30</x:v>
      </x:c>
    </x:row>
    <x:row r="420">
      <x:c r="A420" s="21" t="n">
        <x:v>4000</x:v>
      </x:c>
      <x:c r="B420" s="21" t="n">
        <x:v>15</x:v>
      </x:c>
      <x:c r="C420" s="21" t="n">
        <x:v>20</x:v>
      </x:c>
      <x:c r="D420" s="21" t="n">
        <x:v>2</x:v>
      </x:c>
      <x:c r="E420" s="21" t="str">
        <x:v>4000rpm</x:v>
      </x:c>
      <x:c r="F420" s="21" t="n">
        <x:v>49</x:v>
      </x:c>
      <x:c r="G420" s="22" t="n">
        <x:f>IFERROR('4000rpm'!P49,"")</x:f>
        <x:v>2.071881994862926</x:v>
      </x:c>
      <x:c r="H420" s="22" t="n">
        <x:f>IFERROR('4000rpm'!N49,"")</x:f>
        <x:v>3955.14696204144</x:v>
      </x:c>
      <x:c r="I420" s="22" t="n">
        <x:f>IFERROR('4000rpm'!O49,"")</x:f>
        <x:v>2002.77149321266</x:v>
      </x:c>
      <x:c r="J420" s="22" t="n">
        <x:f>IFERROR('4000rpm'!D30,"")</x:f>
        <x:v>57.8352272727272</x:v>
      </x:c>
      <x:c r="K420" s="22" t="n">
        <x:f>IF(AND(ISNUMBER(I420),ISNUMBER(J420)),I420-J420,"")</x:f>
        <x:v>1944.9362659399328</x:v>
      </x:c>
      <x:c r="L420" s="22" t="n">
        <x:f>IF(ISNUMBER(K420),K420*$B$2+$B$3,"")</x:f>
        <x:v>1809.762398211324</x:v>
      </x:c>
      <x:c r="M420" s="22" t="n">
        <x:f>IF(AND(ISNUMBER(G420),ISNUMBER(H420),H420&lt;&gt;0),G420/(H420/60)/$B$5,"")</x:f>
        <x:v>0.0687459977770044</x:v>
      </x:c>
      <x:c r="N420" s="22" t="n">
        <x:f>IF(AND(ISNUMBER(L420),ISNUMBER(H420),H420&lt;&gt;0),L420*$B$6/$B$4/(H420/60)^2/$B$5^4/$B$7,"")</x:f>
        <x:v>0.07751985516698558</x:v>
      </x:c>
      <x:c r="O420" s="22" t="n">
        <x:f>IF(ISNUMBER(N420),N420*$B$8,"")</x:f>
        <x:v>0.010015762085280598</x:v>
      </x:c>
      <x:c r="P420" s="20" t="str">
        <x:v>4000rpm!P49</x:v>
      </x:c>
      <x:c r="Q420" s="20" t="str">
        <x:v>4000rpm!O49</x:v>
      </x:c>
      <x:c r="R420" s="20" t="str">
        <x:v>4000rpm!D30</x:v>
      </x:c>
    </x:row>
    <x:row r="421">
      <x:c r="A421" s="21" t="n">
        <x:v>4000</x:v>
      </x:c>
      <x:c r="B421" s="21" t="n">
        <x:v>15</x:v>
      </x:c>
      <x:c r="C421" s="21" t="n">
        <x:v>21</x:v>
      </x:c>
      <x:c r="D421" s="21" t="n">
        <x:v>1</x:v>
      </x:c>
      <x:c r="E421" s="21" t="str">
        <x:v>4000rpm</x:v>
      </x:c>
      <x:c r="F421" s="21" t="n">
        <x:v>50</x:v>
      </x:c>
      <x:c r="G421" s="22" t="n">
        <x:f>IFERROR('4000rpm'!E50,"")</x:f>
        <x:v>0.12174858777958235</x:v>
      </x:c>
      <x:c r="H421" s="22" t="n">
        <x:f>IFERROR('4000rpm'!C50,"")</x:f>
        <x:v>3984.9920828683</x:v>
      </x:c>
      <x:c r="I421" s="22" t="n">
        <x:f>IFERROR('4000rpm'!D50,"")</x:f>
        <x:v>2029.49643705463</x:v>
      </x:c>
      <x:c r="J421" s="22" t="n">
        <x:f>IFERROR('4000rpm'!D30,"")</x:f>
        <x:v>57.8352272727272</x:v>
      </x:c>
      <x:c r="K421" s="22" t="n">
        <x:f>IF(AND(ISNUMBER(I421),ISNUMBER(J421)),I421-J421,"")</x:f>
        <x:v>1971.6612097819027</x:v>
      </x:c>
      <x:c r="L421" s="22" t="n">
        <x:f>IF(ISNUMBER(K421),K421*$B$2+$B$3,"")</x:f>
        <x:v>1834.2346430869666</x:v>
      </x:c>
      <x:c r="M421" s="22" t="n">
        <x:f>IF(AND(ISNUMBER(G421),ISNUMBER(H421),H421&lt;&gt;0),G421/(H421/60)/$B$5,"")</x:f>
        <x:v>0.004009419498382095</x:v>
      </x:c>
      <x:c r="N421" s="22" t="n">
        <x:f>IF(AND(ISNUMBER(L421),ISNUMBER(H421),H421&lt;&gt;0),L421*$B$6/$B$4/(H421/60)^2/$B$5^4/$B$7,"")</x:f>
        <x:v>0.07739566007900135</x:v>
      </x:c>
      <x:c r="O421" s="22" t="n">
        <x:f>IF(ISNUMBER(N421),N421*$B$8,"")</x:f>
        <x:v>0.00999971576462209</x:v>
      </x:c>
      <x:c r="P421" s="20" t="str">
        <x:v>4000rpm!E50</x:v>
      </x:c>
      <x:c r="Q421" s="20" t="str">
        <x:v>4000rpm!D50</x:v>
      </x:c>
      <x:c r="R421" s="20" t="str">
        <x:v>4000rpm!D30</x:v>
      </x:c>
    </x:row>
    <x:row r="422">
      <x:c r="A422" s="21" t="n">
        <x:v>4000</x:v>
      </x:c>
      <x:c r="B422" s="21" t="n">
        <x:v>15</x:v>
      </x:c>
      <x:c r="C422" s="21" t="n">
        <x:v>21</x:v>
      </x:c>
      <x:c r="D422" s="21" t="n">
        <x:v>2</x:v>
      </x:c>
      <x:c r="E422" s="21" t="str">
        <x:v>4000rpm</x:v>
      </x:c>
      <x:c r="F422" s="21" t="n">
        <x:v>50</x:v>
      </x:c>
      <x:c r="G422" s="22" t="n">
        <x:f>IFERROR('4000rpm'!P50,"")</x:f>
        <x:v>1.0418719309783961</x:v>
      </x:c>
      <x:c r="H422" s="22" t="n">
        <x:f>IFERROR('4000rpm'!N50,"")</x:f>
        <x:v>3967.25486246744</x:v>
      </x:c>
      <x:c r="I422" s="22" t="n">
        <x:f>IFERROR('4000rpm'!O50,"")</x:f>
        <x:v>2004.97113402061</x:v>
      </x:c>
      <x:c r="J422" s="22" t="n">
        <x:f>IFERROR('4000rpm'!D30,"")</x:f>
        <x:v>57.8352272727272</x:v>
      </x:c>
      <x:c r="K422" s="22" t="n">
        <x:f>IF(AND(ISNUMBER(I422),ISNUMBER(J422)),I422-J422,"")</x:f>
        <x:v>1947.1359067478827</x:v>
      </x:c>
      <x:c r="L422" s="22" t="n">
        <x:f>IF(ISNUMBER(K422),K422*$B$2+$B$3,"")</x:f>
        <x:v>1811.7766268962903</x:v>
      </x:c>
      <x:c r="M422" s="22" t="n">
        <x:f>IF(AND(ISNUMBER(G422),ISNUMBER(H422),H422&lt;&gt;0),G422/(H422/60)/$B$5,"")</x:f>
        <x:v>0.03446428439963968</x:v>
      </x:c>
      <x:c r="N422" s="22" t="n">
        <x:f>IF(AND(ISNUMBER(L422),ISNUMBER(H422),H422&lt;&gt;0),L422*$B$6/$B$4/(H422/60)^2/$B$5^4/$B$7,"")</x:f>
        <x:v>0.07713315452371224</x:v>
      </x:c>
      <x:c r="O422" s="22" t="n">
        <x:f>IF(ISNUMBER(N422),N422*$B$8,"")</x:f>
        <x:v>0.009965799380462487</x:v>
      </x:c>
      <x:c r="P422" s="20" t="str">
        <x:v>4000rpm!P50</x:v>
      </x:c>
      <x:c r="Q422" s="20" t="str">
        <x:v>4000rpm!O50</x:v>
      </x:c>
      <x:c r="R422" s="20" t="str">
        <x:v>4000rpm!D30</x:v>
      </x:c>
    </x:row>
    <x:row r="423">
      <x:c r="A423" s="21" t="n">
        <x:v>4000</x:v>
      </x:c>
      <x:c r="B423" s="21" t="n">
        <x:v>15</x:v>
      </x:c>
      <x:c r="C423" s="21" t="n">
        <x:v>22</x:v>
      </x:c>
      <x:c r="D423" s="21" t="n">
        <x:v>1</x:v>
      </x:c>
      <x:c r="E423" s="21" t="str">
        <x:v>4000rpm</x:v>
      </x:c>
      <x:c r="F423" s="21" t="n">
        <x:v>51</x:v>
      </x:c>
      <x:c r="G423" s="22" t="n">
        <x:f>IFERROR('4000rpm'!E51,"")</x:f>
        <x:v>0.0203506233514558</x:v>
      </x:c>
      <x:c r="H423" s="22" t="n">
        <x:f>IFERROR('4000rpm'!C51,"")</x:f>
        <x:v>0</x:v>
      </x:c>
      <x:c r="I423" s="22" t="n">
        <x:f>IFERROR('4000rpm'!D51,"")</x:f>
        <x:v>55.9639639639639</x:v>
      </x:c>
      <x:c r="J423" s="22" t="n">
        <x:f>IFERROR('4000rpm'!D30,"")</x:f>
        <x:v>57.8352272727272</x:v>
      </x:c>
      <x:c r="K423" s="22" t="n">
        <x:f>IF(AND(ISNUMBER(I423),ISNUMBER(J423)),I423-J423,"")</x:f>
        <x:v>-1.8712633087633037</x:v>
      </x:c>
      <x:c r="L423" s="22" t="n">
        <x:f>IF(ISNUMBER(K423),K423*$B$2+$B$3,"")</x:f>
        <x:v>27.05516921805897</x:v>
      </x:c>
      <x:c r="M423" s="22" t="str">
        <x:f>IF(AND(ISNUMBER(G423),ISNUMBER(H423),H423&lt;&gt;0),G423/(H423/60)/$B$5,"")</x:f>
      </x:c>
      <x:c r="N423" s="22" t="str">
        <x:f>IF(AND(ISNUMBER(L423),ISNUMBER(H423),H423&lt;&gt;0),L423*$B$6/$B$4/(H423/60)^2/$B$5^4/$B$7,"")</x:f>
      </x:c>
      <x:c r="O423" s="22" t="str">
        <x:f>IF(ISNUMBER(N423),N423*$B$8,"")</x:f>
      </x:c>
      <x:c r="P423" s="20" t="str">
        <x:v>4000rpm!E51</x:v>
      </x:c>
      <x:c r="Q423" s="20" t="str">
        <x:v>4000rpm!D51</x:v>
      </x:c>
      <x:c r="R423" s="20" t="str">
        <x:v>4000rpm!D30</x:v>
      </x:c>
    </x:row>
    <x:row r="424">
      <x:c r="A424" s="21" t="n">
        <x:v>4000</x:v>
      </x:c>
      <x:c r="B424" s="21" t="n">
        <x:v>15</x:v>
      </x:c>
      <x:c r="C424" s="21" t="n">
        <x:v>22</x:v>
      </x:c>
      <x:c r="D424" s="21" t="n">
        <x:v>2</x:v>
      </x:c>
      <x:c r="E424" s="21" t="str">
        <x:v>4000rpm</x:v>
      </x:c>
      <x:c r="F424" s="21" t="n">
        <x:v>51</x:v>
      </x:c>
      <x:c r="G424" s="22" t="n">
        <x:f>IFERROR('4000rpm'!P51,"")</x:f>
        <x:v>0.12484256278036837</x:v>
      </x:c>
      <x:c r="H424" s="22" t="n">
        <x:f>IFERROR('4000rpm'!N51,"")</x:f>
        <x:v>3974.83813476562</x:v>
      </x:c>
      <x:c r="I424" s="22" t="n">
        <x:f>IFERROR('4000rpm'!O51,"")</x:f>
        <x:v>2023.45833333333</x:v>
      </x:c>
      <x:c r="J424" s="22" t="n">
        <x:f>IFERROR('4000rpm'!D30,"")</x:f>
        <x:v>57.8352272727272</x:v>
      </x:c>
      <x:c r="K424" s="22" t="n">
        <x:f>IF(AND(ISNUMBER(I424),ISNUMBER(J424)),I424-J424,"")</x:f>
        <x:v>1965.6231060606028</x:v>
      </x:c>
      <x:c r="L424" s="22" t="n">
        <x:f>IF(ISNUMBER(K424),K424*$B$2+$B$3,"")</x:f>
        <x:v>1828.7055032045425</x:v>
      </x:c>
      <x:c r="M424" s="22" t="n">
        <x:f>IF(AND(ISNUMBER(G424),ISNUMBER(H424),H424&lt;&gt;0),G424/(H424/60)/$B$5,"")</x:f>
        <x:v>0.004121812729762036</x:v>
      </x:c>
      <x:c r="N424" s="22" t="n">
        <x:f>IF(AND(ISNUMBER(L424),ISNUMBER(H424),H424&lt;&gt;0),L424*$B$6/$B$4/(H424/60)^2/$B$5^4/$B$7,"")</x:f>
        <x:v>0.07755709236017803</x:v>
      </x:c>
      <x:c r="O424" s="22" t="n">
        <x:f>IF(ISNUMBER(N424),N424*$B$8,"")</x:f>
        <x:v>0.010020573225174188</x:v>
      </x:c>
      <x:c r="P424" s="20" t="str">
        <x:v>4000rpm!P51</x:v>
      </x:c>
      <x:c r="Q424" s="20" t="str">
        <x:v>4000rpm!O51</x:v>
      </x:c>
      <x:c r="R424" s="20" t="str">
        <x:v>4000rpm!D30</x:v>
      </x:c>
    </x:row>
    <x:row r="425">
      <x:c r="A425" s="21" t="n">
        <x:v>4000</x:v>
      </x:c>
      <x:c r="B425" s="21" t="n">
        <x:v>15</x:v>
      </x:c>
      <x:c r="C425" s="21" t="n">
        <x:v>23</x:v>
      </x:c>
      <x:c r="D425" s="21" t="n">
        <x:v>1</x:v>
      </x:c>
      <x:c r="E425" s="21" t="str">
        <x:v>4000rpm</x:v>
      </x:c>
      <x:c r="F425" s="21" t="n">
        <x:v>52</x:v>
      </x:c>
      <x:c r="G425" s="22" t="str">
        <x:f>IFERROR('4000rpm'!E52,"")</x:f>
      </x:c>
      <x:c r="H425" s="22" t="str">
        <x:f>IFERROR('4000rpm'!C52,"")</x:f>
      </x:c>
      <x:c r="I425" s="22" t="str">
        <x:f>IFERROR('4000rpm'!D52,"")</x:f>
      </x:c>
      <x:c r="J425" s="22" t="n">
        <x:f>IFERROR('4000rpm'!D30,"")</x:f>
        <x:v>57.8352272727272</x:v>
      </x:c>
      <x:c r="K425" s="22" t="str">
        <x:f>IF(AND(ISNUMBER(I425),ISNUMBER(J425)),I425-J425,"")</x:f>
      </x:c>
      <x:c r="L425" s="22" t="str">
        <x:f>IF(ISNUMBER(K425),K425*$B$2+$B$3,"")</x:f>
      </x:c>
      <x:c r="M425" s="22" t="str">
        <x:f>IF(AND(ISNUMBER(G425),ISNUMBER(H425),H425&lt;&gt;0),G425/(H425/60)/$B$5,"")</x:f>
      </x:c>
      <x:c r="N425" s="22" t="str">
        <x:f>IF(AND(ISNUMBER(L425),ISNUMBER(H425),H425&lt;&gt;0),L425*$B$6/$B$4/(H425/60)^2/$B$5^4/$B$7,"")</x:f>
      </x:c>
      <x:c r="O425" s="22" t="str">
        <x:f>IF(ISNUMBER(N425),N425*$B$8,"")</x:f>
      </x:c>
      <x:c r="P425" s="20" t="str">
        <x:v>4000rpm!E52</x:v>
      </x:c>
      <x:c r="Q425" s="20" t="str">
        <x:v>4000rpm!D52</x:v>
      </x:c>
      <x:c r="R425" s="20" t="str">
        <x:v>4000rpm!D30</x:v>
      </x:c>
    </x:row>
    <x:row r="426">
      <x:c r="A426" s="21" t="n">
        <x:v>4000</x:v>
      </x:c>
      <x:c r="B426" s="21" t="n">
        <x:v>15</x:v>
      </x:c>
      <x:c r="C426" s="21" t="n">
        <x:v>23</x:v>
      </x:c>
      <x:c r="D426" s="21" t="n">
        <x:v>2</x:v>
      </x:c>
      <x:c r="E426" s="21" t="str">
        <x:v>4000rpm</x:v>
      </x:c>
      <x:c r="F426" s="21" t="n">
        <x:v>52</x:v>
      </x:c>
      <x:c r="G426" s="22" t="n">
        <x:f>IFERROR('4000rpm'!P52,"")</x:f>
        <x:v>0</x:v>
      </x:c>
      <x:c r="H426" s="22" t="n">
        <x:f>IFERROR('4000rpm'!N52,"")</x:f>
        <x:v>0</x:v>
      </x:c>
      <x:c r="I426" s="22" t="n">
        <x:f>IFERROR('4000rpm'!O52,"")</x:f>
        <x:v>53.0043415340086</x:v>
      </x:c>
      <x:c r="J426" s="22" t="n">
        <x:f>IFERROR('4000rpm'!D30,"")</x:f>
        <x:v>57.8352272727272</x:v>
      </x:c>
      <x:c r="K426" s="22" t="n">
        <x:f>IF(AND(ISNUMBER(I426),ISNUMBER(J426)),I426-J426,"")</x:f>
        <x:v>-4.8308857387185995</x:v>
      </x:c>
      <x:c r="L426" s="22" t="n">
        <x:f>IF(ISNUMBER(K426),K426*$B$2+$B$3,"")</x:f>
        <x:v>24.345019281969467</x:v>
      </x:c>
      <x:c r="M426" s="22" t="str">
        <x:f>IF(AND(ISNUMBER(G426),ISNUMBER(H426),H426&lt;&gt;0),G426/(H426/60)/$B$5,"")</x:f>
      </x:c>
      <x:c r="N426" s="22" t="str">
        <x:f>IF(AND(ISNUMBER(L426),ISNUMBER(H426),H426&lt;&gt;0),L426*$B$6/$B$4/(H426/60)^2/$B$5^4/$B$7,"")</x:f>
      </x:c>
      <x:c r="O426" s="22" t="str">
        <x:f>IF(ISNUMBER(N426),N426*$B$8,"")</x:f>
      </x:c>
      <x:c r="P426" s="20" t="str">
        <x:v>4000rpm!P52</x:v>
      </x:c>
      <x:c r="Q426" s="20" t="str">
        <x:v>4000rpm!O52</x:v>
      </x:c>
      <x:c r="R426" s="20" t="str">
        <x:v>4000rpm!D30</x:v>
      </x:c>
    </x:row>
    <x:row r="427">
      <x:c r="A427" s="21" t="n">
        <x:v>4000</x:v>
      </x:c>
      <x:c r="B427" s="21" t="n">
        <x:v>30</x:v>
      </x:c>
      <x:c r="C427" s="21" t="n">
        <x:v>1</x:v>
      </x:c>
      <x:c r="D427" s="21" t="n">
        <x:v>1</x:v>
      </x:c>
      <x:c r="E427" s="21" t="str">
        <x:v>4000rpm</x:v>
      </x:c>
      <x:c r="F427" s="21" t="n">
        <x:v>58</x:v>
      </x:c>
      <x:c r="G427" s="22" t="n">
        <x:f>IFERROR('4000rpm'!D58,"")</x:f>
        <x:v>0.0357168626242083</x:v>
      </x:c>
      <x:c r="H427" s="22" t="n">
        <x:f>IFERROR('4000rpm'!B58,"")</x:f>
        <x:v>0</x:v>
      </x:c>
      <x:c r="I427" s="22" t="n">
        <x:f>IFERROR('4000rpm'!C58,"")</x:f>
        <x:v>89.7468982630272</x:v>
      </x:c>
      <x:c r="J427" s="22" t="n">
        <x:f>IFERROR('4000rpm'!C58,"")</x:f>
        <x:v>89.7468982630272</x:v>
      </x:c>
      <x:c r="K427" s="22" t="n">
        <x:f>IF(AND(ISNUMBER(I427),ISNUMBER(J427)),I427-J427,"")</x:f>
        <x:v>0</x:v>
      </x:c>
      <x:c r="L427" s="22" t="n">
        <x:f>IF(ISNUMBER(K427),K427*$B$2+$B$3,"")</x:f>
        <x:v>28.7687</x:v>
      </x:c>
      <x:c r="M427" s="22" t="str">
        <x:f>IF(AND(ISNUMBER(G427),ISNUMBER(H427),H427&lt;&gt;0),G427/(H427/60)/$B$5,"")</x:f>
      </x:c>
      <x:c r="N427" s="22" t="str">
        <x:f>IF(AND(ISNUMBER(L427),ISNUMBER(H427),H427&lt;&gt;0),L427*$B$6/$B$4/(H427/60)^2/$B$5^4/$B$7,"")</x:f>
      </x:c>
      <x:c r="O427" s="22" t="str">
        <x:f>IF(ISNUMBER(N427),N427*$B$8,"")</x:f>
      </x:c>
      <x:c r="P427" s="20" t="str">
        <x:v>4000rpm!D58</x:v>
      </x:c>
      <x:c r="Q427" s="20" t="str">
        <x:v>4000rpm!C58</x:v>
      </x:c>
      <x:c r="R427" s="20" t="str">
        <x:v>4000rpm!C58</x:v>
      </x:c>
    </x:row>
    <x:row r="428">
      <x:c r="A428" s="21" t="n">
        <x:v>4000</x:v>
      </x:c>
      <x:c r="B428" s="21" t="n">
        <x:v>30</x:v>
      </x:c>
      <x:c r="C428" s="21" t="n">
        <x:v>1</x:v>
      </x:c>
      <x:c r="D428" s="21" t="n">
        <x:v>2</x:v>
      </x:c>
      <x:c r="E428" s="21" t="str">
        <x:v>4000rpm</x:v>
      </x:c>
      <x:c r="F428" s="21" t="n">
        <x:v>58</x:v>
      </x:c>
      <x:c r="G428" s="22" t="n">
        <x:f>IFERROR('4000rpm'!O58,"")</x:f>
        <x:v>0.03443017870820355</x:v>
      </x:c>
      <x:c r="H428" s="22" t="n">
        <x:f>IFERROR('4000rpm'!M58,"")</x:f>
        <x:v>0</x:v>
      </x:c>
      <x:c r="I428" s="22" t="n">
        <x:f>IFERROR('4000rpm'!N58,"")</x:f>
        <x:v>93.1842519685039</x:v>
      </x:c>
      <x:c r="J428" s="22" t="n">
        <x:f>IFERROR('4000rpm'!N58,"")</x:f>
        <x:v>93.1842519685039</x:v>
      </x:c>
      <x:c r="K428" s="22" t="n">
        <x:f>IF(AND(ISNUMBER(I428),ISNUMBER(J428)),I428-J428,"")</x:f>
        <x:v>0</x:v>
      </x:c>
      <x:c r="L428" s="22" t="n">
        <x:f>IF(ISNUMBER(K428),K428*$B$2+$B$3,"")</x:f>
        <x:v>28.7687</x:v>
      </x:c>
      <x:c r="M428" s="22" t="str">
        <x:f>IF(AND(ISNUMBER(G428),ISNUMBER(H428),H428&lt;&gt;0),G428/(H428/60)/$B$5,"")</x:f>
      </x:c>
      <x:c r="N428" s="22" t="str">
        <x:f>IF(AND(ISNUMBER(L428),ISNUMBER(H428),H428&lt;&gt;0),L428*$B$6/$B$4/(H428/60)^2/$B$5^4/$B$7,"")</x:f>
      </x:c>
      <x:c r="O428" s="22" t="str">
        <x:f>IF(ISNUMBER(N428),N428*$B$8,"")</x:f>
      </x:c>
      <x:c r="P428" s="20" t="str">
        <x:v>4000rpm!O58</x:v>
      </x:c>
      <x:c r="Q428" s="20" t="str">
        <x:v>4000rpm!N58</x:v>
      </x:c>
      <x:c r="R428" s="20" t="str">
        <x:v>4000rpm!N58</x:v>
      </x:c>
    </x:row>
    <x:row r="429">
      <x:c r="A429" s="21" t="n">
        <x:v>4000</x:v>
      </x:c>
      <x:c r="B429" s="21" t="n">
        <x:v>30</x:v>
      </x:c>
      <x:c r="C429" s="21" t="n">
        <x:v>2</x:v>
      </x:c>
      <x:c r="D429" s="21" t="n">
        <x:v>1</x:v>
      </x:c>
      <x:c r="E429" s="21" t="str">
        <x:v>4000rpm</x:v>
      </x:c>
      <x:c r="F429" s="21" t="n">
        <x:v>59</x:v>
      </x:c>
      <x:c r="G429" s="22" t="n">
        <x:f>IFERROR('4000rpm'!D59,"")</x:f>
        <x:v>0.1116472705124088</x:v>
      </x:c>
      <x:c r="H429" s="22" t="n">
        <x:f>IFERROR('4000rpm'!B59,"")</x:f>
        <x:v>4042.46911227318</x:v>
      </x:c>
      <x:c r="I429" s="22" t="n">
        <x:f>IFERROR('4000rpm'!C59,"")</x:f>
        <x:v>2176.28846153846</x:v>
      </x:c>
      <x:c r="J429" s="22" t="n">
        <x:f>IFERROR('4000rpm'!C58,"")</x:f>
        <x:v>89.7468982630272</x:v>
      </x:c>
      <x:c r="K429" s="22" t="n">
        <x:f>IF(AND(ISNUMBER(I429),ISNUMBER(J429)),I429-J429,"")</x:f>
        <x:v>2086.541563275433</x:v>
      </x:c>
      <x:c r="L429" s="22" t="n">
        <x:f>IF(ISNUMBER(K429),K429*$B$2+$B$3,"")</x:f>
        <x:v>1939.43150182382</x:v>
      </x:c>
      <x:c r="M429" s="22" t="n">
        <x:f>IF(AND(ISNUMBER(G429),ISNUMBER(H429),H429&lt;&gt;0),G429/(H429/60)/$B$5,"")</x:f>
        <x:v>0.003624486016769641</x:v>
      </x:c>
      <x:c r="N429" s="22" t="n">
        <x:f>IF(AND(ISNUMBER(L429),ISNUMBER(H429),H429&lt;&gt;0),L429*$B$6/$B$4/(H429/60)^2/$B$5^4/$B$7,"")</x:f>
        <x:v>0.07952389948164625</x:v>
      </x:c>
      <x:c r="O429" s="22" t="n">
        <x:f>IF(ISNUMBER(N429),N429*$B$8,"")</x:f>
        <x:v>0.01027468969835164</x:v>
      </x:c>
      <x:c r="P429" s="20" t="str">
        <x:v>4000rpm!D59</x:v>
      </x:c>
      <x:c r="Q429" s="20" t="str">
        <x:v>4000rpm!C59</x:v>
      </x:c>
      <x:c r="R429" s="20" t="str">
        <x:v>4000rpm!C58</x:v>
      </x:c>
    </x:row>
    <x:row r="430">
      <x:c r="A430" s="21" t="n">
        <x:v>4000</x:v>
      </x:c>
      <x:c r="B430" s="21" t="n">
        <x:v>30</x:v>
      </x:c>
      <x:c r="C430" s="21" t="n">
        <x:v>2</x:v>
      </x:c>
      <x:c r="D430" s="21" t="n">
        <x:v>2</x:v>
      </x:c>
      <x:c r="E430" s="21" t="str">
        <x:v>4000rpm</x:v>
      </x:c>
      <x:c r="F430" s="21" t="n">
        <x:v>59</x:v>
      </x:c>
      <x:c r="G430" s="22" t="n">
        <x:f>IFERROR('4000rpm'!O59,"")</x:f>
        <x:v>0.09798690936721785</x:v>
      </x:c>
      <x:c r="H430" s="22" t="n">
        <x:f>IFERROR('4000rpm'!M59,"")</x:f>
        <x:v>4070.98280913254</x:v>
      </x:c>
      <x:c r="I430" s="22" t="n">
        <x:f>IFERROR('4000rpm'!N59,"")</x:f>
        <x:v>2172.60991735537</x:v>
      </x:c>
      <x:c r="J430" s="22" t="n">
        <x:f>IFERROR('4000rpm'!N58,"")</x:f>
        <x:v>93.1842519685039</x:v>
      </x:c>
      <x:c r="K430" s="22" t="n">
        <x:f>IF(AND(ISNUMBER(I430),ISNUMBER(J430)),I430-J430,"")</x:f>
        <x:v>2079.425665386866</x:v>
      </x:c>
      <x:c r="L430" s="22" t="n">
        <x:f>IF(ISNUMBER(K430),K430*$B$2+$B$3,"")</x:f>
        <x:v>1932.9154172000763</x:v>
      </x:c>
      <x:c r="M430" s="22" t="n">
        <x:f>IF(AND(ISNUMBER(G430),ISNUMBER(H430),H430&lt;&gt;0),G430/(H430/60)/$B$5,"")</x:f>
        <x:v>0.0031587395625431837</x:v>
      </x:c>
      <x:c r="N430" s="22" t="n">
        <x:f>IF(AND(ISNUMBER(L430),ISNUMBER(H430),H430&lt;&gt;0),L430*$B$6/$B$4/(H430/60)^2/$B$5^4/$B$7,"")</x:f>
        <x:v>0.07815035512039097</x:v>
      </x:c>
      <x:c r="O430" s="22" t="n">
        <x:f>IF(ISNUMBER(N430),N430*$B$8,"")</x:f>
        <x:v>0.010097224279894942</x:v>
      </x:c>
      <x:c r="P430" s="20" t="str">
        <x:v>4000rpm!O59</x:v>
      </x:c>
      <x:c r="Q430" s="20" t="str">
        <x:v>4000rpm!N59</x:v>
      </x:c>
      <x:c r="R430" s="20" t="str">
        <x:v>4000rpm!N58</x:v>
      </x:c>
    </x:row>
    <x:row r="431">
      <x:c r="A431" s="21" t="n">
        <x:v>4000</x:v>
      </x:c>
      <x:c r="B431" s="21" t="n">
        <x:v>30</x:v>
      </x:c>
      <x:c r="C431" s="21" t="n">
        <x:v>3</x:v>
      </x:c>
      <x:c r="D431" s="21" t="n">
        <x:v>1</x:v>
      </x:c>
      <x:c r="E431" s="21" t="str">
        <x:v>4000rpm</x:v>
      </x:c>
      <x:c r="F431" s="21" t="n">
        <x:v>60</x:v>
      </x:c>
      <x:c r="G431" s="22" t="n">
        <x:f>IFERROR('4000rpm'!D60,"")</x:f>
        <x:v>1.0270453173046306</x:v>
      </x:c>
      <x:c r="H431" s="22" t="n">
        <x:f>IFERROR('4000rpm'!B60,"")</x:f>
        <x:v>4065.79848296066</x:v>
      </x:c>
      <x:c r="I431" s="22" t="n">
        <x:f>IFERROR('4000rpm'!C60,"")</x:f>
        <x:v>2124.72616984402</x:v>
      </x:c>
      <x:c r="J431" s="22" t="n">
        <x:f>IFERROR('4000rpm'!C58,"")</x:f>
        <x:v>89.7468982630272</x:v>
      </x:c>
      <x:c r="K431" s="22" t="n">
        <x:f>IF(AND(ISNUMBER(I431),ISNUMBER(J431)),I431-J431,"")</x:f>
        <x:v>2034.979271580993</x:v>
      </x:c>
      <x:c r="L431" s="22" t="n">
        <x:f>IF(ISNUMBER(K431),K431*$B$2+$B$3,"")</x:f>
        <x:v>1892.2154988208881</x:v>
      </x:c>
      <x:c r="M431" s="22" t="n">
        <x:f>IF(AND(ISNUMBER(G431),ISNUMBER(H431),H431&lt;&gt;0),G431/(H431/60)/$B$5,"")</x:f>
        <x:v>0.033150400986384033</x:v>
      </x:c>
      <x:c r="N431" s="22" t="n">
        <x:f>IF(AND(ISNUMBER(L431),ISNUMBER(H431),H431&lt;&gt;0),L431*$B$6/$B$4/(H431/60)^2/$B$5^4/$B$7,"")</x:f>
        <x:v>0.07670003092987515</x:v>
      </x:c>
      <x:c r="O431" s="22" t="n">
        <x:f>IF(ISNUMBER(N431),N431*$B$8,"")</x:f>
        <x:v>0.009909838712578766</x:v>
      </x:c>
      <x:c r="P431" s="20" t="str">
        <x:v>4000rpm!D60</x:v>
      </x:c>
      <x:c r="Q431" s="20" t="str">
        <x:v>4000rpm!C60</x:v>
      </x:c>
      <x:c r="R431" s="20" t="str">
        <x:v>4000rpm!C58</x:v>
      </x:c>
    </x:row>
    <x:row r="432">
      <x:c r="A432" s="21" t="n">
        <x:v>4000</x:v>
      </x:c>
      <x:c r="B432" s="21" t="n">
        <x:v>30</x:v>
      </x:c>
      <x:c r="C432" s="21" t="n">
        <x:v>3</x:v>
      </x:c>
      <x:c r="D432" s="21" t="n">
        <x:v>2</x:v>
      </x:c>
      <x:c r="E432" s="21" t="str">
        <x:v>4000rpm</x:v>
      </x:c>
      <x:c r="F432" s="21" t="n">
        <x:v>60</x:v>
      </x:c>
      <x:c r="G432" s="22" t="n">
        <x:f>IFERROR('4000rpm'!O60,"")</x:f>
        <x:v>1.0070437873745774</x:v>
      </x:c>
      <x:c r="H432" s="22" t="n">
        <x:f>IFERROR('4000rpm'!M60,"")</x:f>
        <x:v>4043.30850883152</x:v>
      </x:c>
      <x:c r="I432" s="22" t="n">
        <x:f>IFERROR('4000rpm'!N60,"")</x:f>
        <x:v>2131.87068965517</x:v>
      </x:c>
      <x:c r="J432" s="22" t="n">
        <x:f>IFERROR('4000rpm'!N58,"")</x:f>
        <x:v>93.1842519685039</x:v>
      </x:c>
      <x:c r="K432" s="22" t="n">
        <x:f>IF(AND(ISNUMBER(I432),ISNUMBER(J432)),I432-J432,"")</x:f>
        <x:v>2038.6864376866658</x:v>
      </x:c>
      <x:c r="L432" s="22" t="n">
        <x:f>IF(ISNUMBER(K432),K432*$B$2+$B$3,"")</x:f>
        <x:v>1895.6101804811815</x:v>
      </x:c>
      <x:c r="M432" s="22" t="n">
        <x:f>IF(AND(ISNUMBER(G432),ISNUMBER(H432),H432&lt;&gt;0),G432/(H432/60)/$B$5,"")</x:f>
        <x:v>0.032685603153229964</x:v>
      </x:c>
      <x:c r="N432" s="22" t="n">
        <x:f>IF(AND(ISNUMBER(L432),ISNUMBER(H432),H432&lt;&gt;0),L432*$B$6/$B$4/(H432/60)^2/$B$5^4/$B$7,"")</x:f>
        <x:v>0.07769479329841208</x:v>
      </x:c>
      <x:c r="O432" s="22" t="n">
        <x:f>IF(ISNUMBER(N432),N432*$B$8,"")</x:f>
        <x:v>0.010038364535971936</x:v>
      </x:c>
      <x:c r="P432" s="20" t="str">
        <x:v>4000rpm!O60</x:v>
      </x:c>
      <x:c r="Q432" s="20" t="str">
        <x:v>4000rpm!N60</x:v>
      </x:c>
      <x:c r="R432" s="20" t="str">
        <x:v>4000rpm!N58</x:v>
      </x:c>
    </x:row>
    <x:row r="433">
      <x:c r="A433" s="21" t="n">
        <x:v>4000</x:v>
      </x:c>
      <x:c r="B433" s="21" t="n">
        <x:v>30</x:v>
      </x:c>
      <x:c r="C433" s="21" t="n">
        <x:v>4</x:v>
      </x:c>
      <x:c r="D433" s="21" t="n">
        <x:v>1</x:v>
      </x:c>
      <x:c r="E433" s="21" t="str">
        <x:v>4000rpm</x:v>
      </x:c>
      <x:c r="F433" s="21" t="n">
        <x:v>61</x:v>
      </x:c>
      <x:c r="G433" s="22" t="n">
        <x:f>IFERROR('4000rpm'!D61,"")</x:f>
        <x:v>2.05873025660733</x:v>
      </x:c>
      <x:c r="H433" s="22" t="n">
        <x:f>IFERROR('4000rpm'!B61,"")</x:f>
        <x:v>4043.07909138997</x:v>
      </x:c>
      <x:c r="I433" s="22" t="n">
        <x:f>IFERROR('4000rpm'!C61,"")</x:f>
        <x:v>2083.50524109014</x:v>
      </x:c>
      <x:c r="J433" s="22" t="n">
        <x:f>IFERROR('4000rpm'!C58,"")</x:f>
        <x:v>89.7468982630272</x:v>
      </x:c>
      <x:c r="K433" s="22" t="n">
        <x:f>IF(AND(ISNUMBER(I433),ISNUMBER(J433)),I433-J433,"")</x:f>
        <x:v>1993.7583428271128</x:v>
      </x:c>
      <x:c r="L433" s="22" t="n">
        <x:f>IF(ISNUMBER(K433),K433*$B$2+$B$3,"")</x:f>
        <x:v>1854.4691645935297</x:v>
      </x:c>
      <x:c r="M433" s="22" t="n">
        <x:f>IF(AND(ISNUMBER(G433),ISNUMBER(H433),H433&lt;&gt;0),G433/(H433/60)/$B$5,"")</x:f>
        <x:v>0.06682396466922293</x:v>
      </x:c>
      <x:c r="N433" s="22" t="n">
        <x:f>IF(AND(ISNUMBER(L433),ISNUMBER(H433),H433&lt;&gt;0),L433*$B$6/$B$4/(H433/60)^2/$B$5^4/$B$7,"")</x:f>
        <x:v>0.07601718528335952</x:v>
      </x:c>
      <x:c r="O433" s="22" t="n">
        <x:f>IF(ISNUMBER(N433),N433*$B$8,"")</x:f>
        <x:v>0.009821613321525882</x:v>
      </x:c>
      <x:c r="P433" s="20" t="str">
        <x:v>4000rpm!D61</x:v>
      </x:c>
      <x:c r="Q433" s="20" t="str">
        <x:v>4000rpm!C61</x:v>
      </x:c>
      <x:c r="R433" s="20" t="str">
        <x:v>4000rpm!C58</x:v>
      </x:c>
    </x:row>
    <x:row r="434">
      <x:c r="A434" s="21" t="n">
        <x:v>4000</x:v>
      </x:c>
      <x:c r="B434" s="21" t="n">
        <x:v>30</x:v>
      </x:c>
      <x:c r="C434" s="21" t="n">
        <x:v>4</x:v>
      </x:c>
      <x:c r="D434" s="21" t="n">
        <x:v>2</x:v>
      </x:c>
      <x:c r="E434" s="21" t="str">
        <x:v>4000rpm</x:v>
      </x:c>
      <x:c r="F434" s="21" t="n">
        <x:v>61</x:v>
      </x:c>
      <x:c r="G434" s="22" t="n">
        <x:f>IFERROR('4000rpm'!O61,"")</x:f>
        <x:v>2.037700652543985</x:v>
      </x:c>
      <x:c r="H434" s="22" t="n">
        <x:f>IFERROR('4000rpm'!M61,"")</x:f>
        <x:v>4058.91001568418</x:v>
      </x:c>
      <x:c r="I434" s="22" t="n">
        <x:f>IFERROR('4000rpm'!N61,"")</x:f>
        <x:v>2086.99104477611</x:v>
      </x:c>
      <x:c r="J434" s="22" t="n">
        <x:f>IFERROR('4000rpm'!N58,"")</x:f>
        <x:v>93.1842519685039</x:v>
      </x:c>
      <x:c r="K434" s="22" t="n">
        <x:f>IF(AND(ISNUMBER(I434),ISNUMBER(J434)),I434-J434,"")</x:f>
        <x:v>1993.806792807606</x:v>
      </x:c>
      <x:c r="L434" s="22" t="n">
        <x:f>IF(ISNUMBER(K434),K434*$B$2+$B$3,"")</x:f>
        <x:v>1854.5135306282673</x:v>
      </x:c>
      <x:c r="M434" s="22" t="n">
        <x:f>IF(AND(ISNUMBER(G434),ISNUMBER(H434),H434&lt;&gt;0),G434/(H434/60)/$B$5,"")</x:f>
        <x:v>0.06588339794799494</x:v>
      </x:c>
      <x:c r="N434" s="22" t="n">
        <x:f>IF(AND(ISNUMBER(L434),ISNUMBER(H434),H434&lt;&gt;0),L434*$B$6/$B$4/(H434/60)^2/$B$5^4/$B$7,"")</x:f>
        <x:v>0.0754271680753694</x:v>
      </x:c>
      <x:c r="O434" s="22" t="n">
        <x:f>IF(ISNUMBER(N434),N434*$B$8,"")</x:f>
        <x:v>0.009745381600391715</x:v>
      </x:c>
      <x:c r="P434" s="20" t="str">
        <x:v>4000rpm!O61</x:v>
      </x:c>
      <x:c r="Q434" s="20" t="str">
        <x:v>4000rpm!N61</x:v>
      </x:c>
      <x:c r="R434" s="20" t="str">
        <x:v>4000rpm!N58</x:v>
      </x:c>
    </x:row>
    <x:row r="435">
      <x:c r="A435" s="21" t="n">
        <x:v>4000</x:v>
      </x:c>
      <x:c r="B435" s="21" t="n">
        <x:v>30</x:v>
      </x:c>
      <x:c r="C435" s="21" t="n">
        <x:v>5</x:v>
      </x:c>
      <x:c r="D435" s="21" t="n">
        <x:v>1</x:v>
      </x:c>
      <x:c r="E435" s="21" t="str">
        <x:v>4000rpm</x:v>
      </x:c>
      <x:c r="F435" s="21" t="n">
        <x:v>62</x:v>
      </x:c>
      <x:c r="G435" s="22" t="n">
        <x:f>IFERROR('4000rpm'!D62,"")</x:f>
        <x:v>3.0865425682730105</x:v>
      </x:c>
      <x:c r="H435" s="22" t="n">
        <x:f>IFERROR('4000rpm'!B62,"")</x:f>
        <x:v>4045.18225678943</x:v>
      </x:c>
      <x:c r="I435" s="22" t="n">
        <x:f>IFERROR('4000rpm'!C62,"")</x:f>
        <x:v>2057.25290023201</x:v>
      </x:c>
      <x:c r="J435" s="22" t="n">
        <x:f>IFERROR('4000rpm'!C58,"")</x:f>
        <x:v>89.7468982630272</x:v>
      </x:c>
      <x:c r="K435" s="22" t="n">
        <x:f>IF(AND(ISNUMBER(I435),ISNUMBER(J435)),I435-J435,"")</x:f>
        <x:v>1967.5060019689827</x:v>
      </x:c>
      <x:c r="L435" s="22" t="n">
        <x:f>IF(ISNUMBER(K435),K435*$B$2+$B$3,"")</x:f>
        <x:v>1830.4296860510133</x:v>
      </x:c>
      <x:c r="M435" s="22" t="n">
        <x:f>IF(AND(ISNUMBER(G435),ISNUMBER(H435),H435&lt;&gt;0),G435/(H435/60)/$B$5,"")</x:f>
        <x:v>0.10013345607506444</x:v>
      </x:c>
      <x:c r="N435" s="22" t="n">
        <x:f>IF(AND(ISNUMBER(L435),ISNUMBER(H435),H435&lt;&gt;0),L435*$B$6/$B$4/(H435/60)^2/$B$5^4/$B$7,"")</x:f>
        <x:v>0.07495377418051583</x:v>
      </x:c>
      <x:c r="O435" s="22" t="n">
        <x:f>IF(ISNUMBER(N435),N435*$B$8,"")</x:f>
        <x:v>0.009684217907383464</x:v>
      </x:c>
      <x:c r="P435" s="20" t="str">
        <x:v>4000rpm!D62</x:v>
      </x:c>
      <x:c r="Q435" s="20" t="str">
        <x:v>4000rpm!C62</x:v>
      </x:c>
      <x:c r="R435" s="20" t="str">
        <x:v>4000rpm!C58</x:v>
      </x:c>
    </x:row>
    <x:row r="436">
      <x:c r="A436" s="21" t="n">
        <x:v>4000</x:v>
      </x:c>
      <x:c r="B436" s="21" t="n">
        <x:v>30</x:v>
      </x:c>
      <x:c r="C436" s="21" t="n">
        <x:v>5</x:v>
      </x:c>
      <x:c r="D436" s="21" t="n">
        <x:v>2</x:v>
      </x:c>
      <x:c r="E436" s="21" t="str">
        <x:v>4000rpm</x:v>
      </x:c>
      <x:c r="F436" s="21" t="n">
        <x:v>62</x:v>
      </x:c>
      <x:c r="G436" s="22" t="n">
        <x:f>IFERROR('4000rpm'!O62,"")</x:f>
        <x:v>3.06671577846849</x:v>
      </x:c>
      <x:c r="H436" s="22" t="n">
        <x:f>IFERROR('4000rpm'!M62,"")</x:f>
        <x:v>4037.61574628276</x:v>
      </x:c>
      <x:c r="I436" s="22" t="n">
        <x:f>IFERROR('4000rpm'!N62,"")</x:f>
        <x:v>2062.76136363636</x:v>
      </x:c>
      <x:c r="J436" s="22" t="n">
        <x:f>IFERROR('4000rpm'!N58,"")</x:f>
        <x:v>93.1842519685039</x:v>
      </x:c>
      <x:c r="K436" s="22" t="n">
        <x:f>IF(AND(ISNUMBER(I436),ISNUMBER(J436)),I436-J436,"")</x:f>
        <x:v>1969.577111667856</x:v>
      </x:c>
      <x:c r="L436" s="22" t="n">
        <x:f>IF(ISNUMBER(K436),K436*$B$2+$B$3,"")</x:f>
        <x:v>1832.326217771149</x:v>
      </x:c>
      <x:c r="M436" s="22" t="n">
        <x:f>IF(AND(ISNUMBER(G436),ISNUMBER(H436),H436&lt;&gt;0),G436/(H436/60)/$B$5,"")</x:f>
        <x:v>0.09967668153591587</x:v>
      </x:c>
      <x:c r="N436" s="22" t="n">
        <x:f>IF(AND(ISNUMBER(L436),ISNUMBER(H436),H436&lt;&gt;0),L436*$B$6/$B$4/(H436/60)^2/$B$5^4/$B$7,"")</x:f>
        <x:v>0.07531291676020979</x:v>
      </x:c>
      <x:c r="O436" s="22" t="n">
        <x:f>IF(ISNUMBER(N436),N436*$B$8,"")</x:f>
        <x:v>0.009730620040426154</x:v>
      </x:c>
      <x:c r="P436" s="20" t="str">
        <x:v>4000rpm!O62</x:v>
      </x:c>
      <x:c r="Q436" s="20" t="str">
        <x:v>4000rpm!N62</x:v>
      </x:c>
      <x:c r="R436" s="20" t="str">
        <x:v>4000rpm!N58</x:v>
      </x:c>
    </x:row>
    <x:row r="437">
      <x:c r="A437" s="21" t="n">
        <x:v>4000</x:v>
      </x:c>
      <x:c r="B437" s="21" t="n">
        <x:v>30</x:v>
      </x:c>
      <x:c r="C437" s="21" t="n">
        <x:v>6</x:v>
      </x:c>
      <x:c r="D437" s="21" t="n">
        <x:v>1</x:v>
      </x:c>
      <x:c r="E437" s="21" t="str">
        <x:v>4000rpm</x:v>
      </x:c>
      <x:c r="F437" s="21" t="n">
        <x:v>63</x:v>
      </x:c>
      <x:c r="G437" s="22" t="n">
        <x:f>IFERROR('4000rpm'!D63,"")</x:f>
        <x:v>4.118860363432785</x:v>
      </x:c>
      <x:c r="H437" s="22" t="n">
        <x:f>IFERROR('4000rpm'!B63,"")</x:f>
        <x:v>4054.62365191915</x:v>
      </x:c>
      <x:c r="I437" s="22" t="n">
        <x:f>IFERROR('4000rpm'!C63,"")</x:f>
        <x:v>2036.58185840707</x:v>
      </x:c>
      <x:c r="J437" s="22" t="n">
        <x:f>IFERROR('4000rpm'!C58,"")</x:f>
        <x:v>89.7468982630272</x:v>
      </x:c>
      <x:c r="K437" s="22" t="n">
        <x:f>IF(AND(ISNUMBER(I437),ISNUMBER(J437)),I437-J437,"")</x:f>
        <x:v>1946.834960144043</x:v>
      </x:c>
      <x:c r="L437" s="22" t="n">
        <x:f>IF(ISNUMBER(K437),K437*$B$2+$B$3,"")</x:f>
        <x:v>1811.5010476835812</x:v>
      </x:c>
      <x:c r="M437" s="22" t="n">
        <x:f>IF(AND(ISNUMBER(G437),ISNUMBER(H437),H437&lt;&gt;0),G437/(H437/60)/$B$5,"")</x:f>
        <x:v>0.1333127072934856</x:v>
      </x:c>
      <x:c r="N437" s="22" t="n">
        <x:f>IF(AND(ISNUMBER(L437),ISNUMBER(H437),H437&lt;&gt;0),L437*$B$6/$B$4/(H437/60)^2/$B$5^4/$B$7,"")</x:f>
        <x:v>0.07383361512249226</x:v>
      </x:c>
      <x:c r="O437" s="22" t="n">
        <x:f>IF(ISNUMBER(N437),N437*$B$8,"")</x:f>
        <x:v>0.009539490513367199</x:v>
      </x:c>
      <x:c r="P437" s="20" t="str">
        <x:v>4000rpm!D63</x:v>
      </x:c>
      <x:c r="Q437" s="20" t="str">
        <x:v>4000rpm!C63</x:v>
      </x:c>
      <x:c r="R437" s="20" t="str">
        <x:v>4000rpm!C58</x:v>
      </x:c>
    </x:row>
    <x:row r="438">
      <x:c r="A438" s="21" t="n">
        <x:v>4000</x:v>
      </x:c>
      <x:c r="B438" s="21" t="n">
        <x:v>30</x:v>
      </x:c>
      <x:c r="C438" s="21" t="n">
        <x:v>6</x:v>
      </x:c>
      <x:c r="D438" s="21" t="n">
        <x:v>2</x:v>
      </x:c>
      <x:c r="E438" s="21" t="str">
        <x:v>4000rpm</x:v>
      </x:c>
      <x:c r="F438" s="21" t="n">
        <x:v>63</x:v>
      </x:c>
      <x:c r="G438" s="22" t="n">
        <x:f>IFERROR('4000rpm'!O63,"")</x:f>
        <x:v>4.2050984044407596</x:v>
      </x:c>
      <x:c r="H438" s="22" t="n">
        <x:f>IFERROR('4000rpm'!M63,"")</x:f>
        <x:v>4013.67787272135</x:v>
      </x:c>
      <x:c r="I438" s="22" t="n">
        <x:f>IFERROR('4000rpm'!N63,"")</x:f>
        <x:v>2027.80897009966</x:v>
      </x:c>
      <x:c r="J438" s="22" t="n">
        <x:f>IFERROR('4000rpm'!N58,"")</x:f>
        <x:v>93.1842519685039</x:v>
      </x:c>
      <x:c r="K438" s="22" t="n">
        <x:f>IF(AND(ISNUMBER(I438),ISNUMBER(J438)),I438-J438,"")</x:f>
        <x:v>1934.624718131156</x:v>
      </x:c>
      <x:c r="L438" s="22" t="n">
        <x:f>IF(ISNUMBER(K438),K438*$B$2+$B$3,"")</x:f>
        <x:v>1800.3200313904447</x:v>
      </x:c>
      <x:c r="M438" s="22" t="n">
        <x:f>IF(AND(ISNUMBER(G438),ISNUMBER(H438),H438&lt;&gt;0),G438/(H438/60)/$B$5,"")</x:f>
        <x:v>0.137492395207004</x:v>
      </x:c>
      <x:c r="N438" s="22" t="n">
        <x:f>IF(AND(ISNUMBER(L438),ISNUMBER(H438),H438&lt;&gt;0),L438*$B$6/$B$4/(H438/60)^2/$B$5^4/$B$7,"")</x:f>
        <x:v>0.07488267117920092</x:v>
      </x:c>
      <x:c r="O438" s="22" t="n">
        <x:f>IF(ISNUMBER(N438),N438*$B$8,"")</x:f>
        <x:v>0.009675031219106177</x:v>
      </x:c>
      <x:c r="P438" s="20" t="str">
        <x:v>4000rpm!O63</x:v>
      </x:c>
      <x:c r="Q438" s="20" t="str">
        <x:v>4000rpm!N63</x:v>
      </x:c>
      <x:c r="R438" s="20" t="str">
        <x:v>4000rpm!N58</x:v>
      </x:c>
    </x:row>
    <x:row r="439">
      <x:c r="A439" s="21" t="n">
        <x:v>4000</x:v>
      </x:c>
      <x:c r="B439" s="21" t="n">
        <x:v>30</x:v>
      </x:c>
      <x:c r="C439" s="21" t="n">
        <x:v>7</x:v>
      </x:c>
      <x:c r="D439" s="21" t="n">
        <x:v>1</x:v>
      </x:c>
      <x:c r="E439" s="21" t="str">
        <x:v>4000rpm</x:v>
      </x:c>
      <x:c r="F439" s="21" t="n">
        <x:v>64</x:v>
      </x:c>
      <x:c r="G439" s="22" t="n">
        <x:f>IFERROR('4000rpm'!D64,"")</x:f>
        <x:v>5.1436009151991</x:v>
      </x:c>
      <x:c r="H439" s="22" t="n">
        <x:f>IFERROR('4000rpm'!B64,"")</x:f>
        <x:v>4005.88141741071</x:v>
      </x:c>
      <x:c r="I439" s="22" t="n">
        <x:f>IFERROR('4000rpm'!C64,"")</x:f>
        <x:v>1993.81670533642</x:v>
      </x:c>
      <x:c r="J439" s="22" t="n">
        <x:f>IFERROR('4000rpm'!C58,"")</x:f>
        <x:v>89.7468982630272</x:v>
      </x:c>
      <x:c r="K439" s="22" t="n">
        <x:f>IF(AND(ISNUMBER(I439),ISNUMBER(J439)),I439-J439,"")</x:f>
        <x:v>1904.069807073393</x:v>
      </x:c>
      <x:c r="L439" s="22" t="n">
        <x:f>IF(ISNUMBER(K439),K439*$B$2+$B$3,"")</x:f>
        <x:v>1772.3406548955625</x:v>
      </x:c>
      <x:c r="M439" s="22" t="n">
        <x:f>IF(AND(ISNUMBER(G439),ISNUMBER(H439),H439&lt;&gt;0),G439/(H439/60)/$B$5,"")</x:f>
        <x:v>0.16850554800015982</x:v>
      </x:c>
      <x:c r="N439" s="22" t="n">
        <x:f>IF(AND(ISNUMBER(L439),ISNUMBER(H439),H439&lt;&gt;0),L439*$B$6/$B$4/(H439/60)^2/$B$5^4/$B$7,"")</x:f>
        <x:v>0.07400612486295745</x:v>
      </x:c>
      <x:c r="O439" s="22" t="n">
        <x:f>IF(ISNUMBER(N439),N439*$B$8,"")</x:f>
        <x:v>0.00956177920978144</x:v>
      </x:c>
      <x:c r="P439" s="20" t="str">
        <x:v>4000rpm!D64</x:v>
      </x:c>
      <x:c r="Q439" s="20" t="str">
        <x:v>4000rpm!C64</x:v>
      </x:c>
      <x:c r="R439" s="20" t="str">
        <x:v>4000rpm!C58</x:v>
      </x:c>
    </x:row>
    <x:row r="440">
      <x:c r="A440" s="21" t="n">
        <x:v>4000</x:v>
      </x:c>
      <x:c r="B440" s="21" t="n">
        <x:v>30</x:v>
      </x:c>
      <x:c r="C440" s="21" t="n">
        <x:v>7</x:v>
      </x:c>
      <x:c r="D440" s="21" t="n">
        <x:v>2</x:v>
      </x:c>
      <x:c r="E440" s="21" t="str">
        <x:v>4000rpm</x:v>
      </x:c>
      <x:c r="F440" s="21" t="n">
        <x:v>64</x:v>
      </x:c>
      <x:c r="G440" s="22" t="n">
        <x:f>IFERROR('4000rpm'!O64,"")</x:f>
        <x:v>5.135267692602285</x:v>
      </x:c>
      <x:c r="H440" s="22" t="n">
        <x:f>IFERROR('4000rpm'!M64,"")</x:f>
        <x:v>4033.18653405231</x:v>
      </x:c>
      <x:c r="I440" s="22" t="n">
        <x:f>IFERROR('4000rpm'!N64,"")</x:f>
        <x:v>1991.06355932203</x:v>
      </x:c>
      <x:c r="J440" s="22" t="n">
        <x:f>IFERROR('4000rpm'!N58,"")</x:f>
        <x:v>93.1842519685039</x:v>
      </x:c>
      <x:c r="K440" s="22" t="n">
        <x:f>IF(AND(ISNUMBER(I440),ISNUMBER(J440)),I440-J440,"")</x:f>
        <x:v>1897.879307353526</x:v>
      </x:c>
      <x:c r="L440" s="22" t="n">
        <x:f>IF(ISNUMBER(K440),K440*$B$2+$B$3,"")</x:f>
        <x:v>1766.6719647780826</x:v>
      </x:c>
      <x:c r="M440" s="22" t="n">
        <x:f>IF(AND(ISNUMBER(G440),ISNUMBER(H440),H440&lt;&gt;0),G440/(H440/60)/$B$5,"")</x:f>
        <x:v>0.1670935968392584</x:v>
      </x:c>
      <x:c r="N440" s="22" t="n">
        <x:f>IF(AND(ISNUMBER(L440),ISNUMBER(H440),H440&lt;&gt;0),L440*$B$6/$B$4/(H440/60)^2/$B$5^4/$B$7,"")</x:f>
        <x:v>0.07277394914489442</x:v>
      </x:c>
      <x:c r="O440" s="22" t="n">
        <x:f>IF(ISNUMBER(N440),N440*$B$8,"")</x:f>
        <x:v>0.0094025789789142</x:v>
      </x:c>
      <x:c r="P440" s="20" t="str">
        <x:v>4000rpm!O64</x:v>
      </x:c>
      <x:c r="Q440" s="20" t="str">
        <x:v>4000rpm!N64</x:v>
      </x:c>
      <x:c r="R440" s="20" t="str">
        <x:v>4000rpm!N58</x:v>
      </x:c>
    </x:row>
    <x:row r="441">
      <x:c r="A441" s="21" t="n">
        <x:v>4000</x:v>
      </x:c>
      <x:c r="B441" s="21" t="n">
        <x:v>30</x:v>
      </x:c>
      <x:c r="C441" s="21" t="n">
        <x:v>8</x:v>
      </x:c>
      <x:c r="D441" s="21" t="n">
        <x:v>1</x:v>
      </x:c>
      <x:c r="E441" s="21" t="str">
        <x:v>4000rpm</x:v>
      </x:c>
      <x:c r="F441" s="21" t="n">
        <x:v>65</x:v>
      </x:c>
      <x:c r="G441" s="22" t="n">
        <x:f>IFERROR('4000rpm'!D65,"")</x:f>
        <x:v>6.177409975900559</x:v>
      </x:c>
      <x:c r="H441" s="22" t="n">
        <x:f>IFERROR('4000rpm'!B65,"")</x:f>
        <x:v>4030.86775716145</x:v>
      </x:c>
      <x:c r="I441" s="22" t="n">
        <x:f>IFERROR('4000rpm'!C65,"")</x:f>
        <x:v>1939.47356321839</x:v>
      </x:c>
      <x:c r="J441" s="22" t="n">
        <x:f>IFERROR('4000rpm'!C58,"")</x:f>
        <x:v>89.7468982630272</x:v>
      </x:c>
      <x:c r="K441" s="22" t="n">
        <x:f>IF(AND(ISNUMBER(I441),ISNUMBER(J441)),I441-J441,"")</x:f>
        <x:v>1849.7266649553628</x:v>
      </x:c>
      <x:c r="L441" s="22" t="n">
        <x:f>IF(ISNUMBER(K441),K441*$B$2+$B$3,"")</x:f>
        <x:v>1722.5782049129455</x:v>
      </x:c>
      <x:c r="M441" s="22" t="n">
        <x:f>IF(AND(ISNUMBER(G441),ISNUMBER(H441),H441&lt;&gt;0),G441/(H441/60)/$B$5,"")</x:f>
        <x:v>0.20111890856036188</x:v>
      </x:c>
      <x:c r="N441" s="22" t="n">
        <x:f>IF(AND(ISNUMBER(L441),ISNUMBER(H441),H441&lt;&gt;0),L441*$B$6/$B$4/(H441/60)^2/$B$5^4/$B$7,"")</x:f>
        <x:v>0.07103927002084946</x:v>
      </x:c>
      <x:c r="O441" s="22" t="n">
        <x:f>IF(ISNUMBER(N441),N441*$B$8,"")</x:f>
        <x:v>0.00917845403230134</x:v>
      </x:c>
      <x:c r="P441" s="20" t="str">
        <x:v>4000rpm!D65</x:v>
      </x:c>
      <x:c r="Q441" s="20" t="str">
        <x:v>4000rpm!C65</x:v>
      </x:c>
      <x:c r="R441" s="20" t="str">
        <x:v>4000rpm!C58</x:v>
      </x:c>
    </x:row>
    <x:row r="442">
      <x:c r="A442" s="21" t="n">
        <x:v>4000</x:v>
      </x:c>
      <x:c r="B442" s="21" t="n">
        <x:v>30</x:v>
      </x:c>
      <x:c r="C442" s="21" t="n">
        <x:v>8</x:v>
      </x:c>
      <x:c r="D442" s="21" t="n">
        <x:v>2</x:v>
      </x:c>
      <x:c r="E442" s="21" t="str">
        <x:v>4000rpm</x:v>
      </x:c>
      <x:c r="F442" s="21" t="n">
        <x:v>65</x:v>
      </x:c>
      <x:c r="G442" s="22" t="n">
        <x:f>IFERROR('4000rpm'!O65,"")</x:f>
        <x:v>6.170500288770045</x:v>
      </x:c>
      <x:c r="H442" s="22" t="n">
        <x:f>IFERROR('4000rpm'!M65,"")</x:f>
        <x:v>4017.95673828125</x:v>
      </x:c>
      <x:c r="I442" s="22" t="n">
        <x:f>IFERROR('4000rpm'!N65,"")</x:f>
        <x:v>1960.995</x:v>
      </x:c>
      <x:c r="J442" s="22" t="n">
        <x:f>IFERROR('4000rpm'!N58,"")</x:f>
        <x:v>93.1842519685039</x:v>
      </x:c>
      <x:c r="K442" s="22" t="n">
        <x:f>IF(AND(ISNUMBER(I442),ISNUMBER(J442)),I442-J442,"")</x:f>
        <x:v>1867.810748031496</x:v>
      </x:c>
      <x:c r="L442" s="22" t="n">
        <x:f>IF(ISNUMBER(K442),K442*$B$2+$B$3,"")</x:f>
        <x:v>1739.1379444584252</x:v>
      </x:c>
      <x:c r="M442" s="22" t="n">
        <x:f>IF(AND(ISNUMBER(G442),ISNUMBER(H442),H442&lt;&gt;0),G442/(H442/60)/$B$5,"")</x:f>
        <x:v>0.2015394872394436</x:v>
      </x:c>
      <x:c r="N442" s="22" t="n">
        <x:f>IF(AND(ISNUMBER(L442),ISNUMBER(H442),H442&lt;&gt;0),L442*$B$6/$B$4/(H442/60)^2/$B$5^4/$B$7,"")</x:f>
        <x:v>0.07218386972790375</x:v>
      </x:c>
      <x:c r="O442" s="22" t="n">
        <x:f>IF(ISNUMBER(N442),N442*$B$8,"")</x:f>
        <x:v>0.009326339220219235</x:v>
      </x:c>
      <x:c r="P442" s="20" t="str">
        <x:v>4000rpm!O65</x:v>
      </x:c>
      <x:c r="Q442" s="20" t="str">
        <x:v>4000rpm!N65</x:v>
      </x:c>
      <x:c r="R442" s="20" t="str">
        <x:v>4000rpm!N58</x:v>
      </x:c>
    </x:row>
    <x:row r="443">
      <x:c r="A443" s="21" t="n">
        <x:v>4000</x:v>
      </x:c>
      <x:c r="B443" s="21" t="n">
        <x:v>30</x:v>
      </x:c>
      <x:c r="C443" s="21" t="n">
        <x:v>9</x:v>
      </x:c>
      <x:c r="D443" s="21" t="n">
        <x:v>1</x:v>
      </x:c>
      <x:c r="E443" s="21" t="str">
        <x:v>4000rpm</x:v>
      </x:c>
      <x:c r="F443" s="21" t="n">
        <x:v>66</x:v>
      </x:c>
      <x:c r="G443" s="22" t="n">
        <x:f>IFERROR('4000rpm'!D66,"")</x:f>
        <x:v>7.198959601168725</x:v>
      </x:c>
      <x:c r="H443" s="22" t="n">
        <x:f>IFERROR('4000rpm'!B66,"")</x:f>
        <x:v>4031.47460123697</x:v>
      </x:c>
      <x:c r="I443" s="22" t="n">
        <x:f>IFERROR('4000rpm'!C66,"")</x:f>
        <x:v>1925.97453310696</x:v>
      </x:c>
      <x:c r="J443" s="22" t="n">
        <x:f>IFERROR('4000rpm'!C58,"")</x:f>
        <x:v>89.7468982630272</x:v>
      </x:c>
      <x:c r="K443" s="22" t="n">
        <x:f>IF(AND(ISNUMBER(I443),ISNUMBER(J443)),I443-J443,"")</x:f>
        <x:v>1836.227634843933</x:v>
      </x:c>
      <x:c r="L443" s="22" t="n">
        <x:f>IF(ISNUMBER(K443),K443*$B$2+$B$3,"")</x:f>
        <x:v>1710.217035047668</x:v>
      </x:c>
      <x:c r="M443" s="22" t="n">
        <x:f>IF(AND(ISNUMBER(G443),ISNUMBER(H443),H443&lt;&gt;0),G443/(H443/60)/$B$5,"")</x:f>
        <x:v>0.2343423803771975</x:v>
      </x:c>
      <x:c r="N443" s="22" t="n">
        <x:f>IF(AND(ISNUMBER(L443),ISNUMBER(H443),H443&lt;&gt;0),L443*$B$6/$B$4/(H443/60)^2/$B$5^4/$B$7,"")</x:f>
        <x:v>0.07050826280739579</x:v>
      </x:c>
      <x:c r="O443" s="22" t="n">
        <x:f>IF(ISNUMBER(N443),N443*$B$8,"")</x:f>
        <x:v>0.009109846552268472</x:v>
      </x:c>
      <x:c r="P443" s="20" t="str">
        <x:v>4000rpm!D66</x:v>
      </x:c>
      <x:c r="Q443" s="20" t="str">
        <x:v>4000rpm!C66</x:v>
      </x:c>
      <x:c r="R443" s="20" t="str">
        <x:v>4000rpm!C58</x:v>
      </x:c>
    </x:row>
    <x:row r="444">
      <x:c r="A444" s="21" t="n">
        <x:v>4000</x:v>
      </x:c>
      <x:c r="B444" s="21" t="n">
        <x:v>30</x:v>
      </x:c>
      <x:c r="C444" s="21" t="n">
        <x:v>9</x:v>
      </x:c>
      <x:c r="D444" s="21" t="n">
        <x:v>2</x:v>
      </x:c>
      <x:c r="E444" s="21" t="str">
        <x:v>4000rpm</x:v>
      </x:c>
      <x:c r="F444" s="21" t="n">
        <x:v>66</x:v>
      </x:c>
      <x:c r="G444" s="22" t="n">
        <x:f>IFERROR('4000rpm'!O66,"")</x:f>
        <x:v>7.1970389862786455</x:v>
      </x:c>
      <x:c r="H444" s="22" t="n">
        <x:f>IFERROR('4000rpm'!M66,"")</x:f>
        <x:v>4023.83736025053</x:v>
      </x:c>
      <x:c r="I444" s="22" t="n">
        <x:f>IFERROR('4000rpm'!N66,"")</x:f>
        <x:v>1934.48096885813</x:v>
      </x:c>
      <x:c r="J444" s="22" t="n">
        <x:f>IFERROR('4000rpm'!N58,"")</x:f>
        <x:v>93.1842519685039</x:v>
      </x:c>
      <x:c r="K444" s="22" t="n">
        <x:f>IF(AND(ISNUMBER(I444),ISNUMBER(J444)),I444-J444,"")</x:f>
        <x:v>1841.296716889626</x:v>
      </x:c>
      <x:c r="L444" s="22" t="n">
        <x:f>IF(ISNUMBER(K444),K444*$B$2+$B$3,"")</x:f>
        <x:v>1714.8588340295655</x:v>
      </x:c>
      <x:c r="M444" s="22" t="n">
        <x:f>IF(AND(ISNUMBER(G444),ISNUMBER(H444),H444&lt;&gt;0),G444/(H444/60)/$B$5,"")</x:f>
        <x:v>0.23472452306747954</x:v>
      </x:c>
      <x:c r="N444" s="22" t="n">
        <x:f>IF(AND(ISNUMBER(L444),ISNUMBER(H444),H444&lt;&gt;0),L444*$B$6/$B$4/(H444/60)^2/$B$5^4/$B$7,"")</x:f>
        <x:v>0.07096826377710112</x:v>
      </x:c>
      <x:c r="O444" s="22" t="n">
        <x:f>IF(ISNUMBER(N444),N444*$B$8,"")</x:f>
        <x:v>0.00916927984534729</x:v>
      </x:c>
      <x:c r="P444" s="20" t="str">
        <x:v>4000rpm!O66</x:v>
      </x:c>
      <x:c r="Q444" s="20" t="str">
        <x:v>4000rpm!N66</x:v>
      </x:c>
      <x:c r="R444" s="20" t="str">
        <x:v>4000rpm!N58</x:v>
      </x:c>
    </x:row>
    <x:row r="445">
      <x:c r="A445" s="21" t="n">
        <x:v>4000</x:v>
      </x:c>
      <x:c r="B445" s="21" t="n">
        <x:v>30</x:v>
      </x:c>
      <x:c r="C445" s="21" t="n">
        <x:v>10</x:v>
      </x:c>
      <x:c r="D445" s="21" t="n">
        <x:v>1</x:v>
      </x:c>
      <x:c r="E445" s="21" t="str">
        <x:v>4000rpm</x:v>
      </x:c>
      <x:c r="F445" s="21" t="n">
        <x:v>67</x:v>
      </x:c>
      <x:c r="G445" s="22" t="n">
        <x:f>IFERROR('4000rpm'!D67,"")</x:f>
        <x:v>8.22682840813623</x:v>
      </x:c>
      <x:c r="H445" s="22" t="n">
        <x:f>IFERROR('4000rpm'!B67,"")</x:f>
        <x:v>4032.20726477581</x:v>
      </x:c>
      <x:c r="I445" s="22" t="n">
        <x:f>IFERROR('4000rpm'!C67,"")</x:f>
        <x:v>1900.98678414096</x:v>
      </x:c>
      <x:c r="J445" s="22" t="n">
        <x:f>IFERROR('4000rpm'!C58,"")</x:f>
        <x:v>89.7468982630272</x:v>
      </x:c>
      <x:c r="K445" s="22" t="n">
        <x:f>IF(AND(ISNUMBER(I445),ISNUMBER(J445)),I445-J445,"")</x:f>
        <x:v>1811.239885877933</x:v>
      </x:c>
      <x:c r="L445" s="22" t="n">
        <x:f>IF(ISNUMBER(K445),K445*$B$2+$B$3,"")</x:f>
        <x:v>1687.3355534175103</x:v>
      </x:c>
      <x:c r="M445" s="22" t="n">
        <x:f>IF(AND(ISNUMBER(G445),ISNUMBER(H445),H445&lt;&gt;0),G445/(H445/60)/$B$5,"")</x:f>
        <x:v>0.2677531692046226</x:v>
      </x:c>
      <x:c r="N445" s="22" t="n">
        <x:f>IF(AND(ISNUMBER(L445),ISNUMBER(H445),H445&lt;&gt;0),L445*$B$6/$B$4/(H445/60)^2/$B$5^4/$B$7,"")</x:f>
        <x:v>0.06953963465498547</x:v>
      </x:c>
      <x:c r="O445" s="22" t="n">
        <x:f>IF(ISNUMBER(N445),N445*$B$8,"")</x:f>
        <x:v>0.008984697335945138</x:v>
      </x:c>
      <x:c r="P445" s="20" t="str">
        <x:v>4000rpm!D67</x:v>
      </x:c>
      <x:c r="Q445" s="20" t="str">
        <x:v>4000rpm!C67</x:v>
      </x:c>
      <x:c r="R445" s="20" t="str">
        <x:v>4000rpm!C58</x:v>
      </x:c>
    </x:row>
    <x:row r="446">
      <x:c r="A446" s="21" t="n">
        <x:v>4000</x:v>
      </x:c>
      <x:c r="B446" s="21" t="n">
        <x:v>30</x:v>
      </x:c>
      <x:c r="C446" s="21" t="n">
        <x:v>10</x:v>
      </x:c>
      <x:c r="D446" s="21" t="n">
        <x:v>2</x:v>
      </x:c>
      <x:c r="E446" s="21" t="str">
        <x:v>4000rpm</x:v>
      </x:c>
      <x:c r="F446" s="21" t="n">
        <x:v>67</x:v>
      </x:c>
      <x:c r="G446" s="22" t="n">
        <x:f>IFERROR('4000rpm'!O67,"")</x:f>
        <x:v>8.222505757683194</x:v>
      </x:c>
      <x:c r="H446" s="22" t="n">
        <x:f>IFERROR('4000rpm'!M67,"")</x:f>
        <x:v>4037.23205987338</x:v>
      </x:c>
      <x:c r="I446" s="22" t="n">
        <x:f>IFERROR('4000rpm'!N67,"")</x:f>
        <x:v>1892.52105263157</x:v>
      </x:c>
      <x:c r="J446" s="22" t="n">
        <x:f>IFERROR('4000rpm'!N58,"")</x:f>
        <x:v>93.1842519685039</x:v>
      </x:c>
      <x:c r="K446" s="22" t="n">
        <x:f>IF(AND(ISNUMBER(I446),ISNUMBER(J446)),I446-J446,"")</x:f>
        <x:v>1799.336800663066</x:v>
      </x:c>
      <x:c r="L446" s="22" t="n">
        <x:f>IF(ISNUMBER(K446),K446*$B$2+$B$3,"")</x:f>
        <x:v>1676.435803061575</x:v>
      </x:c>
      <x:c r="M446" s="22" t="n">
        <x:f>IF(AND(ISNUMBER(G446),ISNUMBER(H446),H446&lt;&gt;0),G446/(H446/60)/$B$5,"")</x:f>
        <x:v>0.2672794085324707</x:v>
      </x:c>
      <x:c r="N446" s="22" t="n">
        <x:f>IF(AND(ISNUMBER(L446),ISNUMBER(H446),H446&lt;&gt;0),L446*$B$6/$B$4/(H446/60)^2/$B$5^4/$B$7,"")</x:f>
        <x:v>0.06891855185441081</x:v>
      </x:c>
      <x:c r="O446" s="22" t="n">
        <x:f>IF(ISNUMBER(N446),N446*$B$8,"")</x:f>
        <x:v>0.008904451861383611</x:v>
      </x:c>
      <x:c r="P446" s="20" t="str">
        <x:v>4000rpm!O67</x:v>
      </x:c>
      <x:c r="Q446" s="20" t="str">
        <x:v>4000rpm!N67</x:v>
      </x:c>
      <x:c r="R446" s="20" t="str">
        <x:v>4000rpm!N58</x:v>
      </x:c>
    </x:row>
    <x:row r="447">
      <x:c r="A447" s="21" t="n">
        <x:v>4000</x:v>
      </x:c>
      <x:c r="B447" s="21" t="n">
        <x:v>30</x:v>
      </x:c>
      <x:c r="C447" s="21" t="n">
        <x:v>11</x:v>
      </x:c>
      <x:c r="D447" s="21" t="n">
        <x:v>1</x:v>
      </x:c>
      <x:c r="E447" s="21" t="str">
        <x:v>4000rpm</x:v>
      </x:c>
      <x:c r="F447" s="21" t="n">
        <x:v>68</x:v>
      </x:c>
      <x:c r="G447" s="22" t="n">
        <x:f>IFERROR('4000rpm'!D68,"")</x:f>
        <x:v>9.25909387357164</x:v>
      </x:c>
      <x:c r="H447" s="22" t="n">
        <x:f>IFERROR('4000rpm'!B68,"")</x:f>
        <x:v>4017.5351196289</x:v>
      </x:c>
      <x:c r="I447" s="22" t="n">
        <x:f>IFERROR('4000rpm'!C68,"")</x:f>
        <x:v>1868.05185185185</x:v>
      </x:c>
      <x:c r="J447" s="22" t="n">
        <x:f>IFERROR('4000rpm'!C58,"")</x:f>
        <x:v>89.7468982630272</x:v>
      </x:c>
      <x:c r="K447" s="22" t="n">
        <x:f>IF(AND(ISNUMBER(I447),ISNUMBER(J447)),I447-J447,"")</x:f>
        <x:v>1778.3049535888229</x:v>
      </x:c>
      <x:c r="L447" s="22" t="n">
        <x:f>IF(ISNUMBER(K447),K447*$B$2+$B$3,"")</x:f>
        <x:v>1657.1767724409137</x:v>
      </x:c>
      <x:c r="M447" s="22" t="n">
        <x:f>IF(AND(ISNUMBER(G447),ISNUMBER(H447),H447&lt;&gt;0),G447/(H447/60)/$B$5,"")</x:f>
        <x:v>0.3024501707394301</x:v>
      </x:c>
      <x:c r="N447" s="22" t="n">
        <x:f>IF(AND(ISNUMBER(L447),ISNUMBER(H447),H447&lt;&gt;0),L447*$B$6/$B$4/(H447/60)^2/$B$5^4/$B$7,"")</x:f>
        <x:v>0.06879646390646364</x:v>
      </x:c>
      <x:c r="O447" s="22" t="n">
        <x:f>IF(ISNUMBER(N447),N447*$B$8,"")</x:f>
        <x:v>0.008888677788567235</x:v>
      </x:c>
      <x:c r="P447" s="20" t="str">
        <x:v>4000rpm!D68</x:v>
      </x:c>
      <x:c r="Q447" s="20" t="str">
        <x:v>4000rpm!C68</x:v>
      </x:c>
      <x:c r="R447" s="20" t="str">
        <x:v>4000rpm!C58</x:v>
      </x:c>
    </x:row>
    <x:row r="448">
      <x:c r="A448" s="21" t="n">
        <x:v>4000</x:v>
      </x:c>
      <x:c r="B448" s="21" t="n">
        <x:v>30</x:v>
      </x:c>
      <x:c r="C448" s="21" t="n">
        <x:v>11</x:v>
      </x:c>
      <x:c r="D448" s="21" t="n">
        <x:v>2</x:v>
      </x:c>
      <x:c r="E448" s="21" t="str">
        <x:v>4000rpm</x:v>
      </x:c>
      <x:c r="F448" s="21" t="n">
        <x:v>68</x:v>
      </x:c>
      <x:c r="G448" s="22" t="n">
        <x:f>IFERROR('4000rpm'!O68,"")</x:f>
        <x:v>9.250161007830961</x:v>
      </x:c>
      <x:c r="H448" s="22" t="n">
        <x:f>IFERROR('4000rpm'!M68,"")</x:f>
        <x:v>4026.77794989224</x:v>
      </x:c>
      <x:c r="I448" s="22" t="n">
        <x:f>IFERROR('4000rpm'!N68,"")</x:f>
        <x:v>1871.11013986014</x:v>
      </x:c>
      <x:c r="J448" s="22" t="n">
        <x:f>IFERROR('4000rpm'!N58,"")</x:f>
        <x:v>93.1842519685039</x:v>
      </x:c>
      <x:c r="K448" s="22" t="n">
        <x:f>IF(AND(ISNUMBER(I448),ISNUMBER(J448)),I448-J448,"")</x:f>
        <x:v>1777.925887891636</x:v>
      </x:c>
      <x:c r="L448" s="22" t="n">
        <x:f>IF(ISNUMBER(K448),K448*$B$2+$B$3,"")</x:f>
        <x:v>1656.8296589494742</x:v>
      </x:c>
      <x:c r="M448" s="22" t="n">
        <x:f>IF(AND(ISNUMBER(G448),ISNUMBER(H448),H448&lt;&gt;0),G448/(H448/60)/$B$5,"")</x:f>
        <x:v>0.3014648202352331</x:v>
      </x:c>
      <x:c r="N448" s="22" t="n">
        <x:f>IF(AND(ISNUMBER(L448),ISNUMBER(H448),H448&lt;&gt;0),L448*$B$6/$B$4/(H448/60)^2/$B$5^4/$B$7,"")</x:f>
        <x:v>0.06846665953665608</x:v>
      </x:c>
      <x:c r="O448" s="22" t="n">
        <x:f>IF(ISNUMBER(N448),N448*$B$8,"")</x:f>
        <x:v>0.00884606622672204</x:v>
      </x:c>
      <x:c r="P448" s="20" t="str">
        <x:v>4000rpm!O68</x:v>
      </x:c>
      <x:c r="Q448" s="20" t="str">
        <x:v>4000rpm!N68</x:v>
      </x:c>
      <x:c r="R448" s="20" t="str">
        <x:v>4000rpm!N58</x:v>
      </x:c>
    </x:row>
    <x:row r="449">
      <x:c r="A449" s="21" t="n">
        <x:v>4000</x:v>
      </x:c>
      <x:c r="B449" s="21" t="n">
        <x:v>30</x:v>
      </x:c>
      <x:c r="C449" s="21" t="n">
        <x:v>12</x:v>
      </x:c>
      <x:c r="D449" s="21" t="n">
        <x:v>1</x:v>
      </x:c>
      <x:c r="E449" s="21" t="str">
        <x:v>4000rpm</x:v>
      </x:c>
      <x:c r="F449" s="21" t="n">
        <x:v>69</x:v>
      </x:c>
      <x:c r="G449" s="22" t="n">
        <x:f>IFERROR('4000rpm'!D69,"")</x:f>
        <x:v>10.191499443536385</x:v>
      </x:c>
      <x:c r="H449" s="22" t="n">
        <x:f>IFERROR('4000rpm'!B69,"")</x:f>
        <x:v>4015.4153781467</x:v>
      </x:c>
      <x:c r="I449" s="22" t="n">
        <x:f>IFERROR('4000rpm'!C69,"")</x:f>
        <x:v>1850.95798319327</x:v>
      </x:c>
      <x:c r="J449" s="22" t="n">
        <x:f>IFERROR('4000rpm'!C58,"")</x:f>
        <x:v>89.7468982630272</x:v>
      </x:c>
      <x:c r="K449" s="22" t="n">
        <x:f>IF(AND(ISNUMBER(I449),ISNUMBER(J449)),I449-J449,"")</x:f>
        <x:v>1761.2110849302428</x:v>
      </x:c>
      <x:c r="L449" s="22" t="n">
        <x:f>IF(ISNUMBER(K449),K449*$B$2+$B$3,"")</x:f>
        <x:v>1641.5237801593028</x:v>
      </x:c>
      <x:c r="M449" s="22" t="n">
        <x:f>IF(AND(ISNUMBER(G449),ISNUMBER(H449),H449&lt;&gt;0),G449/(H449/60)/$B$5,"")</x:f>
        <x:v>0.333083129046448</x:v>
      </x:c>
      <x:c r="N449" s="22" t="n">
        <x:f>IF(AND(ISNUMBER(L449),ISNUMBER(H449),H449&lt;&gt;0),L449*$B$6/$B$4/(H449/60)^2/$B$5^4/$B$7,"")</x:f>
        <x:v>0.06821860988901389</x:v>
      </x:c>
      <x:c r="O449" s="22" t="n">
        <x:f>IF(ISNUMBER(N449),N449*$B$8,"")</x:f>
        <x:v>0.00881401758252927</x:v>
      </x:c>
      <x:c r="P449" s="20" t="str">
        <x:v>4000rpm!D69</x:v>
      </x:c>
      <x:c r="Q449" s="20" t="str">
        <x:v>4000rpm!C69</x:v>
      </x:c>
      <x:c r="R449" s="20" t="str">
        <x:v>4000rpm!C58</x:v>
      </x:c>
    </x:row>
    <x:row r="450">
      <x:c r="A450" s="21" t="n">
        <x:v>4000</x:v>
      </x:c>
      <x:c r="B450" s="21" t="n">
        <x:v>30</x:v>
      </x:c>
      <x:c r="C450" s="21" t="n">
        <x:v>12</x:v>
      </x:c>
      <x:c r="D450" s="21" t="n">
        <x:v>2</x:v>
      </x:c>
      <x:c r="E450" s="21" t="str">
        <x:v>4000rpm</x:v>
      </x:c>
      <x:c r="F450" s="21" t="n">
        <x:v>69</x:v>
      </x:c>
      <x:c r="G450" s="22" t="n">
        <x:f>IFERROR('4000rpm'!O69,"")</x:f>
        <x:v>10.194048810005174</x:v>
      </x:c>
      <x:c r="H450" s="22" t="n">
        <x:f>IFERROR('4000rpm'!M69,"")</x:f>
        <x:v>4019.24817475818</x:v>
      </x:c>
      <x:c r="I450" s="22" t="n">
        <x:f>IFERROR('4000rpm'!N69,"")</x:f>
        <x:v>1842.81666666666</x:v>
      </x:c>
      <x:c r="J450" s="22" t="n">
        <x:f>IFERROR('4000rpm'!N58,"")</x:f>
        <x:v>93.1842519685039</x:v>
      </x:c>
      <x:c r="K450" s="22" t="n">
        <x:f>IF(AND(ISNUMBER(I450),ISNUMBER(J450)),I450-J450,"")</x:f>
        <x:v>1749.632414698156</x:v>
      </x:c>
      <x:c r="L450" s="22" t="n">
        <x:f>IF(ISNUMBER(K450),K450*$B$2+$B$3,"")</x:f>
        <x:v>1630.9210991984191</x:v>
      </x:c>
      <x:c r="M450" s="22" t="n">
        <x:f>IF(AND(ISNUMBER(G450),ISNUMBER(H450),H450&lt;&gt;0),G450/(H450/60)/$B$5,"")</x:f>
        <x:v>0.3328487376083789</x:v>
      </x:c>
      <x:c r="N450" s="22" t="n">
        <x:f>IF(AND(ISNUMBER(L450),ISNUMBER(H450),H450&lt;&gt;0),L450*$B$6/$B$4/(H450/60)^2/$B$5^4/$B$7,"")</x:f>
        <x:v>0.06764877667586648</x:v>
      </x:c>
      <x:c r="O450" s="22" t="n">
        <x:f>IF(ISNUMBER(N450),N450*$B$8,"")</x:f>
        <x:v>0.008740393684769383</x:v>
      </x:c>
      <x:c r="P450" s="20" t="str">
        <x:v>4000rpm!O69</x:v>
      </x:c>
      <x:c r="Q450" s="20" t="str">
        <x:v>4000rpm!N69</x:v>
      </x:c>
      <x:c r="R450" s="20" t="str">
        <x:v>4000rpm!N58</x:v>
      </x:c>
    </x:row>
    <x:row r="451">
      <x:c r="A451" s="21" t="n">
        <x:v>4000</x:v>
      </x:c>
      <x:c r="B451" s="21" t="n">
        <x:v>30</x:v>
      </x:c>
      <x:c r="C451" s="21" t="n">
        <x:v>13</x:v>
      </x:c>
      <x:c r="D451" s="21" t="n">
        <x:v>1</x:v>
      </x:c>
      <x:c r="E451" s="21" t="str">
        <x:v>4000rpm</x:v>
      </x:c>
      <x:c r="F451" s="21" t="n">
        <x:v>70</x:v>
      </x:c>
      <x:c r="G451" s="22" t="n">
        <x:f>IFERROR('4000rpm'!D70,"")</x:f>
        <x:v>9.249326317997294</x:v>
      </x:c>
      <x:c r="H451" s="22" t="n">
        <x:f>IFERROR('4000rpm'!B70,"")</x:f>
        <x:v>4022.76805579144</x:v>
      </x:c>
      <x:c r="I451" s="22" t="n">
        <x:f>IFERROR('4000rpm'!C70,"")</x:f>
        <x:v>1861.22929936305</x:v>
      </x:c>
      <x:c r="J451" s="22" t="n">
        <x:f>IFERROR('4000rpm'!C58,"")</x:f>
        <x:v>89.7468982630272</x:v>
      </x:c>
      <x:c r="K451" s="22" t="n">
        <x:f>IF(AND(ISNUMBER(I451),ISNUMBER(J451)),I451-J451,"")</x:f>
        <x:v>1771.4824011000228</x:v>
      </x:c>
      <x:c r="L451" s="22" t="n">
        <x:f>IF(ISNUMBER(K451),K451*$B$2+$B$3,"")</x:f>
        <x:v>1650.9293065464997</x:v>
      </x:c>
      <x:c r="M451" s="22" t="n">
        <x:f>IF(AND(ISNUMBER(G451),ISNUMBER(H451),H451&lt;&gt;0),G451/(H451/60)/$B$5,"")</x:f>
        <x:v>0.3017380904414105</x:v>
      </x:c>
      <x:c r="N451" s="22" t="n">
        <x:f>IF(AND(ISNUMBER(L451),ISNUMBER(H451),H451&lt;&gt;0),L451*$B$6/$B$4/(H451/60)^2/$B$5^4/$B$7,"")</x:f>
        <x:v>0.06835891076830539</x:v>
      </x:c>
      <x:c r="O451" s="22" t="n">
        <x:f>IF(ISNUMBER(N451),N451*$B$8,"")</x:f>
        <x:v>0.008832144812312044</x:v>
      </x:c>
      <x:c r="P451" s="20" t="str">
        <x:v>4000rpm!D70</x:v>
      </x:c>
      <x:c r="Q451" s="20" t="str">
        <x:v>4000rpm!C70</x:v>
      </x:c>
      <x:c r="R451" s="20" t="str">
        <x:v>4000rpm!C58</x:v>
      </x:c>
    </x:row>
    <x:row r="452">
      <x:c r="A452" s="21" t="n">
        <x:v>4000</x:v>
      </x:c>
      <x:c r="B452" s="21" t="n">
        <x:v>30</x:v>
      </x:c>
      <x:c r="C452" s="21" t="n">
        <x:v>13</x:v>
      </x:c>
      <x:c r="D452" s="21" t="n">
        <x:v>2</x:v>
      </x:c>
      <x:c r="E452" s="21" t="str">
        <x:v>4000rpm</x:v>
      </x:c>
      <x:c r="F452" s="21" t="n">
        <x:v>70</x:v>
      </x:c>
      <x:c r="G452" s="22" t="n">
        <x:f>IFERROR('4000rpm'!O70,"")</x:f>
        <x:v>9.253527812916644</x:v>
      </x:c>
      <x:c r="H452" s="22" t="n">
        <x:f>IFERROR('4000rpm'!M70,"")</x:f>
        <x:v>4014.50031844429</x:v>
      </x:c>
      <x:c r="I452" s="22" t="n">
        <x:f>IFERROR('4000rpm'!N70,"")</x:f>
        <x:v>1874.875</x:v>
      </x:c>
      <x:c r="J452" s="22" t="n">
        <x:f>IFERROR('4000rpm'!N58,"")</x:f>
        <x:v>93.1842519685039</x:v>
      </x:c>
      <x:c r="K452" s="22" t="n">
        <x:f>IF(AND(ISNUMBER(I452),ISNUMBER(J452)),I452-J452,"")</x:f>
        <x:v>1781.690748031496</x:v>
      </x:c>
      <x:c r="L452" s="22" t="n">
        <x:f>IF(ISNUMBER(K452),K452*$B$2+$B$3,"")</x:f>
        <x:v>1660.277171498425</x:v>
      </x:c>
      <x:c r="M452" s="22" t="n">
        <x:f>IF(AND(ISNUMBER(G452),ISNUMBER(H452),H452&lt;&gt;0),G452/(H452/60)/$B$5,"")</x:f>
        <x:v>0.3024968569936036</x:v>
      </x:c>
      <x:c r="N452" s="22" t="n">
        <x:f>IF(AND(ISNUMBER(L452),ISNUMBER(H452),H452&lt;&gt;0),L452*$B$6/$B$4/(H452/60)^2/$B$5^4/$B$7,"")</x:f>
        <x:v>0.0690294233952899</x:v>
      </x:c>
      <x:c r="O452" s="22" t="n">
        <x:f>IF(ISNUMBER(N452),N452*$B$8,"")</x:f>
        <x:v>0.008918776745931981</x:v>
      </x:c>
      <x:c r="P452" s="20" t="str">
        <x:v>4000rpm!O70</x:v>
      </x:c>
      <x:c r="Q452" s="20" t="str">
        <x:v>4000rpm!N70</x:v>
      </x:c>
      <x:c r="R452" s="20" t="str">
        <x:v>4000rpm!N58</x:v>
      </x:c>
    </x:row>
    <x:row r="453">
      <x:c r="A453" s="21" t="n">
        <x:v>4000</x:v>
      </x:c>
      <x:c r="B453" s="21" t="n">
        <x:v>30</x:v>
      </x:c>
      <x:c r="C453" s="21" t="n">
        <x:v>14</x:v>
      </x:c>
      <x:c r="D453" s="21" t="n">
        <x:v>1</x:v>
      </x:c>
      <x:c r="E453" s="21" t="str">
        <x:v>4000rpm</x:v>
      </x:c>
      <x:c r="F453" s="21" t="n">
        <x:v>71</x:v>
      </x:c>
      <x:c r="G453" s="22" t="n">
        <x:f>IFERROR('4000rpm'!D71,"")</x:f>
        <x:v>8.23623247923354</x:v>
      </x:c>
      <x:c r="H453" s="22" t="n">
        <x:f>IFERROR('4000rpm'!B71,"")</x:f>
        <x:v>4036.1104292436</x:v>
      </x:c>
      <x:c r="I453" s="22" t="n">
        <x:f>IFERROR('4000rpm'!C71,"")</x:f>
        <x:v>1893.11111111111</x:v>
      </x:c>
      <x:c r="J453" s="22" t="n">
        <x:f>IFERROR('4000rpm'!C58,"")</x:f>
        <x:v>89.7468982630272</x:v>
      </x:c>
      <x:c r="K453" s="22" t="n">
        <x:f>IF(AND(ISNUMBER(I453),ISNUMBER(J453)),I453-J453,"")</x:f>
        <x:v>1803.3642128480828</x:v>
      </x:c>
      <x:c r="L453" s="22" t="n">
        <x:f>IF(ISNUMBER(K453),K453*$B$2+$B$3,"")</x:f>
        <x:v>1680.1237366186922</x:v>
      </x:c>
      <x:c r="M453" s="22" t="n">
        <x:f>IF(AND(ISNUMBER(G453),ISNUMBER(H453),H453&lt;&gt;0),G453/(H453/60)/$B$5,"")</x:f>
        <x:v>0.2678000077171956</x:v>
      </x:c>
      <x:c r="N453" s="22" t="n">
        <x:f>IF(AND(ISNUMBER(L453),ISNUMBER(H453),H453&lt;&gt;0),L453*$B$6/$B$4/(H453/60)^2/$B$5^4/$B$7,"")</x:f>
        <x:v>0.06910855778844854</x:v>
      </x:c>
      <x:c r="O453" s="22" t="n">
        <x:f>IF(ISNUMBER(N453),N453*$B$8,"")</x:f>
        <x:v>0.00892900111042457</x:v>
      </x:c>
      <x:c r="P453" s="20" t="str">
        <x:v>4000rpm!D71</x:v>
      </x:c>
      <x:c r="Q453" s="20" t="str">
        <x:v>4000rpm!C71</x:v>
      </x:c>
      <x:c r="R453" s="20" t="str">
        <x:v>4000rpm!C58</x:v>
      </x:c>
    </x:row>
    <x:row r="454">
      <x:c r="A454" s="21" t="n">
        <x:v>4000</x:v>
      </x:c>
      <x:c r="B454" s="21" t="n">
        <x:v>30</x:v>
      </x:c>
      <x:c r="C454" s="21" t="n">
        <x:v>14</x:v>
      </x:c>
      <x:c r="D454" s="21" t="n">
        <x:v>2</x:v>
      </x:c>
      <x:c r="E454" s="21" t="str">
        <x:v>4000rpm</x:v>
      </x:c>
      <x:c r="F454" s="21" t="n">
        <x:v>71</x:v>
      </x:c>
      <x:c r="G454" s="22" t="n">
        <x:f>IFERROR('4000rpm'!O71,"")</x:f>
        <x:v>8.23201239440175</x:v>
      </x:c>
      <x:c r="H454" s="22" t="n">
        <x:f>IFERROR('4000rpm'!M71,"")</x:f>
        <x:v>4024.54157366071</x:v>
      </x:c>
      <x:c r="I454" s="22" t="n">
        <x:f>IFERROR('4000rpm'!N71,"")</x:f>
        <x:v>1864.49419953596</x:v>
      </x:c>
      <x:c r="J454" s="22" t="n">
        <x:f>IFERROR('4000rpm'!N58,"")</x:f>
        <x:v>93.1842519685039</x:v>
      </x:c>
      <x:c r="K454" s="22" t="n">
        <x:f>IF(AND(ISNUMBER(I454),ISNUMBER(J454)),I454-J454,"")</x:f>
        <x:v>1771.309947567456</x:v>
      </x:c>
      <x:c r="L454" s="22" t="n">
        <x:f>IF(ISNUMBER(K454),K454*$B$2+$B$3,"")</x:f>
        <x:v>1650.7713894671</x:v>
      </x:c>
      <x:c r="M454" s="22" t="n">
        <x:f>IF(AND(ISNUMBER(G454),ISNUMBER(H454),H454&lt;&gt;0),G454/(H454/60)/$B$5,"")</x:f>
        <x:v>0.26843220958683706</x:v>
      </x:c>
      <x:c r="N454" s="22" t="n">
        <x:f>IF(AND(ISNUMBER(L454),ISNUMBER(H454),H454&lt;&gt;0),L454*$B$6/$B$4/(H454/60)^2/$B$5^4/$B$7,"")</x:f>
        <x:v>0.06829214281118252</x:v>
      </x:c>
      <x:c r="O454" s="22" t="n">
        <x:f>IF(ISNUMBER(N454),N454*$B$8,"")</x:f>
        <x:v>0.008823518222749637</x:v>
      </x:c>
      <x:c r="P454" s="20" t="str">
        <x:v>4000rpm!O71</x:v>
      </x:c>
      <x:c r="Q454" s="20" t="str">
        <x:v>4000rpm!N71</x:v>
      </x:c>
      <x:c r="R454" s="20" t="str">
        <x:v>4000rpm!N58</x:v>
      </x:c>
    </x:row>
    <x:row r="455">
      <x:c r="A455" s="21" t="n">
        <x:v>4000</x:v>
      </x:c>
      <x:c r="B455" s="21" t="n">
        <x:v>30</x:v>
      </x:c>
      <x:c r="C455" s="21" t="n">
        <x:v>15</x:v>
      </x:c>
      <x:c r="D455" s="21" t="n">
        <x:v>1</x:v>
      </x:c>
      <x:c r="E455" s="21" t="str">
        <x:v>4000rpm</x:v>
      </x:c>
      <x:c r="F455" s="21" t="n">
        <x:v>72</x:v>
      </x:c>
      <x:c r="G455" s="22" t="n">
        <x:f>IFERROR('4000rpm'!D72,"")</x:f>
        <x:v>7.213120441956269</x:v>
      </x:c>
      <x:c r="H455" s="22" t="n">
        <x:f>IFERROR('4000rpm'!B72,"")</x:f>
        <x:v>4015.09216308593</x:v>
      </x:c>
      <x:c r="I455" s="22" t="n">
        <x:f>IFERROR('4000rpm'!C72,"")</x:f>
        <x:v>1909.64396887159</x:v>
      </x:c>
      <x:c r="J455" s="22" t="n">
        <x:f>IFERROR('4000rpm'!C58,"")</x:f>
        <x:v>89.7468982630272</x:v>
      </x:c>
      <x:c r="K455" s="22" t="n">
        <x:f>IF(AND(ISNUMBER(I455),ISNUMBER(J455)),I455-J455,"")</x:f>
        <x:v>1819.897070608563</x:v>
      </x:c>
      <x:c r="L455" s="22" t="n">
        <x:f>IF(ISNUMBER(K455),K455*$B$2+$B$3,"")</x:f>
        <x:v>1695.263006732826</x:v>
      </x:c>
      <x:c r="M455" s="22" t="n">
        <x:f>IF(AND(ISNUMBER(G455),ISNUMBER(H455),H455&lt;&gt;0),G455/(H455/60)/$B$5,"")</x:f>
        <x:v>0.23576139577644203</x:v>
      </x:c>
      <x:c r="N455" s="22" t="n">
        <x:f>IF(AND(ISNUMBER(L455),ISNUMBER(H455),H455&lt;&gt;0),L455*$B$6/$B$4/(H455/60)^2/$B$5^4/$B$7,"")</x:f>
        <x:v>0.07046325327565453</x:v>
      </x:c>
      <x:c r="O455" s="22" t="n">
        <x:f>IF(ISNUMBER(N455),N455*$B$8,"")</x:f>
        <x:v>0.009104031206502935</x:v>
      </x:c>
      <x:c r="P455" s="20" t="str">
        <x:v>4000rpm!D72</x:v>
      </x:c>
      <x:c r="Q455" s="20" t="str">
        <x:v>4000rpm!C72</x:v>
      </x:c>
      <x:c r="R455" s="20" t="str">
        <x:v>4000rpm!C58</x:v>
      </x:c>
    </x:row>
    <x:row r="456">
      <x:c r="A456" s="21" t="n">
        <x:v>4000</x:v>
      </x:c>
      <x:c r="B456" s="21" t="n">
        <x:v>30</x:v>
      </x:c>
      <x:c r="C456" s="21" t="n">
        <x:v>15</x:v>
      </x:c>
      <x:c r="D456" s="21" t="n">
        <x:v>2</x:v>
      </x:c>
      <x:c r="E456" s="21" t="str">
        <x:v>4000rpm</x:v>
      </x:c>
      <x:c r="F456" s="21" t="n">
        <x:v>72</x:v>
      </x:c>
      <x:c r="G456" s="22" t="n">
        <x:f>IFERROR('4000rpm'!O72,"")</x:f>
        <x:v>7.212624716879745</x:v>
      </x:c>
      <x:c r="H456" s="22" t="n">
        <x:f>IFERROR('4000rpm'!M72,"")</x:f>
        <x:v>4011.85500616776</x:v>
      </x:c>
      <x:c r="I456" s="22" t="n">
        <x:f>IFERROR('4000rpm'!N72,"")</x:f>
        <x:v>1907.64213197969</x:v>
      </x:c>
      <x:c r="J456" s="22" t="n">
        <x:f>IFERROR('4000rpm'!N58,"")</x:f>
        <x:v>93.1842519685039</x:v>
      </x:c>
      <x:c r="K456" s="22" t="n">
        <x:f>IF(AND(ISNUMBER(I456),ISNUMBER(J456)),I456-J456,"")</x:f>
        <x:v>1814.457880011186</x:v>
      </x:c>
      <x:c r="L456" s="22" t="n">
        <x:f>IF(ISNUMBER(K456),K456*$B$2+$B$3,"")</x:f>
        <x:v>1690.2822963892831</x:v>
      </x:c>
      <x:c r="M456" s="22" t="n">
        <x:f>IF(AND(ISNUMBER(G456),ISNUMBER(H456),H456&lt;&gt;0),G456/(H456/60)/$B$5,"")</x:f>
        <x:v>0.23593541523825737</x:v>
      </x:c>
      <x:c r="N456" s="22" t="n">
        <x:f>IF(AND(ISNUMBER(L456),ISNUMBER(H456),H456&lt;&gt;0),L456*$B$6/$B$4/(H456/60)^2/$B$5^4/$B$7,"")</x:f>
        <x:v>0.07036965602631065</x:v>
      </x:c>
      <x:c r="O456" s="22" t="n">
        <x:f>IF(ISNUMBER(N456),N456*$B$8,"")</x:f>
        <x:v>0.009091938204274725</x:v>
      </x:c>
      <x:c r="P456" s="20" t="str">
        <x:v>4000rpm!O72</x:v>
      </x:c>
      <x:c r="Q456" s="20" t="str">
        <x:v>4000rpm!N72</x:v>
      </x:c>
      <x:c r="R456" s="20" t="str">
        <x:v>4000rpm!N58</x:v>
      </x:c>
    </x:row>
    <x:row r="457">
      <x:c r="A457" s="21" t="n">
        <x:v>4000</x:v>
      </x:c>
      <x:c r="B457" s="21" t="n">
        <x:v>30</x:v>
      </x:c>
      <x:c r="C457" s="21" t="n">
        <x:v>16</x:v>
      </x:c>
      <x:c r="D457" s="21" t="n">
        <x:v>1</x:v>
      </x:c>
      <x:c r="E457" s="21" t="str">
        <x:v>4000rpm</x:v>
      </x:c>
      <x:c r="F457" s="21" t="n">
        <x:v>73</x:v>
      </x:c>
      <x:c r="G457" s="22" t="n">
        <x:f>IFERROR('4000rpm'!D73,"")</x:f>
        <x:v>6.1937138929086455</x:v>
      </x:c>
      <x:c r="H457" s="22" t="n">
        <x:f>IFERROR('4000rpm'!B73,"")</x:f>
        <x:v>4011.17823428199</x:v>
      </x:c>
      <x:c r="I457" s="22" t="n">
        <x:f>IFERROR('4000rpm'!C73,"")</x:f>
        <x:v>1927.41809290953</x:v>
      </x:c>
      <x:c r="J457" s="22" t="n">
        <x:f>IFERROR('4000rpm'!C58,"")</x:f>
        <x:v>89.7468982630272</x:v>
      </x:c>
      <x:c r="K457" s="22" t="n">
        <x:f>IF(AND(ISNUMBER(I457),ISNUMBER(J457)),I457-J457,"")</x:f>
        <x:v>1837.671194646503</x:v>
      </x:c>
      <x:c r="L457" s="22" t="n">
        <x:f>IF(ISNUMBER(K457),K457*$B$2+$B$3,"")</x:f>
        <x:v>1711.5389143073598</x:v>
      </x:c>
      <x:c r="M457" s="22" t="n">
        <x:f>IF(AND(ISNUMBER(G457),ISNUMBER(H457),H457&lt;&gt;0),G457/(H457/60)/$B$5,"")</x:f>
        <x:v>0.2026395482951074</x:v>
      </x:c>
      <x:c r="N457" s="22" t="n">
        <x:f>IF(AND(ISNUMBER(L457),ISNUMBER(H457),H457&lt;&gt;0),L457*$B$6/$B$4/(H457/60)^2/$B$5^4/$B$7,"")</x:f>
        <x:v>0.07127865571656142</x:v>
      </x:c>
      <x:c r="O457" s="22" t="n">
        <x:f>IF(ISNUMBER(N457),N457*$B$8,"")</x:f>
        <x:v>0.009209383271909769</x:v>
      </x:c>
      <x:c r="P457" s="20" t="str">
        <x:v>4000rpm!D73</x:v>
      </x:c>
      <x:c r="Q457" s="20" t="str">
        <x:v>4000rpm!C73</x:v>
      </x:c>
      <x:c r="R457" s="20" t="str">
        <x:v>4000rpm!C58</x:v>
      </x:c>
    </x:row>
    <x:row r="458">
      <x:c r="A458" s="21" t="n">
        <x:v>4000</x:v>
      </x:c>
      <x:c r="B458" s="21" t="n">
        <x:v>30</x:v>
      </x:c>
      <x:c r="C458" s="21" t="n">
        <x:v>16</x:v>
      </x:c>
      <x:c r="D458" s="21" t="n">
        <x:v>2</x:v>
      </x:c>
      <x:c r="E458" s="21" t="str">
        <x:v>4000rpm</x:v>
      </x:c>
      <x:c r="F458" s="21" t="n">
        <x:v>73</x:v>
      </x:c>
      <x:c r="G458" s="22" t="n">
        <x:f>IFERROR('4000rpm'!O73,"")</x:f>
        <x:v>6.19539243876933</x:v>
      </x:c>
      <x:c r="H458" s="22" t="n">
        <x:f>IFERROR('4000rpm'!M73,"")</x:f>
        <x:v>3994.01541137695</x:v>
      </x:c>
      <x:c r="I458" s="22" t="n">
        <x:f>IFERROR('4000rpm'!N73,"")</x:f>
        <x:v>1931.16839916839</x:v>
      </x:c>
      <x:c r="J458" s="22" t="n">
        <x:f>IFERROR('4000rpm'!N58,"")</x:f>
        <x:v>93.1842519685039</x:v>
      </x:c>
      <x:c r="K458" s="22" t="n">
        <x:f>IF(AND(ISNUMBER(I458),ISNUMBER(J458)),I458-J458,"")</x:f>
        <x:v>1837.984147199886</x:v>
      </x:c>
      <x:c r="L458" s="22" t="n">
        <x:f>IF(ISNUMBER(K458),K458*$B$2+$B$3,"")</x:f>
        <x:v>1711.8254874641132</x:v>
      </x:c>
      <x:c r="M458" s="22" t="n">
        <x:f>IF(AND(ISNUMBER(G458),ISNUMBER(H458),H458&lt;&gt;0),G458/(H458/60)/$B$5,"")</x:f>
        <x:v>0.20356547068374561</x:v>
      </x:c>
      <x:c r="N458" s="22" t="n">
        <x:f>IF(AND(ISNUMBER(L458),ISNUMBER(H458),H458&lt;&gt;0),L458*$B$6/$B$4/(H458/60)^2/$B$5^4/$B$7,"")</x:f>
        <x:v>0.07190459729704607</x:v>
      </x:c>
      <x:c r="O458" s="22" t="n">
        <x:f>IF(ISNUMBER(N458),N458*$B$8,"")</x:f>
        <x:v>0.009290256513170527</x:v>
      </x:c>
      <x:c r="P458" s="20" t="str">
        <x:v>4000rpm!O73</x:v>
      </x:c>
      <x:c r="Q458" s="20" t="str">
        <x:v>4000rpm!N73</x:v>
      </x:c>
      <x:c r="R458" s="20" t="str">
        <x:v>4000rpm!N58</x:v>
      </x:c>
    </x:row>
    <x:row r="459">
      <x:c r="A459" s="21" t="n">
        <x:v>4000</x:v>
      </x:c>
      <x:c r="B459" s="21" t="n">
        <x:v>30</x:v>
      </x:c>
      <x:c r="C459" s="21" t="n">
        <x:v>17</x:v>
      </x:c>
      <x:c r="D459" s="21" t="n">
        <x:v>1</x:v>
      </x:c>
      <x:c r="E459" s="21" t="str">
        <x:v>4000rpm</x:v>
      </x:c>
      <x:c r="F459" s="21" t="n">
        <x:v>74</x:v>
      </x:c>
      <x:c r="G459" s="22" t="n">
        <x:f>IFERROR('4000rpm'!D74,"")</x:f>
        <x:v>5.16658644330117</x:v>
      </x:c>
      <x:c r="H459" s="22" t="n">
        <x:f>IFERROR('4000rpm'!B74,"")</x:f>
        <x:v>4023.06202528211</x:v>
      </x:c>
      <x:c r="I459" s="22" t="n">
        <x:f>IFERROR('4000rpm'!C74,"")</x:f>
        <x:v>1958.01072386059</x:v>
      </x:c>
      <x:c r="J459" s="22" t="n">
        <x:f>IFERROR('4000rpm'!C58,"")</x:f>
        <x:v>89.7468982630272</x:v>
      </x:c>
      <x:c r="K459" s="22" t="n">
        <x:f>IF(AND(ISNUMBER(I459),ISNUMBER(J459)),I459-J459,"")</x:f>
        <x:v>1868.2638255975628</x:v>
      </x:c>
      <x:c r="L459" s="22" t="n">
        <x:f>IF(ISNUMBER(K459),K459*$B$2+$B$3,"")</x:f>
        <x:v>1739.552831210293</x:v>
      </x:c>
      <x:c r="M459" s="22" t="n">
        <x:f>IF(AND(ISNUMBER(G459),ISNUMBER(H459),H459&lt;&gt;0),G459/(H459/60)/$B$5,"")</x:f>
        <x:v>0.16853573539451255</x:v>
      </x:c>
      <x:c r="N459" s="22" t="n">
        <x:f>IF(AND(ISNUMBER(L459),ISNUMBER(H459),H459&lt;&gt;0),L459*$B$6/$B$4/(H459/60)^2/$B$5^4/$B$7,"")</x:f>
        <x:v>0.07201795896961458</x:v>
      </x:c>
      <x:c r="O459" s="22" t="n">
        <x:f>IF(ISNUMBER(N459),N459*$B$8,"")</x:f>
        <x:v>0.009304903129054805</x:v>
      </x:c>
      <x:c r="P459" s="20" t="str">
        <x:v>4000rpm!D74</x:v>
      </x:c>
      <x:c r="Q459" s="20" t="str">
        <x:v>4000rpm!C74</x:v>
      </x:c>
      <x:c r="R459" s="20" t="str">
        <x:v>4000rpm!C58</x:v>
      </x:c>
    </x:row>
    <x:row r="460">
      <x:c r="A460" s="21" t="n">
        <x:v>4000</x:v>
      </x:c>
      <x:c r="B460" s="21" t="n">
        <x:v>30</x:v>
      </x:c>
      <x:c r="C460" s="21" t="n">
        <x:v>17</x:v>
      </x:c>
      <x:c r="D460" s="21" t="n">
        <x:v>2</x:v>
      </x:c>
      <x:c r="E460" s="21" t="str">
        <x:v>4000rpm</x:v>
      </x:c>
      <x:c r="F460" s="21" t="n">
        <x:v>74</x:v>
      </x:c>
      <x:c r="G460" s="22" t="n">
        <x:f>IFERROR('4000rpm'!O74,"")</x:f>
        <x:v>5.162617924966305</x:v>
      </x:c>
      <x:c r="H460" s="22" t="n">
        <x:f>IFERROR('4000rpm'!M74,"")</x:f>
        <x:v>3998.67012355638</x:v>
      </x:c>
      <x:c r="I460" s="22" t="n">
        <x:f>IFERROR('4000rpm'!N74,"")</x:f>
        <x:v>1951.08951965065</x:v>
      </x:c>
      <x:c r="J460" s="22" t="n">
        <x:f>IFERROR('4000rpm'!N58,"")</x:f>
        <x:v>93.1842519685039</x:v>
      </x:c>
      <x:c r="K460" s="22" t="n">
        <x:f>IF(AND(ISNUMBER(I460),ISNUMBER(J460)),I460-J460,"")</x:f>
        <x:v>1857.905267682146</x:v>
      </x:c>
      <x:c r="L460" s="22" t="n">
        <x:f>IF(ISNUMBER(K460),K460*$B$2+$B$3,"")</x:f>
        <x:v>1730.0674168586825</x:v>
      </x:c>
      <x:c r="M460" s="22" t="n">
        <x:f>IF(AND(ISNUMBER(G460),ISNUMBER(H460),H460&lt;&gt;0),G460/(H460/60)/$B$5,"")</x:f>
        <x:v>0.1694335599344221</x:v>
      </x:c>
      <x:c r="N460" s="22" t="n">
        <x:f>IF(AND(ISNUMBER(L460),ISNUMBER(H460),H460&lt;&gt;0),L460*$B$6/$B$4/(H460/60)^2/$B$5^4/$B$7,"")</x:f>
        <x:v>0.07250175409755792</x:v>
      </x:c>
      <x:c r="O460" s="22" t="n">
        <x:f>IF(ISNUMBER(N460),N460*$B$8,"")</x:f>
        <x:v>0.009367410687783606</x:v>
      </x:c>
      <x:c r="P460" s="20" t="str">
        <x:v>4000rpm!O74</x:v>
      </x:c>
      <x:c r="Q460" s="20" t="str">
        <x:v>4000rpm!N74</x:v>
      </x:c>
      <x:c r="R460" s="20" t="str">
        <x:v>4000rpm!N58</x:v>
      </x:c>
    </x:row>
    <x:row r="461">
      <x:c r="A461" s="21" t="n">
        <x:v>4000</x:v>
      </x:c>
      <x:c r="B461" s="21" t="n">
        <x:v>30</x:v>
      </x:c>
      <x:c r="C461" s="21" t="n">
        <x:v>18</x:v>
      </x:c>
      <x:c r="D461" s="21" t="n">
        <x:v>1</x:v>
      </x:c>
      <x:c r="E461" s="21" t="str">
        <x:v>4000rpm</x:v>
      </x:c>
      <x:c r="F461" s="21" t="n">
        <x:v>75</x:v>
      </x:c>
      <x:c r="G461" s="22" t="n">
        <x:f>IFERROR('4000rpm'!D75,"")</x:f>
        <x:v>4.131230914140045</x:v>
      </x:c>
      <x:c r="H461" s="22" t="n">
        <x:f>IFERROR('4000rpm'!B75,"")</x:f>
        <x:v>4018.43501281738</x:v>
      </x:c>
      <x:c r="I461" s="22" t="n">
        <x:f>IFERROR('4000rpm'!C75,"")</x:f>
        <x:v>1983.93680884676</x:v>
      </x:c>
      <x:c r="J461" s="22" t="n">
        <x:f>IFERROR('4000rpm'!C58,"")</x:f>
        <x:v>89.7468982630272</x:v>
      </x:c>
      <x:c r="K461" s="22" t="n">
        <x:f>IF(AND(ISNUMBER(I461),ISNUMBER(J461)),I461-J461,"")</x:f>
        <x:v>1894.1899105837329</x:v>
      </x:c>
      <x:c r="L461" s="22" t="n">
        <x:f>IF(ISNUMBER(K461),K461*$B$2+$B$3,"")</x:f>
        <x:v>1763.293554640809</x:v>
      </x:c>
      <x:c r="M461" s="22" t="n">
        <x:f>IF(AND(ISNUMBER(G461),ISNUMBER(H461),H461&lt;&gt;0),G461/(H461/60)/$B$5,"")</x:f>
        <x:v>0.134917271578513</x:v>
      </x:c>
      <x:c r="N461" s="22" t="n">
        <x:f>IF(AND(ISNUMBER(L461),ISNUMBER(H461),H461&lt;&gt;0),L461*$B$6/$B$4/(H461/60)^2/$B$5^4/$B$7,"")</x:f>
        <x:v>0.0731690412311872</x:v>
      </x:c>
      <x:c r="O461" s="22" t="n">
        <x:f>IF(ISNUMBER(N461),N461*$B$8,"")</x:f>
        <x:v>0.009453625879473567</x:v>
      </x:c>
      <x:c r="P461" s="20" t="str">
        <x:v>4000rpm!D75</x:v>
      </x:c>
      <x:c r="Q461" s="20" t="str">
        <x:v>4000rpm!C75</x:v>
      </x:c>
      <x:c r="R461" s="20" t="str">
        <x:v>4000rpm!C58</x:v>
      </x:c>
    </x:row>
    <x:row r="462">
      <x:c r="A462" s="21" t="n">
        <x:v>4000</x:v>
      </x:c>
      <x:c r="B462" s="21" t="n">
        <x:v>30</x:v>
      </x:c>
      <x:c r="C462" s="21" t="n">
        <x:v>18</x:v>
      </x:c>
      <x:c r="D462" s="21" t="n">
        <x:v>2</x:v>
      </x:c>
      <x:c r="E462" s="21" t="str">
        <x:v>4000rpm</x:v>
      </x:c>
      <x:c r="F462" s="21" t="n">
        <x:v>75</x:v>
      </x:c>
      <x:c r="G462" s="22" t="n">
        <x:f>IFERROR('4000rpm'!O75,"")</x:f>
        <x:v>4.1401782509158505</x:v>
      </x:c>
      <x:c r="H462" s="22" t="n">
        <x:f>IFERROR('4000rpm'!M75,"")</x:f>
        <x:v>4006.68249511718</x:v>
      </x:c>
      <x:c r="I462" s="22" t="n">
        <x:f>IFERROR('4000rpm'!N75,"")</x:f>
        <x:v>1977.81707317073</x:v>
      </x:c>
      <x:c r="J462" s="22" t="n">
        <x:f>IFERROR('4000rpm'!N58,"")</x:f>
        <x:v>93.1842519685039</x:v>
      </x:c>
      <x:c r="K462" s="22" t="n">
        <x:f>IF(AND(ISNUMBER(I462),ISNUMBER(J462)),I462-J462,"")</x:f>
        <x:v>1884.632821202226</x:v>
      </x:c>
      <x:c r="L462" s="22" t="n">
        <x:f>IF(ISNUMBER(K462),K462*$B$2+$B$3,"")</x:f>
        <x:v>1754.542051437448</x:v>
      </x:c>
      <x:c r="M462" s="22" t="n">
        <x:f>IF(AND(ISNUMBER(G462),ISNUMBER(H462),H462&lt;&gt;0),G462/(H462/60)/$B$5,"")</x:f>
        <x:v>0.13560607305044886</x:v>
      </x:c>
      <x:c r="N462" s="22" t="n">
        <x:f>IF(AND(ISNUMBER(L462),ISNUMBER(H462),H462&lt;&gt;0),L462*$B$6/$B$4/(H462/60)^2/$B$5^4/$B$7,"")</x:f>
        <x:v>0.07323363090408873</x:v>
      </x:c>
      <x:c r="O462" s="22" t="n">
        <x:f>IF(ISNUMBER(N462),N462*$B$8,"")</x:f>
        <x:v>0.009461971029184621</x:v>
      </x:c>
      <x:c r="P462" s="20" t="str">
        <x:v>4000rpm!O75</x:v>
      </x:c>
      <x:c r="Q462" s="20" t="str">
        <x:v>4000rpm!N75</x:v>
      </x:c>
      <x:c r="R462" s="20" t="str">
        <x:v>4000rpm!N58</x:v>
      </x:c>
    </x:row>
    <x:row r="463">
      <x:c r="A463" s="21" t="n">
        <x:v>4000</x:v>
      </x:c>
      <x:c r="B463" s="21" t="n">
        <x:v>30</x:v>
      </x:c>
      <x:c r="C463" s="21" t="n">
        <x:v>19</x:v>
      </x:c>
      <x:c r="D463" s="21" t="n">
        <x:v>1</x:v>
      </x:c>
      <x:c r="E463" s="21" t="str">
        <x:v>4000rpm</x:v>
      </x:c>
      <x:c r="F463" s="21" t="n">
        <x:v>76</x:v>
      </x:c>
      <x:c r="G463" s="22" t="n">
        <x:f>IFERROR('4000rpm'!D76,"")</x:f>
        <x:v>3.1099415338316554</x:v>
      </x:c>
      <x:c r="H463" s="22" t="n">
        <x:f>IFERROR('4000rpm'!B76,"")</x:f>
        <x:v>4019.78133451021</x:v>
      </x:c>
      <x:c r="I463" s="22" t="n">
        <x:f>IFERROR('4000rpm'!C76,"")</x:f>
        <x:v>2008.24660194174</x:v>
      </x:c>
      <x:c r="J463" s="22" t="n">
        <x:f>IFERROR('4000rpm'!C58,"")</x:f>
        <x:v>89.7468982630272</x:v>
      </x:c>
      <x:c r="K463" s="22" t="n">
        <x:f>IF(AND(ISNUMBER(I463),ISNUMBER(J463)),I463-J463,"")</x:f>
        <x:v>1918.4997036787129</x:v>
      </x:c>
      <x:c r="L463" s="22" t="n">
        <x:f>IF(ISNUMBER(K463),K463*$B$2+$B$3,"")</x:f>
        <x:v>1785.5542266562268</x:v>
      </x:c>
      <x:c r="M463" s="22" t="n">
        <x:f>IF(AND(ISNUMBER(G463),ISNUMBER(H463),H463&lt;&gt;0),G463/(H463/60)/$B$5,"")</x:f>
        <x:v>0.1015301023242988</x:v>
      </x:c>
      <x:c r="N463" s="22" t="n">
        <x:f>IF(AND(ISNUMBER(L463),ISNUMBER(H463),H463&lt;&gt;0),L463*$B$6/$B$4/(H463/60)^2/$B$5^4/$B$7,"")</x:f>
        <x:v>0.07404314005838447</x:v>
      </x:c>
      <x:c r="O463" s="22" t="n">
        <x:f>IF(ISNUMBER(N463),N463*$B$8,"")</x:f>
        <x:v>0.009566561667000156</x:v>
      </x:c>
      <x:c r="P463" s="20" t="str">
        <x:v>4000rpm!D76</x:v>
      </x:c>
      <x:c r="Q463" s="20" t="str">
        <x:v>4000rpm!C76</x:v>
      </x:c>
      <x:c r="R463" s="20" t="str">
        <x:v>4000rpm!C58</x:v>
      </x:c>
    </x:row>
    <x:row r="464">
      <x:c r="A464" s="21" t="n">
        <x:v>4000</x:v>
      </x:c>
      <x:c r="B464" s="21" t="n">
        <x:v>30</x:v>
      </x:c>
      <x:c r="C464" s="21" t="n">
        <x:v>19</x:v>
      </x:c>
      <x:c r="D464" s="21" t="n">
        <x:v>2</x:v>
      </x:c>
      <x:c r="E464" s="21" t="str">
        <x:v>4000rpm</x:v>
      </x:c>
      <x:c r="F464" s="21" t="n">
        <x:v>76</x:v>
      </x:c>
      <x:c r="G464" s="22" t="n">
        <x:f>IFERROR('4000rpm'!O76,"")</x:f>
        <x:v>3.122587909859205</x:v>
      </x:c>
      <x:c r="H464" s="22" t="n">
        <x:f>IFERROR('4000rpm'!M76,"")</x:f>
        <x:v>3989.70308883101</x:v>
      </x:c>
      <x:c r="I464" s="22" t="n">
        <x:f>IFERROR('4000rpm'!N76,"")</x:f>
        <x:v>2009.48405253283</x:v>
      </x:c>
      <x:c r="J464" s="22" t="n">
        <x:f>IFERROR('4000rpm'!N58,"")</x:f>
        <x:v>93.1842519685039</x:v>
      </x:c>
      <x:c r="K464" s="22" t="n">
        <x:f>IF(AND(ISNUMBER(I464),ISNUMBER(J464)),I464-J464,"")</x:f>
        <x:v>1916.299800564326</x:v>
      </x:c>
      <x:c r="L464" s="22" t="n">
        <x:f>IF(ISNUMBER(K464),K464*$B$2+$B$3,"")</x:f>
        <x:v>1783.5397577751578</x:v>
      </x:c>
      <x:c r="M464" s="22" t="n">
        <x:f>IF(AND(ISNUMBER(G464),ISNUMBER(H464),H464&lt;&gt;0),G464/(H464/60)/$B$5,"")</x:f>
        <x:v>0.10271151273418135</x:v>
      </x:c>
      <x:c r="N464" s="22" t="n">
        <x:f>IF(AND(ISNUMBER(L464),ISNUMBER(H464),H464&lt;&gt;0),L464*$B$6/$B$4/(H464/60)^2/$B$5^4/$B$7,"")</x:f>
        <x:v>0.07507896613118324</x:v>
      </x:c>
      <x:c r="O464" s="22" t="n">
        <x:f>IF(ISNUMBER(N464),N464*$B$8,"")</x:f>
        <x:v>0.009700393025231348</x:v>
      </x:c>
      <x:c r="P464" s="20" t="str">
        <x:v>4000rpm!O76</x:v>
      </x:c>
      <x:c r="Q464" s="20" t="str">
        <x:v>4000rpm!N76</x:v>
      </x:c>
      <x:c r="R464" s="20" t="str">
        <x:v>4000rpm!N58</x:v>
      </x:c>
    </x:row>
    <x:row r="465">
      <x:c r="A465" s="21" t="n">
        <x:v>4000</x:v>
      </x:c>
      <x:c r="B465" s="21" t="n">
        <x:v>30</x:v>
      </x:c>
      <x:c r="C465" s="21" t="n">
        <x:v>20</x:v>
      </x:c>
      <x:c r="D465" s="21" t="n">
        <x:v>1</x:v>
      </x:c>
      <x:c r="E465" s="21" t="str">
        <x:v>4000rpm</x:v>
      </x:c>
      <x:c r="F465" s="21" t="n">
        <x:v>77</x:v>
      </x:c>
      <x:c r="G465" s="22" t="n">
        <x:f>IFERROR('4000rpm'!D77,"")</x:f>
        <x:v>2.08170847261653</x:v>
      </x:c>
      <x:c r="H465" s="22" t="n">
        <x:f>IFERROR('4000rpm'!B77,"")</x:f>
        <x:v>3979.08140625</x:v>
      </x:c>
      <x:c r="I465" s="22" t="n">
        <x:f>IFERROR('4000rpm'!C77,"")</x:f>
        <x:v>2029.30919765166</x:v>
      </x:c>
      <x:c r="J465" s="22" t="n">
        <x:f>IFERROR('4000rpm'!C58,"")</x:f>
        <x:v>89.7468982630272</x:v>
      </x:c>
      <x:c r="K465" s="22" t="n">
        <x:f>IF(AND(ISNUMBER(I465),ISNUMBER(J465)),I465-J465,"")</x:f>
        <x:v>1939.562299388633</x:v>
      </x:c>
      <x:c r="L465" s="22" t="n">
        <x:f>IF(ISNUMBER(K465),K465*$B$2+$B$3,"")</x:f>
        <x:v>1804.8414140485663</x:v>
      </x:c>
      <x:c r="M465" s="22" t="n">
        <x:f>IF(AND(ISNUMBER(G465),ISNUMBER(H465),H465&lt;&gt;0),G465/(H465/60)/$B$5,"")</x:f>
        <x:v>0.0686565718009142</x:v>
      </x:c>
      <x:c r="N465" s="22" t="n">
        <x:f>IF(AND(ISNUMBER(L465),ISNUMBER(H465),H465&lt;&gt;0),L465*$B$6/$B$4/(H465/60)^2/$B$5^4/$B$7,"")</x:f>
        <x:v>0.07638182694753992</x:v>
      </x:c>
      <x:c r="O465" s="22" t="n">
        <x:f>IF(ISNUMBER(N465),N465*$B$8,"")</x:f>
        <x:v>0.009868725950244609</x:v>
      </x:c>
      <x:c r="P465" s="20" t="str">
        <x:v>4000rpm!D77</x:v>
      </x:c>
      <x:c r="Q465" s="20" t="str">
        <x:v>4000rpm!C77</x:v>
      </x:c>
      <x:c r="R465" s="20" t="str">
        <x:v>4000rpm!C58</x:v>
      </x:c>
    </x:row>
    <x:row r="466">
      <x:c r="A466" s="21" t="n">
        <x:v>4000</x:v>
      </x:c>
      <x:c r="B466" s="21" t="n">
        <x:v>30</x:v>
      </x:c>
      <x:c r="C466" s="21" t="n">
        <x:v>20</x:v>
      </x:c>
      <x:c r="D466" s="21" t="n">
        <x:v>2</x:v>
      </x:c>
      <x:c r="E466" s="21" t="str">
        <x:v>4000rpm</x:v>
      </x:c>
      <x:c r="F466" s="21" t="n">
        <x:v>77</x:v>
      </x:c>
      <x:c r="G466" s="22" t="n">
        <x:f>IFERROR('4000rpm'!O77,"")</x:f>
        <x:v>2.083214451407265</x:v>
      </x:c>
      <x:c r="H466" s="22" t="n">
        <x:f>IFERROR('4000rpm'!M77,"")</x:f>
        <x:v>3999.22588641826</x:v>
      </x:c>
      <x:c r="I466" s="22" t="n">
        <x:f>IFERROR('4000rpm'!N77,"")</x:f>
        <x:v>2038.55019305019</x:v>
      </x:c>
      <x:c r="J466" s="22" t="n">
        <x:f>IFERROR('4000rpm'!N58,"")</x:f>
        <x:v>93.1842519685039</x:v>
      </x:c>
      <x:c r="K466" s="22" t="n">
        <x:f>IF(AND(ISNUMBER(I466),ISNUMBER(J466)),I466-J466,"")</x:f>
        <x:v>1945.365941081686</x:v>
      </x:c>
      <x:c r="L466" s="22" t="n">
        <x:f>IF(ISNUMBER(K466),K466*$B$2+$B$3,"")</x:f>
        <x:v>1810.1558551760286</x:v>
      </x:c>
      <x:c r="M466" s="22" t="n">
        <x:f>IF(AND(ISNUMBER(G466),ISNUMBER(H466),H466&lt;&gt;0),G466/(H466/60)/$B$5,"")</x:f>
        <x:v>0.0683601604526124</x:v>
      </x:c>
      <x:c r="N466" s="22" t="n">
        <x:f>IF(AND(ISNUMBER(L466),ISNUMBER(H466),H466&lt;&gt;0),L466*$B$6/$B$4/(H466/60)^2/$B$5^4/$B$7,"")</x:f>
        <x:v>0.07583692974853708</x:v>
      </x:c>
      <x:c r="O466" s="22" t="n">
        <x:f>IF(ISNUMBER(N466),N466*$B$8,"")</x:f>
        <x:v>0.009798323848816631</x:v>
      </x:c>
      <x:c r="P466" s="20" t="str">
        <x:v>4000rpm!O77</x:v>
      </x:c>
      <x:c r="Q466" s="20" t="str">
        <x:v>4000rpm!N77</x:v>
      </x:c>
      <x:c r="R466" s="20" t="str">
        <x:v>4000rpm!N58</x:v>
      </x:c>
    </x:row>
    <x:row r="467">
      <x:c r="A467" s="21" t="n">
        <x:v>4000</x:v>
      </x:c>
      <x:c r="B467" s="21" t="n">
        <x:v>30</x:v>
      </x:c>
      <x:c r="C467" s="21" t="n">
        <x:v>21</x:v>
      </x:c>
      <x:c r="D467" s="21" t="n">
        <x:v>1</x:v>
      </x:c>
      <x:c r="E467" s="21" t="str">
        <x:v>4000rpm</x:v>
      </x:c>
      <x:c r="F467" s="21" t="n">
        <x:v>78</x:v>
      </x:c>
      <x:c r="G467" s="22" t="n">
        <x:f>IFERROR('4000rpm'!D78,"")</x:f>
        <x:v>1.052392129327209</x:v>
      </x:c>
      <x:c r="H467" s="22" t="n">
        <x:f>IFERROR('4000rpm'!B78,"")</x:f>
        <x:v>3989.16758510044</x:v>
      </x:c>
      <x:c r="I467" s="22" t="n">
        <x:f>IFERROR('4000rpm'!C78,"")</x:f>
        <x:v>2064.75821596244</x:v>
      </x:c>
      <x:c r="J467" s="22" t="n">
        <x:f>IFERROR('4000rpm'!C58,"")</x:f>
        <x:v>89.7468982630272</x:v>
      </x:c>
      <x:c r="K467" s="22" t="n">
        <x:f>IF(AND(ISNUMBER(I467),ISNUMBER(J467)),I467-J467,"")</x:f>
        <x:v>1975.0113176994128</x:v>
      </x:c>
      <x:c r="L467" s="22" t="n">
        <x:f>IF(ISNUMBER(K467),K467*$B$2+$B$3,"")</x:f>
        <x:v>1837.3023637078938</x:v>
      </x:c>
      <x:c r="M467" s="22" t="n">
        <x:f>IF(AND(ISNUMBER(G467),ISNUMBER(H467),H467&lt;&gt;0),G467/(H467/60)/$B$5,"")</x:f>
        <x:v>0.03462105824774552</x:v>
      </x:c>
      <x:c r="N467" s="22" t="n">
        <x:f>IF(AND(ISNUMBER(L467),ISNUMBER(H467),H467&lt;&gt;0),L467*$B$6/$B$4/(H467/60)^2/$B$5^4/$B$7,"")</x:f>
        <x:v>0.07736289507845842</x:v>
      </x:c>
      <x:c r="O467" s="22" t="n">
        <x:f>IF(ISNUMBER(N467),N467*$B$8,"")</x:f>
        <x:v>0.00999548244337226</x:v>
      </x:c>
      <x:c r="P467" s="20" t="str">
        <x:v>4000rpm!D78</x:v>
      </x:c>
      <x:c r="Q467" s="20" t="str">
        <x:v>4000rpm!C78</x:v>
      </x:c>
      <x:c r="R467" s="20" t="str">
        <x:v>4000rpm!C58</x:v>
      </x:c>
    </x:row>
    <x:row r="468">
      <x:c r="A468" s="21" t="n">
        <x:v>4000</x:v>
      </x:c>
      <x:c r="B468" s="21" t="n">
        <x:v>30</x:v>
      </x:c>
      <x:c r="C468" s="21" t="n">
        <x:v>21</x:v>
      </x:c>
      <x:c r="D468" s="21" t="n">
        <x:v>2</x:v>
      </x:c>
      <x:c r="E468" s="21" t="str">
        <x:v>4000rpm</x:v>
      </x:c>
      <x:c r="F468" s="21" t="n">
        <x:v>78</x:v>
      </x:c>
      <x:c r="G468" s="22" t="n">
        <x:f>IFERROR('4000rpm'!O78,"")</x:f>
        <x:v>1.0545057275938605</x:v>
      </x:c>
      <x:c r="H468" s="22" t="n">
        <x:f>IFERROR('4000rpm'!M78,"")</x:f>
        <x:v>4018.71626790364</x:v>
      </x:c>
      <x:c r="I468" s="22" t="n">
        <x:f>IFERROR('4000rpm'!N78,"")</x:f>
        <x:v>2073.72559366754</x:v>
      </x:c>
      <x:c r="J468" s="22" t="n">
        <x:f>IFERROR('4000rpm'!N58,"")</x:f>
        <x:v>93.1842519685039</x:v>
      </x:c>
      <x:c r="K468" s="22" t="n">
        <x:f>IF(AND(ISNUMBER(I468),ISNUMBER(J468)),I468-J468,"")</x:f>
        <x:v>1980.5413416990361</x:v>
      </x:c>
      <x:c r="L468" s="22" t="n">
        <x:f>IF(ISNUMBER(K468),K468*$B$2+$B$3,"")</x:f>
        <x:v>1842.366250924541</x:v>
      </x:c>
      <x:c r="M468" s="22" t="n">
        <x:f>IF(AND(ISNUMBER(G468),ISNUMBER(H468),H468&lt;&gt;0),G468/(H468/60)/$B$5,"")</x:f>
        <x:v>0.034435518508645645</x:v>
      </x:c>
      <x:c r="N468" s="22" t="n">
        <x:f>IF(AND(ISNUMBER(L468),ISNUMBER(H468),H468&lt;&gt;0),L468*$B$6/$B$4/(H468/60)^2/$B$5^4/$B$7,"")</x:f>
        <x:v>0.07643951490190207</x:v>
      </x:c>
      <x:c r="O468" s="22" t="n">
        <x:f>IF(ISNUMBER(N468),N468*$B$8,"")</x:f>
        <x:v>0.009876179380399157</x:v>
      </x:c>
      <x:c r="P468" s="20" t="str">
        <x:v>4000rpm!O78</x:v>
      </x:c>
      <x:c r="Q468" s="20" t="str">
        <x:v>4000rpm!N78</x:v>
      </x:c>
      <x:c r="R468" s="20" t="str">
        <x:v>4000rpm!N58</x:v>
      </x:c>
    </x:row>
    <x:row r="469">
      <x:c r="A469" s="21" t="n">
        <x:v>4000</x:v>
      </x:c>
      <x:c r="B469" s="21" t="n">
        <x:v>30</x:v>
      </x:c>
      <x:c r="C469" s="21" t="n">
        <x:v>22</x:v>
      </x:c>
      <x:c r="D469" s="21" t="n">
        <x:v>1</x:v>
      </x:c>
      <x:c r="E469" s="21" t="str">
        <x:v>4000rpm</x:v>
      </x:c>
      <x:c r="F469" s="21" t="n">
        <x:v>79</x:v>
      </x:c>
      <x:c r="G469" s="22" t="n">
        <x:f>IFERROR('4000rpm'!D79,"")</x:f>
        <x:v>0.14536576750962166</x:v>
      </x:c>
      <x:c r="H469" s="22" t="n">
        <x:f>IFERROR('4000rpm'!B79,"")</x:f>
        <x:v>3987.83720703125</x:v>
      </x:c>
      <x:c r="I469" s="22" t="n">
        <x:f>IFERROR('4000rpm'!C79,"")</x:f>
        <x:v>2083.88177339901</x:v>
      </x:c>
      <x:c r="J469" s="22" t="n">
        <x:f>IFERROR('4000rpm'!C58,"")</x:f>
        <x:v>89.7468982630272</x:v>
      </x:c>
      <x:c r="K469" s="22" t="n">
        <x:f>IF(AND(ISNUMBER(I469),ISNUMBER(J469)),I469-J469,"")</x:f>
        <x:v>1994.1348751359828</x:v>
      </x:c>
      <x:c r="L469" s="22" t="n">
        <x:f>IF(ISNUMBER(K469),K469*$B$2+$B$3,"")</x:f>
        <x:v>1854.8139582410206</x:v>
      </x:c>
      <x:c r="M469" s="22" t="n">
        <x:f>IF(AND(ISNUMBER(G469),ISNUMBER(H469),H469&lt;&gt;0),G469/(H469/60)/$B$5,"")</x:f>
        <x:v>0.0047837640771681775</x:v>
      </x:c>
      <x:c r="N469" s="22" t="n">
        <x:f>IF(AND(ISNUMBER(L469),ISNUMBER(H469),H469&lt;&gt;0),L469*$B$6/$B$4/(H469/60)^2/$B$5^4/$B$7,"")</x:f>
        <x:v>0.07815237059324745</x:v>
      </x:c>
      <x:c r="O469" s="22" t="n">
        <x:f>IF(ISNUMBER(N469),N469*$B$8,"")</x:f>
        <x:v>0.010097484684104631</x:v>
      </x:c>
      <x:c r="P469" s="20" t="str">
        <x:v>4000rpm!D79</x:v>
      </x:c>
      <x:c r="Q469" s="20" t="str">
        <x:v>4000rpm!C79</x:v>
      </x:c>
      <x:c r="R469" s="20" t="str">
        <x:v>4000rpm!C58</x:v>
      </x:c>
    </x:row>
    <x:row r="470">
      <x:c r="A470" s="21" t="n">
        <x:v>4000</x:v>
      </x:c>
      <x:c r="B470" s="21" t="n">
        <x:v>30</x:v>
      </x:c>
      <x:c r="C470" s="21" t="n">
        <x:v>22</x:v>
      </x:c>
      <x:c r="D470" s="21" t="n">
        <x:v>2</x:v>
      </x:c>
      <x:c r="E470" s="21" t="str">
        <x:v>4000rpm</x:v>
      </x:c>
      <x:c r="F470" s="21" t="n">
        <x:v>79</x:v>
      </x:c>
      <x:c r="G470" s="22" t="n">
        <x:f>IFERROR('4000rpm'!O79,"")</x:f>
        <x:v>0.14601992038560316</x:v>
      </x:c>
      <x:c r="H470" s="22" t="n">
        <x:f>IFERROR('4000rpm'!M79,"")</x:f>
        <x:v>4009.73971896701</x:v>
      </x:c>
      <x:c r="I470" s="22" t="n">
        <x:f>IFERROR('4000rpm'!N79,"")</x:f>
        <x:v>2095.08333333333</x:v>
      </x:c>
      <x:c r="J470" s="22" t="n">
        <x:f>IFERROR('4000rpm'!N58,"")</x:f>
        <x:v>93.1842519685039</x:v>
      </x:c>
      <x:c r="K470" s="22" t="n">
        <x:f>IF(AND(ISNUMBER(I470),ISNUMBER(J470)),I470-J470,"")</x:f>
        <x:v>2001.8990813648259</x:v>
      </x:c>
      <x:c r="L470" s="22" t="n">
        <x:f>IF(ISNUMBER(K470),K470*$B$2+$B$3,"")</x:f>
        <x:v>1861.923703998422</x:v>
      </x:c>
      <x:c r="M470" s="22" t="n">
        <x:f>IF(AND(ISNUMBER(G470),ISNUMBER(H470),H470&lt;&gt;0),G470/(H470/60)/$B$5,"")</x:f>
        <x:v>0.004779043168329585</x:v>
      </x:c>
      <x:c r="N470" s="22" t="n">
        <x:f>IF(AND(ISNUMBER(L470),ISNUMBER(H470),H470&lt;&gt;0),L470*$B$6/$B$4/(H470/60)^2/$B$5^4/$B$7,"")</x:f>
        <x:v>0.0775972192945387</x:v>
      </x:c>
      <x:c r="O470" s="22" t="n">
        <x:f>IF(ISNUMBER(N470),N470*$B$8,"")</x:f>
        <x:v>0.010025757726962825</x:v>
      </x:c>
      <x:c r="P470" s="20" t="str">
        <x:v>4000rpm!O79</x:v>
      </x:c>
      <x:c r="Q470" s="20" t="str">
        <x:v>4000rpm!N79</x:v>
      </x:c>
      <x:c r="R470" s="20" t="str">
        <x:v>4000rpm!N58</x:v>
      </x:c>
    </x:row>
    <x:row r="471">
      <x:c r="A471" s="21" t="n">
        <x:v>4000</x:v>
      </x:c>
      <x:c r="B471" s="21" t="n">
        <x:v>30</x:v>
      </x:c>
      <x:c r="C471" s="21" t="n">
        <x:v>23</x:v>
      </x:c>
      <x:c r="D471" s="21" t="n">
        <x:v>1</x:v>
      </x:c>
      <x:c r="E471" s="21" t="str">
        <x:v>4000rpm</x:v>
      </x:c>
      <x:c r="F471" s="21" t="n">
        <x:v>80</x:v>
      </x:c>
      <x:c r="G471" s="22" t="n">
        <x:f>IFERROR('4000rpm'!D80,"")</x:f>
        <x:v>0.0887360322466563</x:v>
      </x:c>
      <x:c r="H471" s="22" t="n">
        <x:f>IFERROR('4000rpm'!B80,"")</x:f>
        <x:v>0</x:v>
      </x:c>
      <x:c r="I471" s="22" t="n">
        <x:f>IFERROR('4000rpm'!C80,"")</x:f>
        <x:v>91.7718253968253</x:v>
      </x:c>
      <x:c r="J471" s="22" t="n">
        <x:f>IFERROR('4000rpm'!C58,"")</x:f>
        <x:v>89.7468982630272</x:v>
      </x:c>
      <x:c r="K471" s="22" t="n">
        <x:f>IF(AND(ISNUMBER(I471),ISNUMBER(J471)),I471-J471,"")</x:f>
        <x:v>2.0249271337981014</x:v>
      </x:c>
      <x:c r="L471" s="22" t="n">
        <x:f>IF(ISNUMBER(K471),K471*$B$2+$B$3,"")</x:f>
        <x:v>30.622941975835992</x:v>
      </x:c>
      <x:c r="M471" s="22" t="str">
        <x:f>IF(AND(ISNUMBER(G471),ISNUMBER(H471),H471&lt;&gt;0),G471/(H471/60)/$B$5,"")</x:f>
      </x:c>
      <x:c r="N471" s="22" t="str">
        <x:f>IF(AND(ISNUMBER(L471),ISNUMBER(H471),H471&lt;&gt;0),L471*$B$6/$B$4/(H471/60)^2/$B$5^4/$B$7,"")</x:f>
      </x:c>
      <x:c r="O471" s="22" t="str">
        <x:f>IF(ISNUMBER(N471),N471*$B$8,"")</x:f>
      </x:c>
      <x:c r="P471" s="20" t="str">
        <x:v>4000rpm!D80</x:v>
      </x:c>
      <x:c r="Q471" s="20" t="str">
        <x:v>4000rpm!C80</x:v>
      </x:c>
      <x:c r="R471" s="20" t="str">
        <x:v>4000rpm!C58</x:v>
      </x:c>
    </x:row>
    <x:row r="472">
      <x:c r="A472" s="21" t="n">
        <x:v>4000</x:v>
      </x:c>
      <x:c r="B472" s="21" t="n">
        <x:v>30</x:v>
      </x:c>
      <x:c r="C472" s="21" t="n">
        <x:v>23</x:v>
      </x:c>
      <x:c r="D472" s="21" t="n">
        <x:v>2</x:v>
      </x:c>
      <x:c r="E472" s="21" t="str">
        <x:v>4000rpm</x:v>
      </x:c>
      <x:c r="F472" s="21" t="n">
        <x:v>80</x:v>
      </x:c>
      <x:c r="G472" s="22" t="n">
        <x:f>IFERROR('4000rpm'!O80,"")</x:f>
        <x:v>0.008243992236321376</x:v>
      </x:c>
      <x:c r="H472" s="22" t="n">
        <x:f>IFERROR('4000rpm'!M80,"")</x:f>
        <x:v>0</x:v>
      </x:c>
      <x:c r="I472" s="22" t="n">
        <x:f>IFERROR('4000rpm'!N80,"")</x:f>
        <x:v>91.3876811594203</x:v>
      </x:c>
      <x:c r="J472" s="22" t="n">
        <x:f>IFERROR('4000rpm'!N58,"")</x:f>
        <x:v>93.1842519685039</x:v>
      </x:c>
      <x:c r="K472" s="22" t="n">
        <x:f>IF(AND(ISNUMBER(I472),ISNUMBER(J472)),I472-J472,"")</x:f>
        <x:v>-1.7965708090836046</x:v>
      </x:c>
      <x:c r="L472" s="22" t="n">
        <x:f>IF(ISNUMBER(K472),K472*$B$2+$B$3,"")</x:f>
        <x:v>27.12356573755567</x:v>
      </x:c>
      <x:c r="M472" s="22" t="str">
        <x:f>IF(AND(ISNUMBER(G472),ISNUMBER(H472),H472&lt;&gt;0),G472/(H472/60)/$B$5,"")</x:f>
      </x:c>
      <x:c r="N472" s="22" t="str">
        <x:f>IF(AND(ISNUMBER(L472),ISNUMBER(H472),H472&lt;&gt;0),L472*$B$6/$B$4/(H472/60)^2/$B$5^4/$B$7,"")</x:f>
      </x:c>
      <x:c r="O472" s="22" t="str">
        <x:f>IF(ISNUMBER(N472),N472*$B$8,"")</x:f>
      </x:c>
      <x:c r="P472" s="20" t="str">
        <x:v>4000rpm!O80</x:v>
      </x:c>
      <x:c r="Q472" s="20" t="str">
        <x:v>4000rpm!N80</x:v>
      </x:c>
      <x:c r="R472" s="20" t="str">
        <x:v>4000rpm!N58</x:v>
      </x:c>
    </x:row>
    <x:row r="473">
      <x:c r="A473" s="21" t="n">
        <x:v>4000</x:v>
      </x:c>
      <x:c r="B473" s="21" t="n">
        <x:v>45</x:v>
      </x:c>
      <x:c r="C473" s="21" t="n">
        <x:v>1</x:v>
      </x:c>
      <x:c r="D473" s="21" t="n">
        <x:v>1</x:v>
      </x:c>
      <x:c r="E473" s="21" t="str">
        <x:v>4000rpm</x:v>
      </x:c>
      <x:c r="F473" s="21" t="n">
        <x:v>86</x:v>
      </x:c>
      <x:c r="G473" s="22" t="n">
        <x:f>IFERROR('4000rpm'!D86,"")</x:f>
        <x:v>0.08437458613407074</x:v>
      </x:c>
      <x:c r="H473" s="22" t="n">
        <x:f>IFERROR('4000rpm'!B86,"")</x:f>
        <x:v>0</x:v>
      </x:c>
      <x:c r="I473" s="22" t="n">
        <x:f>IFERROR('4000rpm'!C86,"")</x:f>
        <x:v>154.913888888888</x:v>
      </x:c>
      <x:c r="J473" s="22" t="n">
        <x:f>IFERROR('4000rpm'!C86,"")</x:f>
        <x:v>154.913888888888</x:v>
      </x:c>
      <x:c r="K473" s="22" t="n">
        <x:f>IF(AND(ISNUMBER(I473),ISNUMBER(J473)),I473-J473,"")</x:f>
        <x:v>0</x:v>
      </x:c>
      <x:c r="L473" s="22" t="n">
        <x:f>IF(ISNUMBER(K473),K473*$B$2+$B$3,"")</x:f>
        <x:v>28.7687</x:v>
      </x:c>
      <x:c r="M473" s="22" t="str">
        <x:f>IF(AND(ISNUMBER(G473),ISNUMBER(H473),H473&lt;&gt;0),G473/(H473/60)/$B$5,"")</x:f>
      </x:c>
      <x:c r="N473" s="22" t="str">
        <x:f>IF(AND(ISNUMBER(L473),ISNUMBER(H473),H473&lt;&gt;0),L473*$B$6/$B$4/(H473/60)^2/$B$5^4/$B$7,"")</x:f>
      </x:c>
      <x:c r="O473" s="22" t="str">
        <x:f>IF(ISNUMBER(N473),N473*$B$8,"")</x:f>
      </x:c>
      <x:c r="P473" s="20" t="str">
        <x:v>4000rpm!D86</x:v>
      </x:c>
      <x:c r="Q473" s="20" t="str">
        <x:v>4000rpm!C86</x:v>
      </x:c>
      <x:c r="R473" s="20" t="str">
        <x:v>4000rpm!C86</x:v>
      </x:c>
    </x:row>
    <x:row r="474">
      <x:c r="A474" s="21" t="n">
        <x:v>4000</x:v>
      </x:c>
      <x:c r="B474" s="21" t="n">
        <x:v>45</x:v>
      </x:c>
      <x:c r="C474" s="21" t="n">
        <x:v>1</x:v>
      </x:c>
      <x:c r="D474" s="21" t="n">
        <x:v>2</x:v>
      </x:c>
      <x:c r="E474" s="21" t="str">
        <x:v>4000rpm</x:v>
      </x:c>
      <x:c r="F474" s="21" t="n">
        <x:v>86</x:v>
      </x:c>
      <x:c r="G474" s="22" t="n">
        <x:f>IFERROR('4000rpm'!O86,"")</x:f>
        <x:v>0.013487632190318476</x:v>
      </x:c>
      <x:c r="H474" s="22" t="n">
        <x:f>IFERROR('4000rpm'!M86,"")</x:f>
        <x:v>0</x:v>
      </x:c>
      <x:c r="I474" s="22" t="n">
        <x:f>IFERROR('4000rpm'!N86,"")</x:f>
        <x:v>158.03216374269</x:v>
      </x:c>
      <x:c r="J474" s="22" t="n">
        <x:f>IFERROR('4000rpm'!N86,"")</x:f>
        <x:v>158.03216374269</x:v>
      </x:c>
      <x:c r="K474" s="22" t="n">
        <x:f>IF(AND(ISNUMBER(I474),ISNUMBER(J474)),I474-J474,"")</x:f>
        <x:v>0</x:v>
      </x:c>
      <x:c r="L474" s="22" t="n">
        <x:f>IF(ISNUMBER(K474),K474*$B$2+$B$3,"")</x:f>
        <x:v>28.7687</x:v>
      </x:c>
      <x:c r="M474" s="22" t="str">
        <x:f>IF(AND(ISNUMBER(G474),ISNUMBER(H474),H474&lt;&gt;0),G474/(H474/60)/$B$5,"")</x:f>
      </x:c>
      <x:c r="N474" s="22" t="str">
        <x:f>IF(AND(ISNUMBER(L474),ISNUMBER(H474),H474&lt;&gt;0),L474*$B$6/$B$4/(H474/60)^2/$B$5^4/$B$7,"")</x:f>
      </x:c>
      <x:c r="O474" s="22" t="str">
        <x:f>IF(ISNUMBER(N474),N474*$B$8,"")</x:f>
      </x:c>
      <x:c r="P474" s="20" t="str">
        <x:v>4000rpm!O86</x:v>
      </x:c>
      <x:c r="Q474" s="20" t="str">
        <x:v>4000rpm!N86</x:v>
      </x:c>
      <x:c r="R474" s="20" t="str">
        <x:v>4000rpm!N86</x:v>
      </x:c>
    </x:row>
    <x:row r="475">
      <x:c r="A475" s="21" t="n">
        <x:v>4000</x:v>
      </x:c>
      <x:c r="B475" s="21" t="n">
        <x:v>45</x:v>
      </x:c>
      <x:c r="C475" s="21" t="n">
        <x:v>2</x:v>
      </x:c>
      <x:c r="D475" s="21" t="n">
        <x:v>1</x:v>
      </x:c>
      <x:c r="E475" s="21" t="str">
        <x:v>4000rpm</x:v>
      </x:c>
      <x:c r="F475" s="21" t="n">
        <x:v>87</x:v>
      </x:c>
      <x:c r="G475" s="22" t="n">
        <x:f>IFERROR('4000rpm'!D87,"")</x:f>
        <x:v>0.1560331230507555</x:v>
      </x:c>
      <x:c r="H475" s="22" t="n">
        <x:f>IFERROR('4000rpm'!B87,"")</x:f>
        <x:v>4038.7399859512</x:v>
      </x:c>
      <x:c r="I475" s="22" t="n">
        <x:f>IFERROR('4000rpm'!C87,"")</x:f>
        <x:v>2222.74290780141</x:v>
      </x:c>
      <x:c r="J475" s="22" t="n">
        <x:f>IFERROR('4000rpm'!C86,"")</x:f>
        <x:v>154.913888888888</x:v>
      </x:c>
      <x:c r="K475" s="22" t="n">
        <x:f>IF(AND(ISNUMBER(I475),ISNUMBER(J475)),I475-J475,"")</x:f>
        <x:v>2067.8290189125223</x:v>
      </x:c>
      <x:c r="L475" s="22" t="n">
        <x:f>IF(ISNUMBER(K475),K475*$B$2+$B$3,"")</x:f>
        <x:v>1922.296275250348</x:v>
      </x:c>
      <x:c r="M475" s="22" t="n">
        <x:f>IF(AND(ISNUMBER(G475),ISNUMBER(H475),H475&lt;&gt;0),G475/(H475/60)/$B$5,"")</x:f>
        <x:v>0.005070093116458386</x:v>
      </x:c>
      <x:c r="N475" s="22" t="n">
        <x:f>IF(AND(ISNUMBER(L475),ISNUMBER(H475),H475&lt;&gt;0),L475*$B$6/$B$4/(H475/60)^2/$B$5^4/$B$7,"")</x:f>
        <x:v>0.07896691626053295</x:v>
      </x:c>
      <x:c r="O475" s="22" t="n">
        <x:f>IF(ISNUMBER(N475),N475*$B$8,"")</x:f>
        <x:v>0.010202726052184512</x:v>
      </x:c>
      <x:c r="P475" s="20" t="str">
        <x:v>4000rpm!D87</x:v>
      </x:c>
      <x:c r="Q475" s="20" t="str">
        <x:v>4000rpm!C87</x:v>
      </x:c>
      <x:c r="R475" s="20" t="str">
        <x:v>4000rpm!C86</x:v>
      </x:c>
    </x:row>
    <x:row r="476">
      <x:c r="A476" s="21" t="n">
        <x:v>4000</x:v>
      </x:c>
      <x:c r="B476" s="21" t="n">
        <x:v>45</x:v>
      </x:c>
      <x:c r="C476" s="21" t="n">
        <x:v>2</x:v>
      </x:c>
      <x:c r="D476" s="21" t="n">
        <x:v>2</x:v>
      </x:c>
      <x:c r="E476" s="21" t="str">
        <x:v>4000rpm</x:v>
      </x:c>
      <x:c r="F476" s="21" t="n">
        <x:v>87</x:v>
      </x:c>
      <x:c r="G476" s="22" t="n">
        <x:f>IFERROR('4000rpm'!O87,"")</x:f>
        <x:v>0.090979449556119</x:v>
      </x:c>
      <x:c r="H476" s="22" t="n">
        <x:f>IFERROR('4000rpm'!M87,"")</x:f>
        <x:v>3993.20065060177</x:v>
      </x:c>
      <x:c r="I476" s="22" t="n">
        <x:f>IFERROR('4000rpm'!N87,"")</x:f>
        <x:v>2189.79865771812</x:v>
      </x:c>
      <x:c r="J476" s="22" t="n">
        <x:f>IFERROR('4000rpm'!N86,"")</x:f>
        <x:v>158.03216374269</x:v>
      </x:c>
      <x:c r="K476" s="22" t="n">
        <x:f>IF(AND(ISNUMBER(I476),ISNUMBER(J476)),I476-J476,"")</x:f>
        <x:v>2031.76649397543</x:v>
      </x:c>
      <x:c r="L476" s="22" t="n">
        <x:f>IF(ISNUMBER(K476),K476*$B$2+$B$3,"")</x:f>
        <x:v>1889.273532665253</x:v>
      </x:c>
      <x:c r="M476" s="22" t="n">
        <x:f>IF(AND(ISNUMBER(G476),ISNUMBER(H476),H476&lt;&gt;0),G476/(H476/60)/$B$5,"")</x:f>
        <x:v>0.002989972544305454</x:v>
      </x:c>
      <x:c r="N476" s="22" t="n">
        <x:f>IF(AND(ISNUMBER(L476),ISNUMBER(H476),H476&lt;&gt;0),L476*$B$6/$B$4/(H476/60)^2/$B$5^4/$B$7,"")</x:f>
        <x:v>0.07939062423168967</x:v>
      </x:c>
      <x:c r="O476" s="22" t="n">
        <x:f>IF(ISNUMBER(N476),N476*$B$8,"")</x:f>
        <x:v>0.010257470197714726</x:v>
      </x:c>
      <x:c r="P476" s="20" t="str">
        <x:v>4000rpm!O87</x:v>
      </x:c>
      <x:c r="Q476" s="20" t="str">
        <x:v>4000rpm!N87</x:v>
      </x:c>
      <x:c r="R476" s="20" t="str">
        <x:v>4000rpm!N86</x:v>
      </x:c>
    </x:row>
    <x:row r="477">
      <x:c r="A477" s="21" t="n">
        <x:v>4000</x:v>
      </x:c>
      <x:c r="B477" s="21" t="n">
        <x:v>45</x:v>
      </x:c>
      <x:c r="C477" s="21" t="n">
        <x:v>3</x:v>
      </x:c>
      <x:c r="D477" s="21" t="n">
        <x:v>1</x:v>
      </x:c>
      <x:c r="E477" s="21" t="str">
        <x:v>4000rpm</x:v>
      </x:c>
      <x:c r="F477" s="21" t="n">
        <x:v>88</x:v>
      </x:c>
      <x:c r="G477" s="22" t="n">
        <x:f>IFERROR('4000rpm'!D88,"")</x:f>
        <x:v>1.155874143182607</x:v>
      </x:c>
      <x:c r="H477" s="22" t="n">
        <x:f>IFERROR('4000rpm'!B88,"")</x:f>
        <x:v>4060.89031982421</x:v>
      </x:c>
      <x:c r="I477" s="22" t="n">
        <x:f>IFERROR('4000rpm'!C88,"")</x:f>
        <x:v>2230.84843205574</x:v>
      </x:c>
      <x:c r="J477" s="22" t="n">
        <x:f>IFERROR('4000rpm'!C86,"")</x:f>
        <x:v>154.913888888888</x:v>
      </x:c>
      <x:c r="K477" s="22" t="n">
        <x:f>IF(AND(ISNUMBER(I477),ISNUMBER(J477)),I477-J477,"")</x:f>
        <x:v>2075.934543166852</x:v>
      </x:c>
      <x:c r="L477" s="22" t="n">
        <x:f>IF(ISNUMBER(K477),K477*$B$2+$B$3,"")</x:f>
        <x:v>1929.7185686542318</x:v>
      </x:c>
      <x:c r="M477" s="22" t="n">
        <x:f>IF(AND(ISNUMBER(G477),ISNUMBER(H477),H477&lt;&gt;0),G477/(H477/60)/$B$5,"")</x:f>
        <x:v>0.03735375943600238</x:v>
      </x:c>
      <x:c r="N477" s="22" t="n">
        <x:f>IF(AND(ISNUMBER(L477),ISNUMBER(H477),H477&lt;&gt;0),L477*$B$6/$B$4/(H477/60)^2/$B$5^4/$B$7,"")</x:f>
        <x:v>0.07840939426885177</x:v>
      </x:c>
      <x:c r="O477" s="22" t="n">
        <x:f>IF(ISNUMBER(N477),N477*$B$8,"")</x:f>
        <x:v>0.010130692795492249</x:v>
      </x:c>
      <x:c r="P477" s="20" t="str">
        <x:v>4000rpm!D88</x:v>
      </x:c>
      <x:c r="Q477" s="20" t="str">
        <x:v>4000rpm!C88</x:v>
      </x:c>
      <x:c r="R477" s="20" t="str">
        <x:v>4000rpm!C86</x:v>
      </x:c>
    </x:row>
    <x:row r="478">
      <x:c r="A478" s="21" t="n">
        <x:v>4000</x:v>
      </x:c>
      <x:c r="B478" s="21" t="n">
        <x:v>45</x:v>
      </x:c>
      <x:c r="C478" s="21" t="n">
        <x:v>3</x:v>
      </x:c>
      <x:c r="D478" s="21" t="n">
        <x:v>2</x:v>
      </x:c>
      <x:c r="E478" s="21" t="str">
        <x:v>4000rpm</x:v>
      </x:c>
      <x:c r="F478" s="21" t="n">
        <x:v>88</x:v>
      </x:c>
      <x:c r="G478" s="22" t="n">
        <x:f>IFERROR('4000rpm'!O88,"")</x:f>
        <x:v>1.022056874838915</x:v>
      </x:c>
      <x:c r="H478" s="22" t="n">
        <x:f>IFERROR('4000rpm'!M88,"")</x:f>
        <x:v>3997.18553402549</x:v>
      </x:c>
      <x:c r="I478" s="22" t="n">
        <x:f>IFERROR('4000rpm'!N88,"")</x:f>
        <x:v>2155.09694555112</x:v>
      </x:c>
      <x:c r="J478" s="22" t="n">
        <x:f>IFERROR('4000rpm'!N86,"")</x:f>
        <x:v>158.03216374269</x:v>
      </x:c>
      <x:c r="K478" s="22" t="n">
        <x:f>IF(AND(ISNUMBER(I478),ISNUMBER(J478)),I478-J478,"")</x:f>
        <x:v>1997.0647818084299</x:v>
      </x:c>
      <x:c r="L478" s="22" t="n">
        <x:f>IF(ISNUMBER(K478),K478*$B$2+$B$3,"")</x:f>
        <x:v>1857.4968972202337</x:v>
      </x:c>
      <x:c r="M478" s="22" t="n">
        <x:f>IF(AND(ISNUMBER(G478),ISNUMBER(H478),H478&lt;&gt;0),G478/(H478/60)/$B$5,"")</x:f>
        <x:v>0.03355566001528077</x:v>
      </x:c>
      <x:c r="N478" s="22" t="n">
        <x:f>IF(AND(ISNUMBER(L478),ISNUMBER(H478),H478&lt;&gt;0),L478*$B$6/$B$4/(H478/60)^2/$B$5^4/$B$7,"")</x:f>
        <x:v>0.0778997610672967</x:v>
      </x:c>
      <x:c r="O478" s="22" t="n">
        <x:f>IF(ISNUMBER(N478),N478*$B$8,"")</x:f>
        <x:v>0.010064846892058344</x:v>
      </x:c>
      <x:c r="P478" s="20" t="str">
        <x:v>4000rpm!O88</x:v>
      </x:c>
      <x:c r="Q478" s="20" t="str">
        <x:v>4000rpm!N88</x:v>
      </x:c>
      <x:c r="R478" s="20" t="str">
        <x:v>4000rpm!N86</x:v>
      </x:c>
    </x:row>
    <x:row r="479">
      <x:c r="A479" s="21" t="n">
        <x:v>4000</x:v>
      </x:c>
      <x:c r="B479" s="21" t="n">
        <x:v>45</x:v>
      </x:c>
      <x:c r="C479" s="21" t="n">
        <x:v>4</x:v>
      </x:c>
      <x:c r="D479" s="21" t="n">
        <x:v>1</x:v>
      </x:c>
      <x:c r="E479" s="21" t="str">
        <x:v>4000rpm</x:v>
      </x:c>
      <x:c r="F479" s="21" t="n">
        <x:v>89</x:v>
      </x:c>
      <x:c r="G479" s="22" t="n">
        <x:f>IFERROR('4000rpm'!D89,"")</x:f>
        <x:v>2.0825100039512248</x:v>
      </x:c>
      <x:c r="H479" s="22" t="n">
        <x:f>IFERROR('4000rpm'!B89,"")</x:f>
        <x:v>4063.01839773995</x:v>
      </x:c>
      <x:c r="I479" s="22" t="n">
        <x:f>IFERROR('4000rpm'!C89,"")</x:f>
        <x:v>2174.47711267605</x:v>
      </x:c>
      <x:c r="J479" s="22" t="n">
        <x:f>IFERROR('4000rpm'!C86,"")</x:f>
        <x:v>154.913888888888</x:v>
      </x:c>
      <x:c r="K479" s="22" t="n">
        <x:f>IF(AND(ISNUMBER(I479),ISNUMBER(J479)),I479-J479,"")</x:f>
        <x:v>2019.563223787162</x:v>
      </x:c>
      <x:c r="L479" s="22" t="n">
        <x:f>IF(ISNUMBER(K479),K479*$B$2+$B$3,"")</x:f>
        <x:v>1878.0989005276947</x:v>
      </x:c>
      <x:c r="M479" s="22" t="n">
        <x:f>IF(AND(ISNUMBER(G479),ISNUMBER(H479),H479&lt;&gt;0),G479/(H479/60)/$B$5,"")</x:f>
        <x:v>0.06726410007424648</x:v>
      </x:c>
      <x:c r="N479" s="22" t="n">
        <x:f>IF(AND(ISNUMBER(L479),ISNUMBER(H479),H479&lt;&gt;0),L479*$B$6/$B$4/(H479/60)^2/$B$5^4/$B$7,"")</x:f>
        <x:v>0.07623203676352312</x:v>
      </x:c>
      <x:c r="O479" s="22" t="n">
        <x:f>IF(ISNUMBER(N479),N479*$B$8,"")</x:f>
        <x:v>0.009849372678201067</x:v>
      </x:c>
      <x:c r="P479" s="20" t="str">
        <x:v>4000rpm!D89</x:v>
      </x:c>
      <x:c r="Q479" s="20" t="str">
        <x:v>4000rpm!C89</x:v>
      </x:c>
      <x:c r="R479" s="20" t="str">
        <x:v>4000rpm!C86</x:v>
      </x:c>
    </x:row>
    <x:row r="480">
      <x:c r="A480" s="21" t="n">
        <x:v>4000</x:v>
      </x:c>
      <x:c r="B480" s="21" t="n">
        <x:v>45</x:v>
      </x:c>
      <x:c r="C480" s="21" t="n">
        <x:v>4</x:v>
      </x:c>
      <x:c r="D480" s="21" t="n">
        <x:v>2</x:v>
      </x:c>
      <x:c r="E480" s="21" t="str">
        <x:v>4000rpm</x:v>
      </x:c>
      <x:c r="F480" s="21" t="n">
        <x:v>89</x:v>
      </x:c>
      <x:c r="G480" s="22" t="n">
        <x:f>IFERROR('4000rpm'!O89,"")</x:f>
        <x:v>2.031606786178815</x:v>
      </x:c>
      <x:c r="H480" s="22" t="n">
        <x:f>IFERROR('4000rpm'!M89,"")</x:f>
        <x:v>3975.66239560883</x:v>
      </x:c>
      <x:c r="I480" s="22" t="n">
        <x:f>IFERROR('4000rpm'!N89,"")</x:f>
        <x:v>2098.16188870151</x:v>
      </x:c>
      <x:c r="J480" s="22" t="n">
        <x:f>IFERROR('4000rpm'!N86,"")</x:f>
        <x:v>158.03216374269</x:v>
      </x:c>
      <x:c r="K480" s="22" t="n">
        <x:f>IF(AND(ISNUMBER(I480),ISNUMBER(J480)),I480-J480,"")</x:f>
        <x:v>1940.1297249588201</x:v>
      </x:c>
      <x:c r="L480" s="22" t="n">
        <x:f>IF(ISNUMBER(K480),K480*$B$2+$B$3,"")</x:f>
        <x:v>1805.3610101825914</x:v>
      </x:c>
      <x:c r="M480" s="22" t="n">
        <x:f>IF(AND(ISNUMBER(G480),ISNUMBER(H480),H480&lt;&gt;0),G480/(H480/60)/$B$5,"")</x:f>
        <x:v>0.06706179682094582</x:v>
      </x:c>
      <x:c r="N480" s="22" t="n">
        <x:f>IF(AND(ISNUMBER(L480),ISNUMBER(H480),H480&lt;&gt;0),L480*$B$6/$B$4/(H480/60)^2/$B$5^4/$B$7,"")</x:f>
        <x:v>0.07653528532835477</x:v>
      </x:c>
      <x:c r="O480" s="22" t="n">
        <x:f>IF(ISNUMBER(N480),N480*$B$8,"")</x:f>
        <x:v>0.009888553162626818</x:v>
      </x:c>
      <x:c r="P480" s="20" t="str">
        <x:v>4000rpm!O89</x:v>
      </x:c>
      <x:c r="Q480" s="20" t="str">
        <x:v>4000rpm!N89</x:v>
      </x:c>
      <x:c r="R480" s="20" t="str">
        <x:v>4000rpm!N86</x:v>
      </x:c>
    </x:row>
    <x:row r="481">
      <x:c r="A481" s="21" t="n">
        <x:v>4000</x:v>
      </x:c>
      <x:c r="B481" s="21" t="n">
        <x:v>45</x:v>
      </x:c>
      <x:c r="C481" s="21" t="n">
        <x:v>5</x:v>
      </x:c>
      <x:c r="D481" s="21" t="n">
        <x:v>1</x:v>
      </x:c>
      <x:c r="E481" s="21" t="str">
        <x:v>4000rpm</x:v>
      </x:c>
      <x:c r="F481" s="21" t="n">
        <x:v>90</x:v>
      </x:c>
      <x:c r="G481" s="22" t="n">
        <x:f>IFERROR('4000rpm'!D90,"")</x:f>
        <x:v>3.105174518823615</x:v>
      </x:c>
      <x:c r="H481" s="22" t="n">
        <x:f>IFERROR('4000rpm'!B90,"")</x:f>
        <x:v>4028.11782226562</x:v>
      </x:c>
      <x:c r="I481" s="22" t="n">
        <x:f>IFERROR('4000rpm'!C90,"")</x:f>
        <x:v>2118.56333333333</x:v>
      </x:c>
      <x:c r="J481" s="22" t="n">
        <x:f>IFERROR('4000rpm'!C86,"")</x:f>
        <x:v>154.913888888888</x:v>
      </x:c>
      <x:c r="K481" s="22" t="n">
        <x:f>IF(AND(ISNUMBER(I481),ISNUMBER(J481)),I481-J481,"")</x:f>
        <x:v>1963.6494444444418</x:v>
      </x:c>
      <x:c r="L481" s="22" t="n">
        <x:f>IF(ISNUMBER(K481),K481*$B$2+$B$3,"")</x:f>
        <x:v>1826.8982054733308</x:v>
      </x:c>
      <x:c r="M481" s="22" t="n">
        <x:f>IF(AND(ISNUMBER(G481),ISNUMBER(H481),H481&lt;&gt;0),G481/(H481/60)/$B$5,"")</x:f>
        <x:v>0.10116467185763377</x:v>
      </x:c>
      <x:c r="N481" s="22" t="n">
        <x:f>IF(AND(ISNUMBER(L481),ISNUMBER(H481),H481&lt;&gt;0),L481*$B$6/$B$4/(H481/60)^2/$B$5^4/$B$7,"")</x:f>
        <x:v>0.07544433963869372</x:v>
      </x:c>
      <x:c r="O481" s="22" t="n">
        <x:f>IF(ISNUMBER(N481),N481*$B$8,"")</x:f>
        <x:v>0.009747600209966234</x:v>
      </x:c>
      <x:c r="P481" s="20" t="str">
        <x:v>4000rpm!D90</x:v>
      </x:c>
      <x:c r="Q481" s="20" t="str">
        <x:v>4000rpm!C90</x:v>
      </x:c>
      <x:c r="R481" s="20" t="str">
        <x:v>4000rpm!C86</x:v>
      </x:c>
    </x:row>
    <x:row r="482">
      <x:c r="A482" s="21" t="n">
        <x:v>4000</x:v>
      </x:c>
      <x:c r="B482" s="21" t="n">
        <x:v>45</x:v>
      </x:c>
      <x:c r="C482" s="21" t="n">
        <x:v>5</x:v>
      </x:c>
      <x:c r="D482" s="21" t="n">
        <x:v>2</x:v>
      </x:c>
      <x:c r="E482" s="21" t="str">
        <x:v>4000rpm</x:v>
      </x:c>
      <x:c r="F482" s="21" t="n">
        <x:v>90</x:v>
      </x:c>
      <x:c r="G482" s="22" t="n">
        <x:f>IFERROR('4000rpm'!O90,"")</x:f>
        <x:v>3.058497443641575</x:v>
      </x:c>
      <x:c r="H482" s="22" t="n">
        <x:f>IFERROR('4000rpm'!M90,"")</x:f>
        <x:v>3960.28515625</x:v>
      </x:c>
      <x:c r="I482" s="22" t="n">
        <x:f>IFERROR('4000rpm'!N90,"")</x:f>
        <x:v>2045.29259896729</x:v>
      </x:c>
      <x:c r="J482" s="22" t="n">
        <x:f>IFERROR('4000rpm'!N86,"")</x:f>
        <x:v>158.03216374269</x:v>
      </x:c>
      <x:c r="K482" s="22" t="n">
        <x:f>IF(AND(ISNUMBER(I482),ISNUMBER(J482)),I482-J482,"")</x:f>
        <x:v>1887.2604352245999</x:v>
      </x:c>
      <x:c r="L482" s="22" t="n">
        <x:f>IF(ISNUMBER(K482),K482*$B$2+$B$3,"")</x:f>
        <x:v>1756.948178618648</x:v>
      </x:c>
      <x:c r="M482" s="22" t="n">
        <x:f>IF(AND(ISNUMBER(G482),ISNUMBER(H482),H482&lt;&gt;0),G482/(H482/60)/$B$5,"")</x:f>
        <x:v>0.10135068598339578</x:v>
      </x:c>
      <x:c r="N482" s="22" t="n">
        <x:f>IF(AND(ISNUMBER(L482),ISNUMBER(H482),H482&lt;&gt;0),L482*$B$6/$B$4/(H482/60)^2/$B$5^4/$B$7,"")</x:f>
        <x:v>0.07506244021086231</x:v>
      </x:c>
      <x:c r="O482" s="22" t="n">
        <x:f>IF(ISNUMBER(N482),N482*$B$8,"")</x:f>
        <x:v>0.009698257834371947</x:v>
      </x:c>
      <x:c r="P482" s="20" t="str">
        <x:v>4000rpm!O90</x:v>
      </x:c>
      <x:c r="Q482" s="20" t="str">
        <x:v>4000rpm!N90</x:v>
      </x:c>
      <x:c r="R482" s="20" t="str">
        <x:v>4000rpm!N86</x:v>
      </x:c>
    </x:row>
    <x:row r="483">
      <x:c r="A483" s="21" t="n">
        <x:v>4000</x:v>
      </x:c>
      <x:c r="B483" s="21" t="n">
        <x:v>45</x:v>
      </x:c>
      <x:c r="C483" s="21" t="n">
        <x:v>6</x:v>
      </x:c>
      <x:c r="D483" s="21" t="n">
        <x:v>1</x:v>
      </x:c>
      <x:c r="E483" s="21" t="str">
        <x:v>4000rpm</x:v>
      </x:c>
      <x:c r="F483" s="21" t="n">
        <x:v>91</x:v>
      </x:c>
      <x:c r="G483" s="22" t="n">
        <x:f>IFERROR('4000rpm'!D91,"")</x:f>
        <x:v>4.135182272686665</x:v>
      </x:c>
      <x:c r="H483" s="22" t="n">
        <x:f>IFERROR('4000rpm'!B91,"")</x:f>
        <x:v>4050.37987304687</x:v>
      </x:c>
      <x:c r="I483" s="22" t="n">
        <x:f>IFERROR('4000rpm'!C91,"")</x:f>
        <x:v>2059.16829745596</x:v>
      </x:c>
      <x:c r="J483" s="22" t="n">
        <x:f>IFERROR('4000rpm'!C86,"")</x:f>
        <x:v>154.913888888888</x:v>
      </x:c>
      <x:c r="K483" s="22" t="n">
        <x:f>IF(AND(ISNUMBER(I483),ISNUMBER(J483)),I483-J483,"")</x:f>
        <x:v>1904.2544085670718</x:v>
      </x:c>
      <x:c r="L483" s="22" t="n">
        <x:f>IF(ISNUMBER(K483),K483*$B$2+$B$3,"")</x:f>
        <x:v>1772.5096959601362</x:v>
      </x:c>
      <x:c r="M483" s="22" t="n">
        <x:f>IF(AND(ISNUMBER(G483),ISNUMBER(H483),H483&lt;&gt;0),G483/(H483/60)/$B$5,"")</x:f>
        <x:v>0.13398122051377725</x:v>
      </x:c>
      <x:c r="N483" s="22" t="n">
        <x:f>IF(AND(ISNUMBER(L483),ISNUMBER(H483),H483&lt;&gt;0),L483*$B$6/$B$4/(H483/60)^2/$B$5^4/$B$7,"")</x:f>
        <x:v>0.07239586300907849</x:v>
      </x:c>
      <x:c r="O483" s="22" t="n">
        <x:f>IF(ISNUMBER(N483),N483*$B$8,"")</x:f>
        <x:v>0.009353729290329021</x:v>
      </x:c>
      <x:c r="P483" s="20" t="str">
        <x:v>4000rpm!D91</x:v>
      </x:c>
      <x:c r="Q483" s="20" t="str">
        <x:v>4000rpm!C91</x:v>
      </x:c>
      <x:c r="R483" s="20" t="str">
        <x:v>4000rpm!C86</x:v>
      </x:c>
    </x:row>
    <x:row r="484">
      <x:c r="A484" s="21" t="n">
        <x:v>4000</x:v>
      </x:c>
      <x:c r="B484" s="21" t="n">
        <x:v>45</x:v>
      </x:c>
      <x:c r="C484" s="21" t="n">
        <x:v>6</x:v>
      </x:c>
      <x:c r="D484" s="21" t="n">
        <x:v>2</x:v>
      </x:c>
      <x:c r="E484" s="21" t="str">
        <x:v>4000rpm</x:v>
      </x:c>
      <x:c r="F484" s="21" t="n">
        <x:v>91</x:v>
      </x:c>
      <x:c r="G484" s="22" t="n">
        <x:f>IFERROR('4000rpm'!O91,"")</x:f>
        <x:v>4.096485000710145</x:v>
      </x:c>
      <x:c r="H484" s="22" t="n">
        <x:f>IFERROR('4000rpm'!M91,"")</x:f>
        <x:v>3978.18490835336</x:v>
      </x:c>
      <x:c r="I484" s="22" t="n">
        <x:f>IFERROR('4000rpm'!N91,"")</x:f>
        <x:v>1986.54738878143</x:v>
      </x:c>
      <x:c r="J484" s="22" t="n">
        <x:f>IFERROR('4000rpm'!N86,"")</x:f>
        <x:v>158.03216374269</x:v>
      </x:c>
      <x:c r="K484" s="22" t="n">
        <x:f>IF(AND(ISNUMBER(I484),ISNUMBER(J484)),I484-J484,"")</x:f>
        <x:v>1828.51522503874</x:v>
      </x:c>
      <x:c r="L484" s="22" t="n">
        <x:f>IF(ISNUMBER(K484),K484*$B$2+$B$3,"")</x:f>
        <x:v>1703.1547196897745</x:v>
      </x:c>
      <x:c r="M484" s="22" t="n">
        <x:f>IF(AND(ISNUMBER(G484),ISNUMBER(H484),H484&lt;&gt;0),G484/(H484/60)/$B$5,"")</x:f>
        <x:v>0.13513611588472613</x:v>
      </x:c>
      <x:c r="N484" s="22" t="n">
        <x:f>IF(AND(ISNUMBER(L484),ISNUMBER(H484),H484&lt;&gt;0),L484*$B$6/$B$4/(H484/60)^2/$B$5^4/$B$7,"")</x:f>
        <x:v>0.07211088307410743</x:v>
      </x:c>
      <x:c r="O484" s="22" t="n">
        <x:f>IF(ISNUMBER(N484),N484*$B$8,"")</x:f>
        <x:v>0.009316909159259368</x:v>
      </x:c>
      <x:c r="P484" s="20" t="str">
        <x:v>4000rpm!O91</x:v>
      </x:c>
      <x:c r="Q484" s="20" t="str">
        <x:v>4000rpm!N91</x:v>
      </x:c>
      <x:c r="R484" s="20" t="str">
        <x:v>4000rpm!N86</x:v>
      </x:c>
    </x:row>
    <x:row r="485">
      <x:c r="A485" s="21" t="n">
        <x:v>4000</x:v>
      </x:c>
      <x:c r="B485" s="21" t="n">
        <x:v>45</x:v>
      </x:c>
      <x:c r="C485" s="21" t="n">
        <x:v>7</x:v>
      </x:c>
      <x:c r="D485" s="21" t="n">
        <x:v>1</x:v>
      </x:c>
      <x:c r="E485" s="21" t="str">
        <x:v>4000rpm</x:v>
      </x:c>
      <x:c r="F485" s="21" t="n">
        <x:v>92</x:v>
      </x:c>
      <x:c r="G485" s="22" t="n">
        <x:f>IFERROR('4000rpm'!D92,"")</x:f>
        <x:v>5.1602878043526</x:v>
      </x:c>
      <x:c r="H485" s="22" t="n">
        <x:f>IFERROR('4000rpm'!B92,"")</x:f>
        <x:v>4030.75813511439</x:v>
      </x:c>
      <x:c r="I485" s="22" t="n">
        <x:f>IFERROR('4000rpm'!C92,"")</x:f>
        <x:v>1999.57517482517</x:v>
      </x:c>
      <x:c r="J485" s="22" t="n">
        <x:f>IFERROR('4000rpm'!C86,"")</x:f>
        <x:v>154.913888888888</x:v>
      </x:c>
      <x:c r="K485" s="22" t="n">
        <x:f>IF(AND(ISNUMBER(I485),ISNUMBER(J485)),I485-J485,"")</x:f>
        <x:v>1844.661285936282</x:v>
      </x:c>
      <x:c r="L485" s="22" t="n">
        <x:f>IF(ISNUMBER(K485),K485*$B$2+$B$3,"")</x:f>
        <x:v>1717.9397968221408</x:v>
      </x:c>
      <x:c r="M485" s="22" t="n">
        <x:f>IF(AND(ISNUMBER(G485),ISNUMBER(H485),H485&lt;&gt;0),G485/(H485/60)/$B$5,"")</x:f>
        <x:v>0.16800887109332077</x:v>
      </x:c>
      <x:c r="N485" s="22" t="n">
        <x:f>IF(AND(ISNUMBER(L485),ISNUMBER(H485),H485&lt;&gt;0),L485*$B$6/$B$4/(H485/60)^2/$B$5^4/$B$7,"")</x:f>
        <x:v>0.07085183535141307</x:v>
      </x:c>
      <x:c r="O485" s="22" t="n">
        <x:f>IF(ISNUMBER(N485),N485*$B$8,"")</x:f>
        <x:v>0.009154236997174478</x:v>
      </x:c>
      <x:c r="P485" s="20" t="str">
        <x:v>4000rpm!D92</x:v>
      </x:c>
      <x:c r="Q485" s="20" t="str">
        <x:v>4000rpm!C92</x:v>
      </x:c>
      <x:c r="R485" s="20" t="str">
        <x:v>4000rpm!C86</x:v>
      </x:c>
    </x:row>
    <x:row r="486">
      <x:c r="A486" s="21" t="n">
        <x:v>4000</x:v>
      </x:c>
      <x:c r="B486" s="21" t="n">
        <x:v>45</x:v>
      </x:c>
      <x:c r="C486" s="21" t="n">
        <x:v>7</x:v>
      </x:c>
      <x:c r="D486" s="21" t="n">
        <x:v>2</x:v>
      </x:c>
      <x:c r="E486" s="21" t="str">
        <x:v>4000rpm</x:v>
      </x:c>
      <x:c r="F486" s="21" t="n">
        <x:v>92</x:v>
      </x:c>
      <x:c r="G486" s="22" t="n">
        <x:f>IFERROR('4000rpm'!O92,"")</x:f>
        <x:v>5.1281040173310455</x:v>
      </x:c>
      <x:c r="H486" s="22" t="n">
        <x:f>IFERROR('4000rpm'!M92,"")</x:f>
        <x:v>3983.42454246238</x:v>
      </x:c>
      <x:c r="I486" s="22" t="n">
        <x:f>IFERROR('4000rpm'!N92,"")</x:f>
        <x:v>1919.76330275229</x:v>
      </x:c>
      <x:c r="J486" s="22" t="n">
        <x:f>IFERROR('4000rpm'!N86,"")</x:f>
        <x:v>158.03216374269</x:v>
      </x:c>
      <x:c r="K486" s="22" t="n">
        <x:f>IF(AND(ISNUMBER(I486),ISNUMBER(J486)),I486-J486,"")</x:f>
        <x:v>1761.7311390096</x:v>
      </x:c>
      <x:c r="L486" s="22" t="n">
        <x:f>IF(ISNUMBER(K486),K486*$B$2+$B$3,"")</x:f>
        <x:v>1641.9999978402027</x:v>
      </x:c>
      <x:c r="M486" s="22" t="n">
        <x:f>IF(AND(ISNUMBER(G486),ISNUMBER(H486),H486&lt;&gt;0),G486/(H486/60)/$B$5,"")</x:f>
        <x:v>0.16894496749208254</x:v>
      </x:c>
      <x:c r="N486" s="22" t="n">
        <x:f>IF(AND(ISNUMBER(L486),ISNUMBER(H486),H486&lt;&gt;0),L486*$B$6/$B$4/(H486/60)^2/$B$5^4/$B$7,"")</x:f>
        <x:v>0.06933884533405542</x:v>
      </x:c>
      <x:c r="O486" s="22" t="n">
        <x:f>IF(ISNUMBER(N486),N486*$B$8,"")</x:f>
        <x:v>0.008958754845942177</x:v>
      </x:c>
      <x:c r="P486" s="20" t="str">
        <x:v>4000rpm!O92</x:v>
      </x:c>
      <x:c r="Q486" s="20" t="str">
        <x:v>4000rpm!N92</x:v>
      </x:c>
      <x:c r="R486" s="20" t="str">
        <x:v>4000rpm!N86</x:v>
      </x:c>
    </x:row>
    <x:row r="487">
      <x:c r="A487" s="21" t="n">
        <x:v>4000</x:v>
      </x:c>
      <x:c r="B487" s="21" t="n">
        <x:v>45</x:v>
      </x:c>
      <x:c r="C487" s="21" t="n">
        <x:v>8</x:v>
      </x:c>
      <x:c r="D487" s="21" t="n">
        <x:v>1</x:v>
      </x:c>
      <x:c r="E487" s="21" t="str">
        <x:v>4000rpm</x:v>
      </x:c>
      <x:c r="F487" s="21" t="n">
        <x:v>93</x:v>
      </x:c>
      <x:c r="G487" s="22" t="n">
        <x:f>IFERROR('4000rpm'!D93,"")</x:f>
        <x:v>6.190093241086815</x:v>
      </x:c>
      <x:c r="H487" s="22" t="n">
        <x:f>IFERROR('4000rpm'!B93,"")</x:f>
        <x:v>4033.02295939127</x:v>
      </x:c>
      <x:c r="I487" s="22" t="n">
        <x:f>IFERROR('4000rpm'!C93,"")</x:f>
        <x:v>1940.99389002036</x:v>
      </x:c>
      <x:c r="J487" s="22" t="n">
        <x:f>IFERROR('4000rpm'!C86,"")</x:f>
        <x:v>154.913888888888</x:v>
      </x:c>
      <x:c r="K487" s="22" t="n">
        <x:f>IF(AND(ISNUMBER(I487),ISNUMBER(J487)),I487-J487,"")</x:f>
        <x:v>1786.0800011314718</x:v>
      </x:c>
      <x:c r="L487" s="22" t="n">
        <x:f>IF(ISNUMBER(K487),K487*$B$2+$B$3,"")</x:f>
        <x:v>1664.2964456760978</x:v>
      </x:c>
      <x:c r="M487" s="22" t="n">
        <x:f>IF(AND(ISNUMBER(G487),ISNUMBER(H487),H487&lt;&gt;0),G487/(H487/60)/$B$5,"")</x:f>
        <x:v>0.20142414326621172</x:v>
      </x:c>
      <x:c r="N487" s="22" t="n">
        <x:f>IF(AND(ISNUMBER(L487),ISNUMBER(H487),H487&lt;&gt;0),L487*$B$6/$B$4/(H487/60)^2/$B$5^4/$B$7,"")</x:f>
        <x:v>0.06856238864599529</x:v>
      </x:c>
      <x:c r="O487" s="22" t="n">
        <x:f>IF(ISNUMBER(N487),N487*$B$8,"")</x:f>
        <x:v>0.008858434670673748</x:v>
      </x:c>
      <x:c r="P487" s="20" t="str">
        <x:v>4000rpm!D93</x:v>
      </x:c>
      <x:c r="Q487" s="20" t="str">
        <x:v>4000rpm!C93</x:v>
      </x:c>
      <x:c r="R487" s="20" t="str">
        <x:v>4000rpm!C86</x:v>
      </x:c>
    </x:row>
    <x:row r="488">
      <x:c r="A488" s="21" t="n">
        <x:v>4000</x:v>
      </x:c>
      <x:c r="B488" s="21" t="n">
        <x:v>45</x:v>
      </x:c>
      <x:c r="C488" s="21" t="n">
        <x:v>8</x:v>
      </x:c>
      <x:c r="D488" s="21" t="n">
        <x:v>2</x:v>
      </x:c>
      <x:c r="E488" s="21" t="str">
        <x:v>4000rpm</x:v>
      </x:c>
      <x:c r="F488" s="21" t="n">
        <x:v>93</x:v>
      </x:c>
      <x:c r="G488" s="22" t="n">
        <x:f>IFERROR('4000rpm'!O93,"")</x:f>
        <x:v>6.163750640339715</x:v>
      </x:c>
      <x:c r="H488" s="22" t="n">
        <x:f>IFERROR('4000rpm'!M93,"")</x:f>
        <x:v>3977.96632737379</x:v>
      </x:c>
      <x:c r="I488" s="22" t="n">
        <x:f>IFERROR('4000rpm'!N93,"")</x:f>
        <x:v>1862.38095238095</x:v>
      </x:c>
      <x:c r="J488" s="22" t="n">
        <x:f>IFERROR('4000rpm'!N86,"")</x:f>
        <x:v>158.03216374269</x:v>
      </x:c>
      <x:c r="K488" s="22" t="n">
        <x:f>IF(AND(ISNUMBER(I488),ISNUMBER(J488)),I488-J488,"")</x:f>
        <x:v>1704.34878863826</x:v>
      </x:c>
      <x:c r="L488" s="22" t="n">
        <x:f>IF(ISNUMBER(K488),K488*$B$2+$B$3,"")</x:f>
        <x:v>1589.4545205463637</x:v>
      </x:c>
      <x:c r="M488" s="22" t="n">
        <x:f>IF(AND(ISNUMBER(G488),ISNUMBER(H488),H488&lt;&gt;0),G488/(H488/60)/$B$5,"")</x:f>
        <x:v>0.20334288769196043</x:v>
      </x:c>
      <x:c r="N488" s="22" t="n">
        <x:f>IF(AND(ISNUMBER(L488),ISNUMBER(H488),H488&lt;&gt;0),L488*$B$6/$B$4/(H488/60)^2/$B$5^4/$B$7,"")</x:f>
        <x:v>0.06730425840466148</x:v>
      </x:c>
      <x:c r="O488" s="22" t="n">
        <x:f>IF(ISNUMBER(N488),N488*$B$8,"")</x:f>
        <x:v>0.008695881049509828</x:v>
      </x:c>
      <x:c r="P488" s="20" t="str">
        <x:v>4000rpm!O93</x:v>
      </x:c>
      <x:c r="Q488" s="20" t="str">
        <x:v>4000rpm!N93</x:v>
      </x:c>
      <x:c r="R488" s="20" t="str">
        <x:v>4000rpm!N86</x:v>
      </x:c>
    </x:row>
    <x:row r="489">
      <x:c r="A489" s="21" t="n">
        <x:v>4000</x:v>
      </x:c>
      <x:c r="B489" s="21" t="n">
        <x:v>45</x:v>
      </x:c>
      <x:c r="C489" s="21" t="n">
        <x:v>9</x:v>
      </x:c>
      <x:c r="D489" s="21" t="n">
        <x:v>1</x:v>
      </x:c>
      <x:c r="E489" s="21" t="str">
        <x:v>4000rpm</x:v>
      </x:c>
      <x:c r="F489" s="21" t="n">
        <x:v>94</x:v>
      </x:c>
      <x:c r="G489" s="22" t="n">
        <x:f>IFERROR('4000rpm'!D94,"")</x:f>
        <x:v>7.20764519717241</x:v>
      </x:c>
      <x:c r="H489" s="22" t="n">
        <x:f>IFERROR('4000rpm'!B94,"")</x:f>
        <x:v>4060.52394797585</x:v>
      </x:c>
      <x:c r="I489" s="22" t="n">
        <x:f>IFERROR('4000rpm'!C94,"")</x:f>
        <x:v>1882.08982035928</x:v>
      </x:c>
      <x:c r="J489" s="22" t="n">
        <x:f>IFERROR('4000rpm'!C86,"")</x:f>
        <x:v>154.913888888888</x:v>
      </x:c>
      <x:c r="K489" s="22" t="n">
        <x:f>IF(AND(ISNUMBER(I489),ISNUMBER(J489)),I489-J489,"")</x:f>
        <x:v>1727.175931470392</x:v>
      </x:c>
      <x:c r="L489" s="22" t="n">
        <x:f>IF(ISNUMBER(K489),K489*$B$2+$B$3,"")</x:f>
        <x:v>1610.3575178548897</x:v>
      </x:c>
      <x:c r="M489" s="22" t="n">
        <x:f>IF(AND(ISNUMBER(G489),ISNUMBER(H489),H489&lt;&gt;0),G489/(H489/60)/$B$5,"")</x:f>
        <x:v>0.2329465873365524</x:v>
      </x:c>
      <x:c r="N489" s="22" t="n">
        <x:f>IF(AND(ISNUMBER(L489),ISNUMBER(H489),H489&lt;&gt;0),L489*$B$6/$B$4/(H489/60)^2/$B$5^4/$B$7,"")</x:f>
        <x:v>0.06544474733674863</x:v>
      </x:c>
      <x:c r="O489" s="22" t="n">
        <x:f>IF(ISNUMBER(N489),N489*$B$8,"")</x:f>
        <x:v>0.008455627498841522</x:v>
      </x:c>
      <x:c r="P489" s="20" t="str">
        <x:v>4000rpm!D94</x:v>
      </x:c>
      <x:c r="Q489" s="20" t="str">
        <x:v>4000rpm!C94</x:v>
      </x:c>
      <x:c r="R489" s="20" t="str">
        <x:v>4000rpm!C86</x:v>
      </x:c>
    </x:row>
    <x:row r="490">
      <x:c r="A490" s="21" t="n">
        <x:v>4000</x:v>
      </x:c>
      <x:c r="B490" s="21" t="n">
        <x:v>45</x:v>
      </x:c>
      <x:c r="C490" s="21" t="n">
        <x:v>9</x:v>
      </x:c>
      <x:c r="D490" s="21" t="n">
        <x:v>2</x:v>
      </x:c>
      <x:c r="E490" s="21" t="str">
        <x:v>4000rpm</x:v>
      </x:c>
      <x:c r="F490" s="21" t="n">
        <x:v>94</x:v>
      </x:c>
      <x:c r="G490" s="22" t="n">
        <x:f>IFERROR('4000rpm'!O94,"")</x:f>
        <x:v>7.19003700988236</x:v>
      </x:c>
      <x:c r="H490" s="22" t="n">
        <x:f>IFERROR('4000rpm'!M94,"")</x:f>
        <x:v>3995.60603841145</x:v>
      </x:c>
      <x:c r="I490" s="22" t="n">
        <x:f>IFERROR('4000rpm'!N94,"")</x:f>
        <x:v>1808.99537037037</x:v>
      </x:c>
      <x:c r="J490" s="22" t="n">
        <x:f>IFERROR('4000rpm'!N86,"")</x:f>
        <x:v>158.03216374269</x:v>
      </x:c>
      <x:c r="K490" s="22" t="n">
        <x:f>IF(AND(ISNUMBER(I490),ISNUMBER(J490)),I490-J490,"")</x:f>
        <x:v>1650.96320662768</x:v>
      </x:c>
      <x:c r="L490" s="22" t="n">
        <x:f>IF(ISNUMBER(K490),K490*$B$2+$B$3,"")</x:f>
        <x:v>1540.5689160146196</x:v>
      </x:c>
      <x:c r="M490" s="22" t="n">
        <x:f>IF(AND(ISNUMBER(G490),ISNUMBER(H490),H490&lt;&gt;0),G490/(H490/60)/$B$5,"")</x:f>
        <x:v>0.23615301450511808</x:v>
      </x:c>
      <x:c r="N490" s="22" t="n">
        <x:f>IF(AND(ISNUMBER(L490),ISNUMBER(H490),H490&lt;&gt;0),L490*$B$6/$B$4/(H490/60)^2/$B$5^4/$B$7,"")</x:f>
        <x:v>0.06465951637428351</x:v>
      </x:c>
      <x:c r="O490" s="22" t="n">
        <x:f>IF(ISNUMBER(N490),N490*$B$8,"")</x:f>
        <x:v>0.008354173665044939</x:v>
      </x:c>
      <x:c r="P490" s="20" t="str">
        <x:v>4000rpm!O94</x:v>
      </x:c>
      <x:c r="Q490" s="20" t="str">
        <x:v>4000rpm!N94</x:v>
      </x:c>
      <x:c r="R490" s="20" t="str">
        <x:v>4000rpm!N86</x:v>
      </x:c>
    </x:row>
    <x:row r="491">
      <x:c r="A491" s="21" t="n">
        <x:v>4000</x:v>
      </x:c>
      <x:c r="B491" s="21" t="n">
        <x:v>45</x:v>
      </x:c>
      <x:c r="C491" s="21" t="n">
        <x:v>10</x:v>
      </x:c>
      <x:c r="D491" s="21" t="n">
        <x:v>1</x:v>
      </x:c>
      <x:c r="E491" s="21" t="str">
        <x:v>4000rpm</x:v>
      </x:c>
      <x:c r="F491" s="21" t="n">
        <x:v>95</x:v>
      </x:c>
      <x:c r="G491" s="22" t="n">
        <x:f>IFERROR('4000rpm'!D95,"")</x:f>
        <x:v>8.23183647791544</x:v>
      </x:c>
      <x:c r="H491" s="22" t="n">
        <x:f>IFERROR('4000rpm'!B95,"")</x:f>
        <x:v>4062.55514761117</x:v>
      </x:c>
      <x:c r="I491" s="22" t="n">
        <x:f>IFERROR('4000rpm'!C95,"")</x:f>
        <x:v>1824.91035856573</x:v>
      </x:c>
      <x:c r="J491" s="22" t="n">
        <x:f>IFERROR('4000rpm'!C86,"")</x:f>
        <x:v>154.913888888888</x:v>
      </x:c>
      <x:c r="K491" s="22" t="n">
        <x:f>IF(AND(ISNUMBER(I491),ISNUMBER(J491)),I491-J491,"")</x:f>
        <x:v>1669.9964696768418</x:v>
      </x:c>
      <x:c r="L491" s="22" t="n">
        <x:f>IF(ISNUMBER(K491),K491*$B$2+$B$3,"")</x:f>
        <x:v>1557.9978272548415</x:v>
      </x:c>
      <x:c r="M491" s="22" t="n">
        <x:f>IF(AND(ISNUMBER(G491),ISNUMBER(H491),H491&lt;&gt;0),G491/(H491/60)/$B$5,"")</x:f>
        <x:v>0.2659147905165046</x:v>
      </x:c>
      <x:c r="N491" s="22" t="n">
        <x:f>IF(AND(ISNUMBER(L491),ISNUMBER(H491),H491&lt;&gt;0),L491*$B$6/$B$4/(H491/60)^2/$B$5^4/$B$7,"")</x:f>
        <x:v>0.0632535568364927</x:v>
      </x:c>
      <x:c r="O491" s="22" t="n">
        <x:f>IF(ISNUMBER(N491),N491*$B$8,"")</x:f>
        <x:v>0.008172520123488259</x:v>
      </x:c>
      <x:c r="P491" s="20" t="str">
        <x:v>4000rpm!D95</x:v>
      </x:c>
      <x:c r="Q491" s="20" t="str">
        <x:v>4000rpm!C95</x:v>
      </x:c>
      <x:c r="R491" s="20" t="str">
        <x:v>4000rpm!C86</x:v>
      </x:c>
    </x:row>
    <x:row r="492">
      <x:c r="A492" s="21" t="n">
        <x:v>4000</x:v>
      </x:c>
      <x:c r="B492" s="21" t="n">
        <x:v>45</x:v>
      </x:c>
      <x:c r="C492" s="21" t="n">
        <x:v>10</x:v>
      </x:c>
      <x:c r="D492" s="21" t="n">
        <x:v>2</x:v>
      </x:c>
      <x:c r="E492" s="21" t="str">
        <x:v>4000rpm</x:v>
      </x:c>
      <x:c r="F492" s="21" t="n">
        <x:v>95</x:v>
      </x:c>
      <x:c r="G492" s="22" t="n">
        <x:f>IFERROR('4000rpm'!O95,"")</x:f>
        <x:v>8.217058345748145</x:v>
      </x:c>
      <x:c r="H492" s="22" t="n">
        <x:f>IFERROR('4000rpm'!M95,"")</x:f>
        <x:v>3999.25678710937</x:v>
      </x:c>
      <x:c r="I492" s="22" t="n">
        <x:f>IFERROR('4000rpm'!N95,"")</x:f>
        <x:v>1749.96593673965</x:v>
      </x:c>
      <x:c r="J492" s="22" t="n">
        <x:f>IFERROR('4000rpm'!N86,"")</x:f>
        <x:v>158.03216374269</x:v>
      </x:c>
      <x:c r="K492" s="22" t="n">
        <x:f>IF(AND(ISNUMBER(I492),ISNUMBER(J492)),I492-J492,"")</x:f>
        <x:v>1591.93377299696</x:v>
      </x:c>
      <x:c r="L492" s="22" t="n">
        <x:f>IF(ISNUMBER(K492),K492*$B$2+$B$3,"")</x:f>
        <x:v>1486.5151914035002</x:v>
      </x:c>
      <x:c r="M492" s="22" t="n">
        <x:f>IF(AND(ISNUMBER(G492),ISNUMBER(H492),H492&lt;&gt;0),G492/(H492/60)/$B$5,"")</x:f>
        <x:v>0.26963862812987</x:v>
      </x:c>
      <x:c r="N492" s="22" t="n">
        <x:f>IF(AND(ISNUMBER(L492),ISNUMBER(H492),H492&lt;&gt;0),L492*$B$6/$B$4/(H492/60)^2/$B$5^4/$B$7,"")</x:f>
        <x:v>0.06227696125799575</x:v>
      </x:c>
      <x:c r="O492" s="22" t="n">
        <x:f>IF(ISNUMBER(N492),N492*$B$8,"")</x:f>
        <x:v>0.008046341495487826</x:v>
      </x:c>
      <x:c r="P492" s="20" t="str">
        <x:v>4000rpm!O95</x:v>
      </x:c>
      <x:c r="Q492" s="20" t="str">
        <x:v>4000rpm!N95</x:v>
      </x:c>
      <x:c r="R492" s="20" t="str">
        <x:v>4000rpm!N86</x:v>
      </x:c>
    </x:row>
    <x:row r="493">
      <x:c r="A493" s="21" t="n">
        <x:v>4000</x:v>
      </x:c>
      <x:c r="B493" s="21" t="n">
        <x:v>45</x:v>
      </x:c>
      <x:c r="C493" s="21" t="n">
        <x:v>11</x:v>
      </x:c>
      <x:c r="D493" s="21" t="n">
        <x:v>1</x:v>
      </x:c>
      <x:c r="E493" s="21" t="str">
        <x:v>4000rpm</x:v>
      </x:c>
      <x:c r="F493" s="21" t="n">
        <x:v>96</x:v>
      </x:c>
      <x:c r="G493" s="22" t="n">
        <x:f>IFERROR('4000rpm'!D96,"")</x:f>
        <x:v>9.26528955611172</x:v>
      </x:c>
      <x:c r="H493" s="22" t="n">
        <x:f>IFERROR('4000rpm'!B96,"")</x:f>
        <x:v>4050.46669108072</x:v>
      </x:c>
      <x:c r="I493" s="22" t="n">
        <x:f>IFERROR('4000rpm'!C96,"")</x:f>
        <x:v>1762.43874172185</x:v>
      </x:c>
      <x:c r="J493" s="22" t="n">
        <x:f>IFERROR('4000rpm'!C86,"")</x:f>
        <x:v>154.913888888888</x:v>
      </x:c>
      <x:c r="K493" s="22" t="n">
        <x:f>IF(AND(ISNUMBER(I493),ISNUMBER(J493)),I493-J493,"")</x:f>
        <x:v>1607.5248528329619</x:v>
      </x:c>
      <x:c r="L493" s="22" t="n">
        <x:f>IF(ISNUMBER(K493),K493*$B$2+$B$3,"")</x:f>
        <x:v>1500.7920679379658</x:v>
      </x:c>
      <x:c r="M493" s="22" t="n">
        <x:f>IF(AND(ISNUMBER(G493),ISNUMBER(H493),H493&lt;&gt;0),G493/(H493/60)/$B$5,"")</x:f>
        <x:v>0.30019189325987694</x:v>
      </x:c>
      <x:c r="N493" s="22" t="n">
        <x:f>IF(AND(ISNUMBER(L493),ISNUMBER(H493),H493&lt;&gt;0),L493*$B$6/$B$4/(H493/60)^2/$B$5^4/$B$7,"")</x:f>
        <x:v>0.06129528068501066</x:v>
      </x:c>
      <x:c r="O493" s="22" t="n">
        <x:f>IF(ISNUMBER(N493),N493*$B$8,"")</x:f>
        <x:v>0.00791950587329038</x:v>
      </x:c>
      <x:c r="P493" s="20" t="str">
        <x:v>4000rpm!D96</x:v>
      </x:c>
      <x:c r="Q493" s="20" t="str">
        <x:v>4000rpm!C96</x:v>
      </x:c>
      <x:c r="R493" s="20" t="str">
        <x:v>4000rpm!C86</x:v>
      </x:c>
    </x:row>
    <x:row r="494">
      <x:c r="A494" s="21" t="n">
        <x:v>4000</x:v>
      </x:c>
      <x:c r="B494" s="21" t="n">
        <x:v>45</x:v>
      </x:c>
      <x:c r="C494" s="21" t="n">
        <x:v>11</x:v>
      </x:c>
      <x:c r="D494" s="21" t="n">
        <x:v>2</x:v>
      </x:c>
      <x:c r="E494" s="21" t="str">
        <x:v>4000rpm</x:v>
      </x:c>
      <x:c r="F494" s="21" t="n">
        <x:v>96</x:v>
      </x:c>
      <x:c r="G494" s="22" t="n">
        <x:f>IFERROR('4000rpm'!O96,"")</x:f>
        <x:v>9.245329531756305</x:v>
      </x:c>
      <x:c r="H494" s="22" t="n">
        <x:f>IFERROR('4000rpm'!M96,"")</x:f>
        <x:v>3985.71602376302</x:v>
      </x:c>
      <x:c r="I494" s="22" t="n">
        <x:f>IFERROR('4000rpm'!N96,"")</x:f>
        <x:v>1693.04968944099</x:v>
      </x:c>
      <x:c r="J494" s="22" t="n">
        <x:f>IFERROR('4000rpm'!N86,"")</x:f>
        <x:v>158.03216374269</x:v>
      </x:c>
      <x:c r="K494" s="22" t="n">
        <x:f>IF(AND(ISNUMBER(I494),ISNUMBER(J494)),I494-J494,"")</x:f>
        <x:v>1535.0175256983</x:v>
      </x:c>
      <x:c r="L494" s="22" t="n">
        <x:f>IF(ISNUMBER(K494),K494*$B$2+$B$3,"")</x:f>
        <x:v>1434.396528422139</x:v>
      </x:c>
      <x:c r="M494" s="22" t="n">
        <x:f>IF(AND(ISNUMBER(G494),ISNUMBER(H494),H494&lt;&gt;0),G494/(H494/60)/$B$5,"")</x:f>
        <x:v>0.30441151140207345</x:v>
      </x:c>
      <x:c r="N494" s="22" t="n">
        <x:f>IF(AND(ISNUMBER(L494),ISNUMBER(H494),H494&lt;&gt;0),L494*$B$6/$B$4/(H494/60)^2/$B$5^4/$B$7,"")</x:f>
        <x:v>0.06050247805802914</x:v>
      </x:c>
      <x:c r="O494" s="22" t="n">
        <x:f>IF(ISNUMBER(N494),N494*$B$8,"")</x:f>
        <x:v>0.007817073761216283</x:v>
      </x:c>
      <x:c r="P494" s="20" t="str">
        <x:v>4000rpm!O96</x:v>
      </x:c>
      <x:c r="Q494" s="20" t="str">
        <x:v>4000rpm!N96</x:v>
      </x:c>
      <x:c r="R494" s="20" t="str">
        <x:v>4000rpm!N86</x:v>
      </x:c>
    </x:row>
    <x:row r="495">
      <x:c r="A495" s="21" t="n">
        <x:v>4000</x:v>
      </x:c>
      <x:c r="B495" s="21" t="n">
        <x:v>45</x:v>
      </x:c>
      <x:c r="C495" s="21" t="n">
        <x:v>12</x:v>
      </x:c>
      <x:c r="D495" s="21" t="n">
        <x:v>1</x:v>
      </x:c>
      <x:c r="E495" s="21" t="str">
        <x:v>4000rpm</x:v>
      </x:c>
      <x:c r="F495" s="21" t="n">
        <x:v>97</x:v>
      </x:c>
      <x:c r="G495" s="22" t="n">
        <x:f>IFERROR('4000rpm'!D97,"")</x:f>
        <x:v>10.20163040062815</x:v>
      </x:c>
      <x:c r="H495" s="22" t="n">
        <x:f>IFERROR('4000rpm'!B97,"")</x:f>
        <x:v>4071.84321962553</x:v>
      </x:c>
      <x:c r="I495" s="22" t="n">
        <x:f>IFERROR('4000rpm'!C97,"")</x:f>
        <x:v>1707.13941480206</x:v>
      </x:c>
      <x:c r="J495" s="22" t="n">
        <x:f>IFERROR('4000rpm'!C86,"")</x:f>
        <x:v>154.913888888888</x:v>
      </x:c>
      <x:c r="K495" s="22" t="n">
        <x:f>IF(AND(ISNUMBER(I495),ISNUMBER(J495)),I495-J495,"")</x:f>
        <x:v>1552.2255259131719</x:v>
      </x:c>
      <x:c r="L495" s="22" t="n">
        <x:f>IF(ISNUMBER(K495),K495*$B$2+$B$3,"")</x:f>
        <x:v>1450.1540318828988</x:v>
      </x:c>
      <x:c r="M495" s="22" t="n">
        <x:f>IF(AND(ISNUMBER(G495),ISNUMBER(H495),H495&lt;&gt;0),G495/(H495/60)/$B$5,"")</x:f>
        <x:v>0.32879375955577816</x:v>
      </x:c>
      <x:c r="N495" s="22" t="n">
        <x:f>IF(AND(ISNUMBER(L495),ISNUMBER(H495),H495&lt;&gt;0),L495*$B$6/$B$4/(H495/60)^2/$B$5^4/$B$7,"")</x:f>
        <x:v>0.058606890747430355</x:v>
      </x:c>
      <x:c r="O495" s="22" t="n">
        <x:f>IF(ISNUMBER(N495),N495*$B$8,"")</x:f>
        <x:v>0.007572159068407105</x:v>
      </x:c>
      <x:c r="P495" s="20" t="str">
        <x:v>4000rpm!D97</x:v>
      </x:c>
      <x:c r="Q495" s="20" t="str">
        <x:v>4000rpm!C97</x:v>
      </x:c>
      <x:c r="R495" s="20" t="str">
        <x:v>4000rpm!C86</x:v>
      </x:c>
    </x:row>
    <x:row r="496">
      <x:c r="A496" s="21" t="n">
        <x:v>4000</x:v>
      </x:c>
      <x:c r="B496" s="21" t="n">
        <x:v>45</x:v>
      </x:c>
      <x:c r="C496" s="21" t="n">
        <x:v>12</x:v>
      </x:c>
      <x:c r="D496" s="21" t="n">
        <x:v>2</x:v>
      </x:c>
      <x:c r="E496" s="21" t="str">
        <x:v>4000rpm</x:v>
      </x:c>
      <x:c r="F496" s="21" t="n">
        <x:v>97</x:v>
      </x:c>
      <x:c r="G496" s="22" t="n">
        <x:f>IFERROR('4000rpm'!O97,"")</x:f>
        <x:v>10.18664366885484</x:v>
      </x:c>
      <x:c r="H496" s="22" t="n">
        <x:f>IFERROR('4000rpm'!M97,"")</x:f>
        <x:v>4023.96870117187</x:v>
      </x:c>
      <x:c r="I496" s="22" t="n">
        <x:f>IFERROR('4000rpm'!N97,"")</x:f>
        <x:v>1642.48007968127</x:v>
      </x:c>
      <x:c r="J496" s="22" t="n">
        <x:f>IFERROR('4000rpm'!N86,"")</x:f>
        <x:v>158.03216374269</x:v>
      </x:c>
      <x:c r="K496" s="22" t="n">
        <x:f>IF(AND(ISNUMBER(I496),ISNUMBER(J496)),I496-J496,"")</x:f>
        <x:v>1484.4479159385799</x:v>
      </x:c>
      <x:c r="L496" s="22" t="n">
        <x:f>IF(ISNUMBER(K496),K496*$B$2+$B$3,"")</x:f>
        <x:v>1388.0895322082852</x:v>
      </x:c>
      <x:c r="M496" s="22" t="n">
        <x:f>IF(AND(ISNUMBER(G496),ISNUMBER(H496),H496&lt;&gt;0),G496/(H496/60)/$B$5,"")</x:f>
        <x:v>0.3322167683394649</x:v>
      </x:c>
      <x:c r="N496" s="22" t="n">
        <x:f>IF(AND(ISNUMBER(L496),ISNUMBER(H496),H496&lt;&gt;0),L496*$B$6/$B$4/(H496/60)^2/$B$5^4/$B$7,"")</x:f>
        <x:v>0.05744138907236276</x:v>
      </x:c>
      <x:c r="O496" s="22" t="n">
        <x:f>IF(ISNUMBER(N496),N496*$B$8,"")</x:f>
        <x:v>0.00742157329315859</x:v>
      </x:c>
      <x:c r="P496" s="20" t="str">
        <x:v>4000rpm!O97</x:v>
      </x:c>
      <x:c r="Q496" s="20" t="str">
        <x:v>4000rpm!N97</x:v>
      </x:c>
      <x:c r="R496" s="20" t="str">
        <x:v>4000rpm!N86</x:v>
      </x:c>
    </x:row>
    <x:row r="497">
      <x:c r="A497" s="21" t="n">
        <x:v>4000</x:v>
      </x:c>
      <x:c r="B497" s="21" t="n">
        <x:v>45</x:v>
      </x:c>
      <x:c r="C497" s="21" t="n">
        <x:v>13</x:v>
      </x:c>
      <x:c r="D497" s="21" t="n">
        <x:v>1</x:v>
      </x:c>
      <x:c r="E497" s="21" t="str">
        <x:v>4000rpm</x:v>
      </x:c>
      <x:c r="F497" s="21" t="n">
        <x:v>98</x:v>
      </x:c>
      <x:c r="G497" s="22" t="n">
        <x:f>IFERROR('4000rpm'!D98,"")</x:f>
        <x:v>9.258800264994301</x:v>
      </x:c>
      <x:c r="H497" s="22" t="n">
        <x:f>IFERROR('4000rpm'!B98,"")</x:f>
        <x:v>4067.41307532269</x:v>
      </x:c>
      <x:c r="I497" s="22" t="n">
        <x:f>IFERROR('4000rpm'!C98,"")</x:f>
        <x:v>1759.58980044345</x:v>
      </x:c>
      <x:c r="J497" s="22" t="n">
        <x:f>IFERROR('4000rpm'!C86,"")</x:f>
        <x:v>154.913888888888</x:v>
      </x:c>
      <x:c r="K497" s="22" t="n">
        <x:f>IF(AND(ISNUMBER(I497),ISNUMBER(J497)),I497-J497,"")</x:f>
        <x:v>1604.675911554562</x:v>
      </x:c>
      <x:c r="L497" s="22" t="n">
        <x:f>IF(ISNUMBER(K497),K497*$B$2+$B$3,"")</x:f>
        <x:v>1498.1832696178049</x:v>
      </x:c>
      <x:c r="M497" s="22" t="n">
        <x:f>IF(AND(ISNUMBER(G497),ISNUMBER(H497),H497&lt;&gt;0),G497/(H497/60)/$B$5,"")</x:f>
        <x:v>0.2987318054676946</x:v>
      </x:c>
      <x:c r="N497" s="22" t="n">
        <x:f>IF(AND(ISNUMBER(L497),ISNUMBER(H497),H497&lt;&gt;0),L497*$B$6/$B$4/(H497/60)^2/$B$5^4/$B$7,"")</x:f>
        <x:v>0.06067992352867411</x:v>
      </x:c>
      <x:c r="O497" s="22" t="n">
        <x:f>IF(ISNUMBER(N497),N497*$B$8,"")</x:f>
        <x:v>0.007840000166499966</x:v>
      </x:c>
      <x:c r="P497" s="20" t="str">
        <x:v>4000rpm!D98</x:v>
      </x:c>
      <x:c r="Q497" s="20" t="str">
        <x:v>4000rpm!C98</x:v>
      </x:c>
      <x:c r="R497" s="20" t="str">
        <x:v>4000rpm!C86</x:v>
      </x:c>
    </x:row>
    <x:row r="498">
      <x:c r="A498" s="21" t="n">
        <x:v>4000</x:v>
      </x:c>
      <x:c r="B498" s="21" t="n">
        <x:v>45</x:v>
      </x:c>
      <x:c r="C498" s="21" t="n">
        <x:v>13</x:v>
      </x:c>
      <x:c r="D498" s="21" t="n">
        <x:v>2</x:v>
      </x:c>
      <x:c r="E498" s="21" t="str">
        <x:v>4000rpm</x:v>
      </x:c>
      <x:c r="F498" s="21" t="n">
        <x:v>98</x:v>
      </x:c>
      <x:c r="G498" s="22" t="n">
        <x:f>IFERROR('4000rpm'!O98,"")</x:f>
        <x:v>9.250990119698924</x:v>
      </x:c>
      <x:c r="H498" s="22" t="n">
        <x:f>IFERROR('4000rpm'!M98,"")</x:f>
        <x:v>3995.1591907848</x:v>
      </x:c>
      <x:c r="I498" s="22" t="n">
        <x:f>IFERROR('4000rpm'!N98,"")</x:f>
        <x:v>1687.14578587699</x:v>
      </x:c>
      <x:c r="J498" s="22" t="n">
        <x:f>IFERROR('4000rpm'!N86,"")</x:f>
        <x:v>158.03216374269</x:v>
      </x:c>
      <x:c r="K498" s="22" t="n">
        <x:f>IF(AND(ISNUMBER(I498),ISNUMBER(J498)),I498-J498,"")</x:f>
        <x:v>1529.1136221343</x:v>
      </x:c>
      <x:c r="L498" s="22" t="n">
        <x:f>IF(ISNUMBER(K498),K498*$B$2+$B$3,"")</x:f>
        <x:v>1428.9902766973555</x:v>
      </x:c>
      <x:c r="M498" s="22" t="n">
        <x:f>IF(AND(ISNUMBER(G498),ISNUMBER(H498),H498&lt;&gt;0),G498/(H498/60)/$B$5,"")</x:f>
        <x:v>0.3038779282997069</x:v>
      </x:c>
      <x:c r="N498" s="22" t="n">
        <x:f>IF(AND(ISNUMBER(L498),ISNUMBER(H498),H498&lt;&gt;0),L498*$B$6/$B$4/(H498/60)^2/$B$5^4/$B$7,"")</x:f>
        <x:v>0.05998984484032789</x:v>
      </x:c>
      <x:c r="O498" s="22" t="n">
        <x:f>IF(ISNUMBER(N498),N498*$B$8,"")</x:f>
        <x:v>0.00775084024808023</x:v>
      </x:c>
      <x:c r="P498" s="20" t="str">
        <x:v>4000rpm!O98</x:v>
      </x:c>
      <x:c r="Q498" s="20" t="str">
        <x:v>4000rpm!N98</x:v>
      </x:c>
      <x:c r="R498" s="20" t="str">
        <x:v>4000rpm!N86</x:v>
      </x:c>
    </x:row>
    <x:row r="499">
      <x:c r="A499" s="21" t="n">
        <x:v>4000</x:v>
      </x:c>
      <x:c r="B499" s="21" t="n">
        <x:v>45</x:v>
      </x:c>
      <x:c r="C499" s="21" t="n">
        <x:v>14</x:v>
      </x:c>
      <x:c r="D499" s="21" t="n">
        <x:v>1</x:v>
      </x:c>
      <x:c r="E499" s="21" t="str">
        <x:v>4000rpm</x:v>
      </x:c>
      <x:c r="F499" s="21" t="n">
        <x:v>99</x:v>
      </x:c>
      <x:c r="G499" s="22" t="n">
        <x:f>IFERROR('4000rpm'!D99,"")</x:f>
        <x:v>8.238804328797464</x:v>
      </x:c>
      <x:c r="H499" s="22" t="n">
        <x:f>IFERROR('4000rpm'!B99,"")</x:f>
        <x:v>4061.56285264756</x:v>
      </x:c>
      <x:c r="I499" s="22" t="n">
        <x:f>IFERROR('4000rpm'!C99,"")</x:f>
        <x:v>1811.35074626865</x:v>
      </x:c>
      <x:c r="J499" s="22" t="n">
        <x:f>IFERROR('4000rpm'!C86,"")</x:f>
        <x:v>154.913888888888</x:v>
      </x:c>
      <x:c r="K499" s="22" t="n">
        <x:f>IF(AND(ISNUMBER(I499),ISNUMBER(J499)),I499-J499,"")</x:f>
        <x:v>1656.436857379762</x:v>
      </x:c>
      <x:c r="L499" s="22" t="n">
        <x:f>IF(ISNUMBER(K499),K499*$B$2+$B$3,"")</x:f>
        <x:v>1545.581181797507</x:v>
      </x:c>
      <x:c r="M499" s="22" t="n">
        <x:f>IF(AND(ISNUMBER(G499),ISNUMBER(H499),H499&lt;&gt;0),G499/(H499/60)/$B$5,"")</x:f>
        <x:v>0.2662048960931943</x:v>
      </x:c>
      <x:c r="N499" s="22" t="n">
        <x:f>IF(AND(ISNUMBER(L499),ISNUMBER(H499),H499&lt;&gt;0),L499*$B$6/$B$4/(H499/60)^2/$B$5^4/$B$7,"")</x:f>
        <x:v>0.062780115066637</x:v>
      </x:c>
      <x:c r="O499" s="22" t="n">
        <x:f>IF(ISNUMBER(N499),N499*$B$8,"")</x:f>
        <x:v>0.008111350244908192</x:v>
      </x:c>
      <x:c r="P499" s="20" t="str">
        <x:v>4000rpm!D99</x:v>
      </x:c>
      <x:c r="Q499" s="20" t="str">
        <x:v>4000rpm!C99</x:v>
      </x:c>
      <x:c r="R499" s="20" t="str">
        <x:v>4000rpm!C86</x:v>
      </x:c>
    </x:row>
    <x:row r="500">
      <x:c r="A500" s="21" t="n">
        <x:v>4000</x:v>
      </x:c>
      <x:c r="B500" s="21" t="n">
        <x:v>45</x:v>
      </x:c>
      <x:c r="C500" s="21" t="n">
        <x:v>14</x:v>
      </x:c>
      <x:c r="D500" s="21" t="n">
        <x:v>2</x:v>
      </x:c>
      <x:c r="E500" s="21" t="str">
        <x:v>4000rpm</x:v>
      </x:c>
      <x:c r="F500" s="21" t="n">
        <x:v>99</x:v>
      </x:c>
      <x:c r="G500" s="22" t="n">
        <x:f>IFERROR('4000rpm'!O99,"")</x:f>
        <x:v>8.23498458371442</x:v>
      </x:c>
      <x:c r="H500" s="22" t="n">
        <x:f>IFERROR('4000rpm'!M99,"")</x:f>
        <x:v>3984.44477900752</x:v>
      </x:c>
      <x:c r="I500" s="22" t="n">
        <x:f>IFERROR('4000rpm'!N99,"")</x:f>
        <x:v>1737.73443223443</x:v>
      </x:c>
      <x:c r="J500" s="22" t="n">
        <x:f>IFERROR('4000rpm'!N86,"")</x:f>
        <x:v>158.03216374269</x:v>
      </x:c>
      <x:c r="K500" s="22" t="n">
        <x:f>IF(AND(ISNUMBER(I500),ISNUMBER(J500)),I500-J500,"")</x:f>
        <x:v>1579.70226849174</x:v>
      </x:c>
      <x:c r="L500" s="22" t="n">
        <x:f>IF(ISNUMBER(K500),K500*$B$2+$B$3,"")</x:f>
        <x:v>1475.3147048760343</x:v>
      </x:c>
      <x:c r="M500" s="22" t="n">
        <x:f>IF(AND(ISNUMBER(G500),ISNUMBER(H500),H500&lt;&gt;0),G500/(H500/60)/$B$5,"")</x:f>
        <x:v>0.27123142576264386</x:v>
      </x:c>
      <x:c r="N500" s="22" t="n">
        <x:f>IF(AND(ISNUMBER(L500),ISNUMBER(H500),H500&lt;&gt;0),L500*$B$6/$B$4/(H500/60)^2/$B$5^4/$B$7,"")</x:f>
        <x:v>0.062268110770143</x:v>
      </x:c>
      <x:c r="O500" s="22" t="n">
        <x:f>IF(ISNUMBER(N500),N500*$B$8,"")</x:f>
        <x:v>0.00804519798998874</x:v>
      </x:c>
      <x:c r="P500" s="20" t="str">
        <x:v>4000rpm!O99</x:v>
      </x:c>
      <x:c r="Q500" s="20" t="str">
        <x:v>4000rpm!N99</x:v>
      </x:c>
      <x:c r="R500" s="20" t="str">
        <x:v>4000rpm!N86</x:v>
      </x:c>
    </x:row>
    <x:row r="501">
      <x:c r="A501" s="21" t="n">
        <x:v>4000</x:v>
      </x:c>
      <x:c r="B501" s="21" t="n">
        <x:v>45</x:v>
      </x:c>
      <x:c r="C501" s="21" t="n">
        <x:v>15</x:v>
      </x:c>
      <x:c r="D501" s="21" t="n">
        <x:v>1</x:v>
      </x:c>
      <x:c r="E501" s="21" t="str">
        <x:v>4000rpm</x:v>
      </x:c>
      <x:c r="F501" s="21" t="n">
        <x:v>100</x:v>
      </x:c>
      <x:c r="G501" s="22" t="n">
        <x:f>IFERROR('4000rpm'!D100,"")</x:f>
        <x:v>7.2220193725079245</x:v>
      </x:c>
      <x:c r="H501" s="22" t="n">
        <x:f>IFERROR('4000rpm'!B100,"")</x:f>
        <x:v>4043.55806640625</x:v>
      </x:c>
      <x:c r="I501" s="22" t="n">
        <x:f>IFERROR('4000rpm'!C100,"")</x:f>
        <x:v>1868.173828125</x:v>
      </x:c>
      <x:c r="J501" s="22" t="n">
        <x:f>IFERROR('4000rpm'!C86,"")</x:f>
        <x:v>154.913888888888</x:v>
      </x:c>
      <x:c r="K501" s="22" t="n">
        <x:f>IF(AND(ISNUMBER(I501),ISNUMBER(J501)),I501-J501,"")</x:f>
        <x:v>1713.259939236112</x:v>
      </x:c>
      <x:c r="L501" s="22" t="n">
        <x:f>IF(ISNUMBER(K501),K501*$B$2+$B$3,"")</x:f>
        <x:v>1597.6145324380216</x:v>
      </x:c>
      <x:c r="M501" s="22" t="n">
        <x:f>IF(AND(ISNUMBER(G501),ISNUMBER(H501),H501&lt;&gt;0),G501/(H501/60)/$B$5,"")</x:f>
        <x:v>0.23439049362721445</x:v>
      </x:c>
      <x:c r="N501" s="22" t="n">
        <x:f>IF(AND(ISNUMBER(L501),ISNUMBER(H501),H501&lt;&gt;0),L501*$B$6/$B$4/(H501/60)^2/$B$5^4/$B$7,"")</x:f>
        <x:v>0.06547285466686793</x:v>
      </x:c>
      <x:c r="O501" s="22" t="n">
        <x:f>IF(ISNUMBER(N501),N501*$B$8,"")</x:f>
        <x:v>0.008459259037248307</x:v>
      </x:c>
      <x:c r="P501" s="20" t="str">
        <x:v>4000rpm!D100</x:v>
      </x:c>
      <x:c r="Q501" s="20" t="str">
        <x:v>4000rpm!C100</x:v>
      </x:c>
      <x:c r="R501" s="20" t="str">
        <x:v>4000rpm!C86</x:v>
      </x:c>
    </x:row>
    <x:row r="502">
      <x:c r="A502" s="21" t="n">
        <x:v>4000</x:v>
      </x:c>
      <x:c r="B502" s="21" t="n">
        <x:v>45</x:v>
      </x:c>
      <x:c r="C502" s="21" t="n">
        <x:v>15</x:v>
      </x:c>
      <x:c r="D502" s="21" t="n">
        <x:v>2</x:v>
      </x:c>
      <x:c r="E502" s="21" t="str">
        <x:v>4000rpm</x:v>
      </x:c>
      <x:c r="F502" s="21" t="n">
        <x:v>100</x:v>
      </x:c>
      <x:c r="G502" s="22" t="n">
        <x:f>IFERROR('4000rpm'!O100,"")</x:f>
        <x:v>7.216208232025934</x:v>
      </x:c>
      <x:c r="H502" s="22" t="n">
        <x:f>IFERROR('4000rpm'!M100,"")</x:f>
        <x:v>3970.173203125</x:v>
      </x:c>
      <x:c r="I502" s="22" t="n">
        <x:f>IFERROR('4000rpm'!N100,"")</x:f>
        <x:v>1803.2943548387</x:v>
      </x:c>
      <x:c r="J502" s="22" t="n">
        <x:f>IFERROR('4000rpm'!N86,"")</x:f>
        <x:v>158.03216374269</x:v>
      </x:c>
      <x:c r="K502" s="22" t="n">
        <x:f>IF(AND(ISNUMBER(I502),ISNUMBER(J502)),I502-J502,"")</x:f>
        <x:v>1645.26219109601</x:v>
      </x:c>
      <x:c r="L502" s="22" t="n">
        <x:f>IF(ISNUMBER(K502),K502*$B$2+$B$3,"")</x:f>
        <x:v>1535.3484504841451</x:v>
      </x:c>
      <x:c r="M502" s="22" t="n">
        <x:f>IF(AND(ISNUMBER(G502),ISNUMBER(H502),H502&lt;&gt;0),G502/(H502/60)/$B$5,"")</x:f>
        <x:v>0.23853089169729502</x:v>
      </x:c>
      <x:c r="N502" s="22" t="n">
        <x:f>IF(AND(ISNUMBER(L502),ISNUMBER(H502),H502&lt;&gt;0),L502*$B$6/$B$4/(H502/60)^2/$B$5^4/$B$7,"")</x:f>
        <x:v>0.06526865905259235</x:v>
      </x:c>
      <x:c r="O502" s="22" t="n">
        <x:f>IF(ISNUMBER(N502),N502*$B$8,"")</x:f>
        <x:v>0.008432876445497634</x:v>
      </x:c>
      <x:c r="P502" s="20" t="str">
        <x:v>4000rpm!O100</x:v>
      </x:c>
      <x:c r="Q502" s="20" t="str">
        <x:v>4000rpm!N100</x:v>
      </x:c>
      <x:c r="R502" s="20" t="str">
        <x:v>4000rpm!N86</x:v>
      </x:c>
    </x:row>
    <x:row r="503">
      <x:c r="A503" s="21" t="n">
        <x:v>4000</x:v>
      </x:c>
      <x:c r="B503" s="21" t="n">
        <x:v>45</x:v>
      </x:c>
      <x:c r="C503" s="21" t="n">
        <x:v>16</x:v>
      </x:c>
      <x:c r="D503" s="21" t="n">
        <x:v>1</x:v>
      </x:c>
      <x:c r="E503" s="21" t="str">
        <x:v>4000rpm</x:v>
      </x:c>
      <x:c r="F503" s="21" t="n">
        <x:v>101</x:v>
      </x:c>
      <x:c r="G503" s="22" t="n">
        <x:f>IFERROR('4000rpm'!D101,"")</x:f>
        <x:v>6.20421536152179</x:v>
      </x:c>
      <x:c r="H503" s="22" t="n">
        <x:f>IFERROR('4000rpm'!B101,"")</x:f>
        <x:v>4041.78286743164</x:v>
      </x:c>
      <x:c r="I503" s="22" t="n">
        <x:f>IFERROR('4000rpm'!C101,"")</x:f>
        <x:v>1920.85438972162</x:v>
      </x:c>
      <x:c r="J503" s="22" t="n">
        <x:f>IFERROR('4000rpm'!C86,"")</x:f>
        <x:v>154.913888888888</x:v>
      </x:c>
      <x:c r="K503" s="22" t="n">
        <x:f>IF(AND(ISNUMBER(I503),ISNUMBER(J503)),I503-J503,"")</x:f>
        <x:v>1765.940500832732</x:v>
      </x:c>
      <x:c r="L503" s="22" t="n">
        <x:f>IF(ISNUMBER(K503),K503*$B$2+$B$3,"")</x:f>
        <x:v>1645.8545441365393</x:v>
      </x:c>
      <x:c r="M503" s="22" t="n">
        <x:f>IF(AND(ISNUMBER(G503),ISNUMBER(H503),H503&lt;&gt;0),G503/(H503/60)/$B$5,"")</x:f>
        <x:v>0.2014461235842549</x:v>
      </x:c>
      <x:c r="N503" s="22" t="n">
        <x:f>IF(AND(ISNUMBER(L503),ISNUMBER(H503),H503&lt;&gt;0),L503*$B$6/$B$4/(H503/60)^2/$B$5^4/$B$7,"")</x:f>
        <x:v>0.06750907171330546</x:v>
      </x:c>
      <x:c r="O503" s="22" t="n">
        <x:f>IF(ISNUMBER(N503),N503*$B$8,"")</x:f>
        <x:v>0.008722343448941025</x:v>
      </x:c>
      <x:c r="P503" s="20" t="str">
        <x:v>4000rpm!D101</x:v>
      </x:c>
      <x:c r="Q503" s="20" t="str">
        <x:v>4000rpm!C101</x:v>
      </x:c>
      <x:c r="R503" s="20" t="str">
        <x:v>4000rpm!C86</x:v>
      </x:c>
    </x:row>
    <x:row r="504">
      <x:c r="A504" s="21" t="n">
        <x:v>4000</x:v>
      </x:c>
      <x:c r="B504" s="21" t="n">
        <x:v>45</x:v>
      </x:c>
      <x:c r="C504" s="21" t="n">
        <x:v>16</x:v>
      </x:c>
      <x:c r="D504" s="21" t="n">
        <x:v>2</x:v>
      </x:c>
      <x:c r="E504" s="21" t="str">
        <x:v>4000rpm</x:v>
      </x:c>
      <x:c r="F504" s="21" t="n">
        <x:v>101</x:v>
      </x:c>
      <x:c r="G504" s="22" t="n">
        <x:f>IFERROR('4000rpm'!O101,"")</x:f>
        <x:v>6.19724505872142</x:v>
      </x:c>
      <x:c r="H504" s="22" t="n">
        <x:f>IFERROR('4000rpm'!M101,"")</x:f>
        <x:v>3970.03214518229</x:v>
      </x:c>
      <x:c r="I504" s="22" t="n">
        <x:f>IFERROR('4000rpm'!N101,"")</x:f>
        <x:v>1855.31020408163</x:v>
      </x:c>
      <x:c r="J504" s="22" t="n">
        <x:f>IFERROR('4000rpm'!N86,"")</x:f>
        <x:v>158.03216374269</x:v>
      </x:c>
      <x:c r="K504" s="22" t="n">
        <x:f>IF(AND(ISNUMBER(I504),ISNUMBER(J504)),I504-J504,"")</x:f>
        <x:v>1697.27804033894</x:v>
      </x:c>
      <x:c r="L504" s="22" t="n">
        <x:f>IF(ISNUMBER(K504),K504*$B$2+$B$3,"")</x:f>
        <x:v>1582.97977976269</x:v>
      </x:c>
      <x:c r="M504" s="22" t="n">
        <x:f>IF(AND(ISNUMBER(G504),ISNUMBER(H504),H504&lt;&gt;0),G504/(H504/60)/$B$5,"")</x:f>
        <x:v>0.2048564654822723</x:v>
      </x:c>
      <x:c r="N504" s="22" t="n">
        <x:f>IF(AND(ISNUMBER(L504),ISNUMBER(H504),H504&lt;&gt;0),L504*$B$6/$B$4/(H504/60)^2/$B$5^4/$B$7,"")</x:f>
        <x:v>0.06729827982483497</x:v>
      </x:c>
      <x:c r="O504" s="22" t="n">
        <x:f>IF(ISNUMBER(N504),N504*$B$8,"")</x:f>
        <x:v>0.008695108601818572</x:v>
      </x:c>
      <x:c r="P504" s="20" t="str">
        <x:v>4000rpm!O101</x:v>
      </x:c>
      <x:c r="Q504" s="20" t="str">
        <x:v>4000rpm!N101</x:v>
      </x:c>
      <x:c r="R504" s="20" t="str">
        <x:v>4000rpm!N86</x:v>
      </x:c>
    </x:row>
    <x:row r="505">
      <x:c r="A505" s="21" t="n">
        <x:v>4000</x:v>
      </x:c>
      <x:c r="B505" s="21" t="n">
        <x:v>45</x:v>
      </x:c>
      <x:c r="C505" s="21" t="n">
        <x:v>17</x:v>
      </x:c>
      <x:c r="D505" s="21" t="n">
        <x:v>1</x:v>
      </x:c>
      <x:c r="E505" s="21" t="str">
        <x:v>4000rpm</x:v>
      </x:c>
      <x:c r="F505" s="21" t="n">
        <x:v>102</x:v>
      </x:c>
      <x:c r="G505" s="22" t="n">
        <x:f>IFERROR('4000rpm'!D102,"")</x:f>
        <x:v>5.078564491382865</x:v>
      </x:c>
      <x:c r="H505" s="22" t="n">
        <x:f>IFERROR('4000rpm'!B102,"")</x:f>
        <x:v>4035.67118952824</x:v>
      </x:c>
      <x:c r="I505" s="22" t="n">
        <x:f>IFERROR('4000rpm'!C102,"")</x:f>
        <x:v>1977.44680851063</x:v>
      </x:c>
      <x:c r="J505" s="22" t="n">
        <x:f>IFERROR('4000rpm'!C86,"")</x:f>
        <x:v>154.913888888888</x:v>
      </x:c>
      <x:c r="K505" s="22" t="n">
        <x:f>IF(AND(ISNUMBER(I505),ISNUMBER(J505)),I505-J505,"")</x:f>
        <x:v>1822.532919621742</x:v>
      </x:c>
      <x:c r="L505" s="22" t="n">
        <x:f>IF(ISNUMBER(K505),K505*$B$2+$B$3,"")</x:f>
        <x:v>1697.676674760986</x:v>
      </x:c>
      <x:c r="M505" s="22" t="n">
        <x:f>IF(AND(ISNUMBER(G505),ISNUMBER(H505),H505&lt;&gt;0),G505/(H505/60)/$B$5,"")</x:f>
        <x:v>0.1651468240124258</x:v>
      </x:c>
      <x:c r="N505" s="22" t="n">
        <x:f>IF(AND(ISNUMBER(L505),ISNUMBER(H505),H505&lt;&gt;0),L505*$B$6/$B$4/(H505/60)^2/$B$5^4/$B$7,"")</x:f>
        <x:v>0.06984576453641249</x:v>
      </x:c>
      <x:c r="O505" s="22" t="n">
        <x:f>IF(ISNUMBER(N505),N505*$B$8,"")</x:f>
        <x:v>0.009024250093789736</x:v>
      </x:c>
      <x:c r="P505" s="20" t="str">
        <x:v>4000rpm!D102</x:v>
      </x:c>
      <x:c r="Q505" s="20" t="str">
        <x:v>4000rpm!C102</x:v>
      </x:c>
      <x:c r="R505" s="20" t="str">
        <x:v>4000rpm!C86</x:v>
      </x:c>
    </x:row>
    <x:row r="506">
      <x:c r="A506" s="21" t="n">
        <x:v>4000</x:v>
      </x:c>
      <x:c r="B506" s="21" t="n">
        <x:v>45</x:v>
      </x:c>
      <x:c r="C506" s="21" t="n">
        <x:v>17</x:v>
      </x:c>
      <x:c r="D506" s="21" t="n">
        <x:v>2</x:v>
      </x:c>
      <x:c r="E506" s="21" t="str">
        <x:v>4000rpm</x:v>
      </x:c>
      <x:c r="F506" s="21" t="n">
        <x:v>102</x:v>
      </x:c>
      <x:c r="G506" s="22" t="n">
        <x:f>IFERROR('4000rpm'!O102,"")</x:f>
        <x:v>5.170148113965975</x:v>
      </x:c>
      <x:c r="H506" s="22" t="n">
        <x:f>IFERROR('4000rpm'!M102,"")</x:f>
        <x:v>3970.0890625</x:v>
      </x:c>
      <x:c r="I506" s="22" t="n">
        <x:f>IFERROR('4000rpm'!N102,"")</x:f>
        <x:v>1903.11</x:v>
      </x:c>
      <x:c r="J506" s="22" t="n">
        <x:f>IFERROR('4000rpm'!N86,"")</x:f>
        <x:v>158.03216374269</x:v>
      </x:c>
      <x:c r="K506" s="22" t="n">
        <x:f>IF(AND(ISNUMBER(I506),ISNUMBER(J506)),I506-J506,"")</x:f>
        <x:v>1745.0778362573099</x:v>
      </x:c>
      <x:c r="L506" s="22" t="n">
        <x:f>IF(ISNUMBER(K506),K506*$B$2+$B$3,"")</x:f>
        <x:v>1626.7504352835088</x:v>
      </x:c>
      <x:c r="M506" s="22" t="n">
        <x:f>IF(AND(ISNUMBER(G506),ISNUMBER(H506),H506&lt;&gt;0),G506/(H506/60)/$B$5,"")</x:f>
        <x:v>0.1709022435355144</x:v>
      </x:c>
      <x:c r="N506" s="22" t="n">
        <x:f>IF(AND(ISNUMBER(L506),ISNUMBER(H506),H506&lt;&gt;0),L506*$B$6/$B$4/(H506/60)^2/$B$5^4/$B$7,"")</x:f>
        <x:v>0.06915714803493717</x:v>
      </x:c>
      <x:c r="O506" s="22" t="n">
        <x:f>IF(ISNUMBER(N506),N506*$B$8,"")</x:f>
        <x:v>0.008935279093625736</x:v>
      </x:c>
      <x:c r="P506" s="20" t="str">
        <x:v>4000rpm!O102</x:v>
      </x:c>
      <x:c r="Q506" s="20" t="str">
        <x:v>4000rpm!N102</x:v>
      </x:c>
      <x:c r="R506" s="20" t="str">
        <x:v>4000rpm!N86</x:v>
      </x:c>
    </x:row>
    <x:row r="507">
      <x:c r="A507" s="21" t="n">
        <x:v>4000</x:v>
      </x:c>
      <x:c r="B507" s="21" t="n">
        <x:v>45</x:v>
      </x:c>
      <x:c r="C507" s="21" t="n">
        <x:v>18</x:v>
      </x:c>
      <x:c r="D507" s="21" t="n">
        <x:v>1</x:v>
      </x:c>
      <x:c r="E507" s="21" t="str">
        <x:v>4000rpm</x:v>
      </x:c>
      <x:c r="F507" s="21" t="n">
        <x:v>103</x:v>
      </x:c>
      <x:c r="G507" s="22" t="n">
        <x:f>IFERROR('4000rpm'!D103,"")</x:f>
        <x:v>4.15386146533338</x:v>
      </x:c>
      <x:c r="H507" s="22" t="n">
        <x:f>IFERROR('4000rpm'!B103,"")</x:f>
        <x:v>4028.49653116861</x:v>
      </x:c>
      <x:c r="I507" s="22" t="n">
        <x:f>IFERROR('4000rpm'!C103,"")</x:f>
        <x:v>2027.78526315789</x:v>
      </x:c>
      <x:c r="J507" s="22" t="n">
        <x:f>IFERROR('4000rpm'!C86,"")</x:f>
        <x:v>154.913888888888</x:v>
      </x:c>
      <x:c r="K507" s="22" t="n">
        <x:f>IF(AND(ISNUMBER(I507),ISNUMBER(J507)),I507-J507,"")</x:f>
        <x:v>1872.871374269002</x:v>
      </x:c>
      <x:c r="L507" s="22" t="n">
        <x:f>IF(ISNUMBER(K507),K507*$B$2+$B$3,"")</x:f>
        <x:v>1743.7720003891193</x:v>
      </x:c>
      <x:c r="M507" s="22" t="n">
        <x:f>IF(AND(ISNUMBER(G507),ISNUMBER(H507),H507&lt;&gt;0),G507/(H507/60)/$B$5,"")</x:f>
        <x:v>0.13531752412724643</x:v>
      </x:c>
      <x:c r="N507" s="22" t="n">
        <x:f>IF(AND(ISNUMBER(L507),ISNUMBER(H507),H507&lt;&gt;0),L507*$B$6/$B$4/(H507/60)^2/$B$5^4/$B$7,"")</x:f>
        <x:v>0.0719979870752016</x:v>
      </x:c>
      <x:c r="O507" s="22" t="n">
        <x:f>IF(ISNUMBER(N507),N507*$B$8,"")</x:f>
        <x:v>0.009302322709594501</x:v>
      </x:c>
      <x:c r="P507" s="20" t="str">
        <x:v>4000rpm!D103</x:v>
      </x:c>
      <x:c r="Q507" s="20" t="str">
        <x:v>4000rpm!C103</x:v>
      </x:c>
      <x:c r="R507" s="20" t="str">
        <x:v>4000rpm!C86</x:v>
      </x:c>
    </x:row>
    <x:row r="508">
      <x:c r="A508" s="21" t="n">
        <x:v>4000</x:v>
      </x:c>
      <x:c r="B508" s="21" t="n">
        <x:v>45</x:v>
      </x:c>
      <x:c r="C508" s="21" t="n">
        <x:v>18</x:v>
      </x:c>
      <x:c r="D508" s="21" t="n">
        <x:v>2</x:v>
      </x:c>
      <x:c r="E508" s="21" t="str">
        <x:v>4000rpm</x:v>
      </x:c>
      <x:c r="F508" s="21" t="n">
        <x:v>103</x:v>
      </x:c>
      <x:c r="G508" s="22" t="n">
        <x:f>IFERROR('4000rpm'!O103,"")</x:f>
        <x:v>4.24537897620882</x:v>
      </x:c>
      <x:c r="H508" s="22" t="n">
        <x:f>IFERROR('4000rpm'!M103,"")</x:f>
        <x:v>3969.16380092075</x:v>
      </x:c>
      <x:c r="I508" s="22" t="n">
        <x:f>IFERROR('4000rpm'!N103,"")</x:f>
        <x:v>1955.08035714285</x:v>
      </x:c>
      <x:c r="J508" s="22" t="n">
        <x:f>IFERROR('4000rpm'!N86,"")</x:f>
        <x:v>158.03216374269</x:v>
      </x:c>
      <x:c r="K508" s="22" t="n">
        <x:f>IF(AND(ISNUMBER(I508),ISNUMBER(J508)),I508-J508,"")</x:f>
        <x:v>1797.04819340016</x:v>
      </x:c>
      <x:c r="L508" s="22" t="n">
        <x:f>IF(ISNUMBER(K508),K508*$B$2+$B$3,"")</x:f>
        <x:v>1674.3401070820737</x:v>
      </x:c>
      <x:c r="M508" s="22" t="n">
        <x:f>IF(AND(ISNUMBER(G508),ISNUMBER(H508),H508&lt;&gt;0),G508/(H508/60)/$B$5,"")</x:f>
        <x:v>0.14036617699037576</x:v>
      </x:c>
      <x:c r="N508" s="22" t="n">
        <x:f>IF(AND(ISNUMBER(L508),ISNUMBER(H508),H508&lt;&gt;0),L508*$B$6/$B$4/(H508/60)^2/$B$5^4/$B$7,"")</x:f>
        <x:v>0.07121349152140692</x:v>
      </x:c>
      <x:c r="O508" s="22" t="n">
        <x:f>IF(ISNUMBER(N508),N508*$B$8,"")</x:f>
        <x:v>0.009200963892465105</x:v>
      </x:c>
      <x:c r="P508" s="20" t="str">
        <x:v>4000rpm!O103</x:v>
      </x:c>
      <x:c r="Q508" s="20" t="str">
        <x:v>4000rpm!N103</x:v>
      </x:c>
      <x:c r="R508" s="20" t="str">
        <x:v>4000rpm!N86</x:v>
      </x:c>
    </x:row>
    <x:row r="509">
      <x:c r="A509" s="21" t="n">
        <x:v>4000</x:v>
      </x:c>
      <x:c r="B509" s="21" t="n">
        <x:v>45</x:v>
      </x:c>
      <x:c r="C509" s="21" t="n">
        <x:v>19</x:v>
      </x:c>
      <x:c r="D509" s="21" t="n">
        <x:v>1</x:v>
      </x:c>
      <x:c r="E509" s="21" t="str">
        <x:v>4000rpm</x:v>
      </x:c>
      <x:c r="F509" s="21" t="n">
        <x:v>104</x:v>
      </x:c>
      <x:c r="G509" s="22" t="n">
        <x:f>IFERROR('4000rpm'!D104,"")</x:f>
        <x:v>3.12345184753467</x:v>
      </x:c>
      <x:c r="H509" s="22" t="n">
        <x:f>IFERROR('4000rpm'!B104,"")</x:f>
        <x:v>4011.72553286345</x:v>
      </x:c>
      <x:c r="I509" s="22" t="n">
        <x:f>IFERROR('4000rpm'!C104,"")</x:f>
        <x:v>2081.4698275862</x:v>
      </x:c>
      <x:c r="J509" s="22" t="n">
        <x:f>IFERROR('4000rpm'!C86,"")</x:f>
        <x:v>154.913888888888</x:v>
      </x:c>
      <x:c r="K509" s="22" t="n">
        <x:f>IF(AND(ISNUMBER(I509),ISNUMBER(J509)),I509-J509,"")</x:f>
        <x:v>1926.555938697312</x:v>
      </x:c>
      <x:c r="L509" s="22" t="n">
        <x:f>IF(ISNUMBER(K509),K509*$B$2+$B$3,"")</x:f>
        <x:v>1792.9313855126381</x:v>
      </x:c>
      <x:c r="M509" s="22" t="n">
        <x:f>IF(AND(ISNUMBER(G509),ISNUMBER(H509),H509&lt;&gt;0),G509/(H509/60)/$B$5,"")</x:f>
        <x:v>0.10217593748722685</x:v>
      </x:c>
      <x:c r="N509" s="22" t="n">
        <x:f>IF(AND(ISNUMBER(L509),ISNUMBER(H509),H509&lt;&gt;0),L509*$B$6/$B$4/(H509/60)^2/$B$5^4/$B$7,"")</x:f>
        <x:v>0.07464795028454728</x:v>
      </x:c>
      <x:c r="O509" s="22" t="n">
        <x:f>IF(ISNUMBER(N509),N509*$B$8,"")</x:f>
        <x:v>0.009644704683636896</x:v>
      </x:c>
      <x:c r="P509" s="20" t="str">
        <x:v>4000rpm!D104</x:v>
      </x:c>
      <x:c r="Q509" s="20" t="str">
        <x:v>4000rpm!C104</x:v>
      </x:c>
      <x:c r="R509" s="20" t="str">
        <x:v>4000rpm!C86</x:v>
      </x:c>
    </x:row>
    <x:row r="510">
      <x:c r="A510" s="21" t="n">
        <x:v>4000</x:v>
      </x:c>
      <x:c r="B510" s="21" t="n">
        <x:v>45</x:v>
      </x:c>
      <x:c r="C510" s="21" t="n">
        <x:v>19</x:v>
      </x:c>
      <x:c r="D510" s="21" t="n">
        <x:v>2</x:v>
      </x:c>
      <x:c r="E510" s="21" t="str">
        <x:v>4000rpm</x:v>
      </x:c>
      <x:c r="F510" s="21" t="n">
        <x:v>104</x:v>
      </x:c>
      <x:c r="G510" s="22" t="n">
        <x:f>IFERROR('4000rpm'!O104,"")</x:f>
        <x:v>3.120524563712445</x:v>
      </x:c>
      <x:c r="H510" s="22" t="n">
        <x:f>IFERROR('4000rpm'!M104,"")</x:f>
        <x:v>3955.75915133568</x:v>
      </x:c>
      <x:c r="I510" s="22" t="n">
        <x:f>IFERROR('4000rpm'!N104,"")</x:f>
        <x:v>2011.92431561996</x:v>
      </x:c>
      <x:c r="J510" s="22" t="n">
        <x:f>IFERROR('4000rpm'!N86,"")</x:f>
        <x:v>158.03216374269</x:v>
      </x:c>
      <x:c r="K510" s="22" t="n">
        <x:f>IF(AND(ISNUMBER(I510),ISNUMBER(J510)),I510-J510,"")</x:f>
        <x:v>1853.89215187727</x:v>
      </x:c>
      <x:c r="L510" s="22" t="n">
        <x:f>IF(ISNUMBER(K510),K510*$B$2+$B$3,"")</x:f>
        <x:v>1726.392574611231</x:v>
      </x:c>
      <x:c r="M510" s="22" t="n">
        <x:f>IF(AND(ISNUMBER(G510),ISNUMBER(H510),H510&lt;&gt;0),G510/(H510/60)/$B$5,"")</x:f>
        <x:v>0.1035244168345216</x:v>
      </x:c>
      <x:c r="N510" s="22" t="n">
        <x:f>IF(AND(ISNUMBER(L510),ISNUMBER(H510),H510&lt;&gt;0),L510*$B$6/$B$4/(H510/60)^2/$B$5^4/$B$7,"")</x:f>
        <x:v>0.07392588274757068</x:v>
      </x:c>
      <x:c r="O510" s="22" t="n">
        <x:f>IF(ISNUMBER(N510),N510*$B$8,"")</x:f>
        <x:v>0.009551411724764829</x:v>
      </x:c>
      <x:c r="P510" s="20" t="str">
        <x:v>4000rpm!O104</x:v>
      </x:c>
      <x:c r="Q510" s="20" t="str">
        <x:v>4000rpm!N104</x:v>
      </x:c>
      <x:c r="R510" s="20" t="str">
        <x:v>4000rpm!N86</x:v>
      </x:c>
    </x:row>
    <x:row r="511">
      <x:c r="A511" s="21" t="n">
        <x:v>4000</x:v>
      </x:c>
      <x:c r="B511" s="21" t="n">
        <x:v>45</x:v>
      </x:c>
      <x:c r="C511" s="21" t="n">
        <x:v>20</x:v>
      </x:c>
      <x:c r="D511" s="21" t="n">
        <x:v>1</x:v>
      </x:c>
      <x:c r="E511" s="21" t="str">
        <x:v>4000rpm</x:v>
      </x:c>
      <x:c r="F511" s="21" t="n">
        <x:v>105</x:v>
      </x:c>
      <x:c r="G511" s="22" t="n">
        <x:f>IFERROR('4000rpm'!D105,"")</x:f>
        <x:v>2.096044562883285</x:v>
      </x:c>
      <x:c r="H511" s="22" t="n">
        <x:f>IFERROR('4000rpm'!B105,"")</x:f>
        <x:v>4003.3594563802</x:v>
      </x:c>
      <x:c r="I511" s="22" t="n">
        <x:f>IFERROR('4000rpm'!C105,"")</x:f>
        <x:v>2132.39029535865</x:v>
      </x:c>
      <x:c r="J511" s="22" t="n">
        <x:f>IFERROR('4000rpm'!C86,"")</x:f>
        <x:v>154.913888888888</x:v>
      </x:c>
      <x:c r="K511" s="22" t="n">
        <x:f>IF(AND(ISNUMBER(I511),ISNUMBER(J511)),I511-J511,"")</x:f>
        <x:v>1977.4764064697617</x:v>
      </x:c>
      <x:c r="L511" s="22" t="n">
        <x:f>IF(ISNUMBER(K511),K511*$B$2+$B$3,"")</x:f>
        <x:v>1839.5596652156125</x:v>
      </x:c>
      <x:c r="M511" s="22" t="n">
        <x:f>IF(AND(ISNUMBER(G511),ISNUMBER(H511),H511&lt;&gt;0),G511/(H511/60)/$B$5,"")</x:f>
        <x:v>0.0687101590407847</x:v>
      </x:c>
      <x:c r="N511" s="22" t="n">
        <x:f>IF(AND(ISNUMBER(L511),ISNUMBER(H511),H511&lt;&gt;0),L511*$B$6/$B$4/(H511/60)^2/$B$5^4/$B$7,"")</x:f>
        <x:v>0.07690974085360322</x:v>
      </x:c>
      <x:c r="O511" s="22" t="n">
        <x:f>IF(ISNUMBER(N511),N511*$B$8,"")</x:f>
        <x:v>0.009936933767109739</x:v>
      </x:c>
      <x:c r="P511" s="20" t="str">
        <x:v>4000rpm!D105</x:v>
      </x:c>
      <x:c r="Q511" s="20" t="str">
        <x:v>4000rpm!C105</x:v>
      </x:c>
      <x:c r="R511" s="20" t="str">
        <x:v>4000rpm!C86</x:v>
      </x:c>
    </x:row>
    <x:row r="512">
      <x:c r="A512" s="21" t="n">
        <x:v>4000</x:v>
      </x:c>
      <x:c r="B512" s="21" t="n">
        <x:v>45</x:v>
      </x:c>
      <x:c r="C512" s="21" t="n">
        <x:v>20</x:v>
      </x:c>
      <x:c r="D512" s="21" t="n">
        <x:v>2</x:v>
      </x:c>
      <x:c r="E512" s="21" t="str">
        <x:v>4000rpm</x:v>
      </x:c>
      <x:c r="F512" s="21" t="n">
        <x:v>105</x:v>
      </x:c>
      <x:c r="G512" s="22" t="n">
        <x:f>IFERROR('4000rpm'!O105,"")</x:f>
        <x:v>2.0945834579855847</x:v>
      </x:c>
      <x:c r="H512" s="22" t="n">
        <x:f>IFERROR('4000rpm'!M105,"")</x:f>
        <x:v>3944.95743502103</x:v>
      </x:c>
      <x:c r="I512" s="22" t="n">
        <x:f>IFERROR('4000rpm'!N105,"")</x:f>
        <x:v>2063.53682170542</x:v>
      </x:c>
      <x:c r="J512" s="22" t="n">
        <x:f>IFERROR('4000rpm'!N86,"")</x:f>
        <x:v>158.03216374269</x:v>
      </x:c>
      <x:c r="K512" s="22" t="n">
        <x:f>IF(AND(ISNUMBER(I512),ISNUMBER(J512)),I512-J512,"")</x:f>
        <x:v>1905.50465796273</x:v>
      </x:c>
      <x:c r="L512" s="22" t="n">
        <x:f>IF(ISNUMBER(K512),K512*$B$2+$B$3,"")</x:f>
        <x:v>1773.6545593337357</x:v>
      </x:c>
      <x:c r="M512" s="22" t="n">
        <x:f>IF(AND(ISNUMBER(G512),ISNUMBER(H512),H512&lt;&gt;0),G512/(H512/60)/$B$5,"")</x:f>
        <x:v>0.06967875406094988</x:v>
      </x:c>
      <x:c r="N512" s="22" t="n">
        <x:f>IF(AND(ISNUMBER(L512),ISNUMBER(H512),H512&lt;&gt;0),L512*$B$6/$B$4/(H512/60)^2/$B$5^4/$B$7,"")</x:f>
        <x:v>0.07636617510650724</x:v>
      </x:c>
      <x:c r="O512" s="22" t="n">
        <x:f>IF(ISNUMBER(N512),N512*$B$8,"")</x:f>
        <x:v>0.009866703692648252</x:v>
      </x:c>
      <x:c r="P512" s="20" t="str">
        <x:v>4000rpm!O105</x:v>
      </x:c>
      <x:c r="Q512" s="20" t="str">
        <x:v>4000rpm!N105</x:v>
      </x:c>
      <x:c r="R512" s="20" t="str">
        <x:v>4000rpm!N86</x:v>
      </x:c>
    </x:row>
    <x:row r="513">
      <x:c r="A513" s="21" t="n">
        <x:v>4000</x:v>
      </x:c>
      <x:c r="B513" s="21" t="n">
        <x:v>45</x:v>
      </x:c>
      <x:c r="C513" s="21" t="n">
        <x:v>21</x:v>
      </x:c>
      <x:c r="D513" s="21" t="n">
        <x:v>1</x:v>
      </x:c>
      <x:c r="E513" s="21" t="str">
        <x:v>4000rpm</x:v>
      </x:c>
      <x:c r="F513" s="21" t="n">
        <x:v>106</x:v>
      </x:c>
      <x:c r="G513" s="22" t="n">
        <x:f>IFERROR('4000rpm'!D106,"")</x:f>
        <x:v>1.0663194947382975</x:v>
      </x:c>
      <x:c r="H513" s="22" t="n">
        <x:f>IFERROR('4000rpm'!B106,"")</x:f>
        <x:v>4018.30592773437</x:v>
      </x:c>
      <x:c r="I513" s="22" t="n">
        <x:f>IFERROR('4000rpm'!C106,"")</x:f>
        <x:v>2179.216796875</x:v>
      </x:c>
      <x:c r="J513" s="22" t="n">
        <x:f>IFERROR('4000rpm'!C86,"")</x:f>
        <x:v>154.913888888888</x:v>
      </x:c>
      <x:c r="K513" s="22" t="n">
        <x:f>IF(AND(ISNUMBER(I513),ISNUMBER(J513)),I513-J513,"")</x:f>
        <x:v>2024.302907986112</x:v>
      </x:c>
      <x:c r="L513" s="22" t="n">
        <x:f>IF(ISNUMBER(K513),K513*$B$2+$B$3,"")</x:f>
        <x:v>1882.4390672661466</x:v>
      </x:c>
      <x:c r="M513" s="22" t="n">
        <x:f>IF(AND(ISNUMBER(G513),ISNUMBER(H513),H513&lt;&gt;0),G513/(H513/60)/$B$5,"")</x:f>
        <x:v>0.0348248600488231</x:v>
      </x:c>
      <x:c r="N513" s="22" t="n">
        <x:f>IF(AND(ISNUMBER(L513),ISNUMBER(H513),H513&lt;&gt;0),L513*$B$6/$B$4/(H513/60)^2/$B$5^4/$B$7,"")</x:f>
        <x:v>0.07811808241293898</x:v>
      </x:c>
      <x:c r="O513" s="22" t="n">
        <x:f>IF(ISNUMBER(N513),N513*$B$8,"")</x:f>
        <x:v>0.010093054564162237</x:v>
      </x:c>
      <x:c r="P513" s="20" t="str">
        <x:v>4000rpm!D106</x:v>
      </x:c>
      <x:c r="Q513" s="20" t="str">
        <x:v>4000rpm!C106</x:v>
      </x:c>
      <x:c r="R513" s="20" t="str">
        <x:v>4000rpm!C86</x:v>
      </x:c>
    </x:row>
    <x:row r="514">
      <x:c r="A514" s="21" t="n">
        <x:v>4000</x:v>
      </x:c>
      <x:c r="B514" s="21" t="n">
        <x:v>45</x:v>
      </x:c>
      <x:c r="C514" s="21" t="n">
        <x:v>21</x:v>
      </x:c>
      <x:c r="D514" s="21" t="n">
        <x:v>2</x:v>
      </x:c>
      <x:c r="E514" s="21" t="str">
        <x:v>4000rpm</x:v>
      </x:c>
      <x:c r="F514" s="21" t="n">
        <x:v>106</x:v>
      </x:c>
      <x:c r="G514" s="22" t="n">
        <x:f>IFERROR('4000rpm'!O106,"")</x:f>
        <x:v>1.065120267868041</x:v>
      </x:c>
      <x:c r="H514" s="22" t="n">
        <x:f>IFERROR('4000rpm'!M106,"")</x:f>
        <x:v>3958.42410555752</x:v>
      </x:c>
      <x:c r="I514" s="22" t="n">
        <x:f>IFERROR('4000rpm'!N106,"")</x:f>
        <x:v>2111.0509977827</x:v>
      </x:c>
      <x:c r="J514" s="22" t="n">
        <x:f>IFERROR('4000rpm'!N86,"")</x:f>
        <x:v>158.03216374269</x:v>
      </x:c>
      <x:c r="K514" s="22" t="n">
        <x:f>IF(AND(ISNUMBER(I514),ISNUMBER(J514)),I514-J514,"")</x:f>
        <x:v>1953.01883404001</x:v>
      </x:c>
      <x:c r="L514" s="22" t="n">
        <x:f>IF(ISNUMBER(K514),K514*$B$2+$B$3,"")</x:f>
        <x:v>1817.1636704811094</x:v>
      </x:c>
      <x:c r="M514" s="22" t="n">
        <x:f>IF(AND(ISNUMBER(G514),ISNUMBER(H514),H514&lt;&gt;0),G514/(H514/60)/$B$5,"")</x:f>
        <x:v>0.035311921862059864</x:v>
      </x:c>
      <x:c r="N514" s="22" t="n">
        <x:f>IF(AND(ISNUMBER(L514),ISNUMBER(H514),H514&lt;&gt;0),L514*$B$6/$B$4/(H514/60)^2/$B$5^4/$B$7,"")</x:f>
        <x:v>0.07770805572423858</x:v>
      </x:c>
      <x:c r="O514" s="22" t="n">
        <x:f>IF(ISNUMBER(N514),N514*$B$8,"")</x:f>
        <x:v>0.010040078075057706</x:v>
      </x:c>
      <x:c r="P514" s="20" t="str">
        <x:v>4000rpm!O106</x:v>
      </x:c>
      <x:c r="Q514" s="20" t="str">
        <x:v>4000rpm!N106</x:v>
      </x:c>
      <x:c r="R514" s="20" t="str">
        <x:v>4000rpm!N86</x:v>
      </x:c>
    </x:row>
    <x:row r="515">
      <x:c r="A515" s="21" t="n">
        <x:v>4000</x:v>
      </x:c>
      <x:c r="B515" s="21" t="n">
        <x:v>45</x:v>
      </x:c>
      <x:c r="C515" s="21" t="n">
        <x:v>22</x:v>
      </x:c>
      <x:c r="D515" s="21" t="n">
        <x:v>1</x:v>
      </x:c>
      <x:c r="E515" s="21" t="str">
        <x:v>4000rpm</x:v>
      </x:c>
      <x:c r="F515" s="21" t="n">
        <x:v>107</x:v>
      </x:c>
      <x:c r="G515" s="22" t="n">
        <x:f>IFERROR('4000rpm'!D107,"")</x:f>
        <x:v>0.1663511399985165</x:v>
      </x:c>
      <x:c r="H515" s="22" t="n">
        <x:f>IFERROR('4000rpm'!B107,"")</x:f>
        <x:v>4030.80014870383</x:v>
      </x:c>
      <x:c r="I515" s="22" t="n">
        <x:f>IFERROR('4000rpm'!C107,"")</x:f>
        <x:v>2195.57399103139</x:v>
      </x:c>
      <x:c r="J515" s="22" t="n">
        <x:f>IFERROR('4000rpm'!C86,"")</x:f>
        <x:v>154.913888888888</x:v>
      </x:c>
      <x:c r="K515" s="22" t="n">
        <x:f>IF(AND(ISNUMBER(I515),ISNUMBER(J515)),I515-J515,"")</x:f>
        <x:v>2040.660102142502</x:v>
      </x:c>
      <x:c r="L515" s="22" t="n">
        <x:f>IF(ISNUMBER(K515),K515*$B$2+$B$3,"")</x:f>
        <x:v>1897.4174808127061</x:v>
      </x:c>
      <x:c r="M515" s="22" t="n">
        <x:f>IF(AND(ISNUMBER(G515),ISNUMBER(H515),H515&lt;&gt;0),G515/(H515/60)/$B$5,"")</x:f>
        <x:v>0.005416011080217391</x:v>
      </x:c>
      <x:c r="N515" s="22" t="n">
        <x:f>IF(AND(ISNUMBER(L515),ISNUMBER(H515),H515&lt;&gt;0),L515*$B$6/$B$4/(H515/60)^2/$B$5^4/$B$7,"")</x:f>
        <x:v>0.07825228144009086</x:v>
      </x:c>
      <x:c r="O515" s="22" t="n">
        <x:f>IF(ISNUMBER(N515),N515*$B$8,"")</x:f>
        <x:v>0.010110393419157954</x:v>
      </x:c>
      <x:c r="P515" s="20" t="str">
        <x:v>4000rpm!D107</x:v>
      </x:c>
      <x:c r="Q515" s="20" t="str">
        <x:v>4000rpm!C107</x:v>
      </x:c>
      <x:c r="R515" s="20" t="str">
        <x:v>4000rpm!C86</x:v>
      </x:c>
    </x:row>
    <x:row r="516">
      <x:c r="A516" s="21" t="n">
        <x:v>4000</x:v>
      </x:c>
      <x:c r="B516" s="21" t="n">
        <x:v>45</x:v>
      </x:c>
      <x:c r="C516" s="21" t="n">
        <x:v>22</x:v>
      </x:c>
      <x:c r="D516" s="21" t="n">
        <x:v>2</x:v>
      </x:c>
      <x:c r="E516" s="21" t="str">
        <x:v>4000rpm</x:v>
      </x:c>
      <x:c r="F516" s="21" t="n">
        <x:v>107</x:v>
      </x:c>
      <x:c r="G516" s="22" t="n">
        <x:f>IFERROR('4000rpm'!O107,"")</x:f>
        <x:v>0.167289520986378</x:v>
      </x:c>
      <x:c r="H516" s="22" t="n">
        <x:f>IFERROR('4000rpm'!M107,"")</x:f>
        <x:v>3972.93916829427</x:v>
      </x:c>
      <x:c r="I516" s="22" t="n">
        <x:f>IFERROR('4000rpm'!N107,"")</x:f>
        <x:v>2142.49790794979</x:v>
      </x:c>
      <x:c r="J516" s="22" t="n">
        <x:f>IFERROR('4000rpm'!N86,"")</x:f>
        <x:v>158.03216374269</x:v>
      </x:c>
      <x:c r="K516" s="22" t="n">
        <x:f>IF(AND(ISNUMBER(I516),ISNUMBER(J516)),I516-J516,"")</x:f>
        <x:v>1984.4657442070998</x:v>
      </x:c>
      <x:c r="L516" s="22" t="n">
        <x:f>IF(ISNUMBER(K516),K516*$B$2+$B$3,"")</x:f>
        <x:v>1845.959857696395</x:v>
      </x:c>
      <x:c r="M516" s="22" t="n">
        <x:f>IF(AND(ISNUMBER(G516),ISNUMBER(H516),H516&lt;&gt;0),G516/(H516/60)/$B$5,"")</x:f>
        <x:v>0.005525885106419949</x:v>
      </x:c>
      <x:c r="N516" s="22" t="n">
        <x:f>IF(AND(ISNUMBER(L516),ISNUMBER(H516),H516&lt;&gt;0),L516*$B$6/$B$4/(H516/60)^2/$B$5^4/$B$7,"")</x:f>
        <x:v>0.0783637236596402</x:v>
      </x:c>
      <x:c r="O516" s="22" t="n">
        <x:f>IF(ISNUMBER(N516),N516*$B$8,"")</x:f>
        <x:v>0.010124792036839287</x:v>
      </x:c>
      <x:c r="P516" s="20" t="str">
        <x:v>4000rpm!O107</x:v>
      </x:c>
      <x:c r="Q516" s="20" t="str">
        <x:v>4000rpm!N107</x:v>
      </x:c>
      <x:c r="R516" s="20" t="str">
        <x:v>4000rpm!N86</x:v>
      </x:c>
    </x:row>
    <x:row r="517">
      <x:c r="A517" s="21" t="n">
        <x:v>4000</x:v>
      </x:c>
      <x:c r="B517" s="21" t="n">
        <x:v>45</x:v>
      </x:c>
      <x:c r="C517" s="21" t="n">
        <x:v>23</x:v>
      </x:c>
      <x:c r="D517" s="21" t="n">
        <x:v>1</x:v>
      </x:c>
      <x:c r="E517" s="21" t="str">
        <x:v>4000rpm</x:v>
      </x:c>
      <x:c r="F517" s="21" t="n">
        <x:v>108</x:v>
      </x:c>
      <x:c r="G517" s="22" t="n">
        <x:f>IFERROR('4000rpm'!D108,"")</x:f>
        <x:v>0.08670134149382219</x:v>
      </x:c>
      <x:c r="H517" s="22" t="n">
        <x:f>IFERROR('4000rpm'!B108,"")</x:f>
        <x:v>0</x:v>
      </x:c>
      <x:c r="I517" s="22" t="n">
        <x:f>IFERROR('4000rpm'!C108,"")</x:f>
        <x:v>159.063882063882</x:v>
      </x:c>
      <x:c r="J517" s="22" t="n">
        <x:f>IFERROR('4000rpm'!C86,"")</x:f>
        <x:v>154.913888888888</x:v>
      </x:c>
      <x:c r="K517" s="22" t="n">
        <x:f>IF(AND(ISNUMBER(I517),ISNUMBER(J517)),I517-J517,"")</x:f>
        <x:v>4.149993174993995</x:v>
      </x:c>
      <x:c r="L517" s="22" t="n">
        <x:f>IF(ISNUMBER(K517),K517*$B$2+$B$3,"")</x:f>
        <x:v>32.5688819502874</x:v>
      </x:c>
      <x:c r="M517" s="22" t="str">
        <x:f>IF(AND(ISNUMBER(G517),ISNUMBER(H517),H517&lt;&gt;0),G517/(H517/60)/$B$5,"")</x:f>
      </x:c>
      <x:c r="N517" s="22" t="str">
        <x:f>IF(AND(ISNUMBER(L517),ISNUMBER(H517),H517&lt;&gt;0),L517*$B$6/$B$4/(H517/60)^2/$B$5^4/$B$7,"")</x:f>
      </x:c>
      <x:c r="O517" s="22" t="str">
        <x:f>IF(ISNUMBER(N517),N517*$B$8,"")</x:f>
      </x:c>
      <x:c r="P517" s="20" t="str">
        <x:v>4000rpm!D108</x:v>
      </x:c>
      <x:c r="Q517" s="20" t="str">
        <x:v>4000rpm!C108</x:v>
      </x:c>
      <x:c r="R517" s="20" t="str">
        <x:v>4000rpm!C86</x:v>
      </x:c>
    </x:row>
    <x:row r="518">
      <x:c r="A518" s="21" t="n">
        <x:v>4000</x:v>
      </x:c>
      <x:c r="B518" s="21" t="n">
        <x:v>45</x:v>
      </x:c>
      <x:c r="C518" s="21" t="n">
        <x:v>23</x:v>
      </x:c>
      <x:c r="D518" s="21" t="n">
        <x:v>2</x:v>
      </x:c>
      <x:c r="E518" s="21" t="str">
        <x:v>4000rpm</x:v>
      </x:c>
      <x:c r="F518" s="21" t="n">
        <x:v>108</x:v>
      </x:c>
      <x:c r="G518" s="22" t="n">
        <x:f>IFERROR('4000rpm'!O108,"")</x:f>
        <x:v>0.1158235953053802</x:v>
      </x:c>
      <x:c r="H518" s="22" t="n">
        <x:f>IFERROR('4000rpm'!M108,"")</x:f>
        <x:v>0</x:v>
      </x:c>
      <x:c r="I518" s="22" t="n">
        <x:f>IFERROR('4000rpm'!N108,"")</x:f>
        <x:v>158.917073170731</x:v>
      </x:c>
      <x:c r="J518" s="22" t="n">
        <x:f>IFERROR('4000rpm'!N86,"")</x:f>
        <x:v>158.03216374269</x:v>
      </x:c>
      <x:c r="K518" s="22" t="n">
        <x:f>IF(AND(ISNUMBER(I518),ISNUMBER(J518)),I518-J518,"")</x:f>
        <x:v>0.8849094280409986</x:v>
      </x:c>
      <x:c r="L518" s="22" t="n">
        <x:f>IF(ISNUMBER(K518),K518*$B$2+$B$3,"")</x:f>
        <x:v>29.579018642532567</x:v>
      </x:c>
      <x:c r="M518" s="22" t="str">
        <x:f>IF(AND(ISNUMBER(G518),ISNUMBER(H518),H518&lt;&gt;0),G518/(H518/60)/$B$5,"")</x:f>
      </x:c>
      <x:c r="N518" s="22" t="str">
        <x:f>IF(AND(ISNUMBER(L518),ISNUMBER(H518),H518&lt;&gt;0),L518*$B$6/$B$4/(H518/60)^2/$B$5^4/$B$7,"")</x:f>
      </x:c>
      <x:c r="O518" s="22" t="str">
        <x:f>IF(ISNUMBER(N518),N518*$B$8,"")</x:f>
      </x:c>
      <x:c r="P518" s="20" t="str">
        <x:v>4000rpm!O108</x:v>
      </x:c>
      <x:c r="Q518" s="20" t="str">
        <x:v>4000rpm!N108</x:v>
      </x:c>
      <x:c r="R518" s="20" t="str">
        <x:v>4000rpm!N86</x:v>
      </x:c>
    </x:row>
    <x:row r="519">
      <x:c r="A519" s="21" t="n">
        <x:v>4000</x:v>
      </x:c>
      <x:c r="B519" s="21" t="n">
        <x:v>60</x:v>
      </x:c>
      <x:c r="C519" s="21" t="n">
        <x:v>1</x:v>
      </x:c>
      <x:c r="D519" s="21" t="n">
        <x:v>1</x:v>
      </x:c>
      <x:c r="E519" s="21" t="str">
        <x:v>4000rpm</x:v>
      </x:c>
      <x:c r="F519" s="21" t="n">
        <x:v>115</x:v>
      </x:c>
      <x:c r="G519" s="22" t="n">
        <x:f>IFERROR('4000rpm'!D115,"")</x:f>
        <x:v>0.1648124199852615</x:v>
      </x:c>
      <x:c r="H519" s="22" t="n">
        <x:f>IFERROR('4000rpm'!B115,"")</x:f>
        <x:v>0</x:v>
      </x:c>
      <x:c r="I519" s="22" t="n">
        <x:f>IFERROR('4000rpm'!C115,"")</x:f>
        <x:v>245.366929133858</x:v>
      </x:c>
      <x:c r="J519" s="22" t="n">
        <x:f>IFERROR('4000rpm'!C115,"")</x:f>
        <x:v>245.366929133858</x:v>
      </x:c>
      <x:c r="K519" s="22" t="n">
        <x:f>IF(AND(ISNUMBER(I519),ISNUMBER(J519)),I519-J519,"")</x:f>
        <x:v>0</x:v>
      </x:c>
      <x:c r="L519" s="22" t="n">
        <x:f>IF(ISNUMBER(K519),K519*$B$2+$B$3,"")</x:f>
        <x:v>28.7687</x:v>
      </x:c>
      <x:c r="M519" s="22" t="str">
        <x:f>IF(AND(ISNUMBER(G519),ISNUMBER(H519),H519&lt;&gt;0),G519/(H519/60)/$B$5,"")</x:f>
      </x:c>
      <x:c r="N519" s="22" t="str">
        <x:f>IF(AND(ISNUMBER(L519),ISNUMBER(H519),H519&lt;&gt;0),L519*$B$6/$B$4/(H519/60)^2/$B$5^4/$B$7,"")</x:f>
      </x:c>
      <x:c r="O519" s="22" t="str">
        <x:f>IF(ISNUMBER(N519),N519*$B$8,"")</x:f>
      </x:c>
      <x:c r="P519" s="20" t="str">
        <x:v>4000rpm!D115</x:v>
      </x:c>
      <x:c r="Q519" s="20" t="str">
        <x:v>4000rpm!C115</x:v>
      </x:c>
      <x:c r="R519" s="20" t="str">
        <x:v>4000rpm!C115</x:v>
      </x:c>
    </x:row>
    <x:row r="520">
      <x:c r="A520" s="21" t="n">
        <x:v>4000</x:v>
      </x:c>
      <x:c r="B520" s="21" t="n">
        <x:v>60</x:v>
      </x:c>
      <x:c r="C520" s="21" t="n">
        <x:v>1</x:v>
      </x:c>
      <x:c r="D520" s="21" t="n">
        <x:v>2</x:v>
      </x:c>
      <x:c r="E520" s="21" t="str">
        <x:v>4000rpm</x:v>
      </x:c>
      <x:c r="F520" s="21" t="n">
        <x:v>115</x:v>
      </x:c>
      <x:c r="G520" s="22" t="n">
        <x:f>IFERROR('4000rpm'!P115,"")</x:f>
        <x:v>0.04147791941592675</x:v>
      </x:c>
      <x:c r="H520" s="22" t="n">
        <x:f>IFERROR('4000rpm'!M115,"")</x:f>
        <x:v>0</x:v>
      </x:c>
      <x:c r="I520" s="22" t="n">
        <x:f>IFERROR('4000rpm'!O115,"")</x:f>
        <x:v>-34.683253753026584</x:v>
      </x:c>
      <x:c r="J520" s="22" t="n">
        <x:f>IFERROR('4000rpm'!O115,"")</x:f>
        <x:v>-34.683253753026584</x:v>
      </x:c>
      <x:c r="K520" s="22" t="n">
        <x:f>IF(AND(ISNUMBER(I520),ISNUMBER(J520)),I520-J520,"")</x:f>
        <x:v>0</x:v>
      </x:c>
      <x:c r="L520" s="22" t="n">
        <x:f>IF(ISNUMBER(K520),K520*$B$2+$B$3,"")</x:f>
        <x:v>28.7687</x:v>
      </x:c>
      <x:c r="M520" s="22" t="str">
        <x:f>IF(AND(ISNUMBER(G520),ISNUMBER(H520),H520&lt;&gt;0),G520/(H520/60)/$B$5,"")</x:f>
      </x:c>
      <x:c r="N520" s="22" t="str">
        <x:f>IF(AND(ISNUMBER(L520),ISNUMBER(H520),H520&lt;&gt;0),L520*$B$6/$B$4/(H520/60)^2/$B$5^4/$B$7,"")</x:f>
      </x:c>
      <x:c r="O520" s="22" t="str">
        <x:f>IF(ISNUMBER(N520),N520*$B$8,"")</x:f>
      </x:c>
      <x:c r="P520" s="20" t="str">
        <x:v>4000rpm!P115</x:v>
      </x:c>
      <x:c r="Q520" s="20" t="str">
        <x:v>4000rpm!O115</x:v>
      </x:c>
      <x:c r="R520" s="20" t="str">
        <x:v>4000rpm!O115</x:v>
      </x:c>
    </x:row>
    <x:row r="521">
      <x:c r="A521" s="21" t="n">
        <x:v>4000</x:v>
      </x:c>
      <x:c r="B521" s="21" t="n">
        <x:v>60</x:v>
      </x:c>
      <x:c r="C521" s="21" t="n">
        <x:v>2</x:v>
      </x:c>
      <x:c r="D521" s="21" t="n">
        <x:v>1</x:v>
      </x:c>
      <x:c r="E521" s="21" t="str">
        <x:v>4000rpm</x:v>
      </x:c>
      <x:c r="F521" s="21" t="n">
        <x:v>116</x:v>
      </x:c>
      <x:c r="G521" s="22" t="n">
        <x:f>IFERROR('4000rpm'!D116,"")</x:f>
        <x:v>0.251877</x:v>
      </x:c>
      <x:c r="H521" s="22" t="n">
        <x:f>IFERROR('4000rpm'!B116,"")</x:f>
        <x:v>4121.16</x:v>
      </x:c>
      <x:c r="I521" s="22" t="n">
        <x:f>IFERROR('4000rpm'!C116,"")</x:f>
        <x:v>2354.046</x:v>
      </x:c>
      <x:c r="J521" s="22" t="n">
        <x:f>IFERROR('4000rpm'!C115,"")</x:f>
        <x:v>245.366929133858</x:v>
      </x:c>
      <x:c r="K521" s="22" t="n">
        <x:f>IF(AND(ISNUMBER(I521),ISNUMBER(J521)),I521-J521,"")</x:f>
        <x:v>2108.679070866142</x:v>
      </x:c>
      <x:c r="L521" s="22" t="n">
        <x:f>IF(ISNUMBER(K521),K521*$B$2+$B$3,"")</x:f>
        <x:v>1959.702994624693</x:v>
      </x:c>
      <x:c r="M521" s="22" t="n">
        <x:f>IF(AND(ISNUMBER(G521),ISNUMBER(H521),H521&lt;&gt;0),G521/(H521/60)/$B$5,"")</x:f>
        <x:v>0.008020733096858367</x:v>
      </x:c>
      <x:c r="N521" s="22" t="n">
        <x:f>IF(AND(ISNUMBER(L521),ISNUMBER(H521),H521&lt;&gt;0),L521*$B$6/$B$4/(H521/60)^2/$B$5^4/$B$7,"")</x:f>
        <x:v>0.0773157453710891</x:v>
      </x:c>
      <x:c r="O521" s="22" t="n">
        <x:f>IF(ISNUMBER(N521),N521*$B$8,"")</x:f>
        <x:v>0.009989390581482368</x:v>
      </x:c>
      <x:c r="P521" s="20" t="str">
        <x:v>4000rpm!D116</x:v>
      </x:c>
      <x:c r="Q521" s="20" t="str">
        <x:v>4000rpm!C116</x:v>
      </x:c>
      <x:c r="R521" s="20" t="str">
        <x:v>4000rpm!C115</x:v>
      </x:c>
    </x:row>
    <x:row r="522">
      <x:c r="A522" s="21" t="n">
        <x:v>4000</x:v>
      </x:c>
      <x:c r="B522" s="21" t="n">
        <x:v>60</x:v>
      </x:c>
      <x:c r="C522" s="21" t="n">
        <x:v>2</x:v>
      </x:c>
      <x:c r="D522" s="21" t="n">
        <x:v>2</x:v>
      </x:c>
      <x:c r="E522" s="21" t="str">
        <x:v>4000rpm</x:v>
      </x:c>
      <x:c r="F522" s="21" t="n">
        <x:v>116</x:v>
      </x:c>
      <x:c r="G522" s="22" t="n">
        <x:f>IFERROR('4000rpm'!P116,"")</x:f>
        <x:v>0.25116</x:v>
      </x:c>
      <x:c r="H522" s="22" t="n">
        <x:f>IFERROR('4000rpm'!M116,"")</x:f>
        <x:v>4033.3</x:v>
      </x:c>
      <x:c r="I522" s="22" t="n">
        <x:f>IFERROR('4000rpm'!O116,"")</x:f>
        <x:v>1937.0698215999998</x:v>
      </x:c>
      <x:c r="J522" s="22" t="n">
        <x:f>IFERROR('4000rpm'!O115,"")</x:f>
        <x:v>-34.683253753026584</x:v>
      </x:c>
      <x:c r="K522" s="22" t="n">
        <x:f>IF(AND(ISNUMBER(I522),ISNUMBER(J522)),I522-J522,"")</x:f>
        <x:v>1971.7530753530264</x:v>
      </x:c>
      <x:c r="L522" s="22" t="n">
        <x:f>IF(ISNUMBER(K522),K522*$B$2+$B$3,"")</x:f>
        <x:v>1834.318765125369</x:v>
      </x:c>
      <x:c r="M522" s="22" t="n">
        <x:f>IF(AND(ISNUMBER(G522),ISNUMBER(H522),H522&lt;&gt;0),G522/(H522/60)/$B$5,"")</x:f>
        <x:v>0.008172124543490403</x:v>
      </x:c>
      <x:c r="N522" s="22" t="n">
        <x:f>IF(AND(ISNUMBER(L522),ISNUMBER(H522),H522&lt;&gt;0),L522*$B$6/$B$4/(H522/60)^2/$B$5^4/$B$7,"")</x:f>
        <x:v>0.07555625068100243</x:v>
      </x:c>
      <x:c r="O522" s="22" t="n">
        <x:f>IF(ISNUMBER(N522),N522*$B$8,"")</x:f>
        <x:v>0.009762059400738267</x:v>
      </x:c>
      <x:c r="P522" s="20" t="str">
        <x:v>4000rpm!P116</x:v>
      </x:c>
      <x:c r="Q522" s="20" t="str">
        <x:v>4000rpm!O116</x:v>
      </x:c>
      <x:c r="R522" s="20" t="str">
        <x:v>4000rpm!O115</x:v>
      </x:c>
    </x:row>
    <x:row r="523">
      <x:c r="A523" s="21" t="n">
        <x:v>4000</x:v>
      </x:c>
      <x:c r="B523" s="21" t="n">
        <x:v>60</x:v>
      </x:c>
      <x:c r="C523" s="21" t="n">
        <x:v>3</x:v>
      </x:c>
      <x:c r="D523" s="21" t="n">
        <x:v>1</x:v>
      </x:c>
      <x:c r="E523" s="21" t="str">
        <x:v>4000rpm</x:v>
      </x:c>
      <x:c r="F523" s="21" t="n">
        <x:v>117</x:v>
      </x:c>
      <x:c r="G523" s="22" t="n">
        <x:f>IFERROR('4000rpm'!D117,"")</x:f>
        <x:v>1.0571601584553705</x:v>
      </x:c>
      <x:c r="H523" s="22" t="n">
        <x:f>IFERROR('4000rpm'!B117,"")</x:f>
        <x:v>4147.22224934895</x:v>
      </x:c>
      <x:c r="I523" s="22" t="n">
        <x:f>IFERROR('4000rpm'!C117,"")</x:f>
        <x:v>2303.069637883</x:v>
      </x:c>
      <x:c r="J523" s="22" t="n">
        <x:f>IFERROR('4000rpm'!C115,"")</x:f>
        <x:v>245.366929133858</x:v>
      </x:c>
      <x:c r="K523" s="22" t="n">
        <x:f>IF(AND(ISNUMBER(I523),ISNUMBER(J523)),I523-J523,"")</x:f>
        <x:v>2057.702708749142</x:v>
      </x:c>
      <x:c r="L523" s="22" t="n">
        <x:f>IF(ISNUMBER(K523),K523*$B$2+$B$3,"")</x:f>
        <x:v>1913.0235320232593</x:v>
      </x:c>
      <x:c r="M523" s="22" t="n">
        <x:f>IF(AND(ISNUMBER(G523),ISNUMBER(H523),H523&lt;&gt;0),G523/(H523/60)/$B$5,"")</x:f>
        <x:v>0.03345249436606158</x:v>
      </x:c>
      <x:c r="N523" s="22" t="n">
        <x:f>IF(AND(ISNUMBER(L523),ISNUMBER(H523),H523&lt;&gt;0),L523*$B$6/$B$4/(H523/60)^2/$B$5^4/$B$7,"")</x:f>
        <x:v>0.07452849225700788</x:v>
      </x:c>
      <x:c r="O523" s="22" t="n">
        <x:f>IF(ISNUMBER(N523),N523*$B$8,"")</x:f>
        <x:v>0.009629270403213716</x:v>
      </x:c>
      <x:c r="P523" s="20" t="str">
        <x:v>4000rpm!D117</x:v>
      </x:c>
      <x:c r="Q523" s="20" t="str">
        <x:v>4000rpm!C117</x:v>
      </x:c>
      <x:c r="R523" s="20" t="str">
        <x:v>4000rpm!C115</x:v>
      </x:c>
    </x:row>
    <x:row r="524">
      <x:c r="A524" s="21" t="n">
        <x:v>4000</x:v>
      </x:c>
      <x:c r="B524" s="21" t="n">
        <x:v>60</x:v>
      </x:c>
      <x:c r="C524" s="21" t="n">
        <x:v>3</x:v>
      </x:c>
      <x:c r="D524" s="21" t="n">
        <x:v>2</x:v>
      </x:c>
      <x:c r="E524" s="21" t="str">
        <x:v>4000rpm</x:v>
      </x:c>
      <x:c r="F524" s="21" t="n">
        <x:v>117</x:v>
      </x:c>
      <x:c r="G524" s="22" t="n">
        <x:f>IFERROR('4000rpm'!P117,"")</x:f>
        <x:v>1.0503256376142853</x:v>
      </x:c>
      <x:c r="H524" s="22" t="n">
        <x:f>IFERROR('4000rpm'!M117,"")</x:f>
        <x:v>4010.92267862955</x:v>
      </x:c>
      <x:c r="I524" s="22" t="n">
        <x:f>IFERROR('4000rpm'!O117,"")</x:f>
        <x:v>1888.6849983505062</x:v>
      </x:c>
      <x:c r="J524" s="22" t="n">
        <x:f>IFERROR('4000rpm'!O115,"")</x:f>
        <x:v>-34.683253753026584</x:v>
      </x:c>
      <x:c r="K524" s="22" t="n">
        <x:f>IF(AND(ISNUMBER(I524),ISNUMBER(J524)),I524-J524,"")</x:f>
        <x:v>1923.3682521035328</x:v>
      </x:c>
      <x:c r="L524" s="22" t="n">
        <x:f>IF(ISNUMBER(K524),K524*$B$2+$B$3,"")</x:f>
        <x:v>1790.0123953972218</x:v>
      </x:c>
      <x:c r="M524" s="22" t="n">
        <x:f>IF(AND(ISNUMBER(G524),ISNUMBER(H524),H524&lt;&gt;0),G524/(H524/60)/$B$5,"")</x:f>
        <x:v>0.03436566127789284</x:v>
      </x:c>
      <x:c r="N524" s="22" t="n">
        <x:f>IF(AND(ISNUMBER(L524),ISNUMBER(H524),H524&lt;&gt;0),L524*$B$6/$B$4/(H524/60)^2/$B$5^4/$B$7,"")</x:f>
        <x:v>0.0745562577897181</x:v>
      </x:c>
      <x:c r="O524" s="22" t="n">
        <x:f>IF(ISNUMBER(N524),N524*$B$8,"")</x:f>
        <x:v>0.009632857780527537</x:v>
      </x:c>
      <x:c r="P524" s="20" t="str">
        <x:v>4000rpm!P117</x:v>
      </x:c>
      <x:c r="Q524" s="20" t="str">
        <x:v>4000rpm!O117</x:v>
      </x:c>
      <x:c r="R524" s="20" t="str">
        <x:v>4000rpm!O115</x:v>
      </x:c>
    </x:row>
    <x:row r="525">
      <x:c r="A525" s="21" t="n">
        <x:v>4000</x:v>
      </x:c>
      <x:c r="B525" s="21" t="n">
        <x:v>60</x:v>
      </x:c>
      <x:c r="C525" s="21" t="n">
        <x:v>4</x:v>
      </x:c>
      <x:c r="D525" s="21" t="n">
        <x:v>1</x:v>
      </x:c>
      <x:c r="E525" s="21" t="str">
        <x:v>4000rpm</x:v>
      </x:c>
      <x:c r="F525" s="21" t="n">
        <x:v>118</x:v>
      </x:c>
      <x:c r="G525" s="22" t="n">
        <x:f>IFERROR('4000rpm'!D118,"")</x:f>
        <x:v>2.0927568603502946</x:v>
      </x:c>
      <x:c r="H525" s="22" t="n">
        <x:f>IFERROR('4000rpm'!B118,"")</x:f>
        <x:v>4095.49721891983</x:v>
      </x:c>
      <x:c r="I525" s="22" t="n">
        <x:f>IFERROR('4000rpm'!C118,"")</x:f>
        <x:v>2228.12472647702</x:v>
      </x:c>
      <x:c r="J525" s="22" t="n">
        <x:f>IFERROR('4000rpm'!C115,"")</x:f>
        <x:v>245.366929133858</x:v>
      </x:c>
      <x:c r="K525" s="22" t="n">
        <x:f>IF(AND(ISNUMBER(I525),ISNUMBER(J525)),I525-J525,"")</x:f>
        <x:v>1982.7577973431619</x:v>
      </x:c>
      <x:c r="L525" s="22" t="n">
        <x:f>IF(ISNUMBER(K525),K525*$B$2+$B$3,"")</x:f>
        <x:v>1844.3958770895122</x:v>
      </x:c>
      <x:c r="M525" s="22" t="n">
        <x:f>IF(AND(ISNUMBER(G525),ISNUMBER(H525),H525&lt;&gt;0),G525/(H525/60)/$B$5,"")</x:f>
        <x:v>0.06705901462983321</x:v>
      </x:c>
      <x:c r="N525" s="22" t="n">
        <x:f>IF(AND(ISNUMBER(L525),ISNUMBER(H525),H525&lt;&gt;0),L525*$B$6/$B$4/(H525/60)^2/$B$5^4/$B$7,"")</x:f>
        <x:v>0.0736813398567885</x:v>
      </x:c>
      <x:c r="O525" s="22" t="n">
        <x:f>IF(ISNUMBER(N525),N525*$B$8,"")</x:f>
        <x:v>0.009519816162460887</x:v>
      </x:c>
      <x:c r="P525" s="20" t="str">
        <x:v>4000rpm!D118</x:v>
      </x:c>
      <x:c r="Q525" s="20" t="str">
        <x:v>4000rpm!C118</x:v>
      </x:c>
      <x:c r="R525" s="20" t="str">
        <x:v>4000rpm!C115</x:v>
      </x:c>
    </x:row>
    <x:row r="526">
      <x:c r="A526" s="21" t="n">
        <x:v>4000</x:v>
      </x:c>
      <x:c r="B526" s="21" t="n">
        <x:v>60</x:v>
      </x:c>
      <x:c r="C526" s="21" t="n">
        <x:v>4</x:v>
      </x:c>
      <x:c r="D526" s="21" t="n">
        <x:v>2</x:v>
      </x:c>
      <x:c r="E526" s="21" t="str">
        <x:v>4000rpm</x:v>
      </x:c>
      <x:c r="F526" s="21" t="n">
        <x:v>118</x:v>
      </x:c>
      <x:c r="G526" s="22" t="n">
        <x:f>IFERROR('4000rpm'!P118,"")</x:f>
        <x:v>2.07906145305561</x:v>
      </x:c>
      <x:c r="H526" s="22" t="n">
        <x:f>IFERROR('4000rpm'!M118,"")</x:f>
        <x:v>4014.06624755859</x:v>
      </x:c>
      <x:c r="I526" s="22" t="n">
        <x:f>IFERROR('4000rpm'!O118,"")</x:f>
        <x:v>1819.4500406015015</x:v>
      </x:c>
      <x:c r="J526" s="22" t="n">
        <x:f>IFERROR('4000rpm'!O115,"")</x:f>
        <x:v>-34.683253753026584</x:v>
      </x:c>
      <x:c r="K526" s="22" t="n">
        <x:f>IF(AND(ISNUMBER(I526),ISNUMBER(J526)),I526-J526,"")</x:f>
        <x:v>1854.133294354528</x:v>
      </x:c>
      <x:c r="L526" s="22" t="n">
        <x:f>IF(ISNUMBER(K526),K526*$B$2+$B$3,"")</x:f>
        <x:v>1726.6133907067963</x:v>
      </x:c>
      <x:c r="M526" s="22" t="n">
        <x:f>IF(AND(ISNUMBER(G526),ISNUMBER(H526),H526&lt;&gt;0),G526/(H526/60)/$B$5,"")</x:f>
        <x:v>0.06797165107593794</x:v>
      </x:c>
      <x:c r="N526" s="22" t="n">
        <x:f>IF(AND(ISNUMBER(L526),ISNUMBER(H526),H526&lt;&gt;0),L526*$B$6/$B$4/(H526/60)^2/$B$5^4/$B$7,"")</x:f>
        <x:v>0.07180301422623712</x:v>
      </x:c>
      <x:c r="O526" s="22" t="n">
        <x:f>IF(ISNUMBER(N526),N526*$B$8,"")</x:f>
        <x:v>0.009277131722535626</x:v>
      </x:c>
      <x:c r="P526" s="20" t="str">
        <x:v>4000rpm!P118</x:v>
      </x:c>
      <x:c r="Q526" s="20" t="str">
        <x:v>4000rpm!O118</x:v>
      </x:c>
      <x:c r="R526" s="20" t="str">
        <x:v>4000rpm!O115</x:v>
      </x:c>
    </x:row>
    <x:row r="527">
      <x:c r="A527" s="21" t="n">
        <x:v>4000</x:v>
      </x:c>
      <x:c r="B527" s="21" t="n">
        <x:v>60</x:v>
      </x:c>
      <x:c r="C527" s="21" t="n">
        <x:v>5</x:v>
      </x:c>
      <x:c r="D527" s="21" t="n">
        <x:v>1</x:v>
      </x:c>
      <x:c r="E527" s="21" t="str">
        <x:v>4000rpm</x:v>
      </x:c>
      <x:c r="F527" s="21" t="n">
        <x:v>119</x:v>
      </x:c>
      <x:c r="G527" s="22" t="n">
        <x:f>IFERROR('4000rpm'!D119,"")</x:f>
        <x:v>3.1175249085247954</x:v>
      </x:c>
      <x:c r="H527" s="22" t="n">
        <x:f>IFERROR('4000rpm'!B119,"")</x:f>
        <x:v>4079.76986839657</x:v>
      </x:c>
      <x:c r="I527" s="22" t="n">
        <x:f>IFERROR('4000rpm'!C119,"")</x:f>
        <x:v>2153.3325526932</x:v>
      </x:c>
      <x:c r="J527" s="22" t="n">
        <x:f>IFERROR('4000rpm'!C115,"")</x:f>
        <x:v>245.366929133858</x:v>
      </x:c>
      <x:c r="K527" s="22" t="n">
        <x:f>IF(AND(ISNUMBER(I527),ISNUMBER(J527)),I527-J527,"")</x:f>
        <x:v>1907.9656235593418</x:v>
      </x:c>
      <x:c r="L527" s="22" t="n">
        <x:f>IF(ISNUMBER(K527),K527*$B$2+$B$3,"")</x:f>
        <x:v>1775.9080852182778</x:v>
      </x:c>
      <x:c r="M527" s="22" t="n">
        <x:f>IF(AND(ISNUMBER(G527),ISNUMBER(H527),H527&lt;&gt;0),G527/(H527/60)/$B$5,"")</x:f>
        <x:v>0.10028114745212462</x:v>
      </x:c>
      <x:c r="N527" s="22" t="n">
        <x:f>IF(AND(ISNUMBER(L527),ISNUMBER(H527),H527&lt;&gt;0),L527*$B$6/$B$4/(H527/60)^2/$B$5^4/$B$7,"")</x:f>
        <x:v>0.07149337426710153</x:v>
      </x:c>
      <x:c r="O527" s="22" t="n">
        <x:f>IF(ISNUMBER(N527),N527*$B$8,"")</x:f>
        <x:v>0.009237125453740133</x:v>
      </x:c>
      <x:c r="P527" s="20" t="str">
        <x:v>4000rpm!D119</x:v>
      </x:c>
      <x:c r="Q527" s="20" t="str">
        <x:v>4000rpm!C119</x:v>
      </x:c>
      <x:c r="R527" s="20" t="str">
        <x:v>4000rpm!C115</x:v>
      </x:c>
    </x:row>
    <x:row r="528">
      <x:c r="A528" s="21" t="n">
        <x:v>4000</x:v>
      </x:c>
      <x:c r="B528" s="21" t="n">
        <x:v>60</x:v>
      </x:c>
      <x:c r="C528" s="21" t="n">
        <x:v>5</x:v>
      </x:c>
      <x:c r="D528" s="21" t="n">
        <x:v>2</x:v>
      </x:c>
      <x:c r="E528" s="21" t="str">
        <x:v>4000rpm</x:v>
      </x:c>
      <x:c r="F528" s="21" t="n">
        <x:v>119</x:v>
      </x:c>
      <x:c r="G528" s="22" t="n">
        <x:f>IFERROR('4000rpm'!P119,"")</x:f>
        <x:v>3.058638105888165</x:v>
      </x:c>
      <x:c r="H528" s="22" t="n">
        <x:f>IFERROR('4000rpm'!M119,"")</x:f>
        <x:v>3998.67279459635</x:v>
      </x:c>
      <x:c r="I528" s="22" t="n">
        <x:f>IFERROR('4000rpm'!O119,"")</x:f>
        <x:v>1729.834940032947</x:v>
      </x:c>
      <x:c r="J528" s="22" t="n">
        <x:f>IFERROR('4000rpm'!O115,"")</x:f>
        <x:v>-34.683253753026584</x:v>
      </x:c>
      <x:c r="K528" s="22" t="n">
        <x:f>IF(AND(ISNUMBER(I528),ISNUMBER(J528)),I528-J528,"")</x:f>
        <x:v>1764.5181937859736</x:v>
      </x:c>
      <x:c r="L528" s="22" t="n">
        <x:f>IF(ISNUMBER(K528),K528*$B$2+$B$3,"")</x:f>
        <x:v>1644.5521261953663</x:v>
      </x:c>
      <x:c r="M528" s="22" t="n">
        <x:f>IF(AND(ISNUMBER(G528),ISNUMBER(H528),H528&lt;&gt;0),G528/(H528/60)/$B$5,"")</x:f>
        <x:v>0.10038232621349803</x:v>
      </x:c>
      <x:c r="N528" s="22" t="n">
        <x:f>IF(AND(ISNUMBER(L528),ISNUMBER(H528),H528&lt;&gt;0),L528*$B$6/$B$4/(H528/60)^2/$B$5^4/$B$7,"")</x:f>
        <x:v>0.06891798169333004</x:v>
      </x:c>
      <x:c r="O528" s="22" t="n">
        <x:f>IF(ISNUMBER(N528),N528*$B$8,"")</x:f>
        <x:v>0.00890437819512452</x:v>
      </x:c>
      <x:c r="P528" s="20" t="str">
        <x:v>4000rpm!P119</x:v>
      </x:c>
      <x:c r="Q528" s="20" t="str">
        <x:v>4000rpm!O119</x:v>
      </x:c>
      <x:c r="R528" s="20" t="str">
        <x:v>4000rpm!O115</x:v>
      </x:c>
    </x:row>
    <x:row r="529">
      <x:c r="A529" s="21" t="n">
        <x:v>4000</x:v>
      </x:c>
      <x:c r="B529" s="21" t="n">
        <x:v>60</x:v>
      </x:c>
      <x:c r="C529" s="21" t="n">
        <x:v>6</x:v>
      </x:c>
      <x:c r="D529" s="21" t="n">
        <x:v>1</x:v>
      </x:c>
      <x:c r="E529" s="21" t="str">
        <x:v>4000rpm</x:v>
      </x:c>
      <x:c r="F529" s="21" t="n">
        <x:v>120</x:v>
      </x:c>
      <x:c r="G529" s="22" t="n">
        <x:f>IFERROR('4000rpm'!D120,"")</x:f>
        <x:v>4.146632932267095</x:v>
      </x:c>
      <x:c r="H529" s="22" t="n">
        <x:f>IFERROR('4000rpm'!B120,"")</x:f>
        <x:v>4104.4147491455</x:v>
      </x:c>
      <x:c r="I529" s="22" t="n">
        <x:f>IFERROR('4000rpm'!C120,"")</x:f>
        <x:v>2070.26018808777</x:v>
      </x:c>
      <x:c r="J529" s="22" t="n">
        <x:f>IFERROR('4000rpm'!C115,"")</x:f>
        <x:v>245.366929133858</x:v>
      </x:c>
      <x:c r="K529" s="22" t="n">
        <x:f>IF(AND(ISNUMBER(I529),ISNUMBER(J529)),I529-J529,"")</x:f>
        <x:v>1824.893258953912</x:v>
      </x:c>
      <x:c r="L529" s="22" t="n">
        <x:f>IF(ISNUMBER(K529),K529*$B$2+$B$3,"")</x:f>
        <x:v>1699.838056370169</x:v>
      </x:c>
      <x:c r="M529" s="22" t="n">
        <x:f>IF(AND(ISNUMBER(G529),ISNUMBER(H529),H529&lt;&gt;0),G529/(H529/60)/$B$5,"")</x:f>
        <x:v>0.1325834700987706</x:v>
      </x:c>
      <x:c r="N529" s="22" t="n">
        <x:f>IF(AND(ISNUMBER(L529),ISNUMBER(H529),H529&lt;&gt;0),L529*$B$6/$B$4/(H529/60)^2/$B$5^4/$B$7,"")</x:f>
        <x:v>0.06761167755431521</x:v>
      </x:c>
      <x:c r="O529" s="22" t="n">
        <x:f>IF(ISNUMBER(N529),N529*$B$8,"")</x:f>
        <x:v>0.008735600384082352</x:v>
      </x:c>
      <x:c r="P529" s="20" t="str">
        <x:v>4000rpm!D120</x:v>
      </x:c>
      <x:c r="Q529" s="20" t="str">
        <x:v>4000rpm!C120</x:v>
      </x:c>
      <x:c r="R529" s="20" t="str">
        <x:v>4000rpm!C115</x:v>
      </x:c>
    </x:row>
    <x:row r="530">
      <x:c r="A530" s="21" t="n">
        <x:v>4000</x:v>
      </x:c>
      <x:c r="B530" s="21" t="n">
        <x:v>60</x:v>
      </x:c>
      <x:c r="C530" s="21" t="n">
        <x:v>6</x:v>
      </x:c>
      <x:c r="D530" s="21" t="n">
        <x:v>2</x:v>
      </x:c>
      <x:c r="E530" s="21" t="str">
        <x:v>4000rpm</x:v>
      </x:c>
      <x:c r="F530" s="21" t="n">
        <x:v>120</x:v>
      </x:c>
      <x:c r="G530" s="22" t="n">
        <x:f>IFERROR('4000rpm'!P120,"")</x:f>
        <x:v>4.135004221328655</x:v>
      </x:c>
      <x:c r="H530" s="22" t="n">
        <x:f>IFERROR('4000rpm'!M120,"")</x:f>
        <x:v>3983.73946866122</x:v>
      </x:c>
      <x:c r="I530" s="22" t="n">
        <x:f>IFERROR('4000rpm'!O120,"")</x:f>
        <x:v>1622.968302013414</x:v>
      </x:c>
      <x:c r="J530" s="22" t="n">
        <x:f>IFERROR('4000rpm'!O115,"")</x:f>
        <x:v>-34.683253753026584</x:v>
      </x:c>
      <x:c r="K530" s="22" t="n">
        <x:f>IF(AND(ISNUMBER(I530),ISNUMBER(J530)),I530-J530,"")</x:f>
        <x:v>1657.6515557664404</x:v>
      </x:c>
      <x:c r="L530" s="22" t="n">
        <x:f>IF(ISNUMBER(K530),K530*$B$2+$B$3,"")</x:f>
        <x:v>1546.6934908277756</x:v>
      </x:c>
      <x:c r="M530" s="22" t="n">
        <x:f>IF(AND(ISNUMBER(G530),ISNUMBER(H530),H530&lt;&gt;0),G530/(H530/60)/$B$5,"")</x:f>
        <x:v>0.13621660675457603</x:v>
      </x:c>
      <x:c r="N530" s="22" t="n">
        <x:f>IF(AND(ISNUMBER(L530),ISNUMBER(H530),H530&lt;&gt;0),L530*$B$6/$B$4/(H530/60)^2/$B$5^4/$B$7,"")</x:f>
        <x:v>0.06530388875974086</x:v>
      </x:c>
      <x:c r="O530" s="22" t="n">
        <x:f>IF(ISNUMBER(N530),N530*$B$8,"")</x:f>
        <x:v>0.008437428213097993</x:v>
      </x:c>
      <x:c r="P530" s="20" t="str">
        <x:v>4000rpm!P120</x:v>
      </x:c>
      <x:c r="Q530" s="20" t="str">
        <x:v>4000rpm!O120</x:v>
      </x:c>
      <x:c r="R530" s="20" t="str">
        <x:v>4000rpm!O115</x:v>
      </x:c>
    </x:row>
    <x:row r="531">
      <x:c r="A531" s="21" t="n">
        <x:v>4000</x:v>
      </x:c>
      <x:c r="B531" s="21" t="n">
        <x:v>60</x:v>
      </x:c>
      <x:c r="C531" s="21" t="n">
        <x:v>7</x:v>
      </x:c>
      <x:c r="D531" s="21" t="n">
        <x:v>1</x:v>
      </x:c>
      <x:c r="E531" s="21" t="str">
        <x:v>4000rpm</x:v>
      </x:c>
      <x:c r="F531" s="21" t="n">
        <x:v>121</x:v>
      </x:c>
      <x:c r="G531" s="22" t="n">
        <x:f>IFERROR('4000rpm'!D121,"")</x:f>
        <x:v>5.167263489619935</x:v>
      </x:c>
      <x:c r="H531" s="22" t="n">
        <x:f>IFERROR('4000rpm'!B121,"")</x:f>
        <x:v>4101.69665527343</x:v>
      </x:c>
      <x:c r="I531" s="22" t="n">
        <x:f>IFERROR('4000rpm'!C121,"")</x:f>
        <x:v>1981.09554140127</x:v>
      </x:c>
      <x:c r="J531" s="22" t="n">
        <x:f>IFERROR('4000rpm'!C115,"")</x:f>
        <x:v>245.366929133858</x:v>
      </x:c>
      <x:c r="K531" s="22" t="n">
        <x:f>IF(AND(ISNUMBER(I531),ISNUMBER(J531)),I531-J531,"")</x:f>
        <x:v>1735.728612267412</x:v>
      </x:c>
      <x:c r="L531" s="22" t="n">
        <x:f>IF(ISNUMBER(K531),K531*$B$2+$B$3,"")</x:f>
        <x:v>1618.1892760821675</x:v>
      </x:c>
      <x:c r="M531" s="22" t="n">
        <x:f>IF(AND(ISNUMBER(G531),ISNUMBER(H531),H531&lt;&gt;0),G531/(H531/60)/$B$5,"")</x:f>
        <x:v>0.16532635764757384</x:v>
      </x:c>
      <x:c r="N531" s="22" t="n">
        <x:f>IF(AND(ISNUMBER(L531),ISNUMBER(H531),H531&lt;&gt;0),L531*$B$6/$B$4/(H531/60)^2/$B$5^4/$B$7,"")</x:f>
        <x:v>0.06444940083818526</x:v>
      </x:c>
      <x:c r="O531" s="22" t="n">
        <x:f>IF(ISNUMBER(N531),N531*$B$8,"")</x:f>
        <x:v>0.00832702620436602</x:v>
      </x:c>
      <x:c r="P531" s="20" t="str">
        <x:v>4000rpm!D121</x:v>
      </x:c>
      <x:c r="Q531" s="20" t="str">
        <x:v>4000rpm!C121</x:v>
      </x:c>
      <x:c r="R531" s="20" t="str">
        <x:v>4000rpm!C115</x:v>
      </x:c>
    </x:row>
    <x:row r="532">
      <x:c r="A532" s="21" t="n">
        <x:v>4000</x:v>
      </x:c>
      <x:c r="B532" s="21" t="n">
        <x:v>60</x:v>
      </x:c>
      <x:c r="C532" s="21" t="n">
        <x:v>7</x:v>
      </x:c>
      <x:c r="D532" s="21" t="n">
        <x:v>2</x:v>
      </x:c>
      <x:c r="E532" s="21" t="str">
        <x:v>4000rpm</x:v>
      </x:c>
      <x:c r="F532" s="21" t="n">
        <x:v>121</x:v>
      </x:c>
      <x:c r="G532" s="22" t="n">
        <x:f>IFERROR('4000rpm'!P121,"")</x:f>
        <x:v>5.05482113753493</x:v>
      </x:c>
      <x:c r="H532" s="22" t="n">
        <x:f>IFERROR('4000rpm'!M121,"")</x:f>
        <x:v>4004.91423764436</x:v>
      </x:c>
      <x:c r="I532" s="22" t="n">
        <x:f>IFERROR('4000rpm'!O121,"")</x:f>
        <x:v>1518.8466008781477</x:v>
      </x:c>
      <x:c r="J532" s="22" t="n">
        <x:f>IFERROR('4000rpm'!O115,"")</x:f>
        <x:v>-34.683253753026584</x:v>
      </x:c>
      <x:c r="K532" s="22" t="n">
        <x:f>IF(AND(ISNUMBER(I532),ISNUMBER(J532)),I532-J532,"")</x:f>
        <x:v>1553.5298546311742</x:v>
      </x:c>
      <x:c r="L532" s="22" t="n">
        <x:f>IF(ISNUMBER(K532),K532*$B$2+$B$3,"")</x:f>
        <x:v>1451.3484161246033</x:v>
      </x:c>
      <x:c r="M532" s="22" t="n">
        <x:f>IF(AND(ISNUMBER(G532),ISNUMBER(H532),H532&lt;&gt;0),G532/(H532/60)/$B$5,"")</x:f>
        <x:v>0.16563709349176725</x:v>
      </x:c>
      <x:c r="N532" s="22" t="n">
        <x:f>IF(AND(ISNUMBER(L532),ISNUMBER(H532),H532&lt;&gt;0),L532*$B$6/$B$4/(H532/60)^2/$B$5^4/$B$7,"")</x:f>
        <x:v>0.060631998754158395</x:v>
      </x:c>
      <x:c r="O532" s="22" t="n">
        <x:f>IF(ISNUMBER(N532),N532*$B$8,"")</x:f>
        <x:v>0.007833808163967117</x:v>
      </x:c>
      <x:c r="P532" s="20" t="str">
        <x:v>4000rpm!P121</x:v>
      </x:c>
      <x:c r="Q532" s="20" t="str">
        <x:v>4000rpm!O121</x:v>
      </x:c>
      <x:c r="R532" s="20" t="str">
        <x:v>4000rpm!O115</x:v>
      </x:c>
    </x:row>
    <x:row r="533">
      <x:c r="A533" s="21" t="n">
        <x:v>4000</x:v>
      </x:c>
      <x:c r="B533" s="21" t="n">
        <x:v>60</x:v>
      </x:c>
      <x:c r="C533" s="21" t="n">
        <x:v>8</x:v>
      </x:c>
      <x:c r="D533" s="21" t="n">
        <x:v>1</x:v>
      </x:c>
      <x:c r="E533" s="21" t="str">
        <x:v>4000rpm</x:v>
      </x:c>
      <x:c r="F533" s="21" t="n">
        <x:v>122</x:v>
      </x:c>
      <x:c r="G533" s="22" t="n">
        <x:f>IFERROR('4000rpm'!D122,"")</x:f>
        <x:v>6.191392311028065</x:v>
      </x:c>
      <x:c r="H533" s="22" t="n">
        <x:f>IFERROR('4000rpm'!B122,"")</x:f>
        <x:v>4099.55023552389</x:v>
      </x:c>
      <x:c r="I533" s="22" t="n">
        <x:f>IFERROR('4000rpm'!C122,"")</x:f>
        <x:v>1898.80769230769</x:v>
      </x:c>
      <x:c r="J533" s="22" t="n">
        <x:f>IFERROR('4000rpm'!C115,"")</x:f>
        <x:v>245.366929133858</x:v>
      </x:c>
      <x:c r="K533" s="22" t="n">
        <x:f>IF(AND(ISNUMBER(I533),ISNUMBER(J533)),I533-J533,"")</x:f>
        <x:v>1653.440763173832</x:v>
      </x:c>
      <x:c r="L533" s="22" t="n">
        <x:f>IF(ISNUMBER(K533),K533*$B$2+$B$3,"")</x:f>
        <x:v>1542.8376343643833</x:v>
      </x:c>
      <x:c r="M533" s="22" t="n">
        <x:f>IF(AND(ISNUMBER(G533),ISNUMBER(H533),H533&lt;&gt;0),G533/(H533/60)/$B$5,"")</x:f>
        <x:v>0.19819702877335316</x:v>
      </x:c>
      <x:c r="N533" s="22" t="n">
        <x:f>IF(AND(ISNUMBER(L533),ISNUMBER(H533),H533&lt;&gt;0),L533*$B$6/$B$4/(H533/60)^2/$B$5^4/$B$7,"")</x:f>
        <x:v>0.06151265063020047</x:v>
      </x:c>
      <x:c r="O533" s="22" t="n">
        <x:f>IF(ISNUMBER(N533),N533*$B$8,"")</x:f>
        <x:v>0.007947590622040515</x:v>
      </x:c>
      <x:c r="P533" s="20" t="str">
        <x:v>4000rpm!D122</x:v>
      </x:c>
      <x:c r="Q533" s="20" t="str">
        <x:v>4000rpm!C122</x:v>
      </x:c>
      <x:c r="R533" s="20" t="str">
        <x:v>4000rpm!C115</x:v>
      </x:c>
    </x:row>
    <x:row r="534">
      <x:c r="A534" s="21" t="n">
        <x:v>4000</x:v>
      </x:c>
      <x:c r="B534" s="21" t="n">
        <x:v>60</x:v>
      </x:c>
      <x:c r="C534" s="21" t="n">
        <x:v>8</x:v>
      </x:c>
      <x:c r="D534" s="21" t="n">
        <x:v>2</x:v>
      </x:c>
      <x:c r="E534" s="21" t="str">
        <x:v>4000rpm</x:v>
      </x:c>
      <x:c r="F534" s="21" t="n">
        <x:v>122</x:v>
      </x:c>
      <x:c r="G534" s="22" t="n">
        <x:f>IFERROR('4000rpm'!P122,"")</x:f>
        <x:v>6.1852816570372795</x:v>
      </x:c>
      <x:c r="H534" s="22" t="n">
        <x:f>IFERROR('4000rpm'!M122,"")</x:f>
        <x:v>4022.6297265625</x:v>
      </x:c>
      <x:c r="I534" s="22" t="n">
        <x:f>IFERROR('4000rpm'!O122,"")</x:f>
        <x:v>1396.320515247524</x:v>
      </x:c>
      <x:c r="J534" s="22" t="n">
        <x:f>IFERROR('4000rpm'!O115,"")</x:f>
        <x:v>-34.683253753026584</x:v>
      </x:c>
      <x:c r="K534" s="22" t="n">
        <x:f>IF(AND(ISNUMBER(I534),ISNUMBER(J534)),I534-J534,"")</x:f>
        <x:v>1431.0037690005506</x:v>
      </x:c>
      <x:c r="L534" s="22" t="n">
        <x:f>IF(ISNUMBER(K534),K534*$B$2+$B$3,"")</x:f>
        <x:v>1339.1502993039562</x:v>
      </x:c>
      <x:c r="M534" s="22" t="n">
        <x:f>IF(AND(ISNUMBER(G534),ISNUMBER(H534),H534&lt;&gt;0),G534/(H534/60)/$B$5,"")</x:f>
        <x:v>0.20178758873381974</x:v>
      </x:c>
      <x:c r="N534" s="22" t="n">
        <x:f>IF(AND(ISNUMBER(L534),ISNUMBER(H534),H534&lt;&gt;0),L534*$B$6/$B$4/(H534/60)^2/$B$5^4/$B$7,"")</x:f>
        <x:v>0.05545310236383757</x:v>
      </x:c>
      <x:c r="O534" s="22" t="n">
        <x:f>IF(ISNUMBER(N534),N534*$B$8,"")</x:f>
        <x:v>0.007164681602803691</x:v>
      </x:c>
      <x:c r="P534" s="20" t="str">
        <x:v>4000rpm!P122</x:v>
      </x:c>
      <x:c r="Q534" s="20" t="str">
        <x:v>4000rpm!O122</x:v>
      </x:c>
      <x:c r="R534" s="20" t="str">
        <x:v>4000rpm!O115</x:v>
      </x:c>
    </x:row>
    <x:row r="535">
      <x:c r="A535" s="21" t="n">
        <x:v>4000</x:v>
      </x:c>
      <x:c r="B535" s="21" t="n">
        <x:v>60</x:v>
      </x:c>
      <x:c r="C535" s="21" t="n">
        <x:v>9</x:v>
      </x:c>
      <x:c r="D535" s="21" t="n">
        <x:v>1</x:v>
      </x:c>
      <x:c r="E535" s="21" t="str">
        <x:v>4000rpm</x:v>
      </x:c>
      <x:c r="F535" s="21" t="n">
        <x:v>123</x:v>
      </x:c>
      <x:c r="G535" s="22" t="n">
        <x:f>IFERROR('4000rpm'!D123,"")</x:f>
        <x:v>7.21533392270406</x:v>
      </x:c>
      <x:c r="H535" s="22" t="n">
        <x:f>IFERROR('4000rpm'!B123,"")</x:f>
        <x:v>4120.43587239583</x:v>
      </x:c>
      <x:c r="I535" s="22" t="n">
        <x:f>IFERROR('4000rpm'!C123,"")</x:f>
        <x:v>1818.63988919667</x:v>
      </x:c>
      <x:c r="J535" s="22" t="n">
        <x:f>IFERROR('4000rpm'!C115,"")</x:f>
        <x:v>245.366929133858</x:v>
      </x:c>
      <x:c r="K535" s="22" t="n">
        <x:f>IF(AND(ISNUMBER(I535),ISNUMBER(J535)),I535-J535,"")</x:f>
        <x:v>1573.272960062812</x:v>
      </x:c>
      <x:c r="L535" s="22" t="n">
        <x:f>IF(ISNUMBER(K535),K535*$B$2+$B$3,"")</x:f>
        <x:v>1469.4273357131974</x:v>
      </x:c>
      <x:c r="M535" s="22" t="n">
        <x:f>IF(AND(ISNUMBER(G535),ISNUMBER(H535),H535&lt;&gt;0),G535/(H535/60)/$B$5,"")</x:f>
        <x:v>0.2298043811145126</x:v>
      </x:c>
      <x:c r="N535" s="22" t="n">
        <x:f>IF(AND(ISNUMBER(L535),ISNUMBER(H535),H535&lt;&gt;0),L535*$B$6/$B$4/(H535/60)^2/$B$5^4/$B$7,"")</x:f>
        <x:v>0.0579933822974252</x:v>
      </x:c>
      <x:c r="O535" s="22" t="n">
        <x:f>IF(ISNUMBER(N535),N535*$B$8,"")</x:f>
        <x:v>0.007492892219167971</x:v>
      </x:c>
      <x:c r="P535" s="20" t="str">
        <x:v>4000rpm!D123</x:v>
      </x:c>
      <x:c r="Q535" s="20" t="str">
        <x:v>4000rpm!C123</x:v>
      </x:c>
      <x:c r="R535" s="20" t="str">
        <x:v>4000rpm!C115</x:v>
      </x:c>
    </x:row>
    <x:row r="536">
      <x:c r="A536" s="21" t="n">
        <x:v>4000</x:v>
      </x:c>
      <x:c r="B536" s="21" t="n">
        <x:v>60</x:v>
      </x:c>
      <x:c r="C536" s="21" t="n">
        <x:v>9</x:v>
      </x:c>
      <x:c r="D536" s="21" t="n">
        <x:v>2</x:v>
      </x:c>
      <x:c r="E536" s="21" t="str">
        <x:v>4000rpm</x:v>
      </x:c>
      <x:c r="F536" s="21" t="n">
        <x:v>123</x:v>
      </x:c>
      <x:c r="G536" s="22" t="n">
        <x:f>IFERROR('4000rpm'!P123,"")</x:f>
        <x:v>7.208570697639555</x:v>
      </x:c>
      <x:c r="H536" s="22" t="n">
        <x:f>IFERROR('4000rpm'!M123,"")</x:f>
        <x:v>4027.81740315755</x:v>
      </x:c>
      <x:c r="I536" s="22" t="n">
        <x:f>IFERROR('4000rpm'!O123,"")</x:f>
        <x:v>1294.9888669473662</x:v>
      </x:c>
      <x:c r="J536" s="22" t="n">
        <x:f>IFERROR('4000rpm'!O115,"")</x:f>
        <x:v>-34.683253753026584</x:v>
      </x:c>
      <x:c r="K536" s="22" t="n">
        <x:f>IF(AND(ISNUMBER(I536),ISNUMBER(J536)),I536-J536,"")</x:f>
        <x:v>1329.6721207003927</x:v>
      </x:c>
      <x:c r="L536" s="22" t="n">
        <x:f>IF(ISNUMBER(K536),K536*$B$2+$B$3,"")</x:f>
        <x:v>1246.3600983023152</x:v>
      </x:c>
      <x:c r="M536" s="22" t="n">
        <x:f>IF(AND(ISNUMBER(G536),ISNUMBER(H536),H536&lt;&gt;0),G536/(H536/60)/$B$5,"")</x:f>
        <x:v>0.23486830671418443</x:v>
      </x:c>
      <x:c r="N536" s="22" t="n">
        <x:f>IF(AND(ISNUMBER(L536),ISNUMBER(H536),H536&lt;&gt;0),L536*$B$6/$B$4/(H536/60)^2/$B$5^4/$B$7,"")</x:f>
        <x:v>0.051477877415040195</x:v>
      </x:c>
      <x:c r="O536" s="22" t="n">
        <x:f>IF(ISNUMBER(N536),N536*$B$8,"")</x:f>
        <x:v>0.006651072447615502</x:v>
      </x:c>
      <x:c r="P536" s="20" t="str">
        <x:v>4000rpm!P123</x:v>
      </x:c>
      <x:c r="Q536" s="20" t="str">
        <x:v>4000rpm!O123</x:v>
      </x:c>
      <x:c r="R536" s="20" t="str">
        <x:v>4000rpm!O115</x:v>
      </x:c>
    </x:row>
    <x:row r="537">
      <x:c r="A537" s="21" t="n">
        <x:v>4000</x:v>
      </x:c>
      <x:c r="B537" s="21" t="n">
        <x:v>60</x:v>
      </x:c>
      <x:c r="C537" s="21" t="n">
        <x:v>10</x:v>
      </x:c>
      <x:c r="D537" s="21" t="n">
        <x:v>1</x:v>
      </x:c>
      <x:c r="E537" s="21" t="str">
        <x:v>4000rpm</x:v>
      </x:c>
      <x:c r="F537" s="21" t="n">
        <x:v>124</x:v>
      </x:c>
      <x:c r="G537" s="22" t="n">
        <x:f>IFERROR('4000rpm'!D124,"")</x:f>
        <x:v>8.208010773599879</x:v>
      </x:c>
      <x:c r="H537" s="22" t="n">
        <x:f>IFERROR('4000rpm'!B124,"")</x:f>
        <x:v>4132.65986124674</x:v>
      </x:c>
      <x:c r="I537" s="22" t="n">
        <x:f>IFERROR('4000rpm'!C124,"")</x:f>
        <x:v>1740.23408624229</x:v>
      </x:c>
      <x:c r="J537" s="22" t="n">
        <x:f>IFERROR('4000rpm'!C115,"")</x:f>
        <x:v>245.366929133858</x:v>
      </x:c>
      <x:c r="K537" s="22" t="n">
        <x:f>IF(AND(ISNUMBER(I537),ISNUMBER(J537)),I537-J537,"")</x:f>
        <x:v>1494.867157108432</x:v>
      </x:c>
      <x:c r="L537" s="22" t="n">
        <x:f>IF(ISNUMBER(K537),K537*$B$2+$B$3,"")</x:f>
        <x:v>1397.630514701448</x:v>
      </x:c>
      <x:c r="M537" s="22" t="n">
        <x:f>IF(AND(ISNUMBER(G537),ISNUMBER(H537),H537&lt;&gt;0),G537/(H537/60)/$B$5,"")</x:f>
        <x:v>0.2606473323125124</x:v>
      </x:c>
      <x:c r="N537" s="22" t="n">
        <x:f>IF(AND(ISNUMBER(L537),ISNUMBER(H537),H537&lt;&gt;0),L537*$B$6/$B$4/(H537/60)^2/$B$5^4/$B$7,"")</x:f>
        <x:v>0.05483397030319512</x:v>
      </x:c>
      <x:c r="O537" s="22" t="n">
        <x:f>IF(ISNUMBER(N537),N537*$B$8,"")</x:f>
        <x:v>0.0070846881687937</x:v>
      </x:c>
      <x:c r="P537" s="20" t="str">
        <x:v>4000rpm!D124</x:v>
      </x:c>
      <x:c r="Q537" s="20" t="str">
        <x:v>4000rpm!C124</x:v>
      </x:c>
      <x:c r="R537" s="20" t="str">
        <x:v>4000rpm!C115</x:v>
      </x:c>
    </x:row>
    <x:row r="538">
      <x:c r="A538" s="21" t="n">
        <x:v>4000</x:v>
      </x:c>
      <x:c r="B538" s="21" t="n">
        <x:v>60</x:v>
      </x:c>
      <x:c r="C538" s="21" t="n">
        <x:v>10</x:v>
      </x:c>
      <x:c r="D538" s="21" t="n">
        <x:v>2</x:v>
      </x:c>
      <x:c r="E538" s="21" t="str">
        <x:v>4000rpm</x:v>
      </x:c>
      <x:c r="F538" s="21" t="n">
        <x:v>124</x:v>
      </x:c>
      <x:c r="G538" s="22" t="n">
        <x:f>IFERROR('4000rpm'!P124,"")</x:f>
        <x:v>8.231638059471585</x:v>
      </x:c>
      <x:c r="H538" s="22" t="n">
        <x:f>IFERROR('4000rpm'!M124,"")</x:f>
        <x:v>4047.46675832648</x:v>
      </x:c>
      <x:c r="I538" s="22" t="n">
        <x:f>IFERROR('4000rpm'!O124,"")</x:f>
        <x:v>1241.8146584382837</x:v>
      </x:c>
      <x:c r="J538" s="22" t="n">
        <x:f>IFERROR('4000rpm'!O115,"")</x:f>
        <x:v>-34.683253753026584</x:v>
      </x:c>
      <x:c r="K538" s="22" t="n">
        <x:f>IF(AND(ISNUMBER(I538),ISNUMBER(J538)),I538-J538,"")</x:f>
        <x:v>1276.4979121913102</x:v>
      </x:c>
      <x:c r="L538" s="22" t="n">
        <x:f>IF(ISNUMBER(K538),K538*$B$2+$B$3,"")</x:f>
        <x:v>1197.6680501768803</x:v>
      </x:c>
      <x:c r="M538" s="22" t="n">
        <x:f>IF(AND(ISNUMBER(G538),ISNUMBER(H538),H538&lt;&gt;0),G538/(H538/60)/$B$5,"")</x:f>
        <x:v>0.26689965017021494</x:v>
      </x:c>
      <x:c r="N538" s="22" t="n">
        <x:f>IF(AND(ISNUMBER(L538),ISNUMBER(H538),H538&lt;&gt;0),L538*$B$6/$B$4/(H538/60)^2/$B$5^4/$B$7,"")</x:f>
        <x:v>0.04898764090093346</x:v>
      </x:c>
      <x:c r="O538" s="22" t="n">
        <x:f>IF(ISNUMBER(N538),N538*$B$8,"")</x:f>
        <x:v>0.006329327568092123</x:v>
      </x:c>
      <x:c r="P538" s="20" t="str">
        <x:v>4000rpm!P124</x:v>
      </x:c>
      <x:c r="Q538" s="20" t="str">
        <x:v>4000rpm!O124</x:v>
      </x:c>
      <x:c r="R538" s="20" t="str">
        <x:v>4000rpm!O115</x:v>
      </x:c>
    </x:row>
    <x:row r="539">
      <x:c r="A539" s="21" t="n">
        <x:v>4000</x:v>
      </x:c>
      <x:c r="B539" s="21" t="n">
        <x:v>60</x:v>
      </x:c>
      <x:c r="C539" s="21" t="n">
        <x:v>11</x:v>
      </x:c>
      <x:c r="D539" s="21" t="n">
        <x:v>1</x:v>
      </x:c>
      <x:c r="E539" s="21" t="str">
        <x:v>4000rpm</x:v>
      </x:c>
      <x:c r="F539" s="21" t="n">
        <x:v>125</x:v>
      </x:c>
      <x:c r="G539" s="22" t="n">
        <x:f>IFERROR('4000rpm'!D125,"")</x:f>
        <x:v>9.2606156094474</x:v>
      </x:c>
      <x:c r="H539" s="22" t="n">
        <x:f>IFERROR('4000rpm'!B125,"")</x:f>
        <x:v>4132.53852844238</x:v>
      </x:c>
      <x:c r="I539" s="22" t="n">
        <x:f>IFERROR('4000rpm'!C125,"")</x:f>
        <x:v>1667.7414330218</x:v>
      </x:c>
      <x:c r="J539" s="22" t="n">
        <x:f>IFERROR('4000rpm'!C115,"")</x:f>
        <x:v>245.366929133858</x:v>
      </x:c>
      <x:c r="K539" s="22" t="n">
        <x:f>IF(AND(ISNUMBER(I539),ISNUMBER(J539)),I539-J539,"")</x:f>
        <x:v>1422.374503887942</x:v>
      </x:c>
      <x:c r="L539" s="22" t="n">
        <x:f>IF(ISNUMBER(K539),K539*$B$2+$B$3,"")</x:f>
        <x:v>1331.2484122062197</x:v>
      </x:c>
      <x:c r="M539" s="22" t="n">
        <x:f>IF(AND(ISNUMBER(G539),ISNUMBER(H539),H539&lt;&gt;0),G539/(H539/60)/$B$5,"")</x:f>
        <x:v>0.29408168305990834</x:v>
      </x:c>
      <x:c r="N539" s="22" t="n">
        <x:f>IF(AND(ISNUMBER(L539),ISNUMBER(H539),H539&lt;&gt;0),L539*$B$6/$B$4/(H539/60)^2/$B$5^4/$B$7,"")</x:f>
        <x:v>0.05223263349601112</x:v>
      </x:c>
      <x:c r="O539" s="22" t="n">
        <x:f>IF(ISNUMBER(N539),N539*$B$8,"")</x:f>
        <x:v>0.00674858884935722</x:v>
      </x:c>
      <x:c r="P539" s="20" t="str">
        <x:v>4000rpm!D125</x:v>
      </x:c>
      <x:c r="Q539" s="20" t="str">
        <x:v>4000rpm!C125</x:v>
      </x:c>
      <x:c r="R539" s="20" t="str">
        <x:v>4000rpm!C115</x:v>
      </x:c>
    </x:row>
    <x:row r="540">
      <x:c r="A540" s="21" t="n">
        <x:v>4000</x:v>
      </x:c>
      <x:c r="B540" s="21" t="n">
        <x:v>60</x:v>
      </x:c>
      <x:c r="C540" s="21" t="n">
        <x:v>11</x:v>
      </x:c>
      <x:c r="D540" s="21" t="n">
        <x:v>2</x:v>
      </x:c>
      <x:c r="E540" s="21" t="str">
        <x:v>4000rpm</x:v>
      </x:c>
      <x:c r="F540" s="21" t="n">
        <x:v>125</x:v>
      </x:c>
      <x:c r="G540" s="22" t="n">
        <x:f>IFERROR('4000rpm'!P125,"")</x:f>
        <x:v>9.243137685691606</x:v>
      </x:c>
      <x:c r="H540" s="22" t="n">
        <x:f>IFERROR('4000rpm'!M125,"")</x:f>
        <x:v>4049.30882568359</x:v>
      </x:c>
      <x:c r="I540" s="22" t="n">
        <x:f>IFERROR('4000rpm'!O125,"")</x:f>
        <x:v>1078.3462501228446</x:v>
      </x:c>
      <x:c r="J540" s="22" t="n">
        <x:f>IFERROR('4000rpm'!O115,"")</x:f>
        <x:v>-34.683253753026584</x:v>
      </x:c>
      <x:c r="K540" s="22" t="n">
        <x:f>IF(AND(ISNUMBER(I540),ISNUMBER(J540)),I540-J540,"")</x:f>
        <x:v>1113.0295038758711</x:v>
      </x:c>
      <x:c r="L540" s="22" t="n">
        <x:f>IF(ISNUMBER(K540),K540*$B$2+$B$3,"")</x:f>
        <x:v>1047.9787209351662</x:v>
      </x:c>
      <x:c r="M540" s="22" t="n">
        <x:f>IF(AND(ISNUMBER(G540),ISNUMBER(H540),H540&lt;&gt;0),G540/(H540/60)/$B$5,"")</x:f>
        <x:v>0.29955981309177515</x:v>
      </x:c>
      <x:c r="N540" s="22" t="n">
        <x:f>IF(AND(ISNUMBER(L540),ISNUMBER(H540),H540&lt;&gt;0),L540*$B$6/$B$4/(H540/60)^2/$B$5^4/$B$7,"")</x:f>
        <x:v>0.04282597971936074</x:v>
      </x:c>
      <x:c r="O540" s="22" t="n">
        <x:f>IF(ISNUMBER(N540),N540*$B$8,"")</x:f>
        <x:v>0.005533225300978701</x:v>
      </x:c>
      <x:c r="P540" s="20" t="str">
        <x:v>4000rpm!P125</x:v>
      </x:c>
      <x:c r="Q540" s="20" t="str">
        <x:v>4000rpm!O125</x:v>
      </x:c>
      <x:c r="R540" s="20" t="str">
        <x:v>4000rpm!O115</x:v>
      </x:c>
    </x:row>
    <x:row r="541">
      <x:c r="A541" s="21" t="n">
        <x:v>4000</x:v>
      </x:c>
      <x:c r="B541" s="21" t="n">
        <x:v>60</x:v>
      </x:c>
      <x:c r="C541" s="21" t="n">
        <x:v>12</x:v>
      </x:c>
      <x:c r="D541" s="21" t="n">
        <x:v>1</x:v>
      </x:c>
      <x:c r="E541" s="21" t="str">
        <x:v>4000rpm</x:v>
      </x:c>
      <x:c r="F541" s="21" t="n">
        <x:v>126</x:v>
      </x:c>
      <x:c r="G541" s="22" t="n">
        <x:f>IFERROR('4000rpm'!D126,"")</x:f>
        <x:v>10.197542827321875</x:v>
      </x:c>
      <x:c r="H541" s="22" t="n">
        <x:f>IFERROR('4000rpm'!B126,"")</x:f>
        <x:v>4158.04582214355</x:v>
      </x:c>
      <x:c r="I541" s="22" t="n">
        <x:f>IFERROR('4000rpm'!C126,"")</x:f>
        <x:v>1606.31677018633</x:v>
      </x:c>
      <x:c r="J541" s="22" t="n">
        <x:f>IFERROR('4000rpm'!C115,"")</x:f>
        <x:v>245.366929133858</x:v>
      </x:c>
      <x:c r="K541" s="22" t="n">
        <x:f>IF(AND(ISNUMBER(I541),ISNUMBER(J541)),I541-J541,"")</x:f>
        <x:v>1360.9498410524718</x:v>
      </x:c>
      <x:c r="L541" s="22" t="n">
        <x:f>IF(ISNUMBER(K541),K541*$B$2+$B$3,"")</x:f>
        <x:v>1275.0013570504768</x:v>
      </x:c>
      <x:c r="M541" s="22" t="n">
        <x:f>IF(AND(ISNUMBER(G541),ISNUMBER(H541),H541&lt;&gt;0),G541/(H541/60)/$B$5,"")</x:f>
        <x:v>0.32184835636789666</x:v>
      </x:c>
      <x:c r="N541" s="22" t="n">
        <x:f>IF(AND(ISNUMBER(L541),ISNUMBER(H541),H541&lt;&gt;0),L541*$B$6/$B$4/(H541/60)^2/$B$5^4/$B$7,"")</x:f>
        <x:v>0.049413856271119536</x:v>
      </x:c>
      <x:c r="O541" s="22" t="n">
        <x:f>IF(ISNUMBER(N541),N541*$B$8,"")</x:f>
        <x:v>0.006384395675942401</x:v>
      </x:c>
      <x:c r="P541" s="20" t="str">
        <x:v>4000rpm!D126</x:v>
      </x:c>
      <x:c r="Q541" s="20" t="str">
        <x:v>4000rpm!C126</x:v>
      </x:c>
      <x:c r="R541" s="20" t="str">
        <x:v>4000rpm!C115</x:v>
      </x:c>
    </x:row>
    <x:row r="542">
      <x:c r="A542" s="21" t="n">
        <x:v>4000</x:v>
      </x:c>
      <x:c r="B542" s="21" t="n">
        <x:v>60</x:v>
      </x:c>
      <x:c r="C542" s="21" t="n">
        <x:v>12</x:v>
      </x:c>
      <x:c r="D542" s="21" t="n">
        <x:v>2</x:v>
      </x:c>
      <x:c r="E542" s="21" t="str">
        <x:v>4000rpm</x:v>
      </x:c>
      <x:c r="F542" s="21" t="n">
        <x:v>126</x:v>
      </x:c>
      <x:c r="G542" s="22" t="n">
        <x:f>IFERROR('4000rpm'!P126,"")</x:f>
        <x:v>10.189581845487854</x:v>
      </x:c>
      <x:c r="H542" s="22" t="n">
        <x:f>IFERROR('4000rpm'!M126,"")</x:f>
        <x:v>4073.18144226074</x:v>
      </x:c>
      <x:c r="I542" s="22" t="n">
        <x:f>IFERROR('4000rpm'!O126,"")</x:f>
        <x:v>967.6037299703255</x:v>
      </x:c>
      <x:c r="J542" s="22" t="n">
        <x:f>IFERROR('4000rpm'!O115,"")</x:f>
        <x:v>-34.683253753026584</x:v>
      </x:c>
      <x:c r="K542" s="22" t="n">
        <x:f>IF(AND(ISNUMBER(I542),ISNUMBER(J542)),I542-J542,"")</x:f>
        <x:v>1002.2869837233521</x:v>
      </x:c>
      <x:c r="L542" s="22" t="n">
        <x:f>IF(ISNUMBER(K542),K542*$B$2+$B$3,"")</x:f>
        <x:v>946.5709092913432</x:v>
      </x:c>
      <x:c r="M542" s="22" t="n">
        <x:f>IF(AND(ISNUMBER(G542),ISNUMBER(H542),H542&lt;&gt;0),G542/(H542/60)/$B$5,"")</x:f>
        <x:v>0.3282975443747786</x:v>
      </x:c>
      <x:c r="N542" s="22" t="n">
        <x:f>IF(AND(ISNUMBER(L542),ISNUMBER(H542),H542&lt;&gt;0),L542*$B$6/$B$4/(H542/60)^2/$B$5^4/$B$7,"")</x:f>
        <x:v>0.03822982263130224</x:v>
      </x:c>
      <x:c r="O542" s="22" t="n">
        <x:f>IF(ISNUMBER(N542),N542*$B$8,"")</x:f>
        <x:v>0.0049393901370531745</x:v>
      </x:c>
      <x:c r="P542" s="20" t="str">
        <x:v>4000rpm!P126</x:v>
      </x:c>
      <x:c r="Q542" s="20" t="str">
        <x:v>4000rpm!O126</x:v>
      </x:c>
      <x:c r="R542" s="20" t="str">
        <x:v>4000rpm!O115</x:v>
      </x:c>
    </x:row>
    <x:row r="543">
      <x:c r="A543" s="21" t="n">
        <x:v>4000</x:v>
      </x:c>
      <x:c r="B543" s="21" t="n">
        <x:v>60</x:v>
      </x:c>
      <x:c r="C543" s="21" t="n">
        <x:v>13</x:v>
      </x:c>
      <x:c r="D543" s="21" t="n">
        <x:v>1</x:v>
      </x:c>
      <x:c r="E543" s="21" t="str">
        <x:v>4000rpm</x:v>
      </x:c>
      <x:c r="F543" s="21" t="n">
        <x:v>127</x:v>
      </x:c>
      <x:c r="G543" s="22" t="n">
        <x:f>IFERROR('4000rpm'!D127,"")</x:f>
        <x:v>9.26014964333895</x:v>
      </x:c>
      <x:c r="H543" s="22" t="n">
        <x:f>IFERROR('4000rpm'!B127,"")</x:f>
        <x:v>4122.16423483455</x:v>
      </x:c>
      <x:c r="I543" s="22" t="n">
        <x:f>IFERROR('4000rpm'!C127,"")</x:f>
        <x:v>1660.74857142857</x:v>
      </x:c>
      <x:c r="J543" s="22" t="n">
        <x:f>IFERROR('4000rpm'!C115,"")</x:f>
        <x:v>245.366929133858</x:v>
      </x:c>
      <x:c r="K543" s="22" t="n">
        <x:f>IF(AND(ISNUMBER(I543),ISNUMBER(J543)),I543-J543,"")</x:f>
        <x:v>1415.3816422947118</x:v>
      </x:c>
      <x:c r="L543" s="22" t="n">
        <x:f>IF(ISNUMBER(K543),K543*$B$2+$B$3,"")</x:f>
        <x:v>1324.844992902406</x:v>
      </x:c>
      <x:c r="M543" s="22" t="n">
        <x:f>IF(AND(ISNUMBER(G543),ISNUMBER(H543),H543&lt;&gt;0),G543/(H543/60)/$B$5,"")</x:f>
        <x:v>0.2948069669512075</x:v>
      </x:c>
      <x:c r="N543" s="22" t="n">
        <x:f>IF(AND(ISNUMBER(L543),ISNUMBER(H543),H543&lt;&gt;0),L543*$B$6/$B$4/(H543/60)^2/$B$5^4/$B$7,"")</x:f>
        <x:v>0.05224336349007961</x:v>
      </x:c>
      <x:c r="O543" s="22" t="n">
        <x:f>IF(ISNUMBER(N543),N543*$B$8,"")</x:f>
        <x:v>0.006749975191830834</x:v>
      </x:c>
      <x:c r="P543" s="20" t="str">
        <x:v>4000rpm!D127</x:v>
      </x:c>
      <x:c r="Q543" s="20" t="str">
        <x:v>4000rpm!C127</x:v>
      </x:c>
      <x:c r="R543" s="20" t="str">
        <x:v>4000rpm!C115</x:v>
      </x:c>
    </x:row>
    <x:row r="544">
      <x:c r="A544" s="21" t="n">
        <x:v>4000</x:v>
      </x:c>
      <x:c r="B544" s="21" t="n">
        <x:v>60</x:v>
      </x:c>
      <x:c r="C544" s="21" t="n">
        <x:v>13</x:v>
      </x:c>
      <x:c r="D544" s="21" t="n">
        <x:v>2</x:v>
      </x:c>
      <x:c r="E544" s="21" t="str">
        <x:v>4000rpm</x:v>
      </x:c>
      <x:c r="F544" s="21" t="n">
        <x:v>127</x:v>
      </x:c>
      <x:c r="G544" s="22" t="n">
        <x:f>IFERROR('4000rpm'!P127,"")</x:f>
        <x:v>9.25334042118441</x:v>
      </x:c>
      <x:c r="H544" s="22" t="n">
        <x:f>IFERROR('4000rpm'!M127,"")</x:f>
        <x:v>4064.78370425575</x:v>
      </x:c>
      <x:c r="I544" s="22" t="n">
        <x:f>IFERROR('4000rpm'!O127,"")</x:f>
        <x:v>1071.704896774185</x:v>
      </x:c>
      <x:c r="J544" s="22" t="n">
        <x:f>IFERROR('4000rpm'!O115,"")</x:f>
        <x:v>-34.683253753026584</x:v>
      </x:c>
      <x:c r="K544" s="22" t="n">
        <x:f>IF(AND(ISNUMBER(I544),ISNUMBER(J544)),I544-J544,"")</x:f>
        <x:v>1106.3881505272116</x:v>
      </x:c>
      <x:c r="L544" s="22" t="n">
        <x:f>IF(ISNUMBER(K544),K544*$B$2+$B$3,"")</x:f>
        <x:v>1041.897180542972</x:v>
      </x:c>
      <x:c r="M544" s="22" t="n">
        <x:f>IF(AND(ISNUMBER(G544),ISNUMBER(H544),H544&lt;&gt;0),G544/(H544/60)/$B$5,"")</x:f>
        <x:v>0.29874877115035026</x:v>
      </x:c>
      <x:c r="N544" s="22" t="n">
        <x:f>IF(AND(ISNUMBER(L544),ISNUMBER(H544),H544&lt;&gt;0),L544*$B$6/$B$4/(H544/60)^2/$B$5^4/$B$7,"")</x:f>
        <x:v>0.04225388284358447</x:v>
      </x:c>
      <x:c r="O544" s="22" t="n">
        <x:f>IF(ISNUMBER(N544),N544*$B$8,"")</x:f>
        <x:v>0.005459308932260462</x:v>
      </x:c>
      <x:c r="P544" s="20" t="str">
        <x:v>4000rpm!P127</x:v>
      </x:c>
      <x:c r="Q544" s="20" t="str">
        <x:v>4000rpm!O127</x:v>
      </x:c>
      <x:c r="R544" s="20" t="str">
        <x:v>4000rpm!O115</x:v>
      </x:c>
    </x:row>
    <x:row r="545">
      <x:c r="A545" s="21" t="n">
        <x:v>4000</x:v>
      </x:c>
      <x:c r="B545" s="21" t="n">
        <x:v>60</x:v>
      </x:c>
      <x:c r="C545" s="21" t="n">
        <x:v>14</x:v>
      </x:c>
      <x:c r="D545" s="21" t="n">
        <x:v>1</x:v>
      </x:c>
      <x:c r="E545" s="21" t="str">
        <x:v>4000rpm</x:v>
      </x:c>
      <x:c r="F545" s="21" t="n">
        <x:v>128</x:v>
      </x:c>
      <x:c r="G545" s="22" t="n">
        <x:f>IFERROR('4000rpm'!D128,"")</x:f>
        <x:v>8.144774319520636</x:v>
      </x:c>
      <x:c r="H545" s="22" t="n">
        <x:f>IFERROR('4000rpm'!B128,"")</x:f>
        <x:v>4124.1787109375</x:v>
      </x:c>
      <x:c r="I545" s="22" t="n">
        <x:f>IFERROR('4000rpm'!C128,"")</x:f>
        <x:v>1735.66417910447</x:v>
      </x:c>
      <x:c r="J545" s="22" t="n">
        <x:f>IFERROR('4000rpm'!C115,"")</x:f>
        <x:v>245.366929133858</x:v>
      </x:c>
      <x:c r="K545" s="22" t="n">
        <x:f>IF(AND(ISNUMBER(I545),ISNUMBER(J545)),I545-J545,"")</x:f>
        <x:v>1490.2972499706118</x:v>
      </x:c>
      <x:c r="L545" s="22" t="n">
        <x:f>IF(ISNUMBER(K545),K545*$B$2+$B$3,"")</x:f>
        <x:v>1393.445814176089</x:v>
      </x:c>
      <x:c r="M545" s="22" t="n">
        <x:f>IF(AND(ISNUMBER(G545),ISNUMBER(H545),H545&lt;&gt;0),G545/(H545/60)/$B$5,"")</x:f>
        <x:v>0.25917112129495806</x:v>
      </x:c>
      <x:c r="N545" s="22" t="n">
        <x:f>IF(AND(ISNUMBER(L545),ISNUMBER(H545),H545&lt;&gt;0),L545*$B$6/$B$4/(H545/60)^2/$B$5^4/$B$7,"")</x:f>
        <x:v>0.05489487187925561</x:v>
      </x:c>
      <x:c r="O545" s="22" t="n">
        <x:f>IF(ISNUMBER(N545),N545*$B$8,"")</x:f>
        <x:v>0.007092556807030015</x:v>
      </x:c>
      <x:c r="P545" s="20" t="str">
        <x:v>4000rpm!D128</x:v>
      </x:c>
      <x:c r="Q545" s="20" t="str">
        <x:v>4000rpm!C128</x:v>
      </x:c>
      <x:c r="R545" s="20" t="str">
        <x:v>4000rpm!C115</x:v>
      </x:c>
    </x:row>
    <x:row r="546">
      <x:c r="A546" s="21" t="n">
        <x:v>4000</x:v>
      </x:c>
      <x:c r="B546" s="21" t="n">
        <x:v>60</x:v>
      </x:c>
      <x:c r="C546" s="21" t="n">
        <x:v>14</x:v>
      </x:c>
      <x:c r="D546" s="21" t="n">
        <x:v>2</x:v>
      </x:c>
      <x:c r="E546" s="21" t="str">
        <x:v>4000rpm</x:v>
      </x:c>
      <x:c r="F546" s="21" t="n">
        <x:v>128</x:v>
      </x:c>
      <x:c r="G546" s="22" t="n">
        <x:f>IFERROR('4000rpm'!P128,"")</x:f>
        <x:v>8.34098429765019</x:v>
      </x:c>
      <x:c r="H546" s="22" t="n">
        <x:f>IFERROR('4000rpm'!M128,"")</x:f>
        <x:v>4028.10696231617</x:v>
      </x:c>
      <x:c r="I546" s="22" t="n">
        <x:f>IFERROR('4000rpm'!O128,"")</x:f>
        <x:v>1169.2001833827887</x:v>
      </x:c>
      <x:c r="J546" s="22" t="n">
        <x:f>IFERROR('4000rpm'!O115,"")</x:f>
        <x:v>-34.683253753026584</x:v>
      </x:c>
      <x:c r="K546" s="22" t="n">
        <x:f>IF(AND(ISNUMBER(I546),ISNUMBER(J546)),I546-J546,"")</x:f>
        <x:v>1203.8834371358153</x:v>
      </x:c>
      <x:c r="L546" s="22" t="n">
        <x:f>IF(ISNUMBER(K546),K546*$B$2+$B$3,"")</x:f>
        <x:v>1131.1743944527632</x:v>
      </x:c>
      <x:c r="M546" s="22" t="n">
        <x:f>IF(AND(ISNUMBER(G546),ISNUMBER(H546),H546&lt;&gt;0),G546/(H546/60)/$B$5,"")</x:f>
        <x:v>0.27174485984030156</x:v>
      </x:c>
      <x:c r="N546" s="22" t="n">
        <x:f>IF(AND(ISNUMBER(L546),ISNUMBER(H546),H546&lt;&gt;0),L546*$B$6/$B$4/(H546/60)^2/$B$5^4/$B$7,"")</x:f>
        <x:v>0.046713694892821664</x:v>
      </x:c>
      <x:c r="O546" s="22" t="n">
        <x:f>IF(ISNUMBER(N546),N546*$B$8,"")</x:f>
        <x:v>0.006035527971034556</x:v>
      </x:c>
      <x:c r="P546" s="20" t="str">
        <x:v>4000rpm!P128</x:v>
      </x:c>
      <x:c r="Q546" s="20" t="str">
        <x:v>4000rpm!O128</x:v>
      </x:c>
      <x:c r="R546" s="20" t="str">
        <x:v>4000rpm!O115</x:v>
      </x:c>
    </x:row>
    <x:row r="547">
      <x:c r="A547" s="21" t="n">
        <x:v>4000</x:v>
      </x:c>
      <x:c r="B547" s="21" t="n">
        <x:v>60</x:v>
      </x:c>
      <x:c r="C547" s="21" t="n">
        <x:v>15</x:v>
      </x:c>
      <x:c r="D547" s="21" t="n">
        <x:v>1</x:v>
      </x:c>
      <x:c r="E547" s="21" t="str">
        <x:v>4000rpm</x:v>
      </x:c>
      <x:c r="F547" s="21" t="n">
        <x:v>129</x:v>
      </x:c>
      <x:c r="G547" s="22" t="n">
        <x:f>IFERROR('4000rpm'!D129,"")</x:f>
        <x:v>7.21888049857875</x:v>
      </x:c>
      <x:c r="H547" s="22" t="n">
        <x:f>IFERROR('4000rpm'!B129,"")</x:f>
        <x:v>4094.5353422619</x:v>
      </x:c>
      <x:c r="I547" s="22" t="n">
        <x:f>IFERROR('4000rpm'!C129,"")</x:f>
        <x:v>1809.16467780429</x:v>
      </x:c>
      <x:c r="J547" s="22" t="n">
        <x:f>IFERROR('4000rpm'!C115,"")</x:f>
        <x:v>245.366929133858</x:v>
      </x:c>
      <x:c r="K547" s="22" t="n">
        <x:f>IF(AND(ISNUMBER(I547),ISNUMBER(J547)),I547-J547,"")</x:f>
        <x:v>1563.797748670432</x:v>
      </x:c>
      <x:c r="L547" s="22" t="n">
        <x:f>IF(ISNUMBER(K547),K547*$B$2+$B$3,"")</x:f>
        <x:v>1460.7508088395039</x:v>
      </x:c>
      <x:c r="M547" s="22" t="n">
        <x:f>IF(AND(ISNUMBER(G547),ISNUMBER(H547),H547&lt;&gt;0),G547/(H547/60)/$B$5,"")</x:f>
        <x:v>0.23137171041230672</x:v>
      </x:c>
      <x:c r="N547" s="22" t="n">
        <x:f>IF(AND(ISNUMBER(L547),ISNUMBER(H547),H547&lt;&gt;0),L547*$B$6/$B$4/(H547/60)^2/$B$5^4/$B$7,"")</x:f>
        <x:v>0.058382613177399824</x:v>
      </x:c>
      <x:c r="O547" s="22" t="n">
        <x:f>IF(ISNUMBER(N547),N547*$B$8,"")</x:f>
        <x:v>0.007543181836991336</x:v>
      </x:c>
      <x:c r="P547" s="20" t="str">
        <x:v>4000rpm!D129</x:v>
      </x:c>
      <x:c r="Q547" s="20" t="str">
        <x:v>4000rpm!C129</x:v>
      </x:c>
      <x:c r="R547" s="20" t="str">
        <x:v>4000rpm!C115</x:v>
      </x:c>
    </x:row>
    <x:row r="548">
      <x:c r="A548" s="21" t="n">
        <x:v>4000</x:v>
      </x:c>
      <x:c r="B548" s="21" t="n">
        <x:v>60</x:v>
      </x:c>
      <x:c r="C548" s="21" t="n">
        <x:v>15</x:v>
      </x:c>
      <x:c r="D548" s="21" t="n">
        <x:v>2</x:v>
      </x:c>
      <x:c r="E548" s="21" t="str">
        <x:v>4000rpm</x:v>
      </x:c>
      <x:c r="F548" s="21" t="n">
        <x:v>129</x:v>
      </x:c>
      <x:c r="G548" s="22" t="n">
        <x:f>IFERROR('4000rpm'!P129,"")</x:f>
        <x:v>7.220168492228715</x:v>
      </x:c>
      <x:c r="H548" s="22" t="n">
        <x:f>IFERROR('4000rpm'!M129,"")</x:f>
        <x:v>4039.66887207031</x:v>
      </x:c>
      <x:c r="I548" s="22" t="n">
        <x:f>IFERROR('4000rpm'!O129,"")</x:f>
        <x:v>1275.1611353846076</x:v>
      </x:c>
      <x:c r="J548" s="22" t="n">
        <x:f>IFERROR('4000rpm'!O115,"")</x:f>
        <x:v>-34.683253753026584</x:v>
      </x:c>
      <x:c r="K548" s="22" t="n">
        <x:f>IF(AND(ISNUMBER(I548),ISNUMBER(J548)),I548-J548,"")</x:f>
        <x:v>1309.8443891376342</x:v>
      </x:c>
      <x:c r="L548" s="22" t="n">
        <x:f>IF(ISNUMBER(K548),K548*$B$2+$B$3,"")</x:f>
        <x:v>1228.2036858884446</x:v>
      </x:c>
      <x:c r="M548" s="22" t="n">
        <x:f>IF(AND(ISNUMBER(G548),ISNUMBER(H548),H548&lt;&gt;0),G548/(H548/60)/$B$5,"")</x:f>
        <x:v>0.2345560251415421</x:v>
      </x:c>
      <x:c r="N548" s="22" t="n">
        <x:f>IF(AND(ISNUMBER(L548),ISNUMBER(H548),H548&lt;&gt;0),L548*$B$6/$B$4/(H548/60)^2/$B$5^4/$B$7,"")</x:f>
        <x:v>0.050430758866299955</x:v>
      </x:c>
      <x:c r="O548" s="22" t="n">
        <x:f>IF(ISNUMBER(N548),N548*$B$8,"")</x:f>
        <x:v>0.006515782072824747</x:v>
      </x:c>
      <x:c r="P548" s="20" t="str">
        <x:v>4000rpm!P129</x:v>
      </x:c>
      <x:c r="Q548" s="20" t="str">
        <x:v>4000rpm!O129</x:v>
      </x:c>
      <x:c r="R548" s="20" t="str">
        <x:v>4000rpm!O115</x:v>
      </x:c>
    </x:row>
    <x:row r="549">
      <x:c r="A549" s="21" t="n">
        <x:v>4000</x:v>
      </x:c>
      <x:c r="B549" s="21" t="n">
        <x:v>60</x:v>
      </x:c>
      <x:c r="C549" s="21" t="n">
        <x:v>16</x:v>
      </x:c>
      <x:c r="D549" s="21" t="n">
        <x:v>1</x:v>
      </x:c>
      <x:c r="E549" s="21" t="str">
        <x:v>4000rpm</x:v>
      </x:c>
      <x:c r="F549" s="21" t="n">
        <x:v>130</x:v>
      </x:c>
      <x:c r="G549" s="22" t="n">
        <x:f>IFERROR('4000rpm'!D130,"")</x:f>
        <x:v>6.2034696479896345</x:v>
      </x:c>
      <x:c r="H549" s="22" t="n">
        <x:f>IFERROR('4000rpm'!B130,"")</x:f>
        <x:v>4088.06855044157</x:v>
      </x:c>
      <x:c r="I549" s="22" t="n">
        <x:f>IFERROR('4000rpm'!C130,"")</x:f>
        <x:v>1880.56587473002</x:v>
      </x:c>
      <x:c r="J549" s="22" t="n">
        <x:f>IFERROR('4000rpm'!C115,"")</x:f>
        <x:v>245.366929133858</x:v>
      </x:c>
      <x:c r="K549" s="22" t="n">
        <x:f>IF(AND(ISNUMBER(I549),ISNUMBER(J549)),I549-J549,"")</x:f>
        <x:v>1635.1989455961618</x:v>
      </x:c>
      <x:c r="L549" s="22" t="n">
        <x:f>IF(ISNUMBER(K549),K549*$B$2+$B$3,"")</x:f>
        <x:v>1526.1334560739701</x:v>
      </x:c>
      <x:c r="M549" s="22" t="n">
        <x:f>IF(AND(ISNUMBER(G549),ISNUMBER(H549),H549&lt;&gt;0),G549/(H549/60)/$B$5,"")</x:f>
        <x:v>0.19914138383446667</x:v>
      </x:c>
      <x:c r="N549" s="22" t="n">
        <x:f>IF(AND(ISNUMBER(L549),ISNUMBER(H549),H549&lt;&gt;0),L549*$B$6/$B$4/(H549/60)^2/$B$5^4/$B$7,"")</x:f>
        <x:v>0.0611889240395029</x:v>
      </x:c>
      <x:c r="O549" s="22" t="n">
        <x:f>IF(ISNUMBER(N549),N549*$B$8,"")</x:f>
        <x:v>0.007905764324685838</x:v>
      </x:c>
      <x:c r="P549" s="20" t="str">
        <x:v>4000rpm!D130</x:v>
      </x:c>
      <x:c r="Q549" s="20" t="str">
        <x:v>4000rpm!C130</x:v>
      </x:c>
      <x:c r="R549" s="20" t="str">
        <x:v>4000rpm!C115</x:v>
      </x:c>
    </x:row>
    <x:row r="550">
      <x:c r="A550" s="21" t="n">
        <x:v>4000</x:v>
      </x:c>
      <x:c r="B550" s="21" t="n">
        <x:v>60</x:v>
      </x:c>
      <x:c r="C550" s="21" t="n">
        <x:v>16</x:v>
      </x:c>
      <x:c r="D550" s="21" t="n">
        <x:v>2</x:v>
      </x:c>
      <x:c r="E550" s="21" t="str">
        <x:v>4000rpm</x:v>
      </x:c>
      <x:c r="F550" s="21" t="n">
        <x:v>130</x:v>
      </x:c>
      <x:c r="G550" s="22" t="n">
        <x:f>IFERROR('4000rpm'!P130,"")</x:f>
        <x:v>6.204103165261019</x:v>
      </x:c>
      <x:c r="H550" s="22" t="n">
        <x:f>IFERROR('4000rpm'!M130,"")</x:f>
        <x:v>4029.75842285156</x:v>
      </x:c>
      <x:c r="I550" s="22" t="n">
        <x:f>IFERROR('4000rpm'!O130,"")</x:f>
        <x:v>1374.9410916299519</x:v>
      </x:c>
      <x:c r="J550" s="22" t="n">
        <x:f>IFERROR('4000rpm'!O115,"")</x:f>
        <x:v>-34.683253753026584</x:v>
      </x:c>
      <x:c r="K550" s="22" t="n">
        <x:f>IF(AND(ISNUMBER(I550),ISNUMBER(J550)),I550-J550,"")</x:f>
        <x:v>1409.6243453829784</x:v>
      </x:c>
      <x:c r="L550" s="22" t="n">
        <x:f>IF(ISNUMBER(K550),K550*$B$2+$B$3,"")</x:f>
        <x:v>1319.5729900619565</x:v>
      </x:c>
      <x:c r="M550" s="22" t="n">
        <x:f>IF(AND(ISNUMBER(G550),ISNUMBER(H550),H550&lt;&gt;0),G550/(H550/60)/$B$5,"")</x:f>
        <x:v>0.20204356729614636</x:v>
      </x:c>
      <x:c r="N550" s="22" t="n">
        <x:f>IF(AND(ISNUMBER(L550),ISNUMBER(H550),H550&lt;&gt;0),L550*$B$6/$B$4/(H550/60)^2/$B$5^4/$B$7,"")</x:f>
        <x:v>0.05444926689171304</x:v>
      </x:c>
      <x:c r="O550" s="22" t="n">
        <x:f>IF(ISNUMBER(N550),N550*$B$8,"")</x:f>
        <x:v>0.007034983511393343</x:v>
      </x:c>
      <x:c r="P550" s="20" t="str">
        <x:v>4000rpm!P130</x:v>
      </x:c>
      <x:c r="Q550" s="20" t="str">
        <x:v>4000rpm!O130</x:v>
      </x:c>
      <x:c r="R550" s="20" t="str">
        <x:v>4000rpm!O115</x:v>
      </x:c>
    </x:row>
    <x:row r="551">
      <x:c r="A551" s="21" t="n">
        <x:v>4000</x:v>
      </x:c>
      <x:c r="B551" s="21" t="n">
        <x:v>60</x:v>
      </x:c>
      <x:c r="C551" s="21" t="n">
        <x:v>17</x:v>
      </x:c>
      <x:c r="D551" s="21" t="n">
        <x:v>1</x:v>
      </x:c>
      <x:c r="E551" s="21" t="str">
        <x:v>4000rpm</x:v>
      </x:c>
      <x:c r="F551" s="21" t="n">
        <x:v>131</x:v>
      </x:c>
      <x:c r="G551" s="22" t="n">
        <x:f>IFERROR('4000rpm'!D131,"")</x:f>
        <x:v>5.1797437249840055</x:v>
      </x:c>
      <x:c r="H551" s="22" t="n">
        <x:f>IFERROR('4000rpm'!B131,"")</x:f>
        <x:v>4095.04486880095</x:v>
      </x:c>
      <x:c r="I551" s="22" t="n">
        <x:f>IFERROR('4000rpm'!C131,"")</x:f>
        <x:v>1960.44251626898</x:v>
      </x:c>
      <x:c r="J551" s="22" t="n">
        <x:f>IFERROR('4000rpm'!C115,"")</x:f>
        <x:v>245.366929133858</x:v>
      </x:c>
      <x:c r="K551" s="22" t="n">
        <x:f>IF(AND(ISNUMBER(I551),ISNUMBER(J551)),I551-J551,"")</x:f>
        <x:v>1715.0755871351219</x:v>
      </x:c>
      <x:c r="L551" s="22" t="n">
        <x:f>IF(ISNUMBER(K551),K551*$B$2+$B$3,"")</x:f>
        <x:v>1599.2771357443282</x:v>
      </x:c>
      <x:c r="M551" s="22" t="n">
        <x:f>IF(AND(ISNUMBER(G551),ISNUMBER(H551),H551&lt;&gt;0),G551/(H551/60)/$B$5,"")</x:f>
        <x:v>0.1659948586970898</x:v>
      </x:c>
      <x:c r="N551" s="22" t="n">
        <x:f>IF(AND(ISNUMBER(L551),ISNUMBER(H551),H551&lt;&gt;0),L551*$B$6/$B$4/(H551/60)^2/$B$5^4/$B$7,"")</x:f>
        <x:v>0.06390326407121633</x:v>
      </x:c>
      <x:c r="O551" s="22" t="n">
        <x:f>IF(ISNUMBER(N551),N551*$B$8,"")</x:f>
        <x:v>0.008256463947609963</x:v>
      </x:c>
      <x:c r="P551" s="20" t="str">
        <x:v>4000rpm!D131</x:v>
      </x:c>
      <x:c r="Q551" s="20" t="str">
        <x:v>4000rpm!C131</x:v>
      </x:c>
      <x:c r="R551" s="20" t="str">
        <x:v>4000rpm!C115</x:v>
      </x:c>
    </x:row>
    <x:row r="552">
      <x:c r="A552" s="21" t="n">
        <x:v>4000</x:v>
      </x:c>
      <x:c r="B552" s="21" t="n">
        <x:v>60</x:v>
      </x:c>
      <x:c r="C552" s="21" t="n">
        <x:v>17</x:v>
      </x:c>
      <x:c r="D552" s="21" t="n">
        <x:v>2</x:v>
      </x:c>
      <x:c r="E552" s="21" t="str">
        <x:v>4000rpm</x:v>
      </x:c>
      <x:c r="F552" s="21" t="n">
        <x:v>131</x:v>
      </x:c>
      <x:c r="G552" s="22" t="n">
        <x:f>IFERROR('4000rpm'!P131,"")</x:f>
        <x:v>5.081324732679075</x:v>
      </x:c>
      <x:c r="H552" s="22" t="n">
        <x:f>IFERROR('4000rpm'!M131,"")</x:f>
        <x:v>3997.6162109375</x:v>
      </x:c>
      <x:c r="I552" s="22" t="n">
        <x:f>IFERROR('4000rpm'!O131,"")</x:f>
        <x:v>1492.200346745556</x:v>
      </x:c>
      <x:c r="J552" s="22" t="n">
        <x:f>IFERROR('4000rpm'!O115,"")</x:f>
        <x:v>-34.683253753026584</x:v>
      </x:c>
      <x:c r="K552" s="22" t="n">
        <x:f>IF(AND(ISNUMBER(I552),ISNUMBER(J552)),I552-J552,"")</x:f>
        <x:v>1526.8836004985826</x:v>
      </x:c>
      <x:c r="L552" s="22" t="n">
        <x:f>IF(ISNUMBER(K552),K552*$B$2+$B$3,"")</x:f>
        <x:v>1426.948228045356</x:v>
      </x:c>
      <x:c r="M552" s="22" t="n">
        <x:f>IF(AND(ISNUMBER(G552),ISNUMBER(H552),H552&lt;&gt;0),G552/(H552/60)/$B$5,"")</x:f>
        <x:v>0.16680953871338045</x:v>
      </x:c>
      <x:c r="N552" s="22" t="n">
        <x:f>IF(AND(ISNUMBER(L552),ISNUMBER(H552),H552&lt;&gt;0),L552*$B$6/$B$4/(H552/60)^2/$B$5^4/$B$7,"")</x:f>
        <x:v>0.05983050438013844</x:v>
      </x:c>
      <x:c r="O552" s="22" t="n">
        <x:f>IF(ISNUMBER(N552),N552*$B$8,"")</x:f>
        <x:v>0.007730253056110135</x:v>
      </x:c>
      <x:c r="P552" s="20" t="str">
        <x:v>4000rpm!P131</x:v>
      </x:c>
      <x:c r="Q552" s="20" t="str">
        <x:v>4000rpm!O131</x:v>
      </x:c>
      <x:c r="R552" s="20" t="str">
        <x:v>4000rpm!O115</x:v>
      </x:c>
    </x:row>
    <x:row r="553">
      <x:c r="A553" s="21" t="n">
        <x:v>4000</x:v>
      </x:c>
      <x:c r="B553" s="21" t="n">
        <x:v>60</x:v>
      </x:c>
      <x:c r="C553" s="21" t="n">
        <x:v>18</x:v>
      </x:c>
      <x:c r="D553" s="21" t="n">
        <x:v>1</x:v>
      </x:c>
      <x:c r="E553" s="21" t="str">
        <x:v>4000rpm</x:v>
      </x:c>
      <x:c r="F553" s="21" t="n">
        <x:v>132</x:v>
      </x:c>
      <x:c r="G553" s="22" t="n">
        <x:f>IFERROR('4000rpm'!D132,"")</x:f>
        <x:v>4.158782123542215</x:v>
      </x:c>
      <x:c r="H553" s="22" t="n">
        <x:f>IFERROR('4000rpm'!B132,"")</x:f>
        <x:v>4074.12822265625</x:v>
      </x:c>
      <x:c r="I553" s="22" t="n">
        <x:f>IFERROR('4000rpm'!C132,"")</x:f>
        <x:v>2040.38809034907</x:v>
      </x:c>
      <x:c r="J553" s="22" t="n">
        <x:f>IFERROR('4000rpm'!C115,"")</x:f>
        <x:v>245.366929133858</x:v>
      </x:c>
      <x:c r="K553" s="22" t="n">
        <x:f>IF(AND(ISNUMBER(I553),ISNUMBER(J553)),I553-J553,"")</x:f>
        <x:v>1795.0211612152118</x:v>
      </x:c>
      <x:c r="L553" s="22" t="n">
        <x:f>IF(ISNUMBER(K553),K553*$B$2+$B$3,"")</x:f>
        <x:v>1672.483937494059</x:v>
      </x:c>
      <x:c r="M553" s="22" t="n">
        <x:f>IF(AND(ISNUMBER(G553),ISNUMBER(H553),H553&lt;&gt;0),G553/(H553/60)/$B$5,"")</x:f>
        <x:v>0.133960421075691</x:v>
      </x:c>
      <x:c r="N553" s="22" t="n">
        <x:f>IF(AND(ISNUMBER(L553),ISNUMBER(H553),H553&lt;&gt;0),L553*$B$6/$B$4/(H553/60)^2/$B$5^4/$B$7,"")</x:f>
        <x:v>0.06751638978912941</x:v>
      </x:c>
      <x:c r="O553" s="22" t="n">
        <x:f>IF(ISNUMBER(N553),N553*$B$8,"")</x:f>
        <x:v>0.008723288962915694</x:v>
      </x:c>
      <x:c r="P553" s="20" t="str">
        <x:v>4000rpm!D132</x:v>
      </x:c>
      <x:c r="Q553" s="20" t="str">
        <x:v>4000rpm!C132</x:v>
      </x:c>
      <x:c r="R553" s="20" t="str">
        <x:v>4000rpm!C115</x:v>
      </x:c>
    </x:row>
    <x:row r="554">
      <x:c r="A554" s="21" t="n">
        <x:v>4000</x:v>
      </x:c>
      <x:c r="B554" s="21" t="n">
        <x:v>60</x:v>
      </x:c>
      <x:c r="C554" s="21" t="n">
        <x:v>18</x:v>
      </x:c>
      <x:c r="D554" s="21" t="n">
        <x:v>2</x:v>
      </x:c>
      <x:c r="E554" s="21" t="str">
        <x:v>4000rpm</x:v>
      </x:c>
      <x:c r="F554" s="21" t="n">
        <x:v>132</x:v>
      </x:c>
      <x:c r="G554" s="22" t="n">
        <x:f>IFERROR('4000rpm'!P132,"")</x:f>
        <x:v>4.058762446889325</x:v>
      </x:c>
      <x:c r="H554" s="22" t="n">
        <x:f>IFERROR('4000rpm'!M132,"")</x:f>
        <x:v>3985.66983145254</x:v>
      </x:c>
      <x:c r="I554" s="22" t="n">
        <x:f>IFERROR('4000rpm'!O132,"")</x:f>
        <x:v>1590.2989441509362</x:v>
      </x:c>
      <x:c r="J554" s="22" t="n">
        <x:f>IFERROR('4000rpm'!O115,"")</x:f>
        <x:v>-34.683253753026584</x:v>
      </x:c>
      <x:c r="K554" s="22" t="n">
        <x:f>IF(AND(ISNUMBER(I554),ISNUMBER(J554)),I554-J554,"")</x:f>
        <x:v>1624.9821979039627</x:v>
      </x:c>
      <x:c r="L554" s="22" t="n">
        <x:f>IF(ISNUMBER(K554),K554*$B$2+$B$3,"")</x:f>
        <x:v>1516.777898478242</x:v>
      </x:c>
      <x:c r="M554" s="22" t="n">
        <x:f>IF(AND(ISNUMBER(G554),ISNUMBER(H554),H554&lt;&gt;0),G554/(H554/60)/$B$5,"")</x:f>
        <x:v>0.13364026949801444</x:v>
      </x:c>
      <x:c r="N554" s="22" t="n">
        <x:f>IF(AND(ISNUMBER(L554),ISNUMBER(H554),H554&lt;&gt;0),L554*$B$6/$B$4/(H554/60)^2/$B$5^4/$B$7,"")</x:f>
        <x:v>0.06397878609085254</x:v>
      </x:c>
      <x:c r="O554" s="22" t="n">
        <x:f>IF(ISNUMBER(N554),N554*$B$8,"")</x:f>
        <x:v>0.008266221584272813</x:v>
      </x:c>
      <x:c r="P554" s="20" t="str">
        <x:v>4000rpm!P132</x:v>
      </x:c>
      <x:c r="Q554" s="20" t="str">
        <x:v>4000rpm!O132</x:v>
      </x:c>
      <x:c r="R554" s="20" t="str">
        <x:v>4000rpm!O115</x:v>
      </x:c>
    </x:row>
    <x:row r="555">
      <x:c r="A555" s="21" t="n">
        <x:v>4000</x:v>
      </x:c>
      <x:c r="B555" s="21" t="n">
        <x:v>60</x:v>
      </x:c>
      <x:c r="C555" s="21" t="n">
        <x:v>19</x:v>
      </x:c>
      <x:c r="D555" s="21" t="n">
        <x:v>1</x:v>
      </x:c>
      <x:c r="E555" s="21" t="str">
        <x:v>4000rpm</x:v>
      </x:c>
      <x:c r="F555" s="21" t="n">
        <x:v>133</x:v>
      </x:c>
      <x:c r="G555" s="22" t="n">
        <x:f>IFERROR('4000rpm'!D133,"")</x:f>
        <x:v>3.1301852946870747</x:v>
      </x:c>
      <x:c r="H555" s="22" t="n">
        <x:f>IFERROR('4000rpm'!B133,"")</x:f>
        <x:v>4055.84930889423</x:v>
      </x:c>
      <x:c r="I555" s="22" t="n">
        <x:f>IFERROR('4000rpm'!C133,"")</x:f>
        <x:v>2122.55514018691</x:v>
      </x:c>
      <x:c r="J555" s="22" t="n">
        <x:f>IFERROR('4000rpm'!C115,"")</x:f>
        <x:v>245.366929133858</x:v>
      </x:c>
      <x:c r="K555" s="22" t="n">
        <x:f>IF(AND(ISNUMBER(I555),ISNUMBER(J555)),I555-J555,"")</x:f>
        <x:v>1877.188211053052</x:v>
      </x:c>
      <x:c r="L555" s="22" t="n">
        <x:f>IF(ISNUMBER(K555),K555*$B$2+$B$3,"")</x:f>
        <x:v>1747.7249623669682</x:v>
      </x:c>
      <x:c r="M555" s="22" t="n">
        <x:f>IF(AND(ISNUMBER(G555),ISNUMBER(H555),H555&lt;&gt;0),G555/(H555/60)/$B$5,"")</x:f>
        <x:v>0.1012822322670823</x:v>
      </x:c>
      <x:c r="N555" s="22" t="n">
        <x:f>IF(AND(ISNUMBER(L555),ISNUMBER(H555),H555&lt;&gt;0),L555*$B$6/$B$4/(H555/60)^2/$B$5^4/$B$7,"")</x:f>
        <x:v>0.07119116667679533</x:v>
      </x:c>
      <x:c r="O555" s="22" t="n">
        <x:f>IF(ISNUMBER(N555),N555*$B$8,"")</x:f>
        <x:v>0.009198079465865766</x:v>
      </x:c>
      <x:c r="P555" s="20" t="str">
        <x:v>4000rpm!D133</x:v>
      </x:c>
      <x:c r="Q555" s="20" t="str">
        <x:v>4000rpm!C133</x:v>
      </x:c>
      <x:c r="R555" s="20" t="str">
        <x:v>4000rpm!C115</x:v>
      </x:c>
    </x:row>
    <x:row r="556">
      <x:c r="A556" s="21" t="n">
        <x:v>4000</x:v>
      </x:c>
      <x:c r="B556" s="21" t="n">
        <x:v>60</x:v>
      </x:c>
      <x:c r="C556" s="21" t="n">
        <x:v>19</x:v>
      </x:c>
      <x:c r="D556" s="21" t="n">
        <x:v>2</x:v>
      </x:c>
      <x:c r="E556" s="21" t="str">
        <x:v>4000rpm</x:v>
      </x:c>
      <x:c r="F556" s="21" t="n">
        <x:v>133</x:v>
      </x:c>
      <x:c r="G556" s="22" t="n">
        <x:f>IFERROR('4000rpm'!P133,"")</x:f>
        <x:v>3.1319019621068698</x:v>
      </x:c>
      <x:c r="H556" s="22" t="n">
        <x:f>IFERROR('4000rpm'!M133,"")</x:f>
        <x:v>3950.61700994318</x:v>
      </x:c>
      <x:c r="I556" s="22" t="n">
        <x:f>IFERROR('4000rpm'!O133,"")</x:f>
        <x:v>1677.3718734693834</x:v>
      </x:c>
      <x:c r="J556" s="22" t="n">
        <x:f>IFERROR('4000rpm'!O115,"")</x:f>
        <x:v>-34.683253753026584</x:v>
      </x:c>
      <x:c r="K556" s="22" t="n">
        <x:f>IF(AND(ISNUMBER(I556),ISNUMBER(J556)),I556-J556,"")</x:f>
        <x:v>1712.05512722241</x:v>
      </x:c>
      <x:c r="L556" s="22" t="n">
        <x:f>IF(ISNUMBER(K556),K556*$B$2+$B$3,"")</x:f>
        <x:v>1596.5112764385785</x:v>
      </x:c>
      <x:c r="M556" s="22" t="n">
        <x:f>IF(AND(ISNUMBER(G556),ISNUMBER(H556),H556&lt;&gt;0),G556/(H556/60)/$B$5,"")</x:f>
        <x:v>0.10403710487438905</x:v>
      </x:c>
      <x:c r="N556" s="22" t="n">
        <x:f>IF(AND(ISNUMBER(L556),ISNUMBER(H556),H556&lt;&gt;0),L556*$B$6/$B$4/(H556/60)^2/$B$5^4/$B$7,"")</x:f>
        <x:v>0.06854231592633679</x:v>
      </x:c>
      <x:c r="O556" s="22" t="n">
        <x:f>IF(ISNUMBER(N556),N556*$B$8,"")</x:f>
        <x:v>0.008855841224335761</x:v>
      </x:c>
      <x:c r="P556" s="20" t="str">
        <x:v>4000rpm!P133</x:v>
      </x:c>
      <x:c r="Q556" s="20" t="str">
        <x:v>4000rpm!O133</x:v>
      </x:c>
      <x:c r="R556" s="20" t="str">
        <x:v>4000rpm!O115</x:v>
      </x:c>
    </x:row>
    <x:row r="557">
      <x:c r="A557" s="21" t="n">
        <x:v>4000</x:v>
      </x:c>
      <x:c r="B557" s="21" t="n">
        <x:v>60</x:v>
      </x:c>
      <x:c r="C557" s="21" t="n">
        <x:v>20</x:v>
      </x:c>
      <x:c r="D557" s="21" t="n">
        <x:v>1</x:v>
      </x:c>
      <x:c r="E557" s="21" t="str">
        <x:v>4000rpm</x:v>
      </x:c>
      <x:c r="F557" s="21" t="n">
        <x:v>134</x:v>
      </x:c>
      <x:c r="G557" s="22" t="n">
        <x:f>IFERROR('4000rpm'!D134,"")</x:f>
        <x:v>2.105241731513625</x:v>
      </x:c>
      <x:c r="H557" s="22" t="n">
        <x:f>IFERROR('4000rpm'!B134,"")</x:f>
        <x:v>4061.67936197916</x:v>
      </x:c>
      <x:c r="I557" s="22" t="n">
        <x:f>IFERROR('4000rpm'!C134,"")</x:f>
        <x:v>2196.83484573502</x:v>
      </x:c>
      <x:c r="J557" s="22" t="n">
        <x:f>IFERROR('4000rpm'!C115,"")</x:f>
        <x:v>245.366929133858</x:v>
      </x:c>
      <x:c r="K557" s="22" t="n">
        <x:f>IF(AND(ISNUMBER(I557),ISNUMBER(J557)),I557-J557,"")</x:f>
        <x:v>1951.4679166011617</x:v>
      </x:c>
      <x:c r="L557" s="22" t="n">
        <x:f>IF(ISNUMBER(K557),K557*$B$2+$B$3,"")</x:f>
        <x:v>1815.7434829750166</x:v>
      </x:c>
      <x:c r="M557" s="22" t="n">
        <x:f>IF(AND(ISNUMBER(G557),ISNUMBER(H557),H557&lt;&gt;0),G557/(H557/60)/$B$5,"")</x:f>
        <x:v>0.0680207416277272</x:v>
      </x:c>
      <x:c r="N557" s="22" t="n">
        <x:f>IF(AND(ISNUMBER(L557),ISNUMBER(H557),H557&lt;&gt;0),L557*$B$6/$B$4/(H557/60)^2/$B$5^4/$B$7,"")</x:f>
        <x:v>0.07374963312893848</x:v>
      </x:c>
      <x:c r="O557" s="22" t="n">
        <x:f>IF(ISNUMBER(N557),N557*$B$8,"")</x:f>
        <x:v>0.009528639826597076</x:v>
      </x:c>
      <x:c r="P557" s="20" t="str">
        <x:v>4000rpm!D134</x:v>
      </x:c>
      <x:c r="Q557" s="20" t="str">
        <x:v>4000rpm!C134</x:v>
      </x:c>
      <x:c r="R557" s="20" t="str">
        <x:v>4000rpm!C115</x:v>
      </x:c>
    </x:row>
    <x:row r="558">
      <x:c r="A558" s="21" t="n">
        <x:v>4000</x:v>
      </x:c>
      <x:c r="B558" s="21" t="n">
        <x:v>60</x:v>
      </x:c>
      <x:c r="C558" s="21" t="n">
        <x:v>20</x:v>
      </x:c>
      <x:c r="D558" s="21" t="n">
        <x:v>2</x:v>
      </x:c>
      <x:c r="E558" s="21" t="str">
        <x:v>4000rpm</x:v>
      </x:c>
      <x:c r="F558" s="21" t="n">
        <x:v>134</x:v>
      </x:c>
      <x:c r="G558" s="22" t="n">
        <x:f>IFERROR('4000rpm'!P134,"")</x:f>
        <x:v>2.1061282494280498</x:v>
      </x:c>
      <x:c r="H558" s="22" t="n">
        <x:f>IFERROR('4000rpm'!M134,"")</x:f>
        <x:v>3975.13991699218</x:v>
      </x:c>
      <x:c r="I558" s="22" t="n">
        <x:f>IFERROR('4000rpm'!O134,"")</x:f>
        <x:v>1772.8665999999998</x:v>
      </x:c>
      <x:c r="J558" s="22" t="n">
        <x:f>IFERROR('4000rpm'!O115,"")</x:f>
        <x:v>-34.683253753026584</x:v>
      </x:c>
      <x:c r="K558" s="22" t="n">
        <x:f>IF(AND(ISNUMBER(I558),ISNUMBER(J558)),I558-J558,"")</x:f>
        <x:v>1807.5498537530264</x:v>
      </x:c>
      <x:c r="L558" s="22" t="n">
        <x:f>IF(ISNUMBER(K558),K558*$B$2+$B$3,"")</x:f>
        <x:v>1683.9565614804762</x:v>
      </x:c>
      <x:c r="M558" s="22" t="n">
        <x:f>IF(AND(ISNUMBER(G558),ISNUMBER(H558),H558&lt;&gt;0),G558/(H558/60)/$B$5,"")</x:f>
        <x:v>0.0695308314074751</x:v>
      </x:c>
      <x:c r="N558" s="22" t="n">
        <x:f>IF(AND(ISNUMBER(L558),ISNUMBER(H558),H558&lt;&gt;0),L558*$B$6/$B$4/(H558/60)^2/$B$5^4/$B$7,"")</x:f>
        <x:v>0.07140731246829407</x:v>
      </x:c>
      <x:c r="O558" s="22" t="n">
        <x:f>IF(ISNUMBER(N558),N558*$B$8,"")</x:f>
        <x:v>0.009226006050851285</x:v>
      </x:c>
      <x:c r="P558" s="20" t="str">
        <x:v>4000rpm!P134</x:v>
      </x:c>
      <x:c r="Q558" s="20" t="str">
        <x:v>4000rpm!O134</x:v>
      </x:c>
      <x:c r="R558" s="20" t="str">
        <x:v>4000rpm!O115</x:v>
      </x:c>
    </x:row>
    <x:row r="559">
      <x:c r="A559" s="21" t="n">
        <x:v>4000</x:v>
      </x:c>
      <x:c r="B559" s="21" t="n">
        <x:v>60</x:v>
      </x:c>
      <x:c r="C559" s="21" t="n">
        <x:v>21</x:v>
      </x:c>
      <x:c r="D559" s="21" t="n">
        <x:v>1</x:v>
      </x:c>
      <x:c r="E559" s="21" t="str">
        <x:v>4000rpm</x:v>
      </x:c>
      <x:c r="F559" s="21" t="n">
        <x:v>135</x:v>
      </x:c>
      <x:c r="G559" s="22" t="n">
        <x:f>IFERROR('4000rpm'!D135,"")</x:f>
        <x:v>1.075146509467491</x:v>
      </x:c>
      <x:c r="H559" s="22" t="n">
        <x:f>IFERROR('4000rpm'!B135,"")</x:f>
        <x:v>4058.21301800271</x:v>
      </x:c>
      <x:c r="I559" s="22" t="n">
        <x:f>IFERROR('4000rpm'!C135,"")</x:f>
        <x:v>2255.921875</x:v>
      </x:c>
      <x:c r="J559" s="22" t="n">
        <x:f>IFERROR('4000rpm'!C115,"")</x:f>
        <x:v>245.366929133858</x:v>
      </x:c>
      <x:c r="K559" s="22" t="n">
        <x:f>IF(AND(ISNUMBER(I559),ISNUMBER(J559)),I559-J559,"")</x:f>
        <x:v>2010.554945866142</x:v>
      </x:c>
      <x:c r="L559" s="22" t="n">
        <x:f>IF(ISNUMBER(K559),K559*$B$2+$B$3,"")</x:f>
        <x:v>1869.849948369193</x:v>
      </x:c>
      <x:c r="M559" s="22" t="n">
        <x:f>IF(AND(ISNUMBER(G559),ISNUMBER(H559),H559&lt;&gt;0),G559/(H559/60)/$B$5,"")</x:f>
        <x:v>0.034767850239473985</x:v>
      </x:c>
      <x:c r="N559" s="22" t="n">
        <x:f>IF(AND(ISNUMBER(L559),ISNUMBER(H559),H559&lt;&gt;0),L559*$B$6/$B$4/(H559/60)^2/$B$5^4/$B$7,"")</x:f>
        <x:v>0.07607705983808218</x:v>
      </x:c>
      <x:c r="O559" s="22" t="n">
        <x:f>IF(ISNUMBER(N559),N559*$B$8,"")</x:f>
        <x:v>0.009829349265998075</x:v>
      </x:c>
      <x:c r="P559" s="20" t="str">
        <x:v>4000rpm!D135</x:v>
      </x:c>
      <x:c r="Q559" s="20" t="str">
        <x:v>4000rpm!C135</x:v>
      </x:c>
      <x:c r="R559" s="20" t="str">
        <x:v>4000rpm!C115</x:v>
      </x:c>
    </x:row>
    <x:row r="560">
      <x:c r="A560" s="21" t="n">
        <x:v>4000</x:v>
      </x:c>
      <x:c r="B560" s="21" t="n">
        <x:v>60</x:v>
      </x:c>
      <x:c r="C560" s="21" t="n">
        <x:v>21</x:v>
      </x:c>
      <x:c r="D560" s="21" t="n">
        <x:v>2</x:v>
      </x:c>
      <x:c r="E560" s="21" t="str">
        <x:v>4000rpm</x:v>
      </x:c>
      <x:c r="F560" s="21" t="n">
        <x:v>135</x:v>
      </x:c>
      <x:c r="G560" s="22" t="n">
        <x:f>IFERROR('4000rpm'!P135,"")</x:f>
        <x:v>1.0758467698365106</x:v>
      </x:c>
      <x:c r="H560" s="22" t="n">
        <x:f>IFERROR('4000rpm'!M135,"")</x:f>
        <x:v>3961.29009540264</x:v>
      </x:c>
      <x:c r="I560" s="22" t="n">
        <x:f>IFERROR('4000rpm'!O135,"")</x:f>
        <x:v>1839.6777282242942</x:v>
      </x:c>
      <x:c r="J560" s="22" t="n">
        <x:f>IFERROR('4000rpm'!O115,"")</x:f>
        <x:v>-34.683253753026584</x:v>
      </x:c>
      <x:c r="K560" s="22" t="n">
        <x:f>IF(AND(ISNUMBER(I560),ISNUMBER(J560)),I560-J560,"")</x:f>
        <x:v>1874.3609819773208</x:v>
      </x:c>
      <x:c r="L560" s="22" t="n">
        <x:f>IF(ISNUMBER(K560),K560*$B$2+$B$3,"")</x:f>
        <x:v>1745.1360460844885</x:v>
      </x:c>
      <x:c r="M560" s="22" t="n">
        <x:f>IF(AND(ISNUMBER(G560),ISNUMBER(H560),H560&lt;&gt;0),G560/(H560/60)/$B$5,"")</x:f>
        <x:v>0.035641732045800664</x:v>
      </x:c>
      <x:c r="N560" s="22" t="n">
        <x:f>IF(AND(ISNUMBER(L560),ISNUMBER(H560),H560&lt;&gt;0),L560*$B$6/$B$4/(H560/60)^2/$B$5^4/$B$7,"")</x:f>
        <x:v>0.07451996385328684</x:v>
      </x:c>
      <x:c r="O560" s="22" t="n">
        <x:f>IF(ISNUMBER(N560),N560*$B$8,"")</x:f>
        <x:v>0.009628168511802114</x:v>
      </x:c>
      <x:c r="P560" s="20" t="str">
        <x:v>4000rpm!P135</x:v>
      </x:c>
      <x:c r="Q560" s="20" t="str">
        <x:v>4000rpm!O135</x:v>
      </x:c>
      <x:c r="R560" s="20" t="str">
        <x:v>4000rpm!O115</x:v>
      </x:c>
    </x:row>
    <x:row r="561">
      <x:c r="A561" s="21" t="n">
        <x:v>4000</x:v>
      </x:c>
      <x:c r="B561" s="21" t="n">
        <x:v>60</x:v>
      </x:c>
      <x:c r="C561" s="21" t="n">
        <x:v>22</x:v>
      </x:c>
      <x:c r="D561" s="21" t="n">
        <x:v>1</x:v>
      </x:c>
      <x:c r="E561" s="21" t="str">
        <x:v>4000rpm</x:v>
      </x:c>
      <x:c r="F561" s="21" t="n">
        <x:v>136</x:v>
      </x:c>
      <x:c r="G561" s="22" t="n">
        <x:f>IFERROR('4000rpm'!D136,"")</x:f>
        <x:v>0.272061</x:v>
      </x:c>
      <x:c r="H561" s="22" t="n">
        <x:f>IFERROR('4000rpm'!B136,"")</x:f>
        <x:v>4078.855</x:v>
      </x:c>
      <x:c r="I561" s="22" t="n">
        <x:f>IFERROR('4000rpm'!C136,"")</x:f>
        <x:v>2287.124</x:v>
      </x:c>
      <x:c r="J561" s="22" t="n">
        <x:f>IFERROR('4000rpm'!C115,"")</x:f>
        <x:v>245.366929133858</x:v>
      </x:c>
      <x:c r="K561" s="22" t="n">
        <x:f>IF(AND(ISNUMBER(I561),ISNUMBER(J561)),I561-J561,"")</x:f>
        <x:v>2041.7570708661417</x:v>
      </x:c>
      <x:c r="L561" s="22" t="n">
        <x:f>IF(ISNUMBER(K561),K561*$B$2+$B$3,"")</x:f>
        <x:v>1898.421983848693</x:v>
      </x:c>
      <x:c r="M561" s="22" t="n">
        <x:f>IF(AND(ISNUMBER(G561),ISNUMBER(H561),H561&lt;&gt;0),G561/(H561/60)/$B$5,"")</x:f>
        <x:v>0.008753324966709188</x:v>
      </x:c>
      <x:c r="N561" s="22" t="n">
        <x:f>IF(AND(ISNUMBER(L561),ISNUMBER(H561),H561&lt;&gt;0),L561*$B$6/$B$4/(H561/60)^2/$B$5^4/$B$7,"")</x:f>
        <x:v>0.07645974820953703</x:v>
      </x:c>
      <x:c r="O561" s="22" t="n">
        <x:f>IF(ISNUMBER(N561),N561*$B$8,"")</x:f>
        <x:v>0.009878793575111382</x:v>
      </x:c>
      <x:c r="P561" s="20" t="str">
        <x:v>4000rpm!D136</x:v>
      </x:c>
      <x:c r="Q561" s="20" t="str">
        <x:v>4000rpm!C136</x:v>
      </x:c>
      <x:c r="R561" s="20" t="str">
        <x:v>4000rpm!C115</x:v>
      </x:c>
    </x:row>
    <x:row r="562">
      <x:c r="A562" s="21" t="n">
        <x:v>4000</x:v>
      </x:c>
      <x:c r="B562" s="21" t="n">
        <x:v>60</x:v>
      </x:c>
      <x:c r="C562" s="21" t="n">
        <x:v>22</x:v>
      </x:c>
      <x:c r="D562" s="21" t="n">
        <x:v>2</x:v>
      </x:c>
      <x:c r="E562" s="21" t="str">
        <x:v>4000rpm</x:v>
      </x:c>
      <x:c r="F562" s="21" t="n">
        <x:v>136</x:v>
      </x:c>
      <x:c r="G562" s="22" t="n">
        <x:f>IFERROR('4000rpm'!P136,"")</x:f>
        <x:v>0.271725</x:v>
      </x:c>
      <x:c r="H562" s="22" t="n">
        <x:f>IFERROR('4000rpm'!M136,"")</x:f>
        <x:v>3957.99</x:v>
      </x:c>
      <x:c r="I562" s="22" t="n">
        <x:f>IFERROR('4000rpm'!O136,"")</x:f>
        <x:v>1868.0411967999999</x:v>
      </x:c>
      <x:c r="J562" s="22" t="n">
        <x:f>IFERROR('4000rpm'!O115,"")</x:f>
        <x:v>-34.683253753026584</x:v>
      </x:c>
      <x:c r="K562" s="22" t="n">
        <x:f>IF(AND(ISNUMBER(I562),ISNUMBER(J562)),I562-J562,"")</x:f>
        <x:v>1902.7244505530264</x:v>
      </x:c>
      <x:c r="L562" s="22" t="n">
        <x:f>IF(ISNUMBER(K562),K562*$B$2+$B$3,"")</x:f>
        <x:v>1771.1087011670106</x:v>
      </x:c>
      <x:c r="M562" s="22" t="n">
        <x:f>IF(AND(ISNUMBER(G562),ISNUMBER(H562),H562&lt;&gt;0),G562/(H562/60)/$B$5,"")</x:f>
        <x:v>0.009009484313729353</x:v>
      </x:c>
      <x:c r="N562" s="22" t="n">
        <x:f>IF(AND(ISNUMBER(L562),ISNUMBER(H562),H562&lt;&gt;0),L562*$B$6/$B$4/(H562/60)^2/$B$5^4/$B$7,"")</x:f>
        <x:v>0.07575520436162948</x:v>
      </x:c>
      <x:c r="O562" s="22" t="n">
        <x:f>IF(ISNUMBER(N562),N562*$B$8,"")</x:f>
        <x:v>0.009787764721353986</x:v>
      </x:c>
      <x:c r="P562" s="20" t="str">
        <x:v>4000rpm!P136</x:v>
      </x:c>
      <x:c r="Q562" s="20" t="str">
        <x:v>4000rpm!O136</x:v>
      </x:c>
      <x:c r="R562" s="20" t="str">
        <x:v>4000rpm!O115</x:v>
      </x:c>
    </x:row>
    <x:row r="563">
      <x:c r="A563" s="21" t="n">
        <x:v>4000</x:v>
      </x:c>
      <x:c r="B563" s="21" t="n">
        <x:v>60</x:v>
      </x:c>
      <x:c r="C563" s="21" t="n">
        <x:v>23</x:v>
      </x:c>
      <x:c r="D563" s="21" t="n">
        <x:v>1</x:v>
      </x:c>
      <x:c r="E563" s="21" t="str">
        <x:v>4000rpm</x:v>
      </x:c>
      <x:c r="F563" s="21" t="n">
        <x:v>137</x:v>
      </x:c>
      <x:c r="G563" s="22" t="n">
        <x:f>IFERROR('4000rpm'!D137,"")</x:f>
        <x:v>0.205504862741076</x:v>
      </x:c>
      <x:c r="H563" s="22" t="n">
        <x:f>IFERROR('4000rpm'!B137,"")</x:f>
        <x:v>0</x:v>
      </x:c>
      <x:c r="I563" s="22" t="n">
        <x:f>IFERROR('4000rpm'!C137,"")</x:f>
        <x:v>243.068887634105</x:v>
      </x:c>
      <x:c r="J563" s="22" t="n">
        <x:f>IFERROR('4000rpm'!C115,"")</x:f>
        <x:v>245.366929133858</x:v>
      </x:c>
      <x:c r="K563" s="22" t="n">
        <x:f>IF(AND(ISNUMBER(I563),ISNUMBER(J563)),I563-J563,"")</x:f>
        <x:v>-2.2980414997529977</x:v>
      </x:c>
      <x:c r="L563" s="22" t="n">
        <x:f>IF(ISNUMBER(K563),K563*$B$2+$B$3,"")</x:f>
        <x:v>26.66436501434418</x:v>
      </x:c>
      <x:c r="M563" s="22" t="str">
        <x:f>IF(AND(ISNUMBER(G563),ISNUMBER(H563),H563&lt;&gt;0),G563/(H563/60)/$B$5,"")</x:f>
      </x:c>
      <x:c r="N563" s="22" t="str">
        <x:f>IF(AND(ISNUMBER(L563),ISNUMBER(H563),H563&lt;&gt;0),L563*$B$6/$B$4/(H563/60)^2/$B$5^4/$B$7,"")</x:f>
      </x:c>
      <x:c r="O563" s="22" t="str">
        <x:f>IF(ISNUMBER(N563),N563*$B$8,"")</x:f>
      </x:c>
      <x:c r="P563" s="20" t="str">
        <x:v>4000rpm!D137</x:v>
      </x:c>
      <x:c r="Q563" s="20" t="str">
        <x:v>4000rpm!C137</x:v>
      </x:c>
      <x:c r="R563" s="20" t="str">
        <x:v>4000rpm!C115</x:v>
      </x:c>
    </x:row>
    <x:row r="564">
      <x:c r="A564" s="21" t="n">
        <x:v>4000</x:v>
      </x:c>
      <x:c r="B564" s="21" t="n">
        <x:v>60</x:v>
      </x:c>
      <x:c r="C564" s="21" t="n">
        <x:v>23</x:v>
      </x:c>
      <x:c r="D564" s="21" t="n">
        <x:v>2</x:v>
      </x:c>
      <x:c r="E564" s="21" t="str">
        <x:v>4000rpm</x:v>
      </x:c>
      <x:c r="F564" s="21" t="n">
        <x:v>137</x:v>
      </x:c>
      <x:c r="G564" s="22" t="n">
        <x:f>IFERROR('4000rpm'!P137,"")</x:f>
        <x:v>0.011728255591921396</x:v>
      </x:c>
      <x:c r="H564" s="22" t="n">
        <x:f>IFERROR('4000rpm'!M137,"")</x:f>
        <x:v>0</x:v>
      </x:c>
      <x:c r="I564" s="22" t="n">
        <x:f>IFERROR('4000rpm'!O137,"")</x:f>
        <x:v>-57.31012984402071</x:v>
      </x:c>
      <x:c r="J564" s="22" t="n">
        <x:f>IFERROR('4000rpm'!O115,"")</x:f>
        <x:v>-34.683253753026584</x:v>
      </x:c>
      <x:c r="K564" s="22" t="n">
        <x:f>IF(AND(ISNUMBER(I564),ISNUMBER(J564)),I564-J564,"")</x:f>
        <x:v>-22.626876090994124</x:v>
      </x:c>
      <x:c r="L564" s="22" t="n">
        <x:f>IF(ISNUMBER(K564),K564*$B$2+$B$3,"")</x:f>
        <x:v>8.049088548467953</x:v>
      </x:c>
      <x:c r="M564" s="22" t="str">
        <x:f>IF(AND(ISNUMBER(G564),ISNUMBER(H564),H564&lt;&gt;0),G564/(H564/60)/$B$5,"")</x:f>
      </x:c>
      <x:c r="N564" s="22" t="str">
        <x:f>IF(AND(ISNUMBER(L564),ISNUMBER(H564),H564&lt;&gt;0),L564*$B$6/$B$4/(H564/60)^2/$B$5^4/$B$7,"")</x:f>
      </x:c>
      <x:c r="O564" s="22" t="str">
        <x:f>IF(ISNUMBER(N564),N564*$B$8,"")</x:f>
      </x:c>
      <x:c r="P564" s="20" t="str">
        <x:v>4000rpm!P137</x:v>
      </x:c>
      <x:c r="Q564" s="20" t="str">
        <x:v>4000rpm!O137</x:v>
      </x:c>
      <x:c r="R564" s="20" t="str">
        <x:v>4000rpm!O115</x:v>
      </x:c>
    </x:row>
    <x:row r="565">
      <x:c r="A565" s="21" t="n">
        <x:v>4000</x:v>
      </x:c>
      <x:c r="B565" s="21" t="n">
        <x:v>60</x:v>
      </x:c>
      <x:c r="C565" s="21" t="n">
        <x:v>24</x:v>
      </x:c>
      <x:c r="D565" s="21" t="n">
        <x:v>1</x:v>
      </x:c>
      <x:c r="E565" s="21" t="str">
        <x:v>4000rpm</x:v>
      </x:c>
      <x:c r="F565" s="21" t="n">
        <x:v>142</x:v>
      </x:c>
      <x:c r="G565" s="22" t="str">
        <x:f>IFERROR('4000rpm'!D142,"")</x:f>
      </x:c>
      <x:c r="H565" s="22" t="str">
        <x:f>IFERROR('4000rpm'!B142,"")</x:f>
      </x:c>
      <x:c r="I565" s="22" t="str">
        <x:f>IFERROR('4000rpm'!C142,"")</x:f>
      </x:c>
      <x:c r="J565" s="22" t="n">
        <x:f>IFERROR('4000rpm'!C115,"")</x:f>
        <x:v>245.366929133858</x:v>
      </x:c>
      <x:c r="K565" s="22" t="str">
        <x:f>IF(AND(ISNUMBER(I565),ISNUMBER(J565)),I565-J565,"")</x:f>
      </x:c>
      <x:c r="L565" s="22" t="str">
        <x:f>IF(ISNUMBER(K565),K565*$B$2+$B$3,"")</x:f>
      </x:c>
      <x:c r="M565" s="22" t="str">
        <x:f>IF(AND(ISNUMBER(G565),ISNUMBER(H565),H565&lt;&gt;0),G565/(H565/60)/$B$5,"")</x:f>
      </x:c>
      <x:c r="N565" s="22" t="str">
        <x:f>IF(AND(ISNUMBER(L565),ISNUMBER(H565),H565&lt;&gt;0),L565*$B$6/$B$4/(H565/60)^2/$B$5^4/$B$7,"")</x:f>
      </x:c>
      <x:c r="O565" s="22" t="str">
        <x:f>IF(ISNUMBER(N565),N565*$B$8,"")</x:f>
      </x:c>
      <x:c r="P565" s="20" t="str">
        <x:v>4000rpm!D142</x:v>
      </x:c>
      <x:c r="Q565" s="20" t="str">
        <x:v>4000rpm!C142</x:v>
      </x:c>
      <x:c r="R565" s="20" t="str">
        <x:v>4000rpm!C115</x:v>
      </x:c>
    </x:row>
    <x:row r="566">
      <x:c r="A566" s="21" t="n">
        <x:v>4000</x:v>
      </x:c>
      <x:c r="B566" s="21" t="n">
        <x:v>60</x:v>
      </x:c>
      <x:c r="C566" s="21" t="n">
        <x:v>24</x:v>
      </x:c>
      <x:c r="D566" s="21" t="n">
        <x:v>2</x:v>
      </x:c>
      <x:c r="E566" s="21" t="str">
        <x:v>4000rpm</x:v>
      </x:c>
      <x:c r="F566" s="21" t="n">
        <x:v>142</x:v>
      </x:c>
      <x:c r="G566" s="22" t="str">
        <x:f>IFERROR('4000rpm'!P142,"")</x:f>
        <x:v>y = -1.047x - 13.539</x:v>
      </x:c>
      <x:c r="H566" s="22" t="str">
        <x:f>IFERROR('4000rpm'!M142,"")</x:f>
      </x:c>
      <x:c r="I566" s="22" t="str">
        <x:f>IFERROR('4000rpm'!O142,"")</x:f>
      </x:c>
      <x:c r="J566" s="22" t="n">
        <x:f>IFERROR('4000rpm'!O115,"")</x:f>
        <x:v>-34.683253753026584</x:v>
      </x:c>
      <x:c r="K566" s="22" t="str">
        <x:f>IF(AND(ISNUMBER(I566),ISNUMBER(J566)),I566-J566,"")</x:f>
      </x:c>
      <x:c r="L566" s="22" t="str">
        <x:f>IF(ISNUMBER(K566),K566*$B$2+$B$3,"")</x:f>
      </x:c>
      <x:c r="M566" s="22" t="str">
        <x:f>IF(AND(ISNUMBER(G566),ISNUMBER(H566),H566&lt;&gt;0),G566/(H566/60)/$B$5,"")</x:f>
      </x:c>
      <x:c r="N566" s="22" t="str">
        <x:f>IF(AND(ISNUMBER(L566),ISNUMBER(H566),H566&lt;&gt;0),L566*$B$6/$B$4/(H566/60)^2/$B$5^4/$B$7,"")</x:f>
      </x:c>
      <x:c r="O566" s="22" t="str">
        <x:f>IF(ISNUMBER(N566),N566*$B$8,"")</x:f>
      </x:c>
      <x:c r="P566" s="20" t="str">
        <x:v>4000rpm!P142</x:v>
      </x:c>
      <x:c r="Q566" s="20" t="str">
        <x:v>4000rpm!O142</x:v>
      </x:c>
      <x:c r="R566" s="20" t="str">
        <x:v>4000rpm!O115</x:v>
      </x:c>
    </x:row>
    <x:row r="567">
      <x:c r="A567" s="21" t="n">
        <x:v>4000</x:v>
      </x:c>
      <x:c r="B567" s="21" t="n">
        <x:v>75</x:v>
      </x:c>
      <x:c r="C567" s="21" t="n">
        <x:v>1</x:v>
      </x:c>
      <x:c r="D567" s="21" t="n">
        <x:v>1</x:v>
      </x:c>
      <x:c r="E567" s="21" t="str">
        <x:v>4000rpm</x:v>
      </x:c>
      <x:c r="F567" s="21" t="n">
        <x:v>145</x:v>
      </x:c>
      <x:c r="G567" s="22" t="n">
        <x:f>IFERROR('4000rpm'!E145,"")</x:f>
        <x:v>0.009460862607244921</x:v>
      </x:c>
      <x:c r="H567" s="22" t="n">
        <x:f>IFERROR('4000rpm'!B145,"")</x:f>
        <x:v>0</x:v>
      </x:c>
      <x:c r="I567" s="22" t="n">
        <x:f>IFERROR('4000rpm'!D145,"")</x:f>
        <x:v>37.29982999999993</x:v>
      </x:c>
      <x:c r="J567" s="22" t="n">
        <x:f>IFERROR('4000rpm'!D145,"")</x:f>
        <x:v>37.29982999999993</x:v>
      </x:c>
      <x:c r="K567" s="22" t="n">
        <x:f>IF(AND(ISNUMBER(I567),ISNUMBER(J567)),I567-J567,"")</x:f>
        <x:v>0</x:v>
      </x:c>
      <x:c r="L567" s="22" t="n">
        <x:f>IF(ISNUMBER(K567),K567*$B$2+$B$3,"")</x:f>
        <x:v>28.7687</x:v>
      </x:c>
      <x:c r="M567" s="22" t="str">
        <x:f>IF(AND(ISNUMBER(G567),ISNUMBER(H567),H567&lt;&gt;0),G567/(H567/60)/$B$5,"")</x:f>
      </x:c>
      <x:c r="N567" s="22" t="str">
        <x:f>IF(AND(ISNUMBER(L567),ISNUMBER(H567),H567&lt;&gt;0),L567*$B$6/$B$4/(H567/60)^2/$B$5^4/$B$7,"")</x:f>
      </x:c>
      <x:c r="O567" s="22" t="str">
        <x:f>IF(ISNUMBER(N567),N567*$B$8,"")</x:f>
      </x:c>
      <x:c r="P567" s="20" t="str">
        <x:v>4000rpm!E145</x:v>
      </x:c>
      <x:c r="Q567" s="20" t="str">
        <x:v>4000rpm!D145</x:v>
      </x:c>
      <x:c r="R567" s="20" t="str">
        <x:v>4000rpm!D145</x:v>
      </x:c>
    </x:row>
    <x:row r="568">
      <x:c r="A568" s="21" t="n">
        <x:v>4000</x:v>
      </x:c>
      <x:c r="B568" s="21" t="n">
        <x:v>75</x:v>
      </x:c>
      <x:c r="C568" s="21" t="n">
        <x:v>1</x:v>
      </x:c>
      <x:c r="D568" s="21" t="n">
        <x:v>2</x:v>
      </x:c>
      <x:c r="E568" s="21" t="str">
        <x:v>4000rpm</x:v>
      </x:c>
      <x:c r="F568" s="21" t="n">
        <x:v>145</x:v>
      </x:c>
      <x:c r="G568" s="22" t="n">
        <x:f>IFERROR('4000rpm'!P145,"")</x:f>
        <x:v>0.187824904971888</x:v>
      </x:c>
      <x:c r="H568" s="22" t="n">
        <x:f>IFERROR('4000rpm'!M145,"")</x:f>
        <x:v>0</x:v>
      </x:c>
      <x:c r="I568" s="22" t="n">
        <x:f>IFERROR('4000rpm'!O145,"")</x:f>
        <x:v>33.09986428571428</x:v>
      </x:c>
      <x:c r="J568" s="22" t="n">
        <x:f>IFERROR('4000rpm'!O145,"")</x:f>
        <x:v>33.09986428571428</x:v>
      </x:c>
      <x:c r="K568" s="22" t="n">
        <x:f>IF(AND(ISNUMBER(I568),ISNUMBER(J568)),I568-J568,"")</x:f>
        <x:v>0</x:v>
      </x:c>
      <x:c r="L568" s="22" t="n">
        <x:f>IF(ISNUMBER(K568),K568*$B$2+$B$3,"")</x:f>
        <x:v>28.7687</x:v>
      </x:c>
      <x:c r="M568" s="22" t="str">
        <x:f>IF(AND(ISNUMBER(G568),ISNUMBER(H568),H568&lt;&gt;0),G568/(H568/60)/$B$5,"")</x:f>
      </x:c>
      <x:c r="N568" s="22" t="str">
        <x:f>IF(AND(ISNUMBER(L568),ISNUMBER(H568),H568&lt;&gt;0),L568*$B$6/$B$4/(H568/60)^2/$B$5^4/$B$7,"")</x:f>
      </x:c>
      <x:c r="O568" s="22" t="str">
        <x:f>IF(ISNUMBER(N568),N568*$B$8,"")</x:f>
      </x:c>
      <x:c r="P568" s="20" t="str">
        <x:v>4000rpm!P145</x:v>
      </x:c>
      <x:c r="Q568" s="20" t="str">
        <x:v>4000rpm!O145</x:v>
      </x:c>
      <x:c r="R568" s="20" t="str">
        <x:v>4000rpm!O145</x:v>
      </x:c>
    </x:row>
    <x:row r="569">
      <x:c r="A569" s="21" t="n">
        <x:v>4000</x:v>
      </x:c>
      <x:c r="B569" s="21" t="n">
        <x:v>75</x:v>
      </x:c>
      <x:c r="C569" s="21" t="n">
        <x:v>2</x:v>
      </x:c>
      <x:c r="D569" s="21" t="n">
        <x:v>1</x:v>
      </x:c>
      <x:c r="E569" s="21" t="str">
        <x:v>4000rpm</x:v>
      </x:c>
      <x:c r="F569" s="21" t="n">
        <x:v>146</x:v>
      </x:c>
      <x:c r="G569" s="22" t="n">
        <x:f>IFERROR('4000rpm'!E146,"")</x:f>
        <x:v>0.169707</x:v>
      </x:c>
      <x:c r="H569" s="22" t="n">
        <x:f>IFERROR('4000rpm'!B146,"")</x:f>
        <x:v>4083.25</x:v>
      </x:c>
      <x:c r="I569" s="22" t="n">
        <x:f>IFERROR('4000rpm'!D146,"")</x:f>
        <x:v>2096.329332</x:v>
      </x:c>
      <x:c r="J569" s="22" t="n">
        <x:f>IFERROR('4000rpm'!D145,"")</x:f>
        <x:v>37.29982999999993</x:v>
      </x:c>
      <x:c r="K569" s="22" t="n">
        <x:f>IF(AND(ISNUMBER(I569),ISNUMBER(J569)),I569-J569,"")</x:f>
        <x:v>2059.029502</x:v>
      </x:c>
      <x:c r="L569" s="22" t="n">
        <x:f>IF(ISNUMBER(K569),K569*$B$2+$B$3,"")</x:f>
        <x:v>1914.238487217416</x:v>
      </x:c>
      <x:c r="M569" s="22" t="n">
        <x:f>IF(AND(ISNUMBER(G569),ISNUMBER(H569),H569&lt;&gt;0),G569/(H569/60)/$B$5,"")</x:f>
        <x:v>0.005454297396074129</x:v>
      </x:c>
      <x:c r="N569" s="22" t="n">
        <x:f>IF(AND(ISNUMBER(L569),ISNUMBER(H569),H569&lt;&gt;0),L569*$B$6/$B$4/(H569/60)^2/$B$5^4/$B$7,"")</x:f>
        <x:v>0.07693088791652736</x:v>
      </x:c>
      <x:c r="O569" s="22" t="n">
        <x:f>IF(ISNUMBER(N569),N569*$B$8,"")</x:f>
        <x:v>0.009939666021325054</x:v>
      </x:c>
      <x:c r="P569" s="20" t="str">
        <x:v>4000rpm!E146</x:v>
      </x:c>
      <x:c r="Q569" s="20" t="str">
        <x:v>4000rpm!D146</x:v>
      </x:c>
      <x:c r="R569" s="20" t="str">
        <x:v>4000rpm!D145</x:v>
      </x:c>
    </x:row>
    <x:row r="570">
      <x:c r="A570" s="21" t="n">
        <x:v>4000</x:v>
      </x:c>
      <x:c r="B570" s="21" t="n">
        <x:v>75</x:v>
      </x:c>
      <x:c r="C570" s="21" t="n">
        <x:v>2</x:v>
      </x:c>
      <x:c r="D570" s="21" t="n">
        <x:v>2</x:v>
      </x:c>
      <x:c r="E570" s="21" t="str">
        <x:v>4000rpm</x:v>
      </x:c>
      <x:c r="F570" s="21" t="n">
        <x:v>146</x:v>
      </x:c>
      <x:c r="G570" s="22" t="n">
        <x:f>IFERROR('4000rpm'!P146,"")</x:f>
        <x:v>0.278997</x:v>
      </x:c>
      <x:c r="H570" s="22" t="n">
        <x:f>IFERROR('4000rpm'!M146,"")</x:f>
        <x:v>4022.22</x:v>
      </x:c>
      <x:c r="I570" s="22" t="n">
        <x:f>IFERROR('4000rpm'!O146,"")</x:f>
        <x:v>2026.270374</x:v>
      </x:c>
      <x:c r="J570" s="22" t="n">
        <x:f>IFERROR('4000rpm'!O145,"")</x:f>
        <x:v>33.09986428571428</x:v>
      </x:c>
      <x:c r="K570" s="22" t="n">
        <x:f>IF(AND(ISNUMBER(I570),ISNUMBER(J570)),I570-J570,"")</x:f>
        <x:v>1993.1705097142856</x:v>
      </x:c>
      <x:c r="L570" s="22" t="n">
        <x:f>IF(ISNUMBER(K570),K570*$B$2+$B$3,"")</x:f>
        <x:v>1853.930881109449</x:v>
      </x:c>
      <x:c r="M570" s="22" t="n">
        <x:f>IF(AND(ISNUMBER(G570),ISNUMBER(H570),H570&lt;&gt;0),G570/(H570/60)/$B$5,"")</x:f>
        <x:v>0.009102878392419873</x:v>
      </x:c>
      <x:c r="N570" s="22" t="n">
        <x:f>IF(AND(ISNUMBER(L570),ISNUMBER(H570),H570&lt;&gt;0),L570*$B$6/$B$4/(H570/60)^2/$B$5^4/$B$7,"")</x:f>
        <x:v>0.07678538018955491</x:v>
      </x:c>
      <x:c r="O570" s="22" t="n">
        <x:f>IF(ISNUMBER(N570),N570*$B$8,"")</x:f>
        <x:v>0.009920866053603409</x:v>
      </x:c>
      <x:c r="P570" s="20" t="str">
        <x:v>4000rpm!P146</x:v>
      </x:c>
      <x:c r="Q570" s="20" t="str">
        <x:v>4000rpm!O146</x:v>
      </x:c>
      <x:c r="R570" s="20" t="str">
        <x:v>4000rpm!O145</x:v>
      </x:c>
    </x:row>
    <x:row r="571">
      <x:c r="A571" s="21" t="n">
        <x:v>4000</x:v>
      </x:c>
      <x:c r="B571" s="21" t="n">
        <x:v>75</x:v>
      </x:c>
      <x:c r="C571" s="21" t="n">
        <x:v>3</x:v>
      </x:c>
      <x:c r="D571" s="21" t="n">
        <x:v>1</x:v>
      </x:c>
      <x:c r="E571" s="21" t="str">
        <x:v>4000rpm</x:v>
      </x:c>
      <x:c r="F571" s="21" t="n">
        <x:v>147</x:v>
      </x:c>
      <x:c r="G571" s="22" t="n">
        <x:f>IFERROR('4000rpm'!E147,"")</x:f>
        <x:v>0.9555603717900301</x:v>
      </x:c>
      <x:c r="H571" s="22" t="n">
        <x:f>IFERROR('4000rpm'!B147,"")</x:f>
        <x:v>4070.00386415678</x:v>
      </x:c>
      <x:c r="I571" s="22" t="n">
        <x:f>IFERROR('4000rpm'!D147,"")</x:f>
        <x:v>2030.0725589743543</x:v>
      </x:c>
      <x:c r="J571" s="22" t="n">
        <x:f>IFERROR('4000rpm'!D145,"")</x:f>
        <x:v>37.29982999999993</x:v>
      </x:c>
      <x:c r="K571" s="22" t="n">
        <x:f>IF(AND(ISNUMBER(I571),ISNUMBER(J571)),I571-J571,"")</x:f>
        <x:v>1992.7727289743543</x:v>
      </x:c>
      <x:c r="L571" s="22" t="n">
        <x:f>IF(ISNUMBER(K571),K571*$B$2+$B$3,"")</x:f>
        <x:v>1853.566630103648</x:v>
      </x:c>
      <x:c r="M571" s="22" t="n">
        <x:f>IF(AND(ISNUMBER(G571),ISNUMBER(H571),H571&lt;&gt;0),G571/(H571/60)/$B$5,"")</x:f>
        <x:v>0.030811180475493905</x:v>
      </x:c>
      <x:c r="N571" s="22" t="n">
        <x:f>IF(AND(ISNUMBER(L571),ISNUMBER(H571),H571&lt;&gt;0),L571*$B$6/$B$4/(H571/60)^2/$B$5^4/$B$7,"")</x:f>
        <x:v>0.07497823308727922</x:v>
      </x:c>
      <x:c r="O571" s="22" t="n">
        <x:f>IF(ISNUMBER(N571),N571*$B$8,"")</x:f>
        <x:v>0.009687378060230505</x:v>
      </x:c>
      <x:c r="P571" s="20" t="str">
        <x:v>4000rpm!E147</x:v>
      </x:c>
      <x:c r="Q571" s="20" t="str">
        <x:v>4000rpm!D147</x:v>
      </x:c>
      <x:c r="R571" s="20" t="str">
        <x:v>4000rpm!D145</x:v>
      </x:c>
    </x:row>
    <x:row r="572">
      <x:c r="A572" s="21" t="n">
        <x:v>4000</x:v>
      </x:c>
      <x:c r="B572" s="21" t="n">
        <x:v>75</x:v>
      </x:c>
      <x:c r="C572" s="21" t="n">
        <x:v>3</x:v>
      </x:c>
      <x:c r="D572" s="21" t="n">
        <x:v>2</x:v>
      </x:c>
      <x:c r="E572" s="21" t="str">
        <x:v>4000rpm</x:v>
      </x:c>
      <x:c r="F572" s="21" t="n">
        <x:v>147</x:v>
      </x:c>
      <x:c r="G572" s="22" t="n">
        <x:f>IFERROR('4000rpm'!P147,"")</x:f>
        <x:v>1.1716493248682596</x:v>
      </x:c>
      <x:c r="H572" s="22" t="n">
        <x:f>IFERROR('4000rpm'!M147,"")</x:f>
        <x:v>3991.36897078804</x:v>
      </x:c>
      <x:c r="I572" s="22" t="n">
        <x:f>IFERROR('4000rpm'!O147,"")</x:f>
        <x:v>1959.7626594827511</x:v>
      </x:c>
      <x:c r="J572" s="22" t="n">
        <x:f>IFERROR('4000rpm'!O145,"")</x:f>
        <x:v>33.09986428571428</x:v>
      </x:c>
      <x:c r="K572" s="22" t="n">
        <x:f>IF(AND(ISNUMBER(I572),ISNUMBER(J572)),I572-J572,"")</x:f>
        <x:v>1926.6627951970368</x:v>
      </x:c>
      <x:c r="L572" s="22" t="n">
        <x:f>IF(ISNUMBER(K572),K572*$B$2+$B$3,"")</x:f>
        <x:v>1793.0292348642881</x:v>
      </x:c>
      <x:c r="M572" s="22" t="n">
        <x:f>IF(AND(ISNUMBER(G572),ISNUMBER(H572),H572&lt;&gt;0),G572/(H572/60)/$B$5,"")</x:f>
        <x:v>0.038523061898073876</x:v>
      </x:c>
      <x:c r="N572" s="22" t="n">
        <x:f>IF(AND(ISNUMBER(L572),ISNUMBER(H572),H572&lt;&gt;0),L572*$B$6/$B$4/(H572/60)^2/$B$5^4/$B$7,"")</x:f>
        <x:v>0.07541543836623683</x:v>
      </x:c>
      <x:c r="O572" s="22" t="n">
        <x:f>IF(ISNUMBER(N572),N572*$B$8,"")</x:f>
        <x:v>0.009743866092193871</x:v>
      </x:c>
      <x:c r="P572" s="20" t="str">
        <x:v>4000rpm!P147</x:v>
      </x:c>
      <x:c r="Q572" s="20" t="str">
        <x:v>4000rpm!O147</x:v>
      </x:c>
      <x:c r="R572" s="20" t="str">
        <x:v>4000rpm!O145</x:v>
      </x:c>
    </x:row>
    <x:row r="573">
      <x:c r="A573" s="21" t="n">
        <x:v>4000</x:v>
      </x:c>
      <x:c r="B573" s="21" t="n">
        <x:v>75</x:v>
      </x:c>
      <x:c r="C573" s="21" t="n">
        <x:v>4</x:v>
      </x:c>
      <x:c r="D573" s="21" t="n">
        <x:v>1</x:v>
      </x:c>
      <x:c r="E573" s="21" t="str">
        <x:v>4000rpm</x:v>
      </x:c>
      <x:c r="F573" s="21" t="n">
        <x:v>148</x:v>
      </x:c>
      <x:c r="G573" s="22" t="n">
        <x:f>IFERROR('4000rpm'!E148,"")</x:f>
        <x:v>2.2031043842434803</x:v>
      </x:c>
      <x:c r="H573" s="22" t="n">
        <x:f>IFERROR('4000rpm'!B148,"")</x:f>
        <x:v>4025.92350938585</x:v>
      </x:c>
      <x:c r="I573" s="22" t="n">
        <x:f>IFERROR('4000rpm'!D148,"")</x:f>
        <x:v>1923.0770055478422</x:v>
      </x:c>
      <x:c r="J573" s="22" t="n">
        <x:f>IFERROR('4000rpm'!D145,"")</x:f>
        <x:v>37.29982999999993</x:v>
      </x:c>
      <x:c r="K573" s="22" t="n">
        <x:f>IF(AND(ISNUMBER(I573),ISNUMBER(J573)),I573-J573,"")</x:f>
        <x:v>1885.7771755478423</x:v>
      </x:c>
      <x:c r="L573" s="22" t="n">
        <x:f>IF(ISNUMBER(K573),K573*$B$2+$B$3,"")</x:f>
        <x:v>1755.5899458665635</x:v>
      </x:c>
      <x:c r="M573" s="22" t="n">
        <x:f>IF(AND(ISNUMBER(G573),ISNUMBER(H573),H573&lt;&gt;0),G573/(H573/60)/$B$5,"")</x:f>
        <x:v>0.07181490398268357</x:v>
      </x:c>
      <x:c r="N573" s="22" t="n">
        <x:f>IF(AND(ISNUMBER(L573),ISNUMBER(H573),H573&lt;&gt;0),L573*$B$6/$B$4/(H573/60)^2/$B$5^4/$B$7,"")</x:f>
        <x:v>0.07257861713360549</x:v>
      </x:c>
      <x:c r="O573" s="22" t="n">
        <x:f>IF(ISNUMBER(N573),N573*$B$8,"")</x:f>
        <x:v>0.009377341587171207</x:v>
      </x:c>
      <x:c r="P573" s="20" t="str">
        <x:v>4000rpm!E148</x:v>
      </x:c>
      <x:c r="Q573" s="20" t="str">
        <x:v>4000rpm!D148</x:v>
      </x:c>
      <x:c r="R573" s="20" t="str">
        <x:v>4000rpm!D145</x:v>
      </x:c>
    </x:row>
    <x:row r="574">
      <x:c r="A574" s="21" t="n">
        <x:v>4000</x:v>
      </x:c>
      <x:c r="B574" s="21" t="n">
        <x:v>75</x:v>
      </x:c>
      <x:c r="C574" s="21" t="n">
        <x:v>4</x:v>
      </x:c>
      <x:c r="D574" s="21" t="n">
        <x:v>2</x:v>
      </x:c>
      <x:c r="E574" s="21" t="str">
        <x:v>4000rpm</x:v>
      </x:c>
      <x:c r="F574" s="21" t="n">
        <x:v>148</x:v>
      </x:c>
      <x:c r="G574" s="22" t="n">
        <x:f>IFERROR('4000rpm'!P148,"")</x:f>
        <x:v>2.08384929405858</x:v>
      </x:c>
      <x:c r="H574" s="22" t="n">
        <x:f>IFERROR('4000rpm'!M148,"")</x:f>
        <x:v>4003.61630249023</x:v>
      </x:c>
      <x:c r="I574" s="22" t="n">
        <x:f>IFERROR('4000rpm'!O148,"")</x:f>
        <x:v>1873.9925999999998</x:v>
      </x:c>
      <x:c r="J574" s="22" t="n">
        <x:f>IFERROR('4000rpm'!O145,"")</x:f>
        <x:v>33.09986428571428</x:v>
      </x:c>
      <x:c r="K574" s="22" t="n">
        <x:f>IF(AND(ISNUMBER(I574),ISNUMBER(J574)),I574-J574,"")</x:f>
        <x:v>1840.8927357142854</x:v>
      </x:c>
      <x:c r="L574" s="22" t="n">
        <x:f>IF(ISNUMBER(K574),K574*$B$2+$B$3,"")</x:f>
        <x:v>1714.488905235457</x:v>
      </x:c>
      <x:c r="M574" s="22" t="n">
        <x:f>IF(AND(ISNUMBER(G574),ISNUMBER(H574),H574&lt;&gt;0),G574/(H574/60)/$B$5,"")</x:f>
        <x:v>0.06830600519725011</x:v>
      </x:c>
      <x:c r="N574" s="22" t="n">
        <x:f>IF(AND(ISNUMBER(L574),ISNUMBER(H574),H574&lt;&gt;0),L574*$B$6/$B$4/(H574/60)^2/$B$5^4/$B$7,"")</x:f>
        <x:v>0.07167148842751382</x:v>
      </x:c>
      <x:c r="O574" s="22" t="n">
        <x:f>IF(ISNUMBER(N574),N574*$B$8,"")</x:f>
        <x:v>0.00926013825543934</x:v>
      </x:c>
      <x:c r="P574" s="20" t="str">
        <x:v>4000rpm!P148</x:v>
      </x:c>
      <x:c r="Q574" s="20" t="str">
        <x:v>4000rpm!O148</x:v>
      </x:c>
      <x:c r="R574" s="20" t="str">
        <x:v>4000rpm!O145</x:v>
      </x:c>
    </x:row>
    <x:row r="575">
      <x:c r="A575" s="21" t="n">
        <x:v>4000</x:v>
      </x:c>
      <x:c r="B575" s="21" t="n">
        <x:v>75</x:v>
      </x:c>
      <x:c r="C575" s="21" t="n">
        <x:v>5</x:v>
      </x:c>
      <x:c r="D575" s="21" t="n">
        <x:v>1</x:v>
      </x:c>
      <x:c r="E575" s="21" t="str">
        <x:v>4000rpm</x:v>
      </x:c>
      <x:c r="F575" s="21" t="n">
        <x:v>149</x:v>
      </x:c>
      <x:c r="G575" s="22" t="n">
        <x:f>IFERROR('4000rpm'!E149,"")</x:f>
        <x:v>3.12798203527926</x:v>
      </x:c>
      <x:c r="H575" s="22" t="n">
        <x:f>IFERROR('4000rpm'!B149,"")</x:f>
        <x:v>4068.69390314275</x:v>
      </x:c>
      <x:c r="I575" s="22" t="n">
        <x:f>IFERROR('4000rpm'!D149,"")</x:f>
        <x:v>1824.7083317972263</x:v>
      </x:c>
      <x:c r="J575" s="22" t="n">
        <x:f>IFERROR('4000rpm'!D145,"")</x:f>
        <x:v>37.29982999999993</x:v>
      </x:c>
      <x:c r="K575" s="22" t="n">
        <x:f>IF(AND(ISNUMBER(I575),ISNUMBER(J575)),I575-J575,"")</x:f>
        <x:v>1787.4085017972263</x:v>
      </x:c>
      <x:c r="L575" s="22" t="n">
        <x:f>IF(ISNUMBER(K575),K575*$B$2+$B$3,"")</x:f>
        <x:v>1665.5129643637345</x:v>
      </x:c>
      <x:c r="M575" s="22" t="n">
        <x:f>IF(AND(ISNUMBER(G575),ISNUMBER(H575),H575&lt;&gt;0),G575/(H575/60)/$B$5,"")</x:f>
        <x:v>0.10089142605986291</x:v>
      </x:c>
      <x:c r="N575" s="22" t="n">
        <x:f>IF(AND(ISNUMBER(L575),ISNUMBER(H575),H575&lt;&gt;0),L575*$B$6/$B$4/(H575/60)^2/$B$5^4/$B$7,"")</x:f>
        <x:v>0.06741470275287986</x:v>
      </x:c>
      <x:c r="O575" s="22" t="n">
        <x:f>IF(ISNUMBER(N575),N575*$B$8,"")</x:f>
        <x:v>0.008710150739681932</x:v>
      </x:c>
      <x:c r="P575" s="20" t="str">
        <x:v>4000rpm!E149</x:v>
      </x:c>
      <x:c r="Q575" s="20" t="str">
        <x:v>4000rpm!D149</x:v>
      </x:c>
      <x:c r="R575" s="20" t="str">
        <x:v>4000rpm!D145</x:v>
      </x:c>
    </x:row>
    <x:row r="576">
      <x:c r="A576" s="21" t="n">
        <x:v>4000</x:v>
      </x:c>
      <x:c r="B576" s="21" t="n">
        <x:v>75</x:v>
      </x:c>
      <x:c r="C576" s="21" t="n">
        <x:v>5</x:v>
      </x:c>
      <x:c r="D576" s="21" t="n">
        <x:v>2</x:v>
      </x:c>
      <x:c r="E576" s="21" t="str">
        <x:v>4000rpm</x:v>
      </x:c>
      <x:c r="F576" s="21" t="n">
        <x:v>149</x:v>
      </x:c>
      <x:c r="G576" s="22" t="n">
        <x:f>IFERROR('4000rpm'!P149,"")</x:f>
        <x:v>3.11893510258437</x:v>
      </x:c>
      <x:c r="H576" s="22" t="n">
        <x:f>IFERROR('4000rpm'!M149,"")</x:f>
        <x:v>4006.30911458333</x:v>
      </x:c>
      <x:c r="I576" s="22" t="n">
        <x:f>IFERROR('4000rpm'!O149,"")</x:f>
        <x:v>1770.5948282828272</x:v>
      </x:c>
      <x:c r="J576" s="22" t="n">
        <x:f>IFERROR('4000rpm'!O145,"")</x:f>
        <x:v>33.09986428571428</x:v>
      </x:c>
      <x:c r="K576" s="22" t="n">
        <x:f>IF(AND(ISNUMBER(I576),ISNUMBER(J576)),I576-J576,"")</x:f>
        <x:v>1737.4949639971128</x:v>
      </x:c>
      <x:c r="L576" s="22" t="n">
        <x:f>IF(ISNUMBER(K576),K576*$B$2+$B$3,"")</x:f>
        <x:v>1619.8067384918681</x:v>
      </x:c>
      <x:c r="M576" s="22" t="n">
        <x:f>IF(AND(ISNUMBER(G576),ISNUMBER(H576),H576&lt;&gt;0),G576/(H576/60)/$B$5,"")</x:f>
        <x:v>0.10216612270149192</x:v>
      </x:c>
      <x:c r="N576" s="22" t="n">
        <x:f>IF(AND(ISNUMBER(L576),ISNUMBER(H576),H576&lt;&gt;0),L576*$B$6/$B$4/(H576/60)^2/$B$5^4/$B$7,"")</x:f>
        <x:v>0.06762245503777958</x:v>
      </x:c>
      <x:c r="O576" s="22" t="n">
        <x:f>IF(ISNUMBER(N576),N576*$B$8,"")</x:f>
        <x:v>0.008736992862306475</x:v>
      </x:c>
      <x:c r="P576" s="20" t="str">
        <x:v>4000rpm!P149</x:v>
      </x:c>
      <x:c r="Q576" s="20" t="str">
        <x:v>4000rpm!O149</x:v>
      </x:c>
      <x:c r="R576" s="20" t="str">
        <x:v>4000rpm!O145</x:v>
      </x:c>
    </x:row>
    <x:row r="577">
      <x:c r="A577" s="21" t="n">
        <x:v>4000</x:v>
      </x:c>
      <x:c r="B577" s="21" t="n">
        <x:v>75</x:v>
      </x:c>
      <x:c r="C577" s="21" t="n">
        <x:v>6</x:v>
      </x:c>
      <x:c r="D577" s="21" t="n">
        <x:v>1</x:v>
      </x:c>
      <x:c r="E577" s="21" t="str">
        <x:v>4000rpm</x:v>
      </x:c>
      <x:c r="F577" s="21" t="n">
        <x:v>150</x:v>
      </x:c>
      <x:c r="G577" s="22" t="n">
        <x:f>IFERROR('4000rpm'!E150,"")</x:f>
        <x:v>4.15438898129037</x:v>
      </x:c>
      <x:c r="H577" s="22" t="n">
        <x:f>IFERROR('4000rpm'!B150,"")</x:f>
        <x:v>4056.50727696572</x:v>
      </x:c>
      <x:c r="I577" s="22" t="n">
        <x:f>IFERROR('4000rpm'!D150,"")</x:f>
        <x:v>1696.061935749583</x:v>
      </x:c>
      <x:c r="J577" s="22" t="n">
        <x:f>IFERROR('4000rpm'!D145,"")</x:f>
        <x:v>37.29982999999993</x:v>
      </x:c>
      <x:c r="K577" s="22" t="n">
        <x:f>IF(AND(ISNUMBER(I577),ISNUMBER(J577)),I577-J577,"")</x:f>
        <x:v>1658.762105749583</x:v>
      </x:c>
      <x:c r="L577" s="22" t="n">
        <x:f>IF(ISNUMBER(K577),K577*$B$2+$B$3,"")</x:f>
        <x:v>1547.7104303317392</x:v>
      </x:c>
      <x:c r="M577" s="22" t="n">
        <x:f>IF(AND(ISNUMBER(G577),ISNUMBER(H577),H577&lt;&gt;0),G577/(H577/60)/$B$5,"")</x:f>
        <x:v>0.13440020370840375</x:v>
      </x:c>
      <x:c r="N577" s="22" t="n">
        <x:f>IF(AND(ISNUMBER(L577),ISNUMBER(H577),H577&lt;&gt;0),L577*$B$6/$B$4/(H577/60)^2/$B$5^4/$B$7,"")</x:f>
        <x:v>0.06302340063615294</x:v>
      </x:c>
      <x:c r="O577" s="22" t="n">
        <x:f>IF(ISNUMBER(N577),N577*$B$8,"")</x:f>
        <x:v>0.008142783358112606</x:v>
      </x:c>
      <x:c r="P577" s="20" t="str">
        <x:v>4000rpm!E150</x:v>
      </x:c>
      <x:c r="Q577" s="20" t="str">
        <x:v>4000rpm!D150</x:v>
      </x:c>
      <x:c r="R577" s="20" t="str">
        <x:v>4000rpm!D145</x:v>
      </x:c>
    </x:row>
    <x:row r="578">
      <x:c r="A578" s="21" t="n">
        <x:v>4000</x:v>
      </x:c>
      <x:c r="B578" s="21" t="n">
        <x:v>75</x:v>
      </x:c>
      <x:c r="C578" s="21" t="n">
        <x:v>6</x:v>
      </x:c>
      <x:c r="D578" s="21" t="n">
        <x:v>2</x:v>
      </x:c>
      <x:c r="E578" s="21" t="str">
        <x:v>4000rpm</x:v>
      </x:c>
      <x:c r="F578" s="21" t="n">
        <x:v>150</x:v>
      </x:c>
      <x:c r="G578" s="22" t="n">
        <x:f>IFERROR('4000rpm'!P150,"")</x:f>
        <x:v>4.1467935097356605</x:v>
      </x:c>
      <x:c r="H578" s="22" t="n">
        <x:f>IFERROR('4000rpm'!M150,"")</x:f>
        <x:v>4005.27030273437</x:v>
      </x:c>
      <x:c r="I578" s="22" t="n">
        <x:f>IFERROR('4000rpm'!O150,"")</x:f>
        <x:v>1654.8942023346253</x:v>
      </x:c>
      <x:c r="J578" s="22" t="n">
        <x:f>IFERROR('4000rpm'!O145,"")</x:f>
        <x:v>33.09986428571428</x:v>
      </x:c>
      <x:c r="K578" s="22" t="n">
        <x:f>IF(AND(ISNUMBER(I578),ISNUMBER(J578)),I578-J578,"")</x:f>
        <x:v>1621.794338048911</x:v>
      </x:c>
      <x:c r="L578" s="22" t="n">
        <x:f>IF(ISNUMBER(K578),K578*$B$2+$B$3,"")</x:f>
        <x:v>1513.858749706092</x:v>
      </x:c>
      <x:c r="M578" s="22" t="n">
        <x:f>IF(AND(ISNUMBER(G578),ISNUMBER(H578),H578&lt;&gt;0),G578/(H578/60)/$B$5,"")</x:f>
        <x:v>0.1358706359851342</x:v>
      </x:c>
      <x:c r="N578" s="22" t="n">
        <x:f>IF(AND(ISNUMBER(L578),ISNUMBER(H578),H578&lt;&gt;0),L578*$B$6/$B$4/(H578/60)^2/$B$5^4/$B$7,"")</x:f>
        <x:v>0.0632322065006034</x:v>
      </x:c>
      <x:c r="O578" s="22" t="n">
        <x:f>IF(ISNUMBER(N578),N578*$B$8,"")</x:f>
        <x:v>0.008169761605889801</x:v>
      </x:c>
      <x:c r="P578" s="20" t="str">
        <x:v>4000rpm!P150</x:v>
      </x:c>
      <x:c r="Q578" s="20" t="str">
        <x:v>4000rpm!O150</x:v>
      </x:c>
      <x:c r="R578" s="20" t="str">
        <x:v>4000rpm!O145</x:v>
      </x:c>
    </x:row>
    <x:row r="579">
      <x:c r="A579" s="21" t="n">
        <x:v>4000</x:v>
      </x:c>
      <x:c r="B579" s="21" t="n">
        <x:v>75</x:v>
      </x:c>
      <x:c r="C579" s="21" t="n">
        <x:v>7</x:v>
      </x:c>
      <x:c r="D579" s="21" t="n">
        <x:v>1</x:v>
      </x:c>
      <x:c r="E579" s="21" t="str">
        <x:v>4000rpm</x:v>
      </x:c>
      <x:c r="F579" s="21" t="n">
        <x:v>151</x:v>
      </x:c>
      <x:c r="G579" s="22" t="n">
        <x:f>IFERROR('4000rpm'!E151,"")</x:f>
        <x:v>5.175194406746234</x:v>
      </x:c>
      <x:c r="H579" s="22" t="n">
        <x:f>IFERROR('4000rpm'!B151,"")</x:f>
        <x:v>4056.00952148437</x:v>
      </x:c>
      <x:c r="I579" s="22" t="n">
        <x:f>IFERROR('4000rpm'!D151,"")</x:f>
        <x:v>1566.1669601990027</x:v>
      </x:c>
      <x:c r="J579" s="22" t="n">
        <x:f>IFERROR('4000rpm'!D145,"")</x:f>
        <x:v>37.29982999999993</x:v>
      </x:c>
      <x:c r="K579" s="22" t="n">
        <x:f>IF(AND(ISNUMBER(I579),ISNUMBER(J579)),I579-J579,"")</x:f>
        <x:v>1528.8671301990028</x:v>
      </x:c>
      <x:c r="L579" s="22" t="n">
        <x:f>IF(ISNUMBER(K579),K579*$B$2+$B$3,"")</x:f>
        <x:v>1428.7645620602684</x:v>
      </x:c>
      <x:c r="M579" s="22" t="n">
        <x:f>IF(AND(ISNUMBER(G579),ISNUMBER(H579),H579&lt;&gt;0),G579/(H579/60)/$B$5,"")</x:f>
        <x:v>0.16744521120244366</x:v>
      </x:c>
      <x:c r="N579" s="22" t="n">
        <x:f>IF(AND(ISNUMBER(L579),ISNUMBER(H579),H579&lt;&gt;0),L579*$B$6/$B$4/(H579/60)^2/$B$5^4/$B$7,"")</x:f>
        <x:v>0.05819415691807916</x:v>
      </x:c>
      <x:c r="O579" s="22" t="n">
        <x:f>IF(ISNUMBER(N579),N579*$B$8,"")</x:f>
        <x:v>0.007518832809857942</x:v>
      </x:c>
      <x:c r="P579" s="20" t="str">
        <x:v>4000rpm!E151</x:v>
      </x:c>
      <x:c r="Q579" s="20" t="str">
        <x:v>4000rpm!D151</x:v>
      </x:c>
      <x:c r="R579" s="20" t="str">
        <x:v>4000rpm!D145</x:v>
      </x:c>
    </x:row>
    <x:row r="580">
      <x:c r="A580" s="21" t="n">
        <x:v>4000</x:v>
      </x:c>
      <x:c r="B580" s="21" t="n">
        <x:v>75</x:v>
      </x:c>
      <x:c r="C580" s="21" t="n">
        <x:v>7</x:v>
      </x:c>
      <x:c r="D580" s="21" t="n">
        <x:v>2</x:v>
      </x:c>
      <x:c r="E580" s="21" t="str">
        <x:v>4000rpm</x:v>
      </x:c>
      <x:c r="F580" s="21" t="n">
        <x:v>151</x:v>
      </x:c>
      <x:c r="G580" s="22" t="n">
        <x:f>IFERROR('4000rpm'!P151,"")</x:f>
        <x:v>5.167025780055059</x:v>
      </x:c>
      <x:c r="H580" s="22" t="n">
        <x:f>IFERROR('4000rpm'!M151,"")</x:f>
        <x:v>4020.1202980324</x:v>
      </x:c>
      <x:c r="I580" s="22" t="n">
        <x:f>IFERROR('4000rpm'!O151,"")</x:f>
        <x:v>1523.2479906716328</x:v>
      </x:c>
      <x:c r="J580" s="22" t="n">
        <x:f>IFERROR('4000rpm'!O145,"")</x:f>
        <x:v>33.09986428571428</x:v>
      </x:c>
      <x:c r="K580" s="22" t="n">
        <x:f>IF(AND(ISNUMBER(I580),ISNUMBER(J580)),I580-J580,"")</x:f>
        <x:v>1490.1481263859184</x:v>
      </x:c>
      <x:c r="L580" s="22" t="n">
        <x:f>IF(ISNUMBER(K580),K580*$B$2+$B$3,"")</x:f>
        <x:v>1393.3092605165966</x:v>
      </x:c>
      <x:c r="M580" s="22" t="n">
        <x:f>IF(AND(ISNUMBER(G580),ISNUMBER(H580),H580&lt;&gt;0),G580/(H580/60)/$B$5,"")</x:f>
        <x:v>0.16867340339106754</x:v>
      </x:c>
      <x:c r="N580" s="22" t="n">
        <x:f>IF(AND(ISNUMBER(L580),ISNUMBER(H580),H580&lt;&gt;0),L580*$B$6/$B$4/(H580/60)^2/$B$5^4/$B$7,"")</x:f>
        <x:v>0.05776783188019365</x:v>
      </x:c>
      <x:c r="O580" s="22" t="n">
        <x:f>IF(ISNUMBER(N580),N580*$B$8,"")</x:f>
        <x:v>0.007463750532662486</x:v>
      </x:c>
      <x:c r="P580" s="20" t="str">
        <x:v>4000rpm!P151</x:v>
      </x:c>
      <x:c r="Q580" s="20" t="str">
        <x:v>4000rpm!O151</x:v>
      </x:c>
      <x:c r="R580" s="20" t="str">
        <x:v>4000rpm!O145</x:v>
      </x:c>
    </x:row>
    <x:row r="581">
      <x:c r="A581" s="21" t="n">
        <x:v>4000</x:v>
      </x:c>
      <x:c r="B581" s="21" t="n">
        <x:v>75</x:v>
      </x:c>
      <x:c r="C581" s="21" t="n">
        <x:v>8</x:v>
      </x:c>
      <x:c r="D581" s="21" t="n">
        <x:v>1</x:v>
      </x:c>
      <x:c r="E581" s="21" t="str">
        <x:v>4000rpm</x:v>
      </x:c>
      <x:c r="F581" s="21" t="n">
        <x:v>152</x:v>
      </x:c>
      <x:c r="G581" s="22" t="n">
        <x:f>IFERROR('4000rpm'!E152,"")</x:f>
        <x:v>6.100020350399101</x:v>
      </x:c>
      <x:c r="H581" s="22" t="n">
        <x:f>IFERROR('4000rpm'!B152,"")</x:f>
        <x:v>4062.62263627485</x:v>
      </x:c>
      <x:c r="I581" s="22" t="n">
        <x:f>IFERROR('4000rpm'!D152,"")</x:f>
        <x:v>1459.999172413792</x:v>
      </x:c>
      <x:c r="J581" s="22" t="n">
        <x:f>IFERROR('4000rpm'!D145,"")</x:f>
        <x:v>37.29982999999993</x:v>
      </x:c>
      <x:c r="K581" s="22" t="n">
        <x:f>IF(AND(ISNUMBER(I581),ISNUMBER(J581)),I581-J581,"")</x:f>
        <x:v>1422.699342413792</x:v>
      </x:c>
      <x:c r="L581" s="22" t="n">
        <x:f>IF(ISNUMBER(K581),K581*$B$2+$B$3,"")</x:f>
        <x:v>1331.5458694430488</x:v>
      </x:c>
      <x:c r="M581" s="22" t="n">
        <x:f>IF(AND(ISNUMBER(G581),ISNUMBER(H581),H581&lt;&gt;0),G581/(H581/60)/$B$5,"")</x:f>
        <x:v>0.1970470005979393</x:v>
      </x:c>
      <x:c r="N581" s="22" t="n">
        <x:f>IF(AND(ISNUMBER(L581),ISNUMBER(H581),H581&lt;&gt;0),L581*$B$6/$B$4/(H581/60)^2/$B$5^4/$B$7,"")</x:f>
        <x:v>0.05405797914200888</x:v>
      </x:c>
      <x:c r="O581" s="22" t="n">
        <x:f>IF(ISNUMBER(N581),N581*$B$8,"")</x:f>
        <x:v>0.0069844281407792</x:v>
      </x:c>
      <x:c r="P581" s="20" t="str">
        <x:v>4000rpm!E152</x:v>
      </x:c>
      <x:c r="Q581" s="20" t="str">
        <x:v>4000rpm!D152</x:v>
      </x:c>
      <x:c r="R581" s="20" t="str">
        <x:v>4000rpm!D145</x:v>
      </x:c>
    </x:row>
    <x:row r="582">
      <x:c r="A582" s="21" t="n">
        <x:v>4000</x:v>
      </x:c>
      <x:c r="B582" s="21" t="n">
        <x:v>75</x:v>
      </x:c>
      <x:c r="C582" s="21" t="n">
        <x:v>8</x:v>
      </x:c>
      <x:c r="D582" s="21" t="n">
        <x:v>2</x:v>
      </x:c>
      <x:c r="E582" s="21" t="str">
        <x:v>4000rpm</x:v>
      </x:c>
      <x:c r="F582" s="21" t="n">
        <x:v>152</x:v>
      </x:c>
      <x:c r="G582" s="22" t="n">
        <x:f>IFERROR('4000rpm'!P152,"")</x:f>
        <x:v>6.192514787161395</x:v>
      </x:c>
      <x:c r="H582" s="22" t="n">
        <x:f>IFERROR('4000rpm'!M152,"")</x:f>
        <x:v>4026.30159859035</x:v>
      </x:c>
      <x:c r="I582" s="22" t="n">
        <x:f>IFERROR('4000rpm'!O152,"")</x:f>
        <x:v>1402.2083907284755</x:v>
      </x:c>
      <x:c r="J582" s="22" t="n">
        <x:f>IFERROR('4000rpm'!O145,"")</x:f>
        <x:v>33.09986428571428</x:v>
      </x:c>
      <x:c r="K582" s="22" t="n">
        <x:f>IF(AND(ISNUMBER(I582),ISNUMBER(J582)),I582-J582,"")</x:f>
        <x:v>1369.108526442761</x:v>
      </x:c>
      <x:c r="L582" s="22" t="n">
        <x:f>IF(ISNUMBER(K582),K582*$B$2+$B$3,"")</x:f>
        <x:v>1282.472330531848</x:v>
      </x:c>
      <x:c r="M582" s="22" t="n">
        <x:f>IF(AND(ISNUMBER(G582),ISNUMBER(H582),H582&lt;&gt;0),G582/(H582/60)/$B$5,"")</x:f>
        <x:v>0.2018393214387206</x:v>
      </x:c>
      <x:c r="N582" s="22" t="n">
        <x:f>IF(AND(ISNUMBER(L582),ISNUMBER(H582),H582&lt;&gt;0),L582*$B$6/$B$4/(H582/60)^2/$B$5^4/$B$7,"")</x:f>
        <x:v>0.05300929637032563</x:v>
      </x:c>
      <x:c r="O582" s="22" t="n">
        <x:f>IF(ISNUMBER(N582),N582*$B$8,"")</x:f>
        <x:v>0.006848935664413154</x:v>
      </x:c>
      <x:c r="P582" s="20" t="str">
        <x:v>4000rpm!P152</x:v>
      </x:c>
      <x:c r="Q582" s="20" t="str">
        <x:v>4000rpm!O152</x:v>
      </x:c>
      <x:c r="R582" s="20" t="str">
        <x:v>4000rpm!O145</x:v>
      </x:c>
    </x:row>
    <x:row r="583">
      <x:c r="A583" s="21" t="n">
        <x:v>4000</x:v>
      </x:c>
      <x:c r="B583" s="21" t="n">
        <x:v>75</x:v>
      </x:c>
      <x:c r="C583" s="21" t="n">
        <x:v>9</x:v>
      </x:c>
      <x:c r="D583" s="21" t="n">
        <x:v>1</x:v>
      </x:c>
      <x:c r="E583" s="21" t="str">
        <x:v>4000rpm</x:v>
      </x:c>
      <x:c r="F583" s="21" t="n">
        <x:v>153</x:v>
      </x:c>
      <x:c r="G583" s="22" t="n">
        <x:f>IFERROR('4000rpm'!E153,"")</x:f>
        <x:v>7.213186663550295</x:v>
      </x:c>
      <x:c r="H583" s="22" t="n">
        <x:f>IFERROR('4000rpm'!B153,"")</x:f>
        <x:v>4107.17530406605</x:v>
      </x:c>
      <x:c r="I583" s="22" t="n">
        <x:f>IFERROR('4000rpm'!D153,"")</x:f>
        <x:v>1326.2021999999997</x:v>
      </x:c>
      <x:c r="J583" s="22" t="n">
        <x:f>IFERROR('4000rpm'!D145,"")</x:f>
        <x:v>37.29982999999993</x:v>
      </x:c>
      <x:c r="K583" s="22" t="n">
        <x:f>IF(AND(ISNUMBER(I583),ISNUMBER(J583)),I583-J583,"")</x:f>
        <x:v>1288.9023699999998</x:v>
      </x:c>
      <x:c r="L583" s="22" t="n">
        <x:f>IF(ISNUMBER(K583),K583*$B$2+$B$3,"")</x:f>
        <x:v>1209.02691142796</x:v>
      </x:c>
      <x:c r="M583" s="22" t="n">
        <x:f>IF(AND(ISNUMBER(G583),ISNUMBER(H583),H583&lt;&gt;0),G583/(H583/60)/$B$5,"")</x:f>
        <x:v>0.23047772567705174</x:v>
      </x:c>
      <x:c r="N583" s="22" t="n">
        <x:f>IF(AND(ISNUMBER(L583),ISNUMBER(H583),H583&lt;&gt;0),L583*$B$6/$B$4/(H583/60)^2/$B$5^4/$B$7,"")</x:f>
        <x:v>0.04802486254608096</x:v>
      </x:c>
      <x:c r="O583" s="22" t="n">
        <x:f>IF(ISNUMBER(N583),N583*$B$8,"")</x:f>
        <x:v>0.0062049341604639915</x:v>
      </x:c>
      <x:c r="P583" s="20" t="str">
        <x:v>4000rpm!E153</x:v>
      </x:c>
      <x:c r="Q583" s="20" t="str">
        <x:v>4000rpm!D153</x:v>
      </x:c>
      <x:c r="R583" s="20" t="str">
        <x:v>4000rpm!D145</x:v>
      </x:c>
    </x:row>
    <x:row r="584">
      <x:c r="A584" s="21" t="n">
        <x:v>4000</x:v>
      </x:c>
      <x:c r="B584" s="21" t="n">
        <x:v>75</x:v>
      </x:c>
      <x:c r="C584" s="21" t="n">
        <x:v>9</x:v>
      </x:c>
      <x:c r="D584" s="21" t="n">
        <x:v>2</x:v>
      </x:c>
      <x:c r="E584" s="21" t="str">
        <x:v>4000rpm</x:v>
      </x:c>
      <x:c r="F584" s="21" t="n">
        <x:v>153</x:v>
      </x:c>
      <x:c r="G584" s="22" t="n">
        <x:f>IFERROR('4000rpm'!P153,"")</x:f>
        <x:v>7.209443930122575</x:v>
      </x:c>
      <x:c r="H584" s="22" t="n">
        <x:f>IFERROR('4000rpm'!M153,"")</x:f>
        <x:v>4063.05666387648</x:v>
      </x:c>
      <x:c r="I584" s="22" t="n">
        <x:f>IFERROR('4000rpm'!O153,"")</x:f>
        <x:v>1284.262233256351</x:v>
      </x:c>
      <x:c r="J584" s="22" t="n">
        <x:f>IFERROR('4000rpm'!O145,"")</x:f>
        <x:v>33.09986428571428</x:v>
      </x:c>
      <x:c r="K584" s="22" t="n">
        <x:f>IF(AND(ISNUMBER(I584),ISNUMBER(J584)),I584-J584,"")</x:f>
        <x:v>1251.1623689706366</x:v>
      </x:c>
      <x:c r="L584" s="22" t="n">
        <x:f>IF(ISNUMBER(K584),K584*$B$2+$B$3,"")</x:f>
        <x:v>1174.4680905653638</x:v>
      </x:c>
      <x:c r="M584" s="22" t="n">
        <x:f>IF(AND(ISNUMBER(G584),ISNUMBER(H584),H584&lt;&gt;0),G584/(H584/60)/$B$5,"")</x:f>
        <x:v>0.23285947722165876</x:v>
      </x:c>
      <x:c r="N584" s="22" t="n">
        <x:f>IF(AND(ISNUMBER(L584),ISNUMBER(H584),H584&lt;&gt;0),L584*$B$6/$B$4/(H584/60)^2/$B$5^4/$B$7,"")</x:f>
        <x:v>0.0476707633458308</x:v>
      </x:c>
      <x:c r="O584" s="22" t="n">
        <x:f>IF(ISNUMBER(N584),N584*$B$8,"")</x:f>
        <x:v>0.00615918364484894</x:v>
      </x:c>
      <x:c r="P584" s="20" t="str">
        <x:v>4000rpm!P153</x:v>
      </x:c>
      <x:c r="Q584" s="20" t="str">
        <x:v>4000rpm!O153</x:v>
      </x:c>
      <x:c r="R584" s="20" t="str">
        <x:v>4000rpm!O145</x:v>
      </x:c>
    </x:row>
    <x:row r="585">
      <x:c r="A585" s="21" t="n">
        <x:v>4000</x:v>
      </x:c>
      <x:c r="B585" s="21" t="n">
        <x:v>75</x:v>
      </x:c>
      <x:c r="C585" s="21" t="n">
        <x:v>10</x:v>
      </x:c>
      <x:c r="D585" s="21" t="n">
        <x:v>1</x:v>
      </x:c>
      <x:c r="E585" s="21" t="str">
        <x:v>4000rpm</x:v>
      </x:c>
      <x:c r="F585" s="21" t="n">
        <x:v>154</x:v>
      </x:c>
      <x:c r="G585" s="22" t="n">
        <x:f>IFERROR('4000rpm'!E154,"")</x:f>
        <x:v>8.24313585460185</x:v>
      </x:c>
      <x:c r="H585" s="22" t="n">
        <x:f>IFERROR('4000rpm'!B154,"")</x:f>
        <x:v>4128.91960063733</x:v>
      </x:c>
      <x:c r="I585" s="22" t="n">
        <x:f>IFERROR('4000rpm'!D154,"")</x:f>
        <x:v>1205.6145900783258</x:v>
      </x:c>
      <x:c r="J585" s="22" t="n">
        <x:f>IFERROR('4000rpm'!D145,"")</x:f>
        <x:v>37.29982999999993</x:v>
      </x:c>
      <x:c r="K585" s="22" t="n">
        <x:f>IF(AND(ISNUMBER(I585),ISNUMBER(J585)),I585-J585,"")</x:f>
        <x:v>1168.314760078326</x:v>
      </x:c>
      <x:c r="L585" s="22" t="n">
        <x:f>IF(ISNUMBER(K585),K585*$B$2+$B$3,"")</x:f>
        <x:v>1098.6038723218037</x:v>
      </x:c>
      <x:c r="M585" s="22" t="n">
        <x:f>IF(AND(ISNUMBER(G585),ISNUMBER(H585),H585&lt;&gt;0),G585/(H585/60)/$B$5,"")</x:f>
        <x:v>0.2619998603762237</x:v>
      </x:c>
      <x:c r="N585" s="22" t="n">
        <x:f>IF(AND(ISNUMBER(L585),ISNUMBER(H585),H585&lt;&gt;0),L585*$B$6/$B$4/(H585/60)^2/$B$5^4/$B$7,"")</x:f>
        <x:v>0.04318022645252632</x:v>
      </x:c>
      <x:c r="O585" s="22" t="n">
        <x:f>IF(ISNUMBER(N585),N585*$B$8,"")</x:f>
        <x:v>0.005578994878220963</x:v>
      </x:c>
      <x:c r="P585" s="20" t="str">
        <x:v>4000rpm!E154</x:v>
      </x:c>
      <x:c r="Q585" s="20" t="str">
        <x:v>4000rpm!D154</x:v>
      </x:c>
      <x:c r="R585" s="20" t="str">
        <x:v>4000rpm!D145</x:v>
      </x:c>
    </x:row>
    <x:row r="586">
      <x:c r="A586" s="21" t="n">
        <x:v>4000</x:v>
      </x:c>
      <x:c r="B586" s="21" t="n">
        <x:v>75</x:v>
      </x:c>
      <x:c r="C586" s="21" t="n">
        <x:v>10</x:v>
      </x:c>
      <x:c r="D586" s="21" t="n">
        <x:v>2</x:v>
      </x:c>
      <x:c r="E586" s="21" t="str">
        <x:v>4000rpm</x:v>
      </x:c>
      <x:c r="F586" s="21" t="n">
        <x:v>154</x:v>
      </x:c>
      <x:c r="G586" s="22" t="n">
        <x:f>IFERROR('4000rpm'!P154,"")</x:f>
        <x:v>8.24007515245647</x:v>
      </x:c>
      <x:c r="H586" s="22" t="n">
        <x:f>IFERROR('4000rpm'!M154,"")</x:f>
        <x:v>4082.91817801339</x:v>
      </x:c>
      <x:c r="I586" s="22" t="n">
        <x:f>IFERROR('4000rpm'!O154,"")</x:f>
        <x:v>1163.519992805746</x:v>
      </x:c>
      <x:c r="J586" s="22" t="n">
        <x:f>IFERROR('4000rpm'!O145,"")</x:f>
        <x:v>33.09986428571428</x:v>
      </x:c>
      <x:c r="K586" s="22" t="n">
        <x:f>IF(AND(ISNUMBER(I586),ISNUMBER(J586)),I586-J586,"")</x:f>
        <x:v>1130.4201285200315</x:v>
      </x:c>
      <x:c r="L586" s="22" t="n">
        <x:f>IF(ISNUMBER(K586),K586*$B$2+$B$3,"")</x:f>
        <x:v>1063.9034550468211</x:v>
      </x:c>
      <x:c r="M586" s="22" t="n">
        <x:f>IF(AND(ISNUMBER(G586),ISNUMBER(H586),H586&lt;&gt;0),G586/(H586/60)/$B$5,"")</x:f>
        <x:v>0.26485338299127553</x:v>
      </x:c>
      <x:c r="N586" s="22" t="n">
        <x:f>IF(AND(ISNUMBER(L586),ISNUMBER(H586),H586&lt;&gt;0),L586*$B$6/$B$4/(H586/60)^2/$B$5^4/$B$7,"")</x:f>
        <x:v>0.04276392000696819</x:v>
      </x:c>
      <x:c r="O586" s="22" t="n">
        <x:f>IF(ISNUMBER(N586),N586*$B$8,"")</x:f>
        <x:v>0.0055252070285881525</x:v>
      </x:c>
      <x:c r="P586" s="20" t="str">
        <x:v>4000rpm!P154</x:v>
      </x:c>
      <x:c r="Q586" s="20" t="str">
        <x:v>4000rpm!O154</x:v>
      </x:c>
      <x:c r="R586" s="20" t="str">
        <x:v>4000rpm!O145</x:v>
      </x:c>
    </x:row>
    <x:row r="587">
      <x:c r="A587" s="21" t="n">
        <x:v>4000</x:v>
      </x:c>
      <x:c r="B587" s="21" t="n">
        <x:v>75</x:v>
      </x:c>
      <x:c r="C587" s="21" t="n">
        <x:v>11</x:v>
      </x:c>
      <x:c r="D587" s="21" t="n">
        <x:v>1</x:v>
      </x:c>
      <x:c r="E587" s="21" t="str">
        <x:v>4000rpm</x:v>
      </x:c>
      <x:c r="F587" s="21" t="n">
        <x:v>155</x:v>
      </x:c>
      <x:c r="G587" s="22" t="n">
        <x:f>IFERROR('4000rpm'!E155,"")</x:f>
        <x:v>9.25406532029847</x:v>
      </x:c>
      <x:c r="H587" s="22" t="n">
        <x:f>IFERROR('4000rpm'!B155,"")</x:f>
        <x:v>4117.53972833806</x:v>
      </x:c>
      <x:c r="I587" s="22" t="n">
        <x:f>IFERROR('4000rpm'!D155,"")</x:f>
        <x:v>1432.559437923248</x:v>
      </x:c>
      <x:c r="J587" s="22" t="n">
        <x:f>IFERROR('4000rpm'!D145,"")</x:f>
        <x:v>37.29982999999993</x:v>
      </x:c>
      <x:c r="K587" s="22" t="n">
        <x:f>IF(AND(ISNUMBER(I587),ISNUMBER(J587)),I587-J587,"")</x:f>
        <x:v>1395.259607923248</x:v>
      </x:c>
      <x:c r="L587" s="22" t="n">
        <x:f>IF(ISNUMBER(K587),K587*$B$2+$B$3,"")</x:f>
        <x:v>1306.4190850521816</x:v>
      </x:c>
      <x:c r="M587" s="22" t="n">
        <x:f>IF(AND(ISNUMBER(G587),ISNUMBER(H587),H587&lt;&gt;0),G587/(H587/60)/$B$5,"")</x:f>
        <x:v>0.29494415303331734</x:v>
      </x:c>
      <x:c r="N587" s="22" t="n">
        <x:f>IF(AND(ISNUMBER(L587),ISNUMBER(H587),H587&lt;&gt;0),L587*$B$6/$B$4/(H587/60)^2/$B$5^4/$B$7,"")</x:f>
        <x:v>0.05163254860487432</x:v>
      </x:c>
      <x:c r="O587" s="22" t="n">
        <x:f>IF(ISNUMBER(N587),N587*$B$8,"")</x:f>
        <x:v>0.006671056358001928</x:v>
      </x:c>
      <x:c r="P587" s="20" t="str">
        <x:v>4000rpm!E155</x:v>
      </x:c>
      <x:c r="Q587" s="20" t="str">
        <x:v>4000rpm!D155</x:v>
      </x:c>
      <x:c r="R587" s="20" t="str">
        <x:v>4000rpm!D145</x:v>
      </x:c>
    </x:row>
    <x:row r="588">
      <x:c r="A588" s="21" t="n">
        <x:v>4000</x:v>
      </x:c>
      <x:c r="B588" s="21" t="n">
        <x:v>75</x:v>
      </x:c>
      <x:c r="C588" s="21" t="n">
        <x:v>11</x:v>
      </x:c>
      <x:c r="D588" s="21" t="n">
        <x:v>2</x:v>
      </x:c>
      <x:c r="E588" s="21" t="str">
        <x:v>4000rpm</x:v>
      </x:c>
      <x:c r="F588" s="21" t="n">
        <x:v>155</x:v>
      </x:c>
      <x:c r="G588" s="22" t="n">
        <x:f>IFERROR('4000rpm'!P155,"")</x:f>
        <x:v>9.25370351217126</x:v>
      </x:c>
      <x:c r="H588" s="22" t="n">
        <x:f>IFERROR('4000rpm'!M155,"")</x:f>
        <x:v>4092.46562848772</x:v>
      </x:c>
      <x:c r="I588" s="22" t="n">
        <x:f>IFERROR('4000rpm'!O155,"")</x:f>
        <x:v>1015.3979087656519</x:v>
      </x:c>
      <x:c r="J588" s="22" t="n">
        <x:f>IFERROR('4000rpm'!O145,"")</x:f>
        <x:v>33.09986428571428</x:v>
      </x:c>
      <x:c r="K588" s="22" t="n">
        <x:f>IF(AND(ISNUMBER(I588),ISNUMBER(J588)),I588-J588,"")</x:f>
        <x:v>982.2980444799376</x:v>
      </x:c>
      <x:c r="L588" s="22" t="n">
        <x:f>IF(ISNUMBER(K588),K588*$B$2+$B$3,"")</x:f>
        <x:v>928.2668777146347</x:v>
      </x:c>
      <x:c r="M588" s="22" t="n">
        <x:f>IF(AND(ISNUMBER(G588),ISNUMBER(H588),H588&lt;&gt;0),G588/(H588/60)/$B$5,"")</x:f>
        <x:v>0.29673964221489</x:v>
      </x:c>
      <x:c r="N588" s="22" t="n">
        <x:f>IF(AND(ISNUMBER(L588),ISNUMBER(H588),H588&lt;&gt;0),L588*$B$6/$B$4/(H588/60)^2/$B$5^4/$B$7,"")</x:f>
        <x:v>0.0371380772965098</x:v>
      </x:c>
      <x:c r="O588" s="22" t="n">
        <x:f>IF(ISNUMBER(N588),N588*$B$8,"")</x:f>
        <x:v>0.004798333868211576</x:v>
      </x:c>
      <x:c r="P588" s="20" t="str">
        <x:v>4000rpm!P155</x:v>
      </x:c>
      <x:c r="Q588" s="20" t="str">
        <x:v>4000rpm!O155</x:v>
      </x:c>
      <x:c r="R588" s="20" t="str">
        <x:v>4000rpm!O145</x:v>
      </x:c>
    </x:row>
    <x:row r="589">
      <x:c r="A589" s="21" t="n">
        <x:v>4000</x:v>
      </x:c>
      <x:c r="B589" s="21" t="n">
        <x:v>75</x:v>
      </x:c>
      <x:c r="C589" s="21" t="n">
        <x:v>12</x:v>
      </x:c>
      <x:c r="D589" s="21" t="n">
        <x:v>1</x:v>
      </x:c>
      <x:c r="E589" s="21" t="str">
        <x:v>4000rpm</x:v>
      </x:c>
      <x:c r="F589" s="21" t="n">
        <x:v>156</x:v>
      </x:c>
      <x:c r="G589" s="22" t="n">
        <x:f>IFERROR('4000rpm'!E156,"")</x:f>
        <x:v>10.18458447411162</x:v>
      </x:c>
      <x:c r="H589" s="22" t="n">
        <x:f>IFERROR('4000rpm'!B156,"")</x:f>
        <x:v>4156.08629789806</x:v>
      </x:c>
      <x:c r="I589" s="22" t="n">
        <x:f>IFERROR('4000rpm'!D156,"")</x:f>
        <x:v>976.8734964538996</x:v>
      </x:c>
      <x:c r="J589" s="22" t="n">
        <x:f>IFERROR('4000rpm'!D145,"")</x:f>
        <x:v>37.29982999999993</x:v>
      </x:c>
      <x:c r="K589" s="22" t="n">
        <x:f>IF(AND(ISNUMBER(I589),ISNUMBER(J589)),I589-J589,"")</x:f>
        <x:v>939.5736664538997</x:v>
      </x:c>
      <x:c r="L589" s="22" t="n">
        <x:f>IF(ISNUMBER(K589),K589*$B$2+$B$3,"")</x:f>
        <x:v>889.1438229611675</x:v>
      </x:c>
      <x:c r="M589" s="22" t="n">
        <x:f>IF(AND(ISNUMBER(G589),ISNUMBER(H589),H589&lt;&gt;0),G589/(H589/60)/$B$5,"")</x:f>
        <x:v>0.3215909262875102</x:v>
      </x:c>
      <x:c r="N589" s="22" t="n">
        <x:f>IF(AND(ISNUMBER(L589),ISNUMBER(H589),H589&lt;&gt;0),L589*$B$6/$B$4/(H589/60)^2/$B$5^4/$B$7,"")</x:f>
        <x:v>0.0344920927166337</x:v>
      </x:c>
      <x:c r="O589" s="22" t="n">
        <x:f>IF(ISNUMBER(N589),N589*$B$8,"")</x:f>
        <x:v>0.004456465943197098</x:v>
      </x:c>
      <x:c r="P589" s="20" t="str">
        <x:v>4000rpm!E156</x:v>
      </x:c>
      <x:c r="Q589" s="20" t="str">
        <x:v>4000rpm!D156</x:v>
      </x:c>
      <x:c r="R589" s="20" t="str">
        <x:v>4000rpm!D145</x:v>
      </x:c>
    </x:row>
    <x:row r="590">
      <x:c r="A590" s="21" t="n">
        <x:v>4000</x:v>
      </x:c>
      <x:c r="B590" s="21" t="n">
        <x:v>75</x:v>
      </x:c>
      <x:c r="C590" s="21" t="n">
        <x:v>12</x:v>
      </x:c>
      <x:c r="D590" s="21" t="n">
        <x:v>2</x:v>
      </x:c>
      <x:c r="E590" s="21" t="str">
        <x:v>4000rpm</x:v>
      </x:c>
      <x:c r="F590" s="21" t="n">
        <x:v>156</x:v>
      </x:c>
      <x:c r="G590" s="22" t="n">
        <x:f>IFERROR('4000rpm'!P156,"")</x:f>
        <x:v>10.186278292185346</x:v>
      </x:c>
      <x:c r="H590" s="22" t="n">
        <x:f>IFERROR('4000rpm'!M156,"")</x:f>
        <x:v>4098.40589971127</x:v>
      </x:c>
      <x:c r="I590" s="22" t="n">
        <x:f>IFERROR('4000rpm'!O156,"")</x:f>
        <x:v>1029.8274288840257</x:v>
      </x:c>
      <x:c r="J590" s="22" t="n">
        <x:f>IFERROR('4000rpm'!O145,"")</x:f>
        <x:v>33.09986428571428</x:v>
      </x:c>
      <x:c r="K590" s="22" t="n">
        <x:f>IF(AND(ISNUMBER(I590),ISNUMBER(J590)),I590-J590,"")</x:f>
        <x:v>996.7275645983115</x:v>
      </x:c>
      <x:c r="L590" s="22" t="n">
        <x:f>IF(ISNUMBER(K590),K590*$B$2+$B$3,"")</x:f>
        <x:v>941.4801047231905</x:v>
      </x:c>
      <x:c r="M590" s="22" t="n">
        <x:f>IF(AND(ISNUMBER(G590),ISNUMBER(H590),H590&lt;&gt;0),G590/(H590/60)/$B$5,"")</x:f>
        <x:v>0.3261711896819416</x:v>
      </x:c>
      <x:c r="N590" s="22" t="n">
        <x:f>IF(AND(ISNUMBER(L590),ISNUMBER(H590),H590&lt;&gt;0),L590*$B$6/$B$4/(H590/60)^2/$B$5^4/$B$7,"")</x:f>
        <x:v>0.0375576018409231</x:v>
      </x:c>
      <x:c r="O590" s="22" t="n">
        <x:f>IF(ISNUMBER(N590),N590*$B$8,"")</x:f>
        <x:v>0.00485253750438618</x:v>
      </x:c>
      <x:c r="P590" s="20" t="str">
        <x:v>4000rpm!P156</x:v>
      </x:c>
      <x:c r="Q590" s="20" t="str">
        <x:v>4000rpm!O156</x:v>
      </x:c>
      <x:c r="R590" s="20" t="str">
        <x:v>4000rpm!O145</x:v>
      </x:c>
    </x:row>
    <x:row r="591">
      <x:c r="A591" s="21" t="n">
        <x:v>4000</x:v>
      </x:c>
      <x:c r="B591" s="21" t="n">
        <x:v>75</x:v>
      </x:c>
      <x:c r="C591" s="21" t="n">
        <x:v>13</x:v>
      </x:c>
      <x:c r="D591" s="21" t="n">
        <x:v>1</x:v>
      </x:c>
      <x:c r="E591" s="21" t="str">
        <x:v>4000rpm</x:v>
      </x:c>
      <x:c r="F591" s="21" t="n">
        <x:v>157</x:v>
      </x:c>
      <x:c r="G591" s="22" t="n">
        <x:f>IFERROR('4000rpm'!E157,"")</x:f>
        <x:v>9.16532564163207</x:v>
      </x:c>
      <x:c r="H591" s="22" t="n">
        <x:f>IFERROR('4000rpm'!B157,"")</x:f>
        <x:v>4116.4678141276</x:v>
      </x:c>
      <x:c r="I591" s="22" t="n">
        <x:f>IFERROR('4000rpm'!D157,"")</x:f>
        <x:v>1098.4429135135085</x:v>
      </x:c>
      <x:c r="J591" s="22" t="n">
        <x:f>IFERROR('4000rpm'!D145,"")</x:f>
        <x:v>37.29982999999993</x:v>
      </x:c>
      <x:c r="K591" s="22" t="n">
        <x:f>IF(AND(ISNUMBER(I591),ISNUMBER(J591)),I591-J591,"")</x:f>
        <x:v>1061.1430835135086</x:v>
      </x:c>
      <x:c r="L591" s="22" t="n">
        <x:f>IF(ISNUMBER(K591),K591*$B$2+$B$3,"")</x:f>
        <x:v>1000.4659107179879</x:v>
      </x:c>
      <x:c r="M591" s="22" t="n">
        <x:f>IF(AND(ISNUMBER(G591),ISNUMBER(H591),H591&lt;&gt;0),G591/(H591/60)/$B$5,"")</x:f>
        <x:v>0.29219192155618445</x:v>
      </x:c>
      <x:c r="N591" s="22" t="n">
        <x:f>IF(AND(ISNUMBER(L591),ISNUMBER(H591),H591&lt;&gt;0),L591*$B$6/$B$4/(H591/60)^2/$B$5^4/$B$7,"")</x:f>
        <x:v>0.03956120303572827</x:v>
      </x:c>
      <x:c r="O591" s="22" t="n">
        <x:f>IF(ISNUMBER(N591),N591*$B$8,"")</x:f>
        <x:v>0.005111407865246955</x:v>
      </x:c>
      <x:c r="P591" s="20" t="str">
        <x:v>4000rpm!E157</x:v>
      </x:c>
      <x:c r="Q591" s="20" t="str">
        <x:v>4000rpm!D157</x:v>
      </x:c>
      <x:c r="R591" s="20" t="str">
        <x:v>4000rpm!D145</x:v>
      </x:c>
    </x:row>
    <x:row r="592">
      <x:c r="A592" s="21" t="n">
        <x:v>4000</x:v>
      </x:c>
      <x:c r="B592" s="21" t="n">
        <x:v>75</x:v>
      </x:c>
      <x:c r="C592" s="21" t="n">
        <x:v>13</x:v>
      </x:c>
      <x:c r="D592" s="21" t="n">
        <x:v>2</x:v>
      </x:c>
      <x:c r="E592" s="21" t="str">
        <x:v>4000rpm</x:v>
      </x:c>
      <x:c r="F592" s="21" t="n">
        <x:v>157</x:v>
      </x:c>
      <x:c r="G592" s="22" t="n">
        <x:f>IFERROR('4000rpm'!P157,"")</x:f>
        <x:v>9.160268370800596</x:v>
      </x:c>
      <x:c r="H592" s="22" t="n">
        <x:f>IFERROR('4000rpm'!M157,"")</x:f>
        <x:v>4080.05647416548</x:v>
      </x:c>
      <x:c r="I592" s="22" t="n">
        <x:f>IFERROR('4000rpm'!O157,"")</x:f>
        <x:v>1136.2353502202625</x:v>
      </x:c>
      <x:c r="J592" s="22" t="n">
        <x:f>IFERROR('4000rpm'!O145,"")</x:f>
        <x:v>33.09986428571428</x:v>
      </x:c>
      <x:c r="K592" s="22" t="n">
        <x:f>IF(AND(ISNUMBER(I592),ISNUMBER(J592)),I592-J592,"")</x:f>
        <x:v>1103.1354859345481</x:v>
      </x:c>
      <x:c r="L592" s="22" t="n">
        <x:f>IF(ISNUMBER(K592),K592*$B$2+$B$3,"")</x:f>
        <x:v>1038.9186895541532</x:v>
      </x:c>
      <x:c r="M592" s="22" t="n">
        <x:f>IF(AND(ISNUMBER(G592),ISNUMBER(H592),H592&lt;&gt;0),G592/(H592/60)/$B$5,"")</x:f>
        <x:v>0.2946368425069064</x:v>
      </x:c>
      <x:c r="N592" s="22" t="n">
        <x:f>IF(AND(ISNUMBER(L592),ISNUMBER(H592),H592&lt;&gt;0),L592*$B$6/$B$4/(H592/60)^2/$B$5^4/$B$7,"")</x:f>
        <x:v>0.041818249830802505</x:v>
      </x:c>
      <x:c r="O592" s="22" t="n">
        <x:f>IF(ISNUMBER(N592),N592*$B$8,"")</x:f>
        <x:v>0.005403024041078462</x:v>
      </x:c>
      <x:c r="P592" s="20" t="str">
        <x:v>4000rpm!P157</x:v>
      </x:c>
      <x:c r="Q592" s="20" t="str">
        <x:v>4000rpm!O157</x:v>
      </x:c>
      <x:c r="R592" s="20" t="str">
        <x:v>4000rpm!O145</x:v>
      </x:c>
    </x:row>
    <x:row r="593">
      <x:c r="A593" s="21" t="n">
        <x:v>4000</x:v>
      </x:c>
      <x:c r="B593" s="21" t="n">
        <x:v>75</x:v>
      </x:c>
      <x:c r="C593" s="21" t="n">
        <x:v>14</x:v>
      </x:c>
      <x:c r="D593" s="21" t="n">
        <x:v>1</x:v>
      </x:c>
      <x:c r="E593" s="21" t="str">
        <x:v>4000rpm</x:v>
      </x:c>
      <x:c r="F593" s="21" t="n">
        <x:v>158</x:v>
      </x:c>
      <x:c r="G593" s="22" t="n">
        <x:f>IFERROR('4000rpm'!E158,"")</x:f>
        <x:v>8.244556559792041</x:v>
      </x:c>
      <x:c r="H593" s="22" t="n">
        <x:f>IFERROR('4000rpm'!B158,"")</x:f>
        <x:v>4096.78623896059</x:v>
      </x:c>
      <x:c r="I593" s="22" t="n">
        <x:f>IFERROR('4000rpm'!D158,"")</x:f>
        <x:v>1194.19644</x:v>
      </x:c>
      <x:c r="J593" s="22" t="n">
        <x:f>IFERROR('4000rpm'!D145,"")</x:f>
        <x:v>37.29982999999993</x:v>
      </x:c>
      <x:c r="K593" s="22" t="n">
        <x:f>IF(AND(ISNUMBER(I593),ISNUMBER(J593)),I593-J593,"")</x:f>
        <x:v>1156.89661</x:v>
      </x:c>
      <x:c r="L593" s="22" t="n">
        <x:f>IF(ISNUMBER(K593),K593*$B$2+$B$3,"")</x:f>
        <x:v>1088.14818094988</x:v>
      </x:c>
      <x:c r="M593" s="22" t="n">
        <x:f>IF(AND(ISNUMBER(G593),ISNUMBER(H593),H593&lt;&gt;0),G593/(H593/60)/$B$5,"")</x:f>
        <x:v>0.2641003801547683</x:v>
      </x:c>
      <x:c r="N593" s="22" t="n">
        <x:f>IF(AND(ISNUMBER(L593),ISNUMBER(H593),H593&lt;&gt;0),L593*$B$6/$B$4/(H593/60)^2/$B$5^4/$B$7,"")</x:f>
        <x:v>0.04344282661662094</x:v>
      </x:c>
      <x:c r="O593" s="22" t="n">
        <x:f>IF(ISNUMBER(N593),N593*$B$8,"")</x:f>
        <x:v>0.0056129234860784185</x:v>
      </x:c>
      <x:c r="P593" s="20" t="str">
        <x:v>4000rpm!E158</x:v>
      </x:c>
      <x:c r="Q593" s="20" t="str">
        <x:v>4000rpm!D158</x:v>
      </x:c>
      <x:c r="R593" s="20" t="str">
        <x:v>4000rpm!D145</x:v>
      </x:c>
    </x:row>
    <x:row r="594">
      <x:c r="A594" s="21" t="n">
        <x:v>4000</x:v>
      </x:c>
      <x:c r="B594" s="21" t="n">
        <x:v>75</x:v>
      </x:c>
      <x:c r="C594" s="21" t="n">
        <x:v>14</x:v>
      </x:c>
      <x:c r="D594" s="21" t="n">
        <x:v>2</x:v>
      </x:c>
      <x:c r="E594" s="21" t="str">
        <x:v>4000rpm</x:v>
      </x:c>
      <x:c r="F594" s="21" t="n">
        <x:v>158</x:v>
      </x:c>
      <x:c r="G594" s="22" t="n">
        <x:f>IFERROR('4000rpm'!P158,"")</x:f>
        <x:v>8.239261811256405</x:v>
      </x:c>
      <x:c r="H594" s="22" t="n">
        <x:f>IFERROR('4000rpm'!M158,"")</x:f>
        <x:v>4075.29836914062</x:v>
      </x:c>
      <x:c r="I594" s="22" t="n">
        <x:f>IFERROR('4000rpm'!O158,"")</x:f>
        <x:v>1177.748467065861</x:v>
      </x:c>
      <x:c r="J594" s="22" t="n">
        <x:f>IFERROR('4000rpm'!O145,"")</x:f>
        <x:v>33.09986428571428</x:v>
      </x:c>
      <x:c r="K594" s="22" t="n">
        <x:f>IF(AND(ISNUMBER(I594),ISNUMBER(J594)),I594-J594,"")</x:f>
        <x:v>1144.6486027801466</x:v>
      </x:c>
      <x:c r="L594" s="22" t="n">
        <x:f>IF(ISNUMBER(K594),K594*$B$2+$B$3,"")</x:f>
        <x:v>1076.9325827546024</x:v>
      </x:c>
      <x:c r="M594" s="22" t="n">
        <x:f>IF(AND(ISNUMBER(G594),ISNUMBER(H594),H594&lt;&gt;0),G594/(H594/60)/$B$5,"")</x:f>
        <x:v>0.26532240250696953</x:v>
      </x:c>
      <x:c r="N594" s="22" t="n">
        <x:f>IF(AND(ISNUMBER(L594),ISNUMBER(H594),H594&lt;&gt;0),L594*$B$6/$B$4/(H594/60)^2/$B$5^4/$B$7,"")</x:f>
        <x:v>0.0434496555654798</x:v>
      </x:c>
      <x:c r="O594" s="22" t="n">
        <x:f>IF(ISNUMBER(N594),N594*$B$8,"")</x:f>
        <x:v>0.005613805803607464</x:v>
      </x:c>
      <x:c r="P594" s="20" t="str">
        <x:v>4000rpm!P158</x:v>
      </x:c>
      <x:c r="Q594" s="20" t="str">
        <x:v>4000rpm!O158</x:v>
      </x:c>
      <x:c r="R594" s="20" t="str">
        <x:v>4000rpm!O145</x:v>
      </x:c>
    </x:row>
    <x:row r="595">
      <x:c r="A595" s="21" t="n">
        <x:v>4000</x:v>
      </x:c>
      <x:c r="B595" s="21" t="n">
        <x:v>75</x:v>
      </x:c>
      <x:c r="C595" s="21" t="n">
        <x:v>15</x:v>
      </x:c>
      <x:c r="D595" s="21" t="n">
        <x:v>1</x:v>
      </x:c>
      <x:c r="E595" s="21" t="str">
        <x:v>4000rpm</x:v>
      </x:c>
      <x:c r="F595" s="21" t="n">
        <x:v>159</x:v>
      </x:c>
      <x:c r="G595" s="22" t="n">
        <x:f>IFERROR('4000rpm'!E159,"")</x:f>
        <x:v>7.1257775119531805</x:v>
      </x:c>
      <x:c r="H595" s="22" t="n">
        <x:f>IFERROR('4000rpm'!B159,"")</x:f>
        <x:v>4061.76158905029</x:v>
      </x:c>
      <x:c r="I595" s="22" t="n">
        <x:f>IFERROR('4000rpm'!D159,"")</x:f>
        <x:v>1314.306907956316</x:v>
      </x:c>
      <x:c r="J595" s="22" t="n">
        <x:f>IFERROR('4000rpm'!D145,"")</x:f>
        <x:v>37.29982999999993</x:v>
      </x:c>
      <x:c r="K595" s="22" t="n">
        <x:f>IF(AND(ISNUMBER(I595),ISNUMBER(J595)),I595-J595,"")</x:f>
        <x:v>1277.0070779563162</x:v>
      </x:c>
      <x:c r="L595" s="22" t="n">
        <x:f>IF(ISNUMBER(K595),K595*$B$2+$B$3,"")</x:f>
        <x:v>1198.1342973412225</x:v>
      </x:c>
      <x:c r="M595" s="22" t="n">
        <x:f>IF(AND(ISNUMBER(G595),ISNUMBER(H595),H595&lt;&gt;0),G595/(H595/60)/$B$5,"")</x:f>
        <x:v>0.23023050104395373</x:v>
      </x:c>
      <x:c r="N595" s="22" t="n">
        <x:f>IF(AND(ISNUMBER(L595),ISNUMBER(H595),H595&lt;&gt;0),L595*$B$6/$B$4/(H595/60)^2/$B$5^4/$B$7,"")</x:f>
        <x:v>0.04866237334738528</x:v>
      </x:c>
      <x:c r="O595" s="22" t="n">
        <x:f>IF(ISNUMBER(N595),N595*$B$8,"")</x:f>
        <x:v>0.006287302174425143</x:v>
      </x:c>
      <x:c r="P595" s="20" t="str">
        <x:v>4000rpm!E159</x:v>
      </x:c>
      <x:c r="Q595" s="20" t="str">
        <x:v>4000rpm!D159</x:v>
      </x:c>
      <x:c r="R595" s="20" t="str">
        <x:v>4000rpm!D145</x:v>
      </x:c>
    </x:row>
    <x:row r="596">
      <x:c r="A596" s="21" t="n">
        <x:v>4000</x:v>
      </x:c>
      <x:c r="B596" s="21" t="n">
        <x:v>75</x:v>
      </x:c>
      <x:c r="C596" s="21" t="n">
        <x:v>15</x:v>
      </x:c>
      <x:c r="D596" s="21" t="n">
        <x:v>2</x:v>
      </x:c>
      <x:c r="E596" s="21" t="str">
        <x:v>4000rpm</x:v>
      </x:c>
      <x:c r="F596" s="21" t="n">
        <x:v>159</x:v>
      </x:c>
      <x:c r="G596" s="22" t="n">
        <x:f>IFERROR('4000rpm'!P159,"")</x:f>
        <x:v>7.223542780071105</x:v>
      </x:c>
      <x:c r="H596" s="22" t="n">
        <x:f>IFERROR('4000rpm'!M159,"")</x:f>
        <x:v>4044.67156785534</x:v>
      </x:c>
      <x:c r="I596" s="22" t="n">
        <x:f>IFERROR('4000rpm'!O159,"")</x:f>
        <x:v>1284.105684466014</x:v>
      </x:c>
      <x:c r="J596" s="22" t="n">
        <x:f>IFERROR('4000rpm'!O145,"")</x:f>
        <x:v>33.09986428571428</x:v>
      </x:c>
      <x:c r="K596" s="22" t="n">
        <x:f>IF(AND(ISNUMBER(I596),ISNUMBER(J596)),I596-J596,"")</x:f>
        <x:v>1251.0058201802997</x:v>
      </x:c>
      <x:c r="L596" s="22" t="n">
        <x:f>IF(ISNUMBER(K596),K596*$B$2+$B$3,"")</x:f>
        <x:v>1174.324737585662</x:v>
      </x:c>
      <x:c r="M596" s="22" t="n">
        <x:f>IF(AND(ISNUMBER(G596),ISNUMBER(H596),H596&lt;&gt;0),G596/(H596/60)/$B$5,"")</x:f>
        <x:v>0.2343753942796169</x:v>
      </x:c>
      <x:c r="N596" s="22" t="n">
        <x:f>IF(AND(ISNUMBER(L596),ISNUMBER(H596),H596&lt;&gt;0),L596*$B$6/$B$4/(H596/60)^2/$B$5^4/$B$7,"")</x:f>
        <x:v>0.04809925258362749</x:v>
      </x:c>
      <x:c r="O596" s="22" t="n">
        <x:f>IF(ISNUMBER(N596),N596*$B$8,"")</x:f>
        <x:v>0.00621454554216712</x:v>
      </x:c>
      <x:c r="P596" s="20" t="str">
        <x:v>4000rpm!P159</x:v>
      </x:c>
      <x:c r="Q596" s="20" t="str">
        <x:v>4000rpm!O159</x:v>
      </x:c>
      <x:c r="R596" s="20" t="str">
        <x:v>4000rpm!O145</x:v>
      </x:c>
    </x:row>
    <x:row r="597">
      <x:c r="A597" s="21" t="n">
        <x:v>4000</x:v>
      </x:c>
      <x:c r="B597" s="21" t="n">
        <x:v>75</x:v>
      </x:c>
      <x:c r="C597" s="21" t="n">
        <x:v>16</x:v>
      </x:c>
      <x:c r="D597" s="21" t="n">
        <x:v>1</x:v>
      </x:c>
      <x:c r="E597" s="21" t="str">
        <x:v>4000rpm</x:v>
      </x:c>
      <x:c r="F597" s="21" t="n">
        <x:v>160</x:v>
      </x:c>
      <x:c r="G597" s="22" t="n">
        <x:f>IFERROR('4000rpm'!E160,"")</x:f>
        <x:v>6.11070352619133</x:v>
      </x:c>
      <x:c r="H597" s="22" t="n">
        <x:f>IFERROR('4000rpm'!B160,"")</x:f>
        <x:v>4059.67797851562</x:v>
      </x:c>
      <x:c r="I597" s="22" t="n">
        <x:f>IFERROR('4000rpm'!D160,"")</x:f>
        <x:v>1427.637048465257</x:v>
      </x:c>
      <x:c r="J597" s="22" t="n">
        <x:f>IFERROR('4000rpm'!D145,"")</x:f>
        <x:v>37.29982999999993</x:v>
      </x:c>
      <x:c r="K597" s="22" t="n">
        <x:f>IF(AND(ISNUMBER(I597),ISNUMBER(J597)),I597-J597,"")</x:f>
        <x:v>1390.3372184652571</x:v>
      </x:c>
      <x:c r="L597" s="22" t="n">
        <x:f>IF(ISNUMBER(K597),K597*$B$2+$B$3,"")</x:f>
        <x:v>1301.9116136463838</x:v>
      </x:c>
      <x:c r="M597" s="22" t="n">
        <x:f>IF(AND(ISNUMBER(G597),ISNUMBER(H597),H597&lt;&gt;0),G597/(H597/60)/$B$5,"")</x:f>
        <x:v>0.197535272712998</x:v>
      </x:c>
      <x:c r="N597" s="22" t="n">
        <x:f>IF(AND(ISNUMBER(L597),ISNUMBER(H597),H597&lt;&gt;0),L597*$B$6/$B$4/(H597/60)^2/$B$5^4/$B$7,"")</x:f>
        <x:v>0.0529315939223959</x:v>
      </x:c>
      <x:c r="O597" s="22" t="n">
        <x:f>IF(ISNUMBER(N597),N597*$B$8,"")</x:f>
        <x:v>0.0068388963108793836</x:v>
      </x:c>
      <x:c r="P597" s="20" t="str">
        <x:v>4000rpm!E160</x:v>
      </x:c>
      <x:c r="Q597" s="20" t="str">
        <x:v>4000rpm!D160</x:v>
      </x:c>
      <x:c r="R597" s="20" t="str">
        <x:v>4000rpm!D145</x:v>
      </x:c>
    </x:row>
    <x:row r="598">
      <x:c r="A598" s="21" t="n">
        <x:v>4000</x:v>
      </x:c>
      <x:c r="B598" s="21" t="n">
        <x:v>75</x:v>
      </x:c>
      <x:c r="C598" s="21" t="n">
        <x:v>16</x:v>
      </x:c>
      <x:c r="D598" s="21" t="n">
        <x:v>2</x:v>
      </x:c>
      <x:c r="E598" s="21" t="str">
        <x:v>4000rpm</x:v>
      </x:c>
      <x:c r="F598" s="21" t="n">
        <x:v>160</x:v>
      </x:c>
      <x:c r="G598" s="22" t="n">
        <x:f>IFERROR('4000rpm'!P160,"")</x:f>
        <x:v>6.1097328435031955</x:v>
      </x:c>
      <x:c r="H598" s="22" t="n">
        <x:f>IFERROR('4000rpm'!M160,"")</x:f>
        <x:v>4031.84149380387</x:v>
      </x:c>
      <x:c r="I598" s="22" t="n">
        <x:f>IFERROR('4000rpm'!O160,"")</x:f>
        <x:v>1404.8936461538415</x:v>
      </x:c>
      <x:c r="J598" s="22" t="n">
        <x:f>IFERROR('4000rpm'!O145,"")</x:f>
        <x:v>33.09986428571428</x:v>
      </x:c>
      <x:c r="K598" s="22" t="n">
        <x:f>IF(AND(ISNUMBER(I598),ISNUMBER(J598)),I598-J598,"")</x:f>
        <x:v>1371.793781868127</x:v>
      </x:c>
      <x:c r="L598" s="22" t="n">
        <x:f>IF(ISNUMBER(K598),K598*$B$2+$B$3,"")</x:f>
        <x:v>1284.931240406899</x:v>
      </x:c>
      <x:c r="M598" s="22" t="n">
        <x:f>IF(AND(ISNUMBER(G598),ISNUMBER(H598),H598&lt;&gt;0),G598/(H598/60)/$B$5,"")</x:f>
        <x:v>0.19886749309607016</x:v>
      </x:c>
      <x:c r="N598" s="22" t="n">
        <x:f>IF(AND(ISNUMBER(L598),ISNUMBER(H598),H598&lt;&gt;0),L598*$B$6/$B$4/(H598/60)^2/$B$5^4/$B$7,"")</x:f>
        <x:v>0.05296507976590805</x:v>
      </x:c>
      <x:c r="O598" s="22" t="n">
        <x:f>IF(ISNUMBER(N598),N598*$B$8,"")</x:f>
        <x:v>0.0068432227668708216</x:v>
      </x:c>
      <x:c r="P598" s="20" t="str">
        <x:v>4000rpm!P160</x:v>
      </x:c>
      <x:c r="Q598" s="20" t="str">
        <x:v>4000rpm!O160</x:v>
      </x:c>
      <x:c r="R598" s="20" t="str">
        <x:v>4000rpm!O145</x:v>
      </x:c>
    </x:row>
    <x:row r="599">
      <x:c r="A599" s="21" t="n">
        <x:v>4000</x:v>
      </x:c>
      <x:c r="B599" s="21" t="n">
        <x:v>75</x:v>
      </x:c>
      <x:c r="C599" s="21" t="n">
        <x:v>17</x:v>
      </x:c>
      <x:c r="D599" s="21" t="n">
        <x:v>1</x:v>
      </x:c>
      <x:c r="E599" s="21" t="str">
        <x:v>4000rpm</x:v>
      </x:c>
      <x:c r="F599" s="21" t="n">
        <x:v>161</x:v>
      </x:c>
      <x:c r="G599" s="22" t="n">
        <x:f>IFERROR('4000rpm'!E161,"")</x:f>
        <x:v>5.188674248754975</x:v>
      </x:c>
      <x:c r="H599" s="22" t="n">
        <x:f>IFERROR('4000rpm'!B161,"")</x:f>
        <x:v>4006.88538018588</x:v>
      </x:c>
      <x:c r="I599" s="22" t="n">
        <x:f>IFERROR('4000rpm'!D161,"")</x:f>
        <x:v>1533.6402998266888</x:v>
      </x:c>
      <x:c r="J599" s="22" t="n">
        <x:f>IFERROR('4000rpm'!D145,"")</x:f>
        <x:v>37.29982999999993</x:v>
      </x:c>
      <x:c r="K599" s="22" t="n">
        <x:f>IF(AND(ISNUMBER(I599),ISNUMBER(J599)),I599-J599,"")</x:f>
        <x:v>1496.3404698266888</x:v>
      </x:c>
      <x:c r="L599" s="22" t="n">
        <x:f>IF(ISNUMBER(K599),K599*$B$2+$B$3,"")</x:f>
        <x:v>1398.9796389440576</x:v>
      </x:c>
      <x:c r="M599" s="22" t="n">
        <x:f>IF(AND(ISNUMBER(G599),ISNUMBER(H599),H599&lt;&gt;0),G599/(H599/60)/$B$5,"")</x:f>
        <x:v>0.1699395701381691</x:v>
      </x:c>
      <x:c r="N599" s="22" t="n">
        <x:f>IF(AND(ISNUMBER(L599),ISNUMBER(H599),H599&lt;&gt;0),L599*$B$6/$B$4/(H599/60)^2/$B$5^4/$B$7,"")</x:f>
        <x:v>0.058386736032829865</x:v>
      </x:c>
      <x:c r="O599" s="22" t="n">
        <x:f>IF(ISNUMBER(N599),N599*$B$8,"")</x:f>
        <x:v>0.007543714520379486</x:v>
      </x:c>
      <x:c r="P599" s="20" t="str">
        <x:v>4000rpm!E161</x:v>
      </x:c>
      <x:c r="Q599" s="20" t="str">
        <x:v>4000rpm!D161</x:v>
      </x:c>
      <x:c r="R599" s="20" t="str">
        <x:v>4000rpm!D145</x:v>
      </x:c>
    </x:row>
    <x:row r="600">
      <x:c r="A600" s="21" t="n">
        <x:v>4000</x:v>
      </x:c>
      <x:c r="B600" s="21" t="n">
        <x:v>75</x:v>
      </x:c>
      <x:c r="C600" s="21" t="n">
        <x:v>17</x:v>
      </x:c>
      <x:c r="D600" s="21" t="n">
        <x:v>2</x:v>
      </x:c>
      <x:c r="E600" s="21" t="str">
        <x:v>4000rpm</x:v>
      </x:c>
      <x:c r="F600" s="21" t="n">
        <x:v>161</x:v>
      </x:c>
      <x:c r="G600" s="22" t="n">
        <x:f>IFERROR('4000rpm'!P161,"")</x:f>
        <x:v>5.188265804240565</x:v>
      </x:c>
      <x:c r="H600" s="22" t="n">
        <x:f>IFERROR('4000rpm'!M161,"")</x:f>
        <x:v>4024.47651890345</x:v>
      </x:c>
      <x:c r="I600" s="22" t="n">
        <x:f>IFERROR('4000rpm'!O161,"")</x:f>
        <x:v>1504.6971803852884</x:v>
      </x:c>
      <x:c r="J600" s="22" t="n">
        <x:f>IFERROR('4000rpm'!O145,"")</x:f>
        <x:v>33.09986428571428</x:v>
      </x:c>
      <x:c r="K600" s="22" t="n">
        <x:f>IF(AND(ISNUMBER(I600),ISNUMBER(J600)),I600-J600,"")</x:f>
        <x:v>1471.597316099574</x:v>
      </x:c>
      <x:c r="L600" s="22" t="n">
        <x:f>IF(ISNUMBER(K600),K600*$B$2+$B$3,"")</x:f>
        <x:v>1376.322135130909</x:v>
      </x:c>
      <x:c r="M600" s="22" t="n">
        <x:f>IF(AND(ISNUMBER(G600),ISNUMBER(H600),H600&lt;&gt;0),G600/(H600/60)/$B$5,"")</x:f>
        <x:v>0.1691834389544183</x:v>
      </x:c>
      <x:c r="N600" s="22" t="n">
        <x:f>IF(AND(ISNUMBER(L600),ISNUMBER(H600),H600&lt;&gt;0),L600*$B$6/$B$4/(H600/60)^2/$B$5^4/$B$7,"")</x:f>
        <x:v>0.056940062778842435</x:v>
      </x:c>
      <x:c r="O600" s="22" t="n">
        <x:f>IF(ISNUMBER(N600),N600*$B$8,"")</x:f>
        <x:v>0.007356800663331316</x:v>
      </x:c>
      <x:c r="P600" s="20" t="str">
        <x:v>4000rpm!P161</x:v>
      </x:c>
      <x:c r="Q600" s="20" t="str">
        <x:v>4000rpm!O161</x:v>
      </x:c>
      <x:c r="R600" s="20" t="str">
        <x:v>4000rpm!O145</x:v>
      </x:c>
    </x:row>
    <x:row r="601">
      <x:c r="A601" s="21" t="n">
        <x:v>4000</x:v>
      </x:c>
      <x:c r="B601" s="21" t="n">
        <x:v>75</x:v>
      </x:c>
      <x:c r="C601" s="21" t="n">
        <x:v>18</x:v>
      </x:c>
      <x:c r="D601" s="21" t="n">
        <x:v>1</x:v>
      </x:c>
      <x:c r="E601" s="21" t="str">
        <x:v>4000rpm</x:v>
      </x:c>
      <x:c r="F601" s="21" t="n">
        <x:v>162</x:v>
      </x:c>
      <x:c r="G601" s="22" t="n">
        <x:f>IFERROR('4000rpm'!E162,"")</x:f>
        <x:v>4.065811194399345</x:v>
      </x:c>
      <x:c r="H601" s="22" t="n">
        <x:f>IFERROR('4000rpm'!B162,"")</x:f>
        <x:v>4004.07189069475</x:v>
      </x:c>
      <x:c r="I601" s="22" t="n">
        <x:f>IFERROR('4000rpm'!D162,"")</x:f>
        <x:v>1661.7170892857127</x:v>
      </x:c>
      <x:c r="J601" s="22" t="n">
        <x:f>IFERROR('4000rpm'!D145,"")</x:f>
        <x:v>37.29982999999993</x:v>
      </x:c>
      <x:c r="K601" s="22" t="n">
        <x:f>IF(AND(ISNUMBER(I601),ISNUMBER(J601)),I601-J601,"")</x:f>
        <x:v>1624.4172592857128</x:v>
      </x:c>
      <x:c r="L601" s="22" t="n">
        <x:f>IF(ISNUMBER(K601),K601*$B$2+$B$3,"")</x:f>
        <x:v>1516.2605796660016</x:v>
      </x:c>
      <x:c r="M601" s="22" t="n">
        <x:f>IF(AND(ISNUMBER(G601),ISNUMBER(H601),H601&lt;&gt;0),G601/(H601/60)/$B$5,"")</x:f>
        <x:v>0.1332571036316915</x:v>
      </x:c>
      <x:c r="N601" s="22" t="n">
        <x:f>IF(AND(ISNUMBER(L601),ISNUMBER(H601),H601&lt;&gt;0),L601*$B$6/$B$4/(H601/60)^2/$B$5^4/$B$7,"")</x:f>
        <x:v>0.06337044459645533</x:v>
      </x:c>
      <x:c r="O601" s="22" t="n">
        <x:f>IF(ISNUMBER(N601),N601*$B$8,"")</x:f>
        <x:v>0.008187622318815447</x:v>
      </x:c>
      <x:c r="P601" s="20" t="str">
        <x:v>4000rpm!E162</x:v>
      </x:c>
      <x:c r="Q601" s="20" t="str">
        <x:v>4000rpm!D162</x:v>
      </x:c>
      <x:c r="R601" s="20" t="str">
        <x:v>4000rpm!D145</x:v>
      </x:c>
    </x:row>
    <x:row r="602">
      <x:c r="A602" s="21" t="n">
        <x:v>4000</x:v>
      </x:c>
      <x:c r="B602" s="21" t="n">
        <x:v>75</x:v>
      </x:c>
      <x:c r="C602" s="21" t="n">
        <x:v>18</x:v>
      </x:c>
      <x:c r="D602" s="21" t="n">
        <x:v>2</x:v>
      </x:c>
      <x:c r="E602" s="21" t="str">
        <x:v>4000rpm</x:v>
      </x:c>
      <x:c r="F602" s="21" t="n">
        <x:v>162</x:v>
      </x:c>
      <x:c r="G602" s="22" t="n">
        <x:f>IFERROR('4000rpm'!P162,"")</x:f>
        <x:v>4.16763802261203</x:v>
      </x:c>
      <x:c r="H602" s="22" t="n">
        <x:f>IFERROR('4000rpm'!M162,"")</x:f>
        <x:v>3964.22678786057</x:v>
      </x:c>
      <x:c r="I602" s="22" t="n">
        <x:f>IFERROR('4000rpm'!O162,"")</x:f>
        <x:v>1623.2968015564134</x:v>
      </x:c>
      <x:c r="J602" s="22" t="n">
        <x:f>IFERROR('4000rpm'!O145,"")</x:f>
        <x:v>33.09986428571428</x:v>
      </x:c>
      <x:c r="K602" s="22" t="n">
        <x:f>IF(AND(ISNUMBER(I602),ISNUMBER(J602)),I602-J602,"")</x:f>
        <x:v>1590.196937270699</x:v>
      </x:c>
      <x:c r="L602" s="22" t="n">
        <x:f>IF(ISNUMBER(K602),K602*$B$2+$B$3,"")</x:f>
        <x:v>1484.9247570342773</x:v>
      </x:c>
      <x:c r="M602" s="22" t="n">
        <x:f>IF(AND(ISNUMBER(G602),ISNUMBER(H602),H602&lt;&gt;0),G602/(H602/60)/$B$5,"")</x:f>
        <x:v>0.13796741532982218</x:v>
      </x:c>
      <x:c r="N602" s="22" t="n">
        <x:f>IF(AND(ISNUMBER(L602),ISNUMBER(H602),H602&lt;&gt;0),L602*$B$6/$B$4/(H602/60)^2/$B$5^4/$B$7,"")</x:f>
        <x:v>0.06331463489131342</x:v>
      </x:c>
      <x:c r="O602" s="22" t="n">
        <x:f>IF(ISNUMBER(N602),N602*$B$8,"")</x:f>
        <x:v>0.008180411563228417</x:v>
      </x:c>
      <x:c r="P602" s="20" t="str">
        <x:v>4000rpm!P162</x:v>
      </x:c>
      <x:c r="Q602" s="20" t="str">
        <x:v>4000rpm!O162</x:v>
      </x:c>
      <x:c r="R602" s="20" t="str">
        <x:v>4000rpm!O145</x:v>
      </x:c>
    </x:row>
    <x:row r="603">
      <x:c r="A603" s="21" t="n">
        <x:v>4000</x:v>
      </x:c>
      <x:c r="B603" s="21" t="n">
        <x:v>75</x:v>
      </x:c>
      <x:c r="C603" s="21" t="n">
        <x:v>19</x:v>
      </x:c>
      <x:c r="D603" s="21" t="n">
        <x:v>1</x:v>
      </x:c>
      <x:c r="E603" s="21" t="str">
        <x:v>4000rpm</x:v>
      </x:c>
      <x:c r="F603" s="21" t="n">
        <x:v>163</x:v>
      </x:c>
      <x:c r="G603" s="22" t="n">
        <x:f>IFERROR('4000rpm'!E163,"")</x:f>
        <x:v>3.140310668852175</x:v>
      </x:c>
      <x:c r="H603" s="22" t="n">
        <x:f>IFERROR('4000rpm'!B163,"")</x:f>
        <x:v>3995.07955078125</x:v>
      </x:c>
      <x:c r="I603" s="22" t="n">
        <x:f>IFERROR('4000rpm'!D163,"")</x:f>
        <x:v>1765.016023391806</x:v>
      </x:c>
      <x:c r="J603" s="22" t="n">
        <x:f>IFERROR('4000rpm'!D145,"")</x:f>
        <x:v>37.29982999999993</x:v>
      </x:c>
      <x:c r="K603" s="22" t="n">
        <x:f>IF(AND(ISNUMBER(I603),ISNUMBER(J603)),I603-J603,"")</x:f>
        <x:v>1727.716193391806</x:v>
      </x:c>
      <x:c r="L603" s="22" t="n">
        <x:f>IF(ISNUMBER(K603),K603*$B$2+$B$3,"")</x:f>
        <x:v>1610.8522400184238</x:v>
      </x:c>
      <x:c r="M603" s="22" t="n">
        <x:f>IF(AND(ISNUMBER(G603),ISNUMBER(H603),H603&lt;&gt;0),G603/(H603/60)/$B$5,"")</x:f>
        <x:v>0.10315545804929772</x:v>
      </x:c>
      <x:c r="N603" s="22" t="n">
        <x:f>IF(AND(ISNUMBER(L603),ISNUMBER(H603),H603&lt;&gt;0),L603*$B$6/$B$4/(H603/60)^2/$B$5^4/$B$7,"")</x:f>
        <x:v>0.06762721222806177</x:v>
      </x:c>
      <x:c r="O603" s="22" t="n">
        <x:f>IF(ISNUMBER(N603),N603*$B$8,"")</x:f>
        <x:v>0.008737607503367892</x:v>
      </x:c>
      <x:c r="P603" s="20" t="str">
        <x:v>4000rpm!E163</x:v>
      </x:c>
      <x:c r="Q603" s="20" t="str">
        <x:v>4000rpm!D163</x:v>
      </x:c>
      <x:c r="R603" s="20" t="str">
        <x:v>4000rpm!D145</x:v>
      </x:c>
    </x:row>
    <x:row r="604">
      <x:c r="A604" s="21" t="n">
        <x:v>4000</x:v>
      </x:c>
      <x:c r="B604" s="21" t="n">
        <x:v>75</x:v>
      </x:c>
      <x:c r="C604" s="21" t="n">
        <x:v>19</x:v>
      </x:c>
      <x:c r="D604" s="21" t="n">
        <x:v>2</x:v>
      </x:c>
      <x:c r="E604" s="21" t="str">
        <x:v>4000rpm</x:v>
      </x:c>
      <x:c r="F604" s="21" t="n">
        <x:v>163</x:v>
      </x:c>
      <x:c r="G604" s="22" t="n">
        <x:f>IFERROR('4000rpm'!P163,"")</x:f>
        <x:v>3.1412369137586547</x:v>
      </x:c>
      <x:c r="H604" s="22" t="n">
        <x:f>IFERROR('4000rpm'!M163,"")</x:f>
        <x:v>3977.58511117788</x:v>
      </x:c>
      <x:c r="I604" s="22" t="n">
        <x:f>IFERROR('4000rpm'!O163,"")</x:f>
        <x:v>1733.7352601941682</x:v>
      </x:c>
      <x:c r="J604" s="22" t="n">
        <x:f>IFERROR('4000rpm'!O145,"")</x:f>
        <x:v>33.09986428571428</x:v>
      </x:c>
      <x:c r="K604" s="22" t="n">
        <x:f>IF(AND(ISNUMBER(I604),ISNUMBER(J604)),I604-J604,"")</x:f>
        <x:v>1700.6353959084538</x:v>
      </x:c>
      <x:c r="L604" s="22" t="n">
        <x:f>IF(ISNUMBER(K604),K604*$B$2+$B$3,"")</x:f>
        <x:v>1586.0541371165384</x:v>
      </x:c>
      <x:c r="M604" s="22" t="n">
        <x:f>IF(AND(ISNUMBER(G604),ISNUMBER(H604),H604&lt;&gt;0),G604/(H604/60)/$B$5,"")</x:f>
        <x:v>0.10363972207544203</x:v>
      </x:c>
      <x:c r="N604" s="22" t="n">
        <x:f>IF(AND(ISNUMBER(L604),ISNUMBER(H604),H604&lt;&gt;0),L604*$B$6/$B$4/(H604/60)^2/$B$5^4/$B$7,"")</x:f>
        <x:v>0.06717314576881388</x:v>
      </x:c>
      <x:c r="O604" s="22" t="n">
        <x:f>IF(ISNUMBER(N604),N604*$B$8,"")</x:f>
        <x:v>0.008678940964105968</x:v>
      </x:c>
      <x:c r="P604" s="20" t="str">
        <x:v>4000rpm!P163</x:v>
      </x:c>
      <x:c r="Q604" s="20" t="str">
        <x:v>4000rpm!O163</x:v>
      </x:c>
      <x:c r="R604" s="20" t="str">
        <x:v>4000rpm!O145</x:v>
      </x:c>
    </x:row>
    <x:row r="605">
      <x:c r="A605" s="21" t="n">
        <x:v>4000</x:v>
      </x:c>
      <x:c r="B605" s="21" t="n">
        <x:v>75</x:v>
      </x:c>
      <x:c r="C605" s="21" t="n">
        <x:v>20</x:v>
      </x:c>
      <x:c r="D605" s="21" t="n">
        <x:v>1</x:v>
      </x:c>
      <x:c r="E605" s="21" t="str">
        <x:v>4000rpm</x:v>
      </x:c>
      <x:c r="F605" s="21" t="n">
        <x:v>164</x:v>
      </x:c>
      <x:c r="G605" s="22" t="n">
        <x:f>IFERROR('4000rpm'!E164,"")</x:f>
        <x:v>2.113866363701055</x:v>
      </x:c>
      <x:c r="H605" s="22" t="n">
        <x:f>IFERROR('4000rpm'!B164,"")</x:f>
        <x:v>3986.25256347656</x:v>
      </x:c>
      <x:c r="I605" s="22" t="n">
        <x:f>IFERROR('4000rpm'!D164,"")</x:f>
        <x:v>1869.0386368421034</x:v>
      </x:c>
      <x:c r="J605" s="22" t="n">
        <x:f>IFERROR('4000rpm'!D145,"")</x:f>
        <x:v>37.29982999999993</x:v>
      </x:c>
      <x:c r="K605" s="22" t="n">
        <x:f>IF(AND(ISNUMBER(I605),ISNUMBER(J605)),I605-J605,"")</x:f>
        <x:v>1831.7388068421035</x:v>
      </x:c>
      <x:c r="L605" s="22" t="n">
        <x:f>IF(ISNUMBER(K605),K605*$B$2+$B$3,"")</x:f>
        <x:v>1706.1065793357689</x:v>
      </x:c>
      <x:c r="M605" s="22" t="n">
        <x:f>IF(AND(ISNUMBER(G605),ISNUMBER(H605),H605&lt;&gt;0),G605/(H605/60)/$B$5,"")</x:f>
        <x:v>0.06959174802218998</x:v>
      </x:c>
      <x:c r="N605" s="22" t="n">
        <x:f>IF(AND(ISNUMBER(L605),ISNUMBER(H605),H605&lt;&gt;0),L605*$B$6/$B$4/(H605/60)^2/$B$5^4/$B$7,"")</x:f>
        <x:v>0.07194376757360392</x:v>
      </x:c>
      <x:c r="O605" s="22" t="n">
        <x:f>IF(ISNUMBER(N605),N605*$B$8,"")</x:f>
        <x:v>0.009295317412342397</x:v>
      </x:c>
      <x:c r="P605" s="20" t="str">
        <x:v>4000rpm!E164</x:v>
      </x:c>
      <x:c r="Q605" s="20" t="str">
        <x:v>4000rpm!D164</x:v>
      </x:c>
      <x:c r="R605" s="20" t="str">
        <x:v>4000rpm!D145</x:v>
      </x:c>
    </x:row>
    <x:row r="606">
      <x:c r="A606" s="21" t="n">
        <x:v>4000</x:v>
      </x:c>
      <x:c r="B606" s="21" t="n">
        <x:v>75</x:v>
      </x:c>
      <x:c r="C606" s="21" t="n">
        <x:v>20</x:v>
      </x:c>
      <x:c r="D606" s="21" t="n">
        <x:v>2</x:v>
      </x:c>
      <x:c r="E606" s="21" t="str">
        <x:v>4000rpm</x:v>
      </x:c>
      <x:c r="F606" s="21" t="n">
        <x:v>164</x:v>
      </x:c>
      <x:c r="G606" s="22" t="n">
        <x:f>IFERROR('4000rpm'!P164,"")</x:f>
        <x:v>2.115512263819185</x:v>
      </x:c>
      <x:c r="H606" s="22" t="n">
        <x:f>IFERROR('4000rpm'!M164,"")</x:f>
        <x:v>3972.24543366608</x:v>
      </x:c>
      <x:c r="I606" s="22" t="n">
        <x:f>IFERROR('4000rpm'!O164,"")</x:f>
        <x:v>1835.984553903345</x:v>
      </x:c>
      <x:c r="J606" s="22" t="n">
        <x:f>IFERROR('4000rpm'!O145,"")</x:f>
        <x:v>33.09986428571428</x:v>
      </x:c>
      <x:c r="K606" s="22" t="n">
        <x:f>IF(AND(ISNUMBER(I606),ISNUMBER(J606)),I606-J606,"")</x:f>
        <x:v>1802.8846896176306</x:v>
      </x:c>
      <x:c r="L606" s="22" t="n">
        <x:f>IF(ISNUMBER(K606),K606*$B$2+$B$3,"")</x:f>
        <x:v>1679.6846333603812</x:v>
      </x:c>
      <x:c r="M606" s="22" t="n">
        <x:f>IF(AND(ISNUMBER(G606),ISNUMBER(H606),H606&lt;&gt;0),G606/(H606/60)/$B$5,"")</x:f>
        <x:v>0.06989152256004294</x:v>
      </x:c>
      <x:c r="N606" s="22" t="n">
        <x:f>IF(AND(ISNUMBER(L606),ISNUMBER(H606),H606&lt;&gt;0),L606*$B$6/$B$4/(H606/60)^2/$B$5^4/$B$7,"")</x:f>
        <x:v>0.07133000308528684</x:v>
      </x:c>
      <x:c r="O606" s="22" t="n">
        <x:f>IF(ISNUMBER(N606),N606*$B$8,"")</x:f>
        <x:v>0.009216017482303366</x:v>
      </x:c>
      <x:c r="P606" s="20" t="str">
        <x:v>4000rpm!P164</x:v>
      </x:c>
      <x:c r="Q606" s="20" t="str">
        <x:v>4000rpm!O164</x:v>
      </x:c>
      <x:c r="R606" s="20" t="str">
        <x:v>4000rpm!O145</x:v>
      </x:c>
    </x:row>
    <x:row r="607">
      <x:c r="A607" s="21" t="n">
        <x:v>4000</x:v>
      </x:c>
      <x:c r="B607" s="21" t="n">
        <x:v>75</x:v>
      </x:c>
      <x:c r="C607" s="21" t="n">
        <x:v>21</x:v>
      </x:c>
      <x:c r="D607" s="21" t="n">
        <x:v>1</x:v>
      </x:c>
      <x:c r="E607" s="21" t="str">
        <x:v>4000rpm</x:v>
      </x:c>
      <x:c r="F607" s="21" t="n">
        <x:v>165</x:v>
      </x:c>
      <x:c r="G607" s="22" t="n">
        <x:f>IFERROR('4000rpm'!E165,"")</x:f>
        <x:v>1.0834768274251139</x:v>
      </x:c>
      <x:c r="H607" s="22" t="n">
        <x:f>IFERROR('4000rpm'!B165,"")</x:f>
        <x:v>3990.06231219951</x:v>
      </x:c>
      <x:c r="I607" s="22" t="n">
        <x:f>IFERROR('4000rpm'!D165,"")</x:f>
        <x:v>1953.124491193737</x:v>
      </x:c>
      <x:c r="J607" s="22" t="n">
        <x:f>IFERROR('4000rpm'!D145,"")</x:f>
        <x:v>37.29982999999993</x:v>
      </x:c>
      <x:c r="K607" s="22" t="n">
        <x:f>IF(AND(ISNUMBER(I607),ISNUMBER(J607)),I607-J607,"")</x:f>
        <x:v>1915.824661193737</x:v>
      </x:c>
      <x:c r="L607" s="22" t="n">
        <x:f>IF(ISNUMBER(K607),K607*$B$2+$B$3,"")</x:f>
        <x:v>1783.1046688523945</x:v>
      </x:c>
      <x:c r="M607" s="22" t="n">
        <x:f>IF(AND(ISNUMBER(G607),ISNUMBER(H607),H607&lt;&gt;0),G607/(H607/60)/$B$5,"")</x:f>
        <x:v>0.035635674058223286</x:v>
      </x:c>
      <x:c r="N607" s="22" t="n">
        <x:f>IF(AND(ISNUMBER(L607),ISNUMBER(H607),H607&lt;&gt;0),L607*$B$6/$B$4/(H607/60)^2/$B$5^4/$B$7,"")</x:f>
        <x:v>0.07504713611382133</x:v>
      </x:c>
      <x:c r="O607" s="22" t="n">
        <x:f>IF(ISNUMBER(N607),N607*$B$8,"")</x:f>
        <x:v>0.009696280506182126</x:v>
      </x:c>
      <x:c r="P607" s="20" t="str">
        <x:v>4000rpm!E165</x:v>
      </x:c>
      <x:c r="Q607" s="20" t="str">
        <x:v>4000rpm!D165</x:v>
      </x:c>
      <x:c r="R607" s="20" t="str">
        <x:v>4000rpm!D145</x:v>
      </x:c>
    </x:row>
    <x:row r="608">
      <x:c r="A608" s="21" t="n">
        <x:v>4000</x:v>
      </x:c>
      <x:c r="B608" s="21" t="n">
        <x:v>75</x:v>
      </x:c>
      <x:c r="C608" s="21" t="n">
        <x:v>21</x:v>
      </x:c>
      <x:c r="D608" s="21" t="n">
        <x:v>2</x:v>
      </x:c>
      <x:c r="E608" s="21" t="str">
        <x:v>4000rpm</x:v>
      </x:c>
      <x:c r="F608" s="21" t="n">
        <x:v>165</x:v>
      </x:c>
      <x:c r="G608" s="22" t="n">
        <x:f>IFERROR('4000rpm'!P165,"")</x:f>
        <x:v>1.0872661877762175</x:v>
      </x:c>
      <x:c r="H608" s="22" t="n">
        <x:f>IFERROR('4000rpm'!M165,"")</x:f>
        <x:v>3970.88269042968</x:v>
      </x:c>
      <x:c r="I608" s="22" t="n">
        <x:f>IFERROR('4000rpm'!O165,"")</x:f>
        <x:v>1924.6234882629017</x:v>
      </x:c>
      <x:c r="J608" s="22" t="n">
        <x:f>IFERROR('4000rpm'!O145,"")</x:f>
        <x:v>33.09986428571428</x:v>
      </x:c>
      <x:c r="K608" s="22" t="n">
        <x:f>IF(AND(ISNUMBER(I608),ISNUMBER(J608)),I608-J608,"")</x:f>
        <x:v>1891.5236239771873</x:v>
      </x:c>
      <x:c r="L608" s="22" t="n">
        <x:f>IF(ISNUMBER(K608),K608*$B$2+$B$3,"")</x:f>
        <x:v>1760.8520146649023</x:v>
      </x:c>
      <x:c r="M608" s="22" t="n">
        <x:f>IF(AND(ISNUMBER(G608),ISNUMBER(H608),H608&lt;&gt;0),G608/(H608/60)/$B$5,"")</x:f>
        <x:v>0.03593303115151005</x:v>
      </x:c>
      <x:c r="N608" s="22" t="n">
        <x:f>IF(AND(ISNUMBER(L608),ISNUMBER(H608),H608&lt;&gt;0),L608*$B$6/$B$4/(H608/60)^2/$B$5^4/$B$7,"")</x:f>
        <x:v>0.07482821526706315</x:v>
      </x:c>
      <x:c r="O608" s="22" t="n">
        <x:f>IF(ISNUMBER(N608),N608*$B$8,"")</x:f>
        <x:v>0.009667995377012123</x:v>
      </x:c>
      <x:c r="P608" s="20" t="str">
        <x:v>4000rpm!P165</x:v>
      </x:c>
      <x:c r="Q608" s="20" t="str">
        <x:v>4000rpm!O165</x:v>
      </x:c>
      <x:c r="R608" s="20" t="str">
        <x:v>4000rpm!O145</x:v>
      </x:c>
    </x:row>
    <x:row r="609">
      <x:c r="A609" s="21" t="n">
        <x:v>4000</x:v>
      </x:c>
      <x:c r="B609" s="21" t="n">
        <x:v>75</x:v>
      </x:c>
      <x:c r="C609" s="21" t="n">
        <x:v>22</x:v>
      </x:c>
      <x:c r="D609" s="21" t="n">
        <x:v>1</x:v>
      </x:c>
      <x:c r="E609" s="21" t="str">
        <x:v>4000rpm</x:v>
      </x:c>
      <x:c r="F609" s="21" t="n">
        <x:v>166</x:v>
      </x:c>
      <x:c r="G609" s="22" t="n">
        <x:f>IFERROR('4000rpm'!E166,"")</x:f>
        <x:v>0.284211</x:v>
      </x:c>
      <x:c r="H609" s="22" t="n">
        <x:f>IFERROR('4000rpm'!B166,"")</x:f>
        <x:v>3990.676</x:v>
      </x:c>
      <x:c r="I609" s="22" t="n">
        <x:f>IFERROR('4000rpm'!D166,"")</x:f>
        <x:v>1997.6066549999998</x:v>
      </x:c>
      <x:c r="J609" s="22" t="n">
        <x:f>IFERROR('4000rpm'!D145,"")</x:f>
        <x:v>37.29982999999993</x:v>
      </x:c>
      <x:c r="K609" s="22" t="n">
        <x:f>IF(AND(ISNUMBER(I609),ISNUMBER(J609)),I609-J609,"")</x:f>
        <x:v>1960.306825</x:v>
      </x:c>
      <x:c r="L609" s="22" t="n">
        <x:f>IF(ISNUMBER(K609),K609*$B$2+$B$3,"")</x:f>
        <x:v>1823.8373421070999</x:v>
      </x:c>
      <x:c r="M609" s="22" t="n">
        <x:f>IF(AND(ISNUMBER(G609),ISNUMBER(H609),H609&lt;&gt;0),G609/(H609/60)/$B$5,"")</x:f>
        <x:v>0.009346294085529117</x:v>
      </x:c>
      <x:c r="N609" s="22" t="n">
        <x:f>IF(AND(ISNUMBER(L609),ISNUMBER(H609),H609&lt;&gt;0),L609*$B$6/$B$4/(H609/60)^2/$B$5^4/$B$7,"")</x:f>
        <x:v>0.07673788189796152</x:v>
      </x:c>
      <x:c r="O609" s="22" t="n">
        <x:f>IF(ISNUMBER(N609),N609*$B$8,"")</x:f>
        <x:v>0.009914729153746823</x:v>
      </x:c>
      <x:c r="P609" s="20" t="str">
        <x:v>4000rpm!E166</x:v>
      </x:c>
      <x:c r="Q609" s="20" t="str">
        <x:v>4000rpm!D166</x:v>
      </x:c>
      <x:c r="R609" s="20" t="str">
        <x:v>4000rpm!D145</x:v>
      </x:c>
    </x:row>
    <x:row r="610">
      <x:c r="A610" s="21" t="n">
        <x:v>4000</x:v>
      </x:c>
      <x:c r="B610" s="21" t="n">
        <x:v>75</x:v>
      </x:c>
      <x:c r="C610" s="21" t="n">
        <x:v>22</x:v>
      </x:c>
      <x:c r="D610" s="21" t="n">
        <x:v>2</x:v>
      </x:c>
      <x:c r="E610" s="21" t="str">
        <x:v>4000rpm</x:v>
      </x:c>
      <x:c r="F610" s="21" t="n">
        <x:v>166</x:v>
      </x:c>
      <x:c r="G610" s="22" t="n">
        <x:f>IFERROR('4000rpm'!P166,"")</x:f>
        <x:v>0.288918</x:v>
      </x:c>
      <x:c r="H610" s="22" t="n">
        <x:f>IFERROR('4000rpm'!M166,"")</x:f>
        <x:v>3951.45</x:v>
      </x:c>
      <x:c r="I610" s="22" t="n">
        <x:f>IFERROR('4000rpm'!O166,"")</x:f>
        <x:v>1975.4154899999999</x:v>
      </x:c>
      <x:c r="J610" s="22" t="n">
        <x:f>IFERROR('4000rpm'!O145,"")</x:f>
        <x:v>33.09986428571428</x:v>
      </x:c>
      <x:c r="K610" s="22" t="n">
        <x:f>IF(AND(ISNUMBER(I610),ISNUMBER(J610)),I610-J610,"")</x:f>
        <x:v>1942.3156257142855</x:v>
      </x:c>
      <x:c r="L610" s="22" t="n">
        <x:f>IF(ISNUMBER(K610),K610*$B$2+$B$3,"")</x:f>
        <x:v>1807.3626569915768</x:v>
      </x:c>
      <x:c r="M610" s="22" t="n">
        <x:f>IF(AND(ISNUMBER(G610),ISNUMBER(H610),H610&lt;&gt;0),G610/(H610/60)/$B$5,"")</x:f>
        <x:v>0.0095954011898154</x:v>
      </x:c>
      <x:c r="N610" s="22" t="n">
        <x:f>IF(AND(ISNUMBER(L610),ISNUMBER(H610),H610&lt;&gt;0),L610*$B$6/$B$4/(H610/60)^2/$B$5^4/$B$7,"")</x:f>
        <x:v>0.07756199400358343</x:v>
      </x:c>
      <x:c r="O610" s="22" t="n">
        <x:f>IF(ISNUMBER(N610),N610*$B$8,"")</x:f>
        <x:v>0.010021206529945845</x:v>
      </x:c>
      <x:c r="P610" s="20" t="str">
        <x:v>4000rpm!P166</x:v>
      </x:c>
      <x:c r="Q610" s="20" t="str">
        <x:v>4000rpm!O166</x:v>
      </x:c>
      <x:c r="R610" s="20" t="str">
        <x:v>4000rpm!O145</x:v>
      </x:c>
    </x:row>
    <x:row r="611">
      <x:c r="A611" s="21" t="n">
        <x:v>4000</x:v>
      </x:c>
      <x:c r="B611" s="21" t="n">
        <x:v>75</x:v>
      </x:c>
      <x:c r="C611" s="21" t="n">
        <x:v>23</x:v>
      </x:c>
      <x:c r="D611" s="21" t="n">
        <x:v>1</x:v>
      </x:c>
      <x:c r="E611" s="21" t="str">
        <x:v>4000rpm</x:v>
      </x:c>
      <x:c r="F611" s="21" t="n">
        <x:v>167</x:v>
      </x:c>
      <x:c r="G611" s="22" t="n">
        <x:f>IFERROR('4000rpm'!E167,"")</x:f>
        <x:v>0.156638669253636</x:v>
      </x:c>
      <x:c r="H611" s="22" t="n">
        <x:f>IFERROR('4000rpm'!B167,"")</x:f>
        <x:v>0</x:v>
      </x:c>
      <x:c r="I611" s="22" t="n">
        <x:f>IFERROR('4000rpm'!D167,"")</x:f>
        <x:v>34.429864077669876</x:v>
      </x:c>
      <x:c r="J611" s="22" t="n">
        <x:f>IFERROR('4000rpm'!D145,"")</x:f>
        <x:v>37.29982999999993</x:v>
      </x:c>
      <x:c r="K611" s="22" t="n">
        <x:f>IF(AND(ISNUMBER(I611),ISNUMBER(J611)),I611-J611,"")</x:f>
        <x:v>-2.869965922330053</x:v>
      </x:c>
      <x:c r="L611" s="22" t="n">
        <x:f>IF(ISNUMBER(K611),K611*$B$2+$B$3,"")</x:f>
        <x:v>26.140649245194993</x:v>
      </x:c>
      <x:c r="M611" s="22" t="str">
        <x:f>IF(AND(ISNUMBER(G611),ISNUMBER(H611),H611&lt;&gt;0),G611/(H611/60)/$B$5,"")</x:f>
      </x:c>
      <x:c r="N611" s="22" t="str">
        <x:f>IF(AND(ISNUMBER(L611),ISNUMBER(H611),H611&lt;&gt;0),L611*$B$6/$B$4/(H611/60)^2/$B$5^4/$B$7,"")</x:f>
      </x:c>
      <x:c r="O611" s="22" t="str">
        <x:f>IF(ISNUMBER(N611),N611*$B$8,"")</x:f>
      </x:c>
      <x:c r="P611" s="20" t="str">
        <x:v>4000rpm!E167</x:v>
      </x:c>
      <x:c r="Q611" s="20" t="str">
        <x:v>4000rpm!D167</x:v>
      </x:c>
      <x:c r="R611" s="20" t="str">
        <x:v>4000rpm!D145</x:v>
      </x:c>
    </x:row>
    <x:row r="612">
      <x:c r="A612" s="21" t="n">
        <x:v>4000</x:v>
      </x:c>
      <x:c r="B612" s="21" t="n">
        <x:v>75</x:v>
      </x:c>
      <x:c r="C612" s="21" t="n">
        <x:v>23</x:v>
      </x:c>
      <x:c r="D612" s="21" t="n">
        <x:v>2</x:v>
      </x:c>
      <x:c r="E612" s="21" t="str">
        <x:v>4000rpm</x:v>
      </x:c>
      <x:c r="F612" s="21" t="n">
        <x:v>167</x:v>
      </x:c>
      <x:c r="G612" s="22" t="n">
        <x:f>IFERROR('4000rpm'!P167,"")</x:f>
        <x:v>0.219146008789539</x:v>
      </x:c>
      <x:c r="H612" s="22" t="n">
        <x:f>IFERROR('4000rpm'!M167,"")</x:f>
        <x:v>0</x:v>
      </x:c>
      <x:c r="I612" s="22" t="n">
        <x:f>IFERROR('4000rpm'!O167,"")</x:f>
        <x:v>43.29007468879658</x:v>
      </x:c>
      <x:c r="J612" s="22" t="n">
        <x:f>IFERROR('4000rpm'!O145,"")</x:f>
        <x:v>33.09986428571428</x:v>
      </x:c>
      <x:c r="K612" s="22" t="n">
        <x:f>IF(AND(ISNUMBER(I612),ISNUMBER(J612)),I612-J612,"")</x:f>
        <x:v>10.190210403082297</x:v>
      </x:c>
      <x:c r="L612" s="22" t="n">
        <x:f>IF(ISNUMBER(K612),K612*$B$2+$B$3,"")</x:f>
        <x:v>38.099957187785684</x:v>
      </x:c>
      <x:c r="M612" s="22" t="str">
        <x:f>IF(AND(ISNUMBER(G612),ISNUMBER(H612),H612&lt;&gt;0),G612/(H612/60)/$B$5,"")</x:f>
      </x:c>
      <x:c r="N612" s="22" t="str">
        <x:f>IF(AND(ISNUMBER(L612),ISNUMBER(H612),H612&lt;&gt;0),L612*$B$6/$B$4/(H612/60)^2/$B$5^4/$B$7,"")</x:f>
      </x:c>
      <x:c r="O612" s="22" t="str">
        <x:f>IF(ISNUMBER(N612),N612*$B$8,"")</x:f>
      </x:c>
      <x:c r="P612" s="20" t="str">
        <x:v>4000rpm!P167</x:v>
      </x:c>
      <x:c r="Q612" s="20" t="str">
        <x:v>4000rpm!O167</x:v>
      </x:c>
      <x:c r="R612" s="20" t="str">
        <x:v>4000rpm!O145</x:v>
      </x:c>
    </x:row>
    <x:row r="613">
      <x:c r="A613" s="21" t="n">
        <x:v>4000</x:v>
      </x:c>
      <x:c r="B613" s="21" t="n">
        <x:v>75</x:v>
      </x:c>
      <x:c r="C613" s="21" t="n">
        <x:v>24</x:v>
      </x:c>
      <x:c r="D613" s="21" t="n">
        <x:v>1</x:v>
      </x:c>
      <x:c r="E613" s="21" t="str">
        <x:v>4000rpm</x:v>
      </x:c>
      <x:c r="F613" s="21" t="n">
        <x:v>170</x:v>
      </x:c>
      <x:c r="G613" s="22" t="str">
        <x:f>IFERROR('4000rpm'!E170,"")</x:f>
      </x:c>
      <x:c r="H613" s="22" t="str">
        <x:f>IFERROR('4000rpm'!B170,"")</x:f>
      </x:c>
      <x:c r="I613" s="22" t="str">
        <x:f>IFERROR('4000rpm'!D170,"")</x:f>
      </x:c>
      <x:c r="J613" s="22" t="n">
        <x:f>IFERROR('4000rpm'!D145,"")</x:f>
        <x:v>37.29982999999993</x:v>
      </x:c>
      <x:c r="K613" s="22" t="str">
        <x:f>IF(AND(ISNUMBER(I613),ISNUMBER(J613)),I613-J613,"")</x:f>
      </x:c>
      <x:c r="L613" s="22" t="str">
        <x:f>IF(ISNUMBER(K613),K613*$B$2+$B$3,"")</x:f>
      </x:c>
      <x:c r="M613" s="22" t="str">
        <x:f>IF(AND(ISNUMBER(G613),ISNUMBER(H613),H613&lt;&gt;0),G613/(H613/60)/$B$5,"")</x:f>
      </x:c>
      <x:c r="N613" s="22" t="str">
        <x:f>IF(AND(ISNUMBER(L613),ISNUMBER(H613),H613&lt;&gt;0),L613*$B$6/$B$4/(H613/60)^2/$B$5^4/$B$7,"")</x:f>
      </x:c>
      <x:c r="O613" s="22" t="str">
        <x:f>IF(ISNUMBER(N613),N613*$B$8,"")</x:f>
      </x:c>
      <x:c r="P613" s="20" t="str">
        <x:v>4000rpm!E170</x:v>
      </x:c>
      <x:c r="Q613" s="20" t="str">
        <x:v>4000rpm!D170</x:v>
      </x:c>
      <x:c r="R613" s="20" t="str">
        <x:v>4000rpm!D145</x:v>
      </x:c>
    </x:row>
    <x:row r="614">
      <x:c r="A614" s="21" t="n">
        <x:v>4000</x:v>
      </x:c>
      <x:c r="B614" s="21" t="n">
        <x:v>75</x:v>
      </x:c>
      <x:c r="C614" s="21" t="n">
        <x:v>24</x:v>
      </x:c>
      <x:c r="D614" s="21" t="n">
        <x:v>2</x:v>
      </x:c>
      <x:c r="E614" s="21" t="str">
        <x:v>4000rpm</x:v>
      </x:c>
      <x:c r="F614" s="21" t="n">
        <x:v>170</x:v>
      </x:c>
      <x:c r="G614" s="22" t="str">
        <x:f>IFERROR('4000rpm'!P170,"")</x:f>
        <x:v>y = -1.121x - 4.2564</x:v>
      </x:c>
      <x:c r="H614" s="22" t="str">
        <x:f>IFERROR('4000rpm'!M170,"")</x:f>
      </x:c>
      <x:c r="I614" s="22" t="str">
        <x:f>IFERROR('4000rpm'!O170,"")</x:f>
      </x:c>
      <x:c r="J614" s="22" t="n">
        <x:f>IFERROR('4000rpm'!O145,"")</x:f>
        <x:v>33.09986428571428</x:v>
      </x:c>
      <x:c r="K614" s="22" t="str">
        <x:f>IF(AND(ISNUMBER(I614),ISNUMBER(J614)),I614-J614,"")</x:f>
      </x:c>
      <x:c r="L614" s="22" t="str">
        <x:f>IF(ISNUMBER(K614),K614*$B$2+$B$3,"")</x:f>
      </x:c>
      <x:c r="M614" s="22" t="str">
        <x:f>IF(AND(ISNUMBER(G614),ISNUMBER(H614),H614&lt;&gt;0),G614/(H614/60)/$B$5,"")</x:f>
      </x:c>
      <x:c r="N614" s="22" t="str">
        <x:f>IF(AND(ISNUMBER(L614),ISNUMBER(H614),H614&lt;&gt;0),L614*$B$6/$B$4/(H614/60)^2/$B$5^4/$B$7,"")</x:f>
      </x:c>
      <x:c r="O614" s="22" t="str">
        <x:f>IF(ISNUMBER(N614),N614*$B$8,"")</x:f>
      </x:c>
      <x:c r="P614" s="20" t="str">
        <x:v>4000rpm!P170</x:v>
      </x:c>
      <x:c r="Q614" s="20" t="str">
        <x:v>4000rpm!O170</x:v>
      </x:c>
      <x:c r="R614" s="20" t="str">
        <x:v>4000rpm!O145</x:v>
      </x:c>
    </x:row>
    <x:row r="615">
      <x:c r="A615" s="21" t="n">
        <x:v>4000</x:v>
      </x:c>
      <x:c r="B615" s="21" t="n">
        <x:v>90</x:v>
      </x:c>
      <x:c r="C615" s="21" t="n">
        <x:v>1</x:v>
      </x:c>
      <x:c r="D615" s="21" t="n">
        <x:v>1</x:v>
      </x:c>
      <x:c r="E615" s="21" t="str">
        <x:v>4000rpm</x:v>
      </x:c>
      <x:c r="F615" s="21" t="n">
        <x:v>173</x:v>
      </x:c>
      <x:c r="G615" s="22" t="n">
        <x:f>IFERROR('4000rpm'!E173,"")</x:f>
        <x:v>0.20793672503307148</x:v>
      </x:c>
      <x:c r="H615" s="22" t="n">
        <x:f>IFERROR('4000rpm'!B173,"")</x:f>
        <x:v>0</x:v>
      </x:c>
      <x:c r="I615" s="22" t="n">
        <x:f>IFERROR('4000rpm'!D173,"")</x:f>
        <x:v>223.71193333333227</x:v>
      </x:c>
      <x:c r="J615" s="22" t="n">
        <x:f>IFERROR('4000rpm'!D173,"")</x:f>
        <x:v>223.71193333333227</x:v>
      </x:c>
      <x:c r="K615" s="22" t="n">
        <x:f>IF(AND(ISNUMBER(I615),ISNUMBER(J615)),I615-J615,"")</x:f>
        <x:v>0</x:v>
      </x:c>
      <x:c r="L615" s="22" t="n">
        <x:f>IF(ISNUMBER(K615),K615*$B$2+$B$3,"")</x:f>
        <x:v>28.7687</x:v>
      </x:c>
      <x:c r="M615" s="22" t="str">
        <x:f>IF(AND(ISNUMBER(G615),ISNUMBER(H615),H615&lt;&gt;0),G615/(H615/60)/$B$5,"")</x:f>
      </x:c>
      <x:c r="N615" s="22" t="str">
        <x:f>IF(AND(ISNUMBER(L615),ISNUMBER(H615),H615&lt;&gt;0),L615*$B$6/$B$4/(H615/60)^2/$B$5^4/$B$7,"")</x:f>
      </x:c>
      <x:c r="O615" s="22" t="str">
        <x:f>IF(ISNUMBER(N615),N615*$B$8,"")</x:f>
      </x:c>
      <x:c r="P615" s="20" t="str">
        <x:v>4000rpm!E173</x:v>
      </x:c>
      <x:c r="Q615" s="20" t="str">
        <x:v>4000rpm!D173</x:v>
      </x:c>
      <x:c r="R615" s="20" t="str">
        <x:v>4000rpm!D173</x:v>
      </x:c>
    </x:row>
    <x:row r="616">
      <x:c r="A616" s="21" t="n">
        <x:v>4000</x:v>
      </x:c>
      <x:c r="B616" s="21" t="n">
        <x:v>90</x:v>
      </x:c>
      <x:c r="C616" s="21" t="n">
        <x:v>1</x:v>
      </x:c>
      <x:c r="D616" s="21" t="n">
        <x:v>2</x:v>
      </x:c>
      <x:c r="E616" s="21" t="str">
        <x:v>4000rpm</x:v>
      </x:c>
      <x:c r="F616" s="21" t="n">
        <x:v>173</x:v>
      </x:c>
      <x:c r="G616" s="22" t="n">
        <x:f>IFERROR('4000rpm'!P173,"")</x:f>
        <x:v>0.04814020332694905</x:v>
      </x:c>
      <x:c r="H616" s="22" t="n">
        <x:f>IFERROR('4000rpm'!M173,"")</x:f>
        <x:v>0</x:v>
      </x:c>
      <x:c r="I616" s="22" t="n">
        <x:f>IFERROR('4000rpm'!O173,"")</x:f>
        <x:v>178.1609775720164</x:v>
      </x:c>
      <x:c r="J616" s="22" t="n">
        <x:f>IFERROR('4000rpm'!O173,"")</x:f>
        <x:v>178.1609775720164</x:v>
      </x:c>
      <x:c r="K616" s="22" t="n">
        <x:f>IF(AND(ISNUMBER(I616),ISNUMBER(J616)),I616-J616,"")</x:f>
        <x:v>0</x:v>
      </x:c>
      <x:c r="L616" s="22" t="n">
        <x:f>IF(ISNUMBER(K616),K616*$B$2+$B$3,"")</x:f>
        <x:v>28.7687</x:v>
      </x:c>
      <x:c r="M616" s="22" t="str">
        <x:f>IF(AND(ISNUMBER(G616),ISNUMBER(H616),H616&lt;&gt;0),G616/(H616/60)/$B$5,"")</x:f>
      </x:c>
      <x:c r="N616" s="22" t="str">
        <x:f>IF(AND(ISNUMBER(L616),ISNUMBER(H616),H616&lt;&gt;0),L616*$B$6/$B$4/(H616/60)^2/$B$5^4/$B$7,"")</x:f>
      </x:c>
      <x:c r="O616" s="22" t="str">
        <x:f>IF(ISNUMBER(N616),N616*$B$8,"")</x:f>
      </x:c>
      <x:c r="P616" s="20" t="str">
        <x:v>4000rpm!P173</x:v>
      </x:c>
      <x:c r="Q616" s="20" t="str">
        <x:v>4000rpm!O173</x:v>
      </x:c>
      <x:c r="R616" s="20" t="str">
        <x:v>4000rpm!O173</x:v>
      </x:c>
    </x:row>
    <x:row r="617">
      <x:c r="A617" s="21" t="n">
        <x:v>4000</x:v>
      </x:c>
      <x:c r="B617" s="21" t="n">
        <x:v>90</x:v>
      </x:c>
      <x:c r="C617" s="21" t="n">
        <x:v>2</x:v>
      </x:c>
      <x:c r="D617" s="21" t="n">
        <x:v>1</x:v>
      </x:c>
      <x:c r="E617" s="21" t="str">
        <x:v>4000rpm</x:v>
      </x:c>
      <x:c r="F617" s="21" t="n">
        <x:v>174</x:v>
      </x:c>
      <x:c r="G617" s="22" t="n">
        <x:f>IFERROR('4000rpm'!E174,"")</x:f>
        <x:v>0.260127</x:v>
      </x:c>
      <x:c r="H617" s="22" t="n">
        <x:f>IFERROR('4000rpm'!B174,"")</x:f>
        <x:v>4068.277</x:v>
      </x:c>
      <x:c r="I617" s="22" t="n">
        <x:f>IFERROR('4000rpm'!D174,"")</x:f>
        <x:v>2197.8358878999998</x:v>
      </x:c>
      <x:c r="J617" s="22" t="n">
        <x:f>IFERROR('4000rpm'!D173,"")</x:f>
        <x:v>223.71193333333227</x:v>
      </x:c>
      <x:c r="K617" s="22" t="n">
        <x:f>IF(AND(ISNUMBER(I617),ISNUMBER(J617)),I617-J617,"")</x:f>
        <x:v>1974.1239545666674</x:v>
      </x:c>
      <x:c r="L617" s="22" t="n">
        <x:f>IF(ISNUMBER(K617),K617*$B$2+$B$3,"")</x:f>
        <x:v>1836.489798188334</x:v>
      </x:c>
      <x:c r="M617" s="22" t="n">
        <x:f>IF(AND(ISNUMBER(G617),ISNUMBER(H617),H617&lt;&gt;0),G617/(H617/60)/$B$5,"")</x:f>
        <x:v>0.00839112026413225</x:v>
      </x:c>
      <x:c r="N617" s="22" t="n">
        <x:f>IF(AND(ISNUMBER(L617),ISNUMBER(H617),H617&lt;&gt;0),L617*$B$6/$B$4/(H617/60)^2/$B$5^4/$B$7,"")</x:f>
        <x:v>0.074350540836857</x:v>
      </x:c>
      <x:c r="O617" s="22" t="n">
        <x:f>IF(ISNUMBER(N617),N617*$B$8,"")</x:f>
        <x:v>0.00960627862796943</x:v>
      </x:c>
      <x:c r="P617" s="20" t="str">
        <x:v>4000rpm!E174</x:v>
      </x:c>
      <x:c r="Q617" s="20" t="str">
        <x:v>4000rpm!D174</x:v>
      </x:c>
      <x:c r="R617" s="20" t="str">
        <x:v>4000rpm!D173</x:v>
      </x:c>
    </x:row>
    <x:row r="618">
      <x:c r="A618" s="21" t="n">
        <x:v>4000</x:v>
      </x:c>
      <x:c r="B618" s="21" t="n">
        <x:v>90</x:v>
      </x:c>
      <x:c r="C618" s="21" t="n">
        <x:v>2</x:v>
      </x:c>
      <x:c r="D618" s="21" t="n">
        <x:v>2</x:v>
      </x:c>
      <x:c r="E618" s="21" t="str">
        <x:v>4000rpm</x:v>
      </x:c>
      <x:c r="F618" s="21" t="n">
        <x:v>174</x:v>
      </x:c>
      <x:c r="G618" s="22" t="n">
        <x:f>IFERROR('4000rpm'!P174,"")</x:f>
        <x:v>0.125256</x:v>
      </x:c>
      <x:c r="H618" s="22" t="n">
        <x:f>IFERROR('4000rpm'!M174,"")</x:f>
        <x:v>4056.06</x:v>
      </x:c>
      <x:c r="I618" s="22" t="n">
        <x:f>IFERROR('4000rpm'!O174,"")</x:f>
        <x:v>2369.41626</x:v>
      </x:c>
      <x:c r="J618" s="22" t="n">
        <x:f>IFERROR('4000rpm'!O173,"")</x:f>
        <x:v>178.1609775720164</x:v>
      </x:c>
      <x:c r="K618" s="22" t="n">
        <x:f>IF(AND(ISNUMBER(I618),ISNUMBER(J618)),I618-J618,"")</x:f>
        <x:v>2191.2552824279837</x:v>
      </x:c>
      <x:c r="L618" s="22" t="n">
        <x:f>IF(ISNUMBER(K618),K618*$B$2+$B$3,"")</x:f>
        <x:v>2035.318692161564</x:v>
      </x:c>
      <x:c r="M618" s="22" t="n">
        <x:f>IF(AND(ISNUMBER(G618),ISNUMBER(H618),H618&lt;&gt;0),G618/(H618/60)/$B$5,"")</x:f>
        <x:v>0.004052650916305614</x:v>
      </x:c>
      <x:c r="N618" s="22" t="n">
        <x:f>IF(AND(ISNUMBER(L618),ISNUMBER(H618),H618&lt;&gt;0),L618*$B$6/$B$4/(H618/60)^2/$B$5^4/$B$7,"")</x:f>
        <x:v>0.08289728790959232</x:v>
      </x:c>
      <x:c r="O618" s="22" t="n">
        <x:f>IF(ISNUMBER(N618),N618*$B$8,"")</x:f>
        <x:v>0.010710540047178606</x:v>
      </x:c>
      <x:c r="P618" s="20" t="str">
        <x:v>4000rpm!P174</x:v>
      </x:c>
      <x:c r="Q618" s="20" t="str">
        <x:v>4000rpm!O174</x:v>
      </x:c>
      <x:c r="R618" s="20" t="str">
        <x:v>4000rpm!O173</x:v>
      </x:c>
    </x:row>
    <x:row r="619">
      <x:c r="A619" s="21" t="n">
        <x:v>4000</x:v>
      </x:c>
      <x:c r="B619" s="21" t="n">
        <x:v>90</x:v>
      </x:c>
      <x:c r="C619" s="21" t="n">
        <x:v>3</x:v>
      </x:c>
      <x:c r="D619" s="21" t="n">
        <x:v>1</x:v>
      </x:c>
      <x:c r="E619" s="21" t="str">
        <x:v>4000rpm</x:v>
      </x:c>
      <x:c r="F619" s="21" t="n">
        <x:v>175</x:v>
      </x:c>
      <x:c r="G619" s="22" t="n">
        <x:f>IFERROR('4000rpm'!E175,"")</x:f>
        <x:v>1.0667314593591826</x:v>
      </x:c>
      <x:c r="H619" s="22" t="n">
        <x:f>IFERROR('4000rpm'!B175,"")</x:f>
        <x:v>4062.44118923611</x:v>
      </x:c>
      <x:c r="I619" s="22" t="n">
        <x:f>IFERROR('4000rpm'!D175,"")</x:f>
        <x:v>2180.3765781420743</x:v>
      </x:c>
      <x:c r="J619" s="22" t="n">
        <x:f>IFERROR('4000rpm'!D173,"")</x:f>
        <x:v>223.71193333333227</x:v>
      </x:c>
      <x:c r="K619" s="22" t="n">
        <x:f>IF(AND(ISNUMBER(I619),ISNUMBER(J619)),I619-J619,"")</x:f>
        <x:v>1956.664644808742</x:v>
      </x:c>
      <x:c r="L619" s="22" t="n">
        <x:f>IF(ISNUMBER(K619),K619*$B$2+$B$3,"")</x:f>
        <x:v>1820.5021685685235</x:v>
      </x:c>
      <x:c r="M619" s="22" t="n">
        <x:f>IF(AND(ISNUMBER(G619),ISNUMBER(H619),H619&lt;&gt;0),G619/(H619/60)/$B$5,"")</x:f>
        <x:v>0.0344598232058519</x:v>
      </x:c>
      <x:c r="N619" s="22" t="n">
        <x:f>IF(AND(ISNUMBER(L619),ISNUMBER(H619),H619&lt;&gt;0),L619*$B$6/$B$4/(H619/60)^2/$B$5^4/$B$7,"")</x:f>
        <x:v>0.07391518521678758</x:v>
      </x:c>
      <x:c r="O619" s="22" t="n">
        <x:f>IF(ISNUMBER(N619),N619*$B$8,"")</x:f>
        <x:v>0.009550029576630101</x:v>
      </x:c>
      <x:c r="P619" s="20" t="str">
        <x:v>4000rpm!E175</x:v>
      </x:c>
      <x:c r="Q619" s="20" t="str">
        <x:v>4000rpm!D175</x:v>
      </x:c>
      <x:c r="R619" s="20" t="str">
        <x:v>4000rpm!D173</x:v>
      </x:c>
    </x:row>
    <x:row r="620">
      <x:c r="A620" s="21" t="n">
        <x:v>4000</x:v>
      </x:c>
      <x:c r="B620" s="21" t="n">
        <x:v>90</x:v>
      </x:c>
      <x:c r="C620" s="21" t="n">
        <x:v>3</x:v>
      </x:c>
      <x:c r="D620" s="21" t="n">
        <x:v>2</x:v>
      </x:c>
      <x:c r="E620" s="21" t="str">
        <x:v>4000rpm</x:v>
      </x:c>
      <x:c r="F620" s="21" t="n">
        <x:v>175</x:v>
      </x:c>
      <x:c r="G620" s="22" t="n">
        <x:f>IFERROR('4000rpm'!P175,"")</x:f>
        <x:v>1.052558888475615</x:v>
      </x:c>
      <x:c r="H620" s="22" t="n">
        <x:f>IFERROR('4000rpm'!M175,"")</x:f>
        <x:v>4063.54835045856</x:v>
      </x:c>
      <x:c r="I620" s="22" t="n">
        <x:f>IFERROR('4000rpm'!O175,"")</x:f>
        <x:v>2309.6905396551624</x:v>
      </x:c>
      <x:c r="J620" s="22" t="n">
        <x:f>IFERROR('4000rpm'!O173,"")</x:f>
        <x:v>178.1609775720164</x:v>
      </x:c>
      <x:c r="K620" s="22" t="n">
        <x:f>IF(AND(ISNUMBER(I620),ISNUMBER(J620)),I620-J620,"")</x:f>
        <x:v>2131.529562083146</x:v>
      </x:c>
      <x:c r="L620" s="22" t="n">
        <x:f>IF(ISNUMBER(K620),K620*$B$2+$B$3,"")</x:f>
        <x:v>1980.6273722360336</x:v>
      </x:c>
      <x:c r="M620" s="22" t="n">
        <x:f>IF(AND(ISNUMBER(G620),ISNUMBER(H620),H620&lt;&gt;0),G620/(H620/60)/$B$5,"")</x:f>
        <x:v>0.033992726507332184</x:v>
      </x:c>
      <x:c r="N620" s="22" t="n">
        <x:f>IF(AND(ISNUMBER(L620),ISNUMBER(H620),H620&lt;&gt;0),L620*$B$6/$B$4/(H620/60)^2/$B$5^4/$B$7,"")</x:f>
        <x:v>0.08037269964752211</x:v>
      </x:c>
      <x:c r="O620" s="22" t="n">
        <x:f>IF(ISNUMBER(N620),N620*$B$8,"")</x:f>
        <x:v>0.010384356834610428</x:v>
      </x:c>
      <x:c r="P620" s="20" t="str">
        <x:v>4000rpm!P175</x:v>
      </x:c>
      <x:c r="Q620" s="20" t="str">
        <x:v>4000rpm!O175</x:v>
      </x:c>
      <x:c r="R620" s="20" t="str">
        <x:v>4000rpm!O173</x:v>
      </x:c>
    </x:row>
    <x:row r="621">
      <x:c r="A621" s="21" t="n">
        <x:v>4000</x:v>
      </x:c>
      <x:c r="B621" s="21" t="n">
        <x:v>90</x:v>
      </x:c>
      <x:c r="C621" s="21" t="n">
        <x:v>4</x:v>
      </x:c>
      <x:c r="D621" s="21" t="n">
        <x:v>1</x:v>
      </x:c>
      <x:c r="E621" s="21" t="str">
        <x:v>4000rpm</x:v>
      </x:c>
      <x:c r="F621" s="21" t="n">
        <x:v>176</x:v>
      </x:c>
      <x:c r="G621" s="22" t="n">
        <x:f>IFERROR('4000rpm'!E176,"")</x:f>
        <x:v>2.1007325598413846</x:v>
      </x:c>
      <x:c r="H621" s="22" t="n">
        <x:f>IFERROR('4000rpm'!B176,"")</x:f>
        <x:v>4044.1965797061</x:v>
      </x:c>
      <x:c r="I621" s="22" t="n">
        <x:f>IFERROR('4000rpm'!D176,"")</x:f>
        <x:v>2097.775327488151</x:v>
      </x:c>
      <x:c r="J621" s="22" t="n">
        <x:f>IFERROR('4000rpm'!D173,"")</x:f>
        <x:v>223.71193333333227</x:v>
      </x:c>
      <x:c r="K621" s="22" t="n">
        <x:f>IF(AND(ISNUMBER(I621),ISNUMBER(J621)),I621-J621,"")</x:f>
        <x:v>1874.0633941548188</x:v>
      </x:c>
      <x:c r="L621" s="22" t="n">
        <x:f>IF(ISNUMBER(K621),K621*$B$2+$B$3,"")</x:f>
        <x:v>1744.8635425347209</x:v>
      </x:c>
      <x:c r="M621" s="22" t="n">
        <x:f>IF(AND(ISNUMBER(G621),ISNUMBER(H621),H621&lt;&gt;0),G621/(H621/60)/$B$5,"")</x:f>
        <x:v>0.06816846862158739</x:v>
      </x:c>
      <x:c r="N621" s="22" t="n">
        <x:f>IF(AND(ISNUMBER(L621),ISNUMBER(H621),H621&lt;&gt;0),L621*$B$6/$B$4/(H621/60)^2/$B$5^4/$B$7,"")</x:f>
        <x:v>0.0714847818320471</x:v>
      </x:c>
      <x:c r="O621" s="22" t="n">
        <x:f>IF(ISNUMBER(N621),N621*$B$8,"")</x:f>
        <x:v>0.009236015289317702</x:v>
      </x:c>
      <x:c r="P621" s="20" t="str">
        <x:v>4000rpm!E176</x:v>
      </x:c>
      <x:c r="Q621" s="20" t="str">
        <x:v>4000rpm!D176</x:v>
      </x:c>
      <x:c r="R621" s="20" t="str">
        <x:v>4000rpm!D173</x:v>
      </x:c>
    </x:row>
    <x:row r="622">
      <x:c r="A622" s="21" t="n">
        <x:v>4000</x:v>
      </x:c>
      <x:c r="B622" s="21" t="n">
        <x:v>90</x:v>
      </x:c>
      <x:c r="C622" s="21" t="n">
        <x:v>4</x:v>
      </x:c>
      <x:c r="D622" s="21" t="n">
        <x:v>2</x:v>
      </x:c>
      <x:c r="E622" s="21" t="str">
        <x:v>4000rpm</x:v>
      </x:c>
      <x:c r="F622" s="21" t="n">
        <x:v>176</x:v>
      </x:c>
      <x:c r="G622" s="22" t="n">
        <x:f>IFERROR('4000rpm'!P176,"")</x:f>
        <x:v>2.087607507867015</x:v>
      </x:c>
      <x:c r="H622" s="22" t="n">
        <x:f>IFERROR('4000rpm'!M176,"")</x:f>
        <x:v>4029.10335599459</x:v>
      </x:c>
      <x:c r="I622" s="22" t="n">
        <x:f>IFERROR('4000rpm'!O176,"")</x:f>
        <x:v>2214.316385714276</x:v>
      </x:c>
      <x:c r="J622" s="22" t="n">
        <x:f>IFERROR('4000rpm'!O173,"")</x:f>
        <x:v>178.1609775720164</x:v>
      </x:c>
      <x:c r="K622" s="22" t="n">
        <x:f>IF(AND(ISNUMBER(I622),ISNUMBER(J622)),I622-J622,"")</x:f>
        <x:v>2036.1554081422594</x:v>
      </x:c>
      <x:c r="L622" s="22" t="n">
        <x:f>IF(ISNUMBER(K622),K622*$B$2+$B$3,"")</x:f>
        <x:v>1893.292496479132</x:v>
      </x:c>
      <x:c r="M622" s="22" t="n">
        <x:f>IF(AND(ISNUMBER(G622),ISNUMBER(H622),H622&lt;&gt;0),G622/(H622/60)/$B$5,"")</x:f>
        <x:v>0.06799632962255756</x:v>
      </x:c>
      <x:c r="N622" s="22" t="n">
        <x:f>IF(AND(ISNUMBER(L622),ISNUMBER(H622),H622&lt;&gt;0),L622*$B$6/$B$4/(H622/60)^2/$B$5^4/$B$7,"")</x:f>
        <x:v>0.07814794099788264</x:v>
      </x:c>
      <x:c r="O622" s="22" t="n">
        <x:f>IF(ISNUMBER(N622),N622*$B$8,"")</x:f>
        <x:v>0.010096912369138195</x:v>
      </x:c>
      <x:c r="P622" s="20" t="str">
        <x:v>4000rpm!P176</x:v>
      </x:c>
      <x:c r="Q622" s="20" t="str">
        <x:v>4000rpm!O176</x:v>
      </x:c>
      <x:c r="R622" s="20" t="str">
        <x:v>4000rpm!O173</x:v>
      </x:c>
    </x:row>
    <x:row r="623">
      <x:c r="A623" s="21" t="n">
        <x:v>4000</x:v>
      </x:c>
      <x:c r="B623" s="21" t="n">
        <x:v>90</x:v>
      </x:c>
      <x:c r="C623" s="21" t="n">
        <x:v>5</x:v>
      </x:c>
      <x:c r="D623" s="21" t="n">
        <x:v>1</x:v>
      </x:c>
      <x:c r="E623" s="21" t="str">
        <x:v>4000rpm</x:v>
      </x:c>
      <x:c r="F623" s="21" t="n">
        <x:v>177</x:v>
      </x:c>
      <x:c r="G623" s="22" t="n">
        <x:f>IFERROR('4000rpm'!E177,"")</x:f>
        <x:v>3.125816052959805</x:v>
      </x:c>
      <x:c r="H623" s="22" t="n">
        <x:f>IFERROR('4000rpm'!B177,"")</x:f>
        <x:v>4023.66770717075</x:v>
      </x:c>
      <x:c r="I623" s="22" t="n">
        <x:f>IFERROR('4000rpm'!D177,"")</x:f>
        <x:v>1983.4174797127455</x:v>
      </x:c>
      <x:c r="J623" s="22" t="n">
        <x:f>IFERROR('4000rpm'!D173,"")</x:f>
        <x:v>223.71193333333227</x:v>
      </x:c>
      <x:c r="K623" s="22" t="n">
        <x:f>IF(AND(ISNUMBER(I623),ISNUMBER(J623)),I623-J623,"")</x:f>
        <x:v>1759.7055463794131</x:v>
      </x:c>
      <x:c r="L623" s="22" t="n">
        <x:f>IF(ISNUMBER(K623),K623*$B$2+$B$3,"")</x:f>
        <x:v>1640.1451464639997</x:v>
      </x:c>
      <x:c r="M623" s="22" t="n">
        <x:f>IF(AND(ISNUMBER(G623),ISNUMBER(H623),H623&lt;&gt;0),G623/(H623/60)/$B$5,"")</x:f>
        <x:v>0.10194979066235087</x:v>
      </x:c>
      <x:c r="N623" s="22" t="n">
        <x:f>IF(AND(ISNUMBER(L623),ISNUMBER(H623),H623&lt;&gt;0),L623*$B$6/$B$4/(H623/60)^2/$B$5^4/$B$7,"")</x:f>
        <x:v>0.06788201271552095</x:v>
      </x:c>
      <x:c r="O623" s="22" t="n">
        <x:f>IF(ISNUMBER(N623),N623*$B$8,"")</x:f>
        <x:v>0.008770528373203206</x:v>
      </x:c>
      <x:c r="P623" s="20" t="str">
        <x:v>4000rpm!E177</x:v>
      </x:c>
      <x:c r="Q623" s="20" t="str">
        <x:v>4000rpm!D177</x:v>
      </x:c>
      <x:c r="R623" s="20" t="str">
        <x:v>4000rpm!D173</x:v>
      </x:c>
    </x:row>
    <x:row r="624">
      <x:c r="A624" s="21" t="n">
        <x:v>4000</x:v>
      </x:c>
      <x:c r="B624" s="21" t="n">
        <x:v>90</x:v>
      </x:c>
      <x:c r="C624" s="21" t="n">
        <x:v>5</x:v>
      </x:c>
      <x:c r="D624" s="21" t="n">
        <x:v>2</x:v>
      </x:c>
      <x:c r="E624" s="21" t="str">
        <x:v>4000rpm</x:v>
      </x:c>
      <x:c r="F624" s="21" t="n">
        <x:v>177</x:v>
      </x:c>
      <x:c r="G624" s="22" t="n">
        <x:f>IFERROR('4000rpm'!P177,"")</x:f>
        <x:v>3.1152833531732105</x:v>
      </x:c>
      <x:c r="H624" s="22" t="n">
        <x:f>IFERROR('4000rpm'!M177,"")</x:f>
        <x:v>4032.92844063895</x:v>
      </x:c>
      <x:c r="I624" s="22" t="n">
        <x:f>IFERROR('4000rpm'!O177,"")</x:f>
        <x:v>2101.8421862068867</x:v>
      </x:c>
      <x:c r="J624" s="22" t="n">
        <x:f>IFERROR('4000rpm'!O173,"")</x:f>
        <x:v>178.1609775720164</x:v>
      </x:c>
      <x:c r="K624" s="22" t="n">
        <x:f>IF(AND(ISNUMBER(I624),ISNUMBER(J624)),I624-J624,"")</x:f>
        <x:v>1923.6812086348702</x:v>
      </x:c>
      <x:c r="L624" s="22" t="n">
        <x:f>IF(ISNUMBER(K624),K624*$B$2+$B$3,"")</x:f>
        <x:v>1790.2989721966198</x:v>
      </x:c>
      <x:c r="M624" s="22" t="n">
        <x:f>IF(AND(ISNUMBER(G624),ISNUMBER(H624),H624&lt;&gt;0),G624/(H624/60)/$B$5,"")</x:f>
        <x:v>0.10137294583626799</x:v>
      </x:c>
      <x:c r="N624" s="22" t="n">
        <x:f>IF(AND(ISNUMBER(L624),ISNUMBER(H624),H624&lt;&gt;0),L624*$B$6/$B$4/(H624/60)^2/$B$5^4/$B$7,"")</x:f>
        <x:v>0.07375664828299229</x:v>
      </x:c>
      <x:c r="O624" s="22" t="n">
        <x:f>IF(ISNUMBER(N624),N624*$B$8,"")</x:f>
        <x:v>0.009529546202310023</x:v>
      </x:c>
      <x:c r="P624" s="20" t="str">
        <x:v>4000rpm!P177</x:v>
      </x:c>
      <x:c r="Q624" s="20" t="str">
        <x:v>4000rpm!O177</x:v>
      </x:c>
      <x:c r="R624" s="20" t="str">
        <x:v>4000rpm!O173</x:v>
      </x:c>
    </x:row>
    <x:row r="625">
      <x:c r="A625" s="21" t="n">
        <x:v>4000</x:v>
      </x:c>
      <x:c r="B625" s="21" t="n">
        <x:v>90</x:v>
      </x:c>
      <x:c r="C625" s="21" t="n">
        <x:v>6</x:v>
      </x:c>
      <x:c r="D625" s="21" t="n">
        <x:v>1</x:v>
      </x:c>
      <x:c r="E625" s="21" t="str">
        <x:v>4000rpm</x:v>
      </x:c>
      <x:c r="F625" s="21" t="n">
        <x:v>178</x:v>
      </x:c>
      <x:c r="G625" s="22" t="n">
        <x:f>IFERROR('4000rpm'!E178,"")</x:f>
        <x:v>4.151965696016941</x:v>
      </x:c>
      <x:c r="H625" s="22" t="n">
        <x:f>IFERROR('4000rpm'!B178,"")</x:f>
        <x:v>4046.89979137073</x:v>
      </x:c>
      <x:c r="I625" s="22" t="n">
        <x:f>IFERROR('4000rpm'!D178,"")</x:f>
        <x:v>1823.8454888888803</x:v>
      </x:c>
      <x:c r="J625" s="22" t="n">
        <x:f>IFERROR('4000rpm'!D173,"")</x:f>
        <x:v>223.71193333333227</x:v>
      </x:c>
      <x:c r="K625" s="22" t="n">
        <x:f>IF(AND(ISNUMBER(I625),ISNUMBER(J625)),I625-J625,"")</x:f>
        <x:v>1600.133555555548</x:v>
      </x:c>
      <x:c r="L625" s="22" t="n">
        <x:f>IF(ISNUMBER(K625),K625*$B$2+$B$3,"")</x:f>
        <x:v>1494.0237978906596</x:v>
      </x:c>
      <x:c r="M625" s="22" t="n">
        <x:f>IF(AND(ISNUMBER(G625),ISNUMBER(H625),H625&lt;&gt;0),G625/(H625/60)/$B$5,"")</x:f>
        <x:v>0.13464069189224384</x:v>
      </x:c>
      <x:c r="N625" s="22" t="n">
        <x:f>IF(AND(ISNUMBER(L625),ISNUMBER(H625),H625&lt;&gt;0),L625*$B$6/$B$4/(H625/60)^2/$B$5^4/$B$7,"")</x:f>
        <x:v>0.061126461605391605</x:v>
      </x:c>
      <x:c r="O625" s="22" t="n">
        <x:f>IF(ISNUMBER(N625),N625*$B$8,"")</x:f>
        <x:v>0.007897694019626847</x:v>
      </x:c>
      <x:c r="P625" s="20" t="str">
        <x:v>4000rpm!E178</x:v>
      </x:c>
      <x:c r="Q625" s="20" t="str">
        <x:v>4000rpm!D178</x:v>
      </x:c>
      <x:c r="R625" s="20" t="str">
        <x:v>4000rpm!D173</x:v>
      </x:c>
    </x:row>
    <x:row r="626">
      <x:c r="A626" s="21" t="n">
        <x:v>4000</x:v>
      </x:c>
      <x:c r="B626" s="21" t="n">
        <x:v>90</x:v>
      </x:c>
      <x:c r="C626" s="21" t="n">
        <x:v>6</x:v>
      </x:c>
      <x:c r="D626" s="21" t="n">
        <x:v>2</x:v>
      </x:c>
      <x:c r="E626" s="21" t="str">
        <x:v>4000rpm</x:v>
      </x:c>
      <x:c r="F626" s="21" t="n">
        <x:v>178</x:v>
      </x:c>
      <x:c r="G626" s="22" t="n">
        <x:f>IFERROR('4000rpm'!P178,"")</x:f>
        <x:v>4.04377484010612</x:v>
      </x:c>
      <x:c r="H626" s="22" t="n">
        <x:f>IFERROR('4000rpm'!M178,"")</x:f>
        <x:v>4062.2435992697</x:v>
      </x:c>
      <x:c r="I626" s="22" t="n">
        <x:f>IFERROR('4000rpm'!O178,"")</x:f>
        <x:v>1985.4747347826005</x:v>
      </x:c>
      <x:c r="J626" s="22" t="n">
        <x:f>IFERROR('4000rpm'!O173,"")</x:f>
        <x:v>178.1609775720164</x:v>
      </x:c>
      <x:c r="K626" s="22" t="n">
        <x:f>IF(AND(ISNUMBER(I626),ISNUMBER(J626)),I626-J626,"")</x:f>
        <x:v>1807.313757210584</x:v>
      </x:c>
      <x:c r="L626" s="22" t="n">
        <x:f>IF(ISNUMBER(K626),K626*$B$2+$B$3,"")</x:f>
        <x:v>1683.7403659877896</x:v>
      </x:c>
      <x:c r="M626" s="22" t="n">
        <x:f>IF(AND(ISNUMBER(G626),ISNUMBER(H626),H626&lt;&gt;0),G626/(H626/60)/$B$5,"")</x:f>
        <x:v>0.13063694973147918</x:v>
      </x:c>
      <x:c r="N626" s="22" t="n">
        <x:f>IF(AND(ISNUMBER(L626),ISNUMBER(H626),H626&lt;&gt;0),L626*$B$6/$B$4/(H626/60)^2/$B$5^4/$B$7,"")</x:f>
        <x:v>0.06836909644217899</x:v>
      </x:c>
      <x:c r="O626" s="22" t="n">
        <x:f>IF(ISNUMBER(N626),N626*$B$8,"")</x:f>
        <x:v>0.008833460827234628</x:v>
      </x:c>
      <x:c r="P626" s="20" t="str">
        <x:v>4000rpm!P178</x:v>
      </x:c>
      <x:c r="Q626" s="20" t="str">
        <x:v>4000rpm!O178</x:v>
      </x:c>
      <x:c r="R626" s="20" t="str">
        <x:v>4000rpm!O173</x:v>
      </x:c>
    </x:row>
    <x:row r="627">
      <x:c r="A627" s="21" t="n">
        <x:v>4000</x:v>
      </x:c>
      <x:c r="B627" s="21" t="n">
        <x:v>90</x:v>
      </x:c>
      <x:c r="C627" s="21" t="n">
        <x:v>7</x:v>
      </x:c>
      <x:c r="D627" s="21" t="n">
        <x:v>1</x:v>
      </x:c>
      <x:c r="E627" s="21" t="str">
        <x:v>4000rpm</x:v>
      </x:c>
      <x:c r="F627" s="21" t="n">
        <x:v>179</x:v>
      </x:c>
      <x:c r="G627" s="22" t="n">
        <x:f>IFERROR('4000rpm'!E179,"")</x:f>
        <x:v>5.1749902517259905</x:v>
      </x:c>
      <x:c r="H627" s="22" t="n">
        <x:f>IFERROR('4000rpm'!B179,"")</x:f>
        <x:v>4047.55854067595</x:v>
      </x:c>
      <x:c r="I627" s="22" t="n">
        <x:f>IFERROR('4000rpm'!D179,"")</x:f>
        <x:v>1726.404275496687</x:v>
      </x:c>
      <x:c r="J627" s="22" t="n">
        <x:f>IFERROR('4000rpm'!D173,"")</x:f>
        <x:v>223.71193333333227</x:v>
      </x:c>
      <x:c r="K627" s="22" t="n">
        <x:f>IF(AND(ISNUMBER(I627),ISNUMBER(J627)),I627-J627,"")</x:f>
        <x:v>1502.6923421633546</x:v>
      </x:c>
      <x:c r="L627" s="22" t="n">
        <x:f>IF(ISNUMBER(K627),K627*$B$2+$B$3,"")</x:f>
        <x:v>1404.7960992577212</x:v>
      </x:c>
      <x:c r="M627" s="22" t="n">
        <x:f>IF(AND(ISNUMBER(G627),ISNUMBER(H627),H627&lt;&gt;0),G627/(H627/60)/$B$5,"")</x:f>
        <x:v>0.167788204207974</x:v>
      </x:c>
      <x:c r="N627" s="22" t="n">
        <x:f>IF(AND(ISNUMBER(L627),ISNUMBER(H627),H627&lt;&gt;0),L627*$B$6/$B$4/(H627/60)^2/$B$5^4/$B$7,"")</x:f>
        <x:v>0.057457094108642845</x:v>
      </x:c>
      <x:c r="O627" s="22" t="n">
        <x:f>IF(ISNUMBER(N627),N627*$B$8,"")</x:f>
        <x:v>0.007423602423715959</x:v>
      </x:c>
      <x:c r="P627" s="20" t="str">
        <x:v>4000rpm!E179</x:v>
      </x:c>
      <x:c r="Q627" s="20" t="str">
        <x:v>4000rpm!D179</x:v>
      </x:c>
      <x:c r="R627" s="20" t="str">
        <x:v>4000rpm!D173</x:v>
      </x:c>
    </x:row>
    <x:row r="628">
      <x:c r="A628" s="21" t="n">
        <x:v>4000</x:v>
      </x:c>
      <x:c r="B628" s="21" t="n">
        <x:v>90</x:v>
      </x:c>
      <x:c r="C628" s="21" t="n">
        <x:v>7</x:v>
      </x:c>
      <x:c r="D628" s="21" t="n">
        <x:v>2</x:v>
      </x:c>
      <x:c r="E628" s="21" t="str">
        <x:v>4000rpm</x:v>
      </x:c>
      <x:c r="F628" s="21" t="n">
        <x:v>179</x:v>
      </x:c>
      <x:c r="G628" s="22" t="n">
        <x:f>IFERROR('4000rpm'!P179,"")</x:f>
        <x:v>5.161466661985815</x:v>
      </x:c>
      <x:c r="H628" s="22" t="n">
        <x:f>IFERROR('4000rpm'!M179,"")</x:f>
        <x:v>4066.09970490828</x:v>
      </x:c>
      <x:c r="I628" s="22" t="n">
        <x:f>IFERROR('4000rpm'!O179,"")</x:f>
        <x:v>1836.6571108695648</x:v>
      </x:c>
      <x:c r="J628" s="22" t="n">
        <x:f>IFERROR('4000rpm'!O173,"")</x:f>
        <x:v>178.1609775720164</x:v>
      </x:c>
      <x:c r="K628" s="22" t="n">
        <x:f>IF(AND(ISNUMBER(I628),ISNUMBER(J628)),I628-J628,"")</x:f>
        <x:v>1658.4961332975483</x:v>
      </x:c>
      <x:c r="L628" s="22" t="n">
        <x:f>IF(ISNUMBER(K628),K628*$B$2+$B$3,"")</x:f>
        <x:v>1547.4668772296313</x:v>
      </x:c>
      <x:c r="M628" s="22" t="n">
        <x:f>IF(AND(ISNUMBER(G628),ISNUMBER(H628),H628&lt;&gt;0),G628/(H628/60)/$B$5,"")</x:f>
        <x:v>0.16658662571389415</x:v>
      </x:c>
      <x:c r="N628" s="22" t="n">
        <x:f>IF(AND(ISNUMBER(L628),ISNUMBER(H628),H628&lt;&gt;0),L628*$B$6/$B$4/(H628/60)^2/$B$5^4/$B$7,"")</x:f>
        <x:v>0.06271652068216049</x:v>
      </x:c>
      <x:c r="O628" s="22" t="n">
        <x:f>IF(ISNUMBER(N628),N628*$B$8,"")</x:f>
        <x:v>0.008103133688988363</x:v>
      </x:c>
      <x:c r="P628" s="20" t="str">
        <x:v>4000rpm!P179</x:v>
      </x:c>
      <x:c r="Q628" s="20" t="str">
        <x:v>4000rpm!O179</x:v>
      </x:c>
      <x:c r="R628" s="20" t="str">
        <x:v>4000rpm!O173</x:v>
      </x:c>
    </x:row>
    <x:row r="629">
      <x:c r="A629" s="21" t="n">
        <x:v>4000</x:v>
      </x:c>
      <x:c r="B629" s="21" t="n">
        <x:v>90</x:v>
      </x:c>
      <x:c r="C629" s="21" t="n">
        <x:v>8</x:v>
      </x:c>
      <x:c r="D629" s="21" t="n">
        <x:v>1</x:v>
      </x:c>
      <x:c r="E629" s="21" t="str">
        <x:v>4000rpm</x:v>
      </x:c>
      <x:c r="F629" s="21" t="n">
        <x:v>180</x:v>
      </x:c>
      <x:c r="G629" s="22" t="n">
        <x:f>IFERROR('4000rpm'!E180,"")</x:f>
        <x:v>6.2069535955138795</x:v>
      </x:c>
      <x:c r="H629" s="22" t="n">
        <x:f>IFERROR('4000rpm'!B180,"")</x:f>
        <x:v>4058.10177047164</x:v>
      </x:c>
      <x:c r="I629" s="22" t="n">
        <x:f>IFERROR('4000rpm'!D180,"")</x:f>
        <x:v>1631.095766666663</x:v>
      </x:c>
      <x:c r="J629" s="22" t="n">
        <x:f>IFERROR('4000rpm'!D173,"")</x:f>
        <x:v>223.71193333333227</x:v>
      </x:c>
      <x:c r="K629" s="22" t="n">
        <x:f>IF(AND(ISNUMBER(I629),ISNUMBER(J629)),I629-J629,"")</x:f>
        <x:v>1407.3838333333306</x:v>
      </x:c>
      <x:c r="L629" s="22" t="n">
        <x:f>IF(ISNUMBER(K629),K629*$B$2+$B$3,"")</x:f>
        <x:v>1317.5213352539974</x:v>
      </x:c>
      <x:c r="M629" s="22" t="n">
        <x:f>IF(AND(ISNUMBER(G629),ISNUMBER(H629),H629&lt;&gt;0),G629/(H629/60)/$B$5,"")</x:f>
        <x:v>0.20072459622214295</x:v>
      </x:c>
      <x:c r="N629" s="22" t="n">
        <x:f>IF(AND(ISNUMBER(L629),ISNUMBER(H629),H629&lt;&gt;0),L629*$B$6/$B$4/(H629/60)^2/$B$5^4/$B$7,"")</x:f>
        <x:v>0.053607855081183195</x:v>
      </x:c>
      <x:c r="O629" s="22" t="n">
        <x:f>IF(ISNUMBER(N629),N629*$B$8,"")</x:f>
        <x:v>0.006926270969401892</x:v>
      </x:c>
      <x:c r="P629" s="20" t="str">
        <x:v>4000rpm!E180</x:v>
      </x:c>
      <x:c r="Q629" s="20" t="str">
        <x:v>4000rpm!D180</x:v>
      </x:c>
      <x:c r="R629" s="20" t="str">
        <x:v>4000rpm!D173</x:v>
      </x:c>
    </x:row>
    <x:row r="630">
      <x:c r="A630" s="21" t="n">
        <x:v>4000</x:v>
      </x:c>
      <x:c r="B630" s="21" t="n">
        <x:v>90</x:v>
      </x:c>
      <x:c r="C630" s="21" t="n">
        <x:v>8</x:v>
      </x:c>
      <x:c r="D630" s="21" t="n">
        <x:v>2</x:v>
      </x:c>
      <x:c r="E630" s="21" t="str">
        <x:v>4000rpm</x:v>
      </x:c>
      <x:c r="F630" s="21" t="n">
        <x:v>180</x:v>
      </x:c>
      <x:c r="G630" s="22" t="n">
        <x:f>IFERROR('4000rpm'!P180,"")</x:f>
        <x:v>6.188196307420725</x:v>
      </x:c>
      <x:c r="H630" s="22" t="n">
        <x:f>IFERROR('4000rpm'!M180,"")</x:f>
        <x:v>4052.72468058268</x:v>
      </x:c>
      <x:c r="I630" s="22" t="n">
        <x:f>IFERROR('4000rpm'!O180,"")</x:f>
        <x:v>1710.414902713985</x:v>
      </x:c>
      <x:c r="J630" s="22" t="n">
        <x:f>IFERROR('4000rpm'!O173,"")</x:f>
        <x:v>178.1609775720164</x:v>
      </x:c>
      <x:c r="K630" s="22" t="n">
        <x:f>IF(AND(ISNUMBER(I630),ISNUMBER(J630)),I630-J630,"")</x:f>
        <x:v>1532.2539251419685</x:v>
      </x:c>
      <x:c r="L630" s="22" t="n">
        <x:f>IF(ISNUMBER(K630),K630*$B$2+$B$3,"")</x:f>
        <x:v>1431.8658772839017</x:v>
      </x:c>
      <x:c r="M630" s="22" t="n">
        <x:f>IF(AND(ISNUMBER(G630),ISNUMBER(H630),H630&lt;&gt;0),G630/(H630/60)/$B$5,"")</x:f>
        <x:v>0.2003835239125084</x:v>
      </x:c>
      <x:c r="N630" s="22" t="n">
        <x:f>IF(AND(ISNUMBER(L630),ISNUMBER(H630),H630&lt;&gt;0),L630*$B$6/$B$4/(H630/60)^2/$B$5^4/$B$7,"")</x:f>
        <x:v>0.05841505363678616</x:v>
      </x:c>
      <x:c r="O630" s="22" t="n">
        <x:f>IF(ISNUMBER(N630),N630*$B$8,"")</x:f>
        <x:v>0.007547373226699829</x:v>
      </x:c>
      <x:c r="P630" s="20" t="str">
        <x:v>4000rpm!P180</x:v>
      </x:c>
      <x:c r="Q630" s="20" t="str">
        <x:v>4000rpm!O180</x:v>
      </x:c>
      <x:c r="R630" s="20" t="str">
        <x:v>4000rpm!O173</x:v>
      </x:c>
    </x:row>
    <x:row r="631">
      <x:c r="A631" s="21" t="n">
        <x:v>4000</x:v>
      </x:c>
      <x:c r="B631" s="21" t="n">
        <x:v>90</x:v>
      </x:c>
      <x:c r="C631" s="21" t="n">
        <x:v>9</x:v>
      </x:c>
      <x:c r="D631" s="21" t="n">
        <x:v>1</x:v>
      </x:c>
      <x:c r="E631" s="21" t="str">
        <x:v>4000rpm</x:v>
      </x:c>
      <x:c r="F631" s="21" t="n">
        <x:v>181</x:v>
      </x:c>
      <x:c r="G631" s="22" t="n">
        <x:f>IFERROR('4000rpm'!E181,"")</x:f>
        <x:v>7.2139381885528495</x:v>
      </x:c>
      <x:c r="H631" s="22" t="n">
        <x:f>IFERROR('4000rpm'!B181,"")</x:f>
        <x:v>4107.94027005709</x:v>
      </x:c>
      <x:c r="I631" s="22" t="n">
        <x:f>IFERROR('4000rpm'!D181,"")</x:f>
        <x:v>1508.5968177263956</x:v>
      </x:c>
      <x:c r="J631" s="22" t="n">
        <x:f>IFERROR('4000rpm'!D173,"")</x:f>
        <x:v>223.71193333333227</x:v>
      </x:c>
      <x:c r="K631" s="22" t="n">
        <x:f>IF(AND(ISNUMBER(I631),ISNUMBER(J631)),I631-J631,"")</x:f>
        <x:v>1284.8848843930632</x:v>
      </x:c>
      <x:c r="L631" s="22" t="n">
        <x:f>IF(ISNUMBER(K631),K631*$B$2+$B$3,"")</x:f>
        <x:v>1205.3480677178031</x:v>
      </x:c>
      <x:c r="M631" s="22" t="n">
        <x:f>IF(AND(ISNUMBER(G631),ISNUMBER(H631),H631&lt;&gt;0),G631/(H631/60)/$B$5,"")</x:f>
        <x:v>0.23045881539883215</x:v>
      </x:c>
      <x:c r="N631" s="22" t="n">
        <x:f>IF(AND(ISNUMBER(L631),ISNUMBER(H631),H631&lt;&gt;0),L631*$B$6/$B$4/(H631/60)^2/$B$5^4/$B$7,"")</x:f>
        <x:v>0.047860901880775936</x:v>
      </x:c>
      <x:c r="O631" s="22" t="n">
        <x:f>IF(ISNUMBER(N631),N631*$B$8,"")</x:f>
        <x:v>0.006183750026263766</x:v>
      </x:c>
      <x:c r="P631" s="20" t="str">
        <x:v>4000rpm!E181</x:v>
      </x:c>
      <x:c r="Q631" s="20" t="str">
        <x:v>4000rpm!D181</x:v>
      </x:c>
      <x:c r="R631" s="20" t="str">
        <x:v>4000rpm!D173</x:v>
      </x:c>
    </x:row>
    <x:row r="632">
      <x:c r="A632" s="21" t="n">
        <x:v>4000</x:v>
      </x:c>
      <x:c r="B632" s="21" t="n">
        <x:v>90</x:v>
      </x:c>
      <x:c r="C632" s="21" t="n">
        <x:v>9</x:v>
      </x:c>
      <x:c r="D632" s="21" t="n">
        <x:v>2</x:v>
      </x:c>
      <x:c r="E632" s="21" t="str">
        <x:v>4000rpm</x:v>
      </x:c>
      <x:c r="F632" s="21" t="n">
        <x:v>181</x:v>
      </x:c>
      <x:c r="G632" s="22" t="n">
        <x:f>IFERROR('4000rpm'!P181,"")</x:f>
        <x:v>7.204319769427874</x:v>
      </x:c>
      <x:c r="H632" s="22" t="n">
        <x:f>IFERROR('4000rpm'!M181,"")</x:f>
        <x:v>4081.0165234375</x:v>
      </x:c>
      <x:c r="I632" s="22" t="n">
        <x:f>IFERROR('4000rpm'!O181,"")</x:f>
        <x:v>1587.6832324110571</x:v>
      </x:c>
      <x:c r="J632" s="22" t="n">
        <x:f>IFERROR('4000rpm'!O173,"")</x:f>
        <x:v>178.1609775720164</x:v>
      </x:c>
      <x:c r="K632" s="22" t="n">
        <x:f>IF(AND(ISNUMBER(I632),ISNUMBER(J632)),I632-J632,"")</x:f>
        <x:v>1409.5222548390407</x:v>
      </x:c>
      <x:c r="L632" s="22" t="n">
        <x:f>IF(ISNUMBER(K632),K632*$B$2+$B$3,"")</x:f>
        <x:v>1319.4795049341483</x:v>
      </x:c>
      <x:c r="M632" s="22" t="n">
        <x:f>IF(AND(ISNUMBER(G632),ISNUMBER(H632),H632&lt;&gt;0),G632/(H632/60)/$B$5,"")</x:f>
        <x:v>0.23166992419880308</x:v>
      </x:c>
      <x:c r="N632" s="22" t="n">
        <x:f>IF(AND(ISNUMBER(L632),ISNUMBER(H632),H632&lt;&gt;0),L632*$B$6/$B$4/(H632/60)^2/$B$5^4/$B$7,"")</x:f>
        <x:v>0.053086315664218356</x:v>
      </x:c>
      <x:c r="O632" s="22" t="n">
        <x:f>IF(ISNUMBER(N632),N632*$B$8,"")</x:f>
        <x:v>0.006858886752711038</x:v>
      </x:c>
      <x:c r="P632" s="20" t="str">
        <x:v>4000rpm!P181</x:v>
      </x:c>
      <x:c r="Q632" s="20" t="str">
        <x:v>4000rpm!O181</x:v>
      </x:c>
      <x:c r="R632" s="20" t="str">
        <x:v>4000rpm!O173</x:v>
      </x:c>
    </x:row>
    <x:row r="633">
      <x:c r="A633" s="21" t="n">
        <x:v>4000</x:v>
      </x:c>
      <x:c r="B633" s="21" t="n">
        <x:v>90</x:v>
      </x:c>
      <x:c r="C633" s="21" t="n">
        <x:v>10</x:v>
      </x:c>
      <x:c r="D633" s="21" t="n">
        <x:v>1</x:v>
      </x:c>
      <x:c r="E633" s="21" t="str">
        <x:v>4000rpm</x:v>
      </x:c>
      <x:c r="F633" s="21" t="n">
        <x:v>182</x:v>
      </x:c>
      <x:c r="G633" s="22" t="n">
        <x:f>IFERROR('4000rpm'!E182,"")</x:f>
        <x:v>8.23532206015152</x:v>
      </x:c>
      <x:c r="H633" s="22" t="n">
        <x:f>IFERROR('4000rpm'!B182,"")</x:f>
        <x:v>4087.23794668692</x:v>
      </x:c>
      <x:c r="I633" s="22" t="n">
        <x:f>IFERROR('4000rpm'!D182,"")</x:f>
        <x:v>1413.8126763636292</x:v>
      </x:c>
      <x:c r="J633" s="22" t="n">
        <x:f>IFERROR('4000rpm'!D173,"")</x:f>
        <x:v>223.71193333333227</x:v>
      </x:c>
      <x:c r="K633" s="22" t="n">
        <x:f>IF(AND(ISNUMBER(I633),ISNUMBER(J633)),I633-J633,"")</x:f>
        <x:v>1190.1007430302968</x:v>
      </x:c>
      <x:c r="L633" s="22" t="n">
        <x:f>IF(ISNUMBER(K633),K633*$B$2+$B$3,"")</x:f>
        <x:v>1118.553471198787</x:v>
      </x:c>
      <x:c r="M633" s="22" t="n">
        <x:f>IF(AND(ISNUMBER(G633),ISNUMBER(H633),H633&lt;&gt;0),G633/(H633/60)/$B$5,"")</x:f>
        <x:v>0.2644208486577392</x:v>
      </x:c>
      <x:c r="N633" s="22" t="n">
        <x:f>IF(AND(ISNUMBER(L633),ISNUMBER(H633),H633&lt;&gt;0),L633*$B$6/$B$4/(H633/60)^2/$B$5^4/$B$7,"")</x:f>
        <x:v>0.04486560712327025</x:v>
      </x:c>
      <x:c r="O633" s="22" t="n">
        <x:f>IF(ISNUMBER(N633),N633*$B$8,"")</x:f>
        <x:v>0.005796750339514587</x:v>
      </x:c>
      <x:c r="P633" s="20" t="str">
        <x:v>4000rpm!E182</x:v>
      </x:c>
      <x:c r="Q633" s="20" t="str">
        <x:v>4000rpm!D182</x:v>
      </x:c>
      <x:c r="R633" s="20" t="str">
        <x:v>4000rpm!D173</x:v>
      </x:c>
    </x:row>
    <x:row r="634">
      <x:c r="A634" s="21" t="n">
        <x:v>4000</x:v>
      </x:c>
      <x:c r="B634" s="21" t="n">
        <x:v>90</x:v>
      </x:c>
      <x:c r="C634" s="21" t="n">
        <x:v>10</x:v>
      </x:c>
      <x:c r="D634" s="21" t="n">
        <x:v>2</x:v>
      </x:c>
      <x:c r="E634" s="21" t="str">
        <x:v>4000rpm</x:v>
      </x:c>
      <x:c r="F634" s="21" t="n">
        <x:v>182</x:v>
      </x:c>
      <x:c r="G634" s="22" t="n">
        <x:f>IFERROR('4000rpm'!P182,"")</x:f>
        <x:v>8.23138404204855</x:v>
      </x:c>
      <x:c r="H634" s="22" t="n">
        <x:f>IFERROR('4000rpm'!M182,"")</x:f>
        <x:v>4097.35060716712</x:v>
      </x:c>
      <x:c r="I634" s="22" t="n">
        <x:f>IFERROR('4000rpm'!O182,"")</x:f>
        <x:v>1463.8424034934435</x:v>
      </x:c>
      <x:c r="J634" s="22" t="n">
        <x:f>IFERROR('4000rpm'!O173,"")</x:f>
        <x:v>178.1609775720164</x:v>
      </x:c>
      <x:c r="K634" s="22" t="n">
        <x:f>IF(AND(ISNUMBER(I634),ISNUMBER(J634)),I634-J634,"")</x:f>
        <x:v>1285.681425921427</x:v>
      </x:c>
      <x:c r="L634" s="22" t="n">
        <x:f>IF(ISNUMBER(K634),K634*$B$2+$B$3,"")</x:f>
        <x:v>1206.0774671676581</x:v>
      </x:c>
      <x:c r="M634" s="22" t="n">
        <x:f>IF(AND(ISNUMBER(G634),ISNUMBER(H634),H634&lt;&gt;0),G634/(H634/60)/$B$5,"")</x:f>
        <x:v>0.2636421018898251</x:v>
      </x:c>
      <x:c r="N634" s="22" t="n">
        <x:f>IF(AND(ISNUMBER(L634),ISNUMBER(H634),H634&lt;&gt;0),L634*$B$6/$B$4/(H634/60)^2/$B$5^4/$B$7,"")</x:f>
        <x:v>0.048137728240406755</x:v>
      </x:c>
      <x:c r="O634" s="22" t="n">
        <x:f>IF(ISNUMBER(N634),N634*$B$8,"")</x:f>
        <x:v>0.006219516694700183</x:v>
      </x:c>
      <x:c r="P634" s="20" t="str">
        <x:v>4000rpm!P182</x:v>
      </x:c>
      <x:c r="Q634" s="20" t="str">
        <x:v>4000rpm!O182</x:v>
      </x:c>
      <x:c r="R634" s="20" t="str">
        <x:v>4000rpm!O173</x:v>
      </x:c>
    </x:row>
    <x:row r="635">
      <x:c r="A635" s="21" t="n">
        <x:v>4000</x:v>
      </x:c>
      <x:c r="B635" s="21" t="n">
        <x:v>90</x:v>
      </x:c>
      <x:c r="C635" s="21" t="n">
        <x:v>11</x:v>
      </x:c>
      <x:c r="D635" s="21" t="n">
        <x:v>1</x:v>
      </x:c>
      <x:c r="E635" s="21" t="str">
        <x:v>4000rpm</x:v>
      </x:c>
      <x:c r="F635" s="21" t="n">
        <x:v>183</x:v>
      </x:c>
      <x:c r="G635" s="22" t="n">
        <x:f>IFERROR('4000rpm'!E183,"")</x:f>
        <x:v>9.259349294092456</x:v>
      </x:c>
      <x:c r="H635" s="22" t="n">
        <x:f>IFERROR('4000rpm'!B183,"")</x:f>
        <x:v>4152.82359900841</x:v>
      </x:c>
      <x:c r="I635" s="22" t="n">
        <x:f>IFERROR('4000rpm'!D183,"")</x:f>
        <x:v>1313.5597861804217</x:v>
      </x:c>
      <x:c r="J635" s="22" t="n">
        <x:f>IFERROR('4000rpm'!D173,"")</x:f>
        <x:v>223.71193333333227</x:v>
      </x:c>
      <x:c r="K635" s="22" t="n">
        <x:f>IF(AND(ISNUMBER(I635),ISNUMBER(J635)),I635-J635,"")</x:f>
        <x:v>1089.8478528470894</x:v>
      </x:c>
      <x:c r="L635" s="22" t="n">
        <x:f>IF(ISNUMBER(K635),K635*$B$2+$B$3,"")</x:f>
        <x:v>1026.7510976349024</x:v>
      </x:c>
      <x:c r="M635" s="22" t="n">
        <x:f>IF(AND(ISNUMBER(G635),ISNUMBER(H635),H635&lt;&gt;0),G635/(H635/60)/$B$5,"")</x:f>
        <x:v>0.292605181430521</x:v>
      </x:c>
      <x:c r="N635" s="22" t="n">
        <x:f>IF(AND(ISNUMBER(L635),ISNUMBER(H635),H635&lt;&gt;0),L635*$B$6/$B$4/(H635/60)^2/$B$5^4/$B$7,"")</x:f>
        <x:v>0.03989283041714936</x:v>
      </x:c>
      <x:c r="O635" s="22" t="n">
        <x:f>IF(ISNUMBER(N635),N635*$B$8,"")</x:f>
        <x:v>0.00515425496482065</x:v>
      </x:c>
      <x:c r="P635" s="20" t="str">
        <x:v>4000rpm!E183</x:v>
      </x:c>
      <x:c r="Q635" s="20" t="str">
        <x:v>4000rpm!D183</x:v>
      </x:c>
      <x:c r="R635" s="20" t="str">
        <x:v>4000rpm!D173</x:v>
      </x:c>
    </x:row>
    <x:row r="636">
      <x:c r="A636" s="21" t="n">
        <x:v>4000</x:v>
      </x:c>
      <x:c r="B636" s="21" t="n">
        <x:v>90</x:v>
      </x:c>
      <x:c r="C636" s="21" t="n">
        <x:v>11</x:v>
      </x:c>
      <x:c r="D636" s="21" t="n">
        <x:v>2</x:v>
      </x:c>
      <x:c r="E636" s="21" t="str">
        <x:v>4000rpm</x:v>
      </x:c>
      <x:c r="F636" s="21" t="n">
        <x:v>183</x:v>
      </x:c>
      <x:c r="G636" s="22" t="n">
        <x:f>IFERROR('4000rpm'!P183,"")</x:f>
        <x:v>9.252528655364205</x:v>
      </x:c>
      <x:c r="H636" s="22" t="n">
        <x:f>IFERROR('4000rpm'!M183,"")</x:f>
        <x:v>4117.68228426846</x:v>
      </x:c>
      <x:c r="I636" s="22" t="n">
        <x:f>IFERROR('4000rpm'!O183,"")</x:f>
        <x:v>1361.842242857135</x:v>
      </x:c>
      <x:c r="J636" s="22" t="n">
        <x:f>IFERROR('4000rpm'!O173,"")</x:f>
        <x:v>178.1609775720164</x:v>
      </x:c>
      <x:c r="K636" s="22" t="n">
        <x:f>IF(AND(ISNUMBER(I636),ISNUMBER(J636)),I636-J636,"")</x:f>
        <x:v>1183.6812652851186</x:v>
      </x:c>
      <x:c r="L636" s="22" t="n">
        <x:f>IF(ISNUMBER(K636),K636*$B$2+$B$3,"")</x:f>
        <x:v>1112.6751040717054</x:v>
      </x:c>
      <x:c r="M636" s="22" t="n">
        <x:f>IF(AND(ISNUMBER(G636),ISNUMBER(H636),H636&lt;&gt;0),G636/(H636/60)/$B$5,"")</x:f>
        <x:v>0.2948849672860472</x:v>
      </x:c>
      <x:c r="N636" s="22" t="n">
        <x:f>IF(AND(ISNUMBER(L636),ISNUMBER(H636),H636&lt;&gt;0),L636*$B$6/$B$4/(H636/60)^2/$B$5^4/$B$7,"")</x:f>
        <x:v>0.043972316551231974</x:v>
      </x:c>
      <x:c r="O636" s="22" t="n">
        <x:f>IF(ISNUMBER(N636),N636*$B$8,"")</x:f>
        <x:v>0.00568133492983294</x:v>
      </x:c>
      <x:c r="P636" s="20" t="str">
        <x:v>4000rpm!P183</x:v>
      </x:c>
      <x:c r="Q636" s="20" t="str">
        <x:v>4000rpm!O183</x:v>
      </x:c>
      <x:c r="R636" s="20" t="str">
        <x:v>4000rpm!O173</x:v>
      </x:c>
    </x:row>
    <x:row r="637">
      <x:c r="A637" s="21" t="n">
        <x:v>4000</x:v>
      </x:c>
      <x:c r="B637" s="21" t="n">
        <x:v>90</x:v>
      </x:c>
      <x:c r="C637" s="21" t="n">
        <x:v>12</x:v>
      </x:c>
      <x:c r="D637" s="21" t="n">
        <x:v>1</x:v>
      </x:c>
      <x:c r="E637" s="21" t="str">
        <x:v>4000rpm</x:v>
      </x:c>
      <x:c r="F637" s="21" t="n">
        <x:v>184</x:v>
      </x:c>
      <x:c r="G637" s="22" t="n">
        <x:f>IFERROR('4000rpm'!E184,"")</x:f>
        <x:v>10.18881127694073</x:v>
      </x:c>
      <x:c r="H637" s="22" t="n">
        <x:f>IFERROR('4000rpm'!B184,"")</x:f>
        <x:v>4115.0240234375</x:v>
      </x:c>
      <x:c r="I637" s="22" t="n">
        <x:f>IFERROR('4000rpm'!D184,"")</x:f>
        <x:v>1301.8233480314912</x:v>
      </x:c>
      <x:c r="J637" s="22" t="n">
        <x:f>IFERROR('4000rpm'!D173,"")</x:f>
        <x:v>223.71193333333227</x:v>
      </x:c>
      <x:c r="K637" s="22" t="n">
        <x:f>IF(AND(ISNUMBER(I637),ISNUMBER(J637)),I637-J637,"")</x:f>
        <x:v>1078.1114146981588</x:v>
      </x:c>
      <x:c r="L637" s="22" t="n">
        <x:f>IF(ISNUMBER(K637),K637*$B$2+$B$3,"")</x:f>
        <x:v>1016.0039473304215</x:v>
      </x:c>
      <x:c r="M637" s="22" t="n">
        <x:f>IF(AND(ISNUMBER(G637),ISNUMBER(H637),H637&lt;&gt;0),G637/(H637/60)/$B$5,"")</x:f>
        <x:v>0.3249347593574695</x:v>
      </x:c>
      <x:c r="N637" s="22" t="n">
        <x:f>IF(AND(ISNUMBER(L637),ISNUMBER(H637),H637&lt;&gt;0),L637*$B$6/$B$4/(H637/60)^2/$B$5^4/$B$7,"")</x:f>
        <x:v>0.04020381704564525</x:v>
      </x:c>
      <x:c r="O637" s="22" t="n">
        <x:f>IF(ISNUMBER(N637),N637*$B$8,"")</x:f>
        <x:v>0.005194435226716249</x:v>
      </x:c>
      <x:c r="P637" s="20" t="str">
        <x:v>4000rpm!E184</x:v>
      </x:c>
      <x:c r="Q637" s="20" t="str">
        <x:v>4000rpm!D184</x:v>
      </x:c>
      <x:c r="R637" s="20" t="str">
        <x:v>4000rpm!D173</x:v>
      </x:c>
    </x:row>
    <x:row r="638">
      <x:c r="A638" s="21" t="n">
        <x:v>4000</x:v>
      </x:c>
      <x:c r="B638" s="21" t="n">
        <x:v>90</x:v>
      </x:c>
      <x:c r="C638" s="21" t="n">
        <x:v>12</x:v>
      </x:c>
      <x:c r="D638" s="21" t="n">
        <x:v>2</x:v>
      </x:c>
      <x:c r="E638" s="21" t="str">
        <x:v>4000rpm</x:v>
      </x:c>
      <x:c r="F638" s="21" t="n">
        <x:v>184</x:v>
      </x:c>
      <x:c r="G638" s="22" t="n">
        <x:f>IFERROR('4000rpm'!P184,"")</x:f>
        <x:v>10.18044933227643</x:v>
      </x:c>
      <x:c r="H638" s="22" t="n">
        <x:f>IFERROR('4000rpm'!M184,"")</x:f>
        <x:v>4157.86951793323</x:v>
      </x:c>
      <x:c r="I638" s="22" t="n">
        <x:f>IFERROR('4000rpm'!O184,"")</x:f>
        <x:v>1252.94764772727</x:v>
      </x:c>
      <x:c r="J638" s="22" t="n">
        <x:f>IFERROR('4000rpm'!O173,"")</x:f>
        <x:v>178.1609775720164</x:v>
      </x:c>
      <x:c r="K638" s="22" t="n">
        <x:f>IF(AND(ISNUMBER(I638),ISNUMBER(J638)),I638-J638,"")</x:f>
        <x:v>1074.7866701552534</x:v>
      </x:c>
      <x:c r="L638" s="22" t="n">
        <x:f>IF(ISNUMBER(K638),K638*$B$2+$B$3,"")</x:f>
        <x:v>1012.9594521545267</x:v>
      </x:c>
      <x:c r="M638" s="22" t="n">
        <x:f>IF(AND(ISNUMBER(G638),ISNUMBER(H638),H638&lt;&gt;0),G638/(H638/60)/$B$5,"")</x:f>
        <x:v>0.32132248666711133</x:v>
      </x:c>
      <x:c r="N638" s="22" t="n">
        <x:f>IF(AND(ISNUMBER(L638),ISNUMBER(H638),H638&lt;&gt;0),L638*$B$6/$B$4/(H638/60)^2/$B$5^4/$B$7,"")</x:f>
        <x:v>0.03926150936482992</x:v>
      </x:c>
      <x:c r="O638" s="22" t="n">
        <x:f>IF(ISNUMBER(N638),N638*$B$8,"")</x:f>
        <x:v>0.005072686682142106</x:v>
      </x:c>
      <x:c r="P638" s="20" t="str">
        <x:v>4000rpm!P184</x:v>
      </x:c>
      <x:c r="Q638" s="20" t="str">
        <x:v>4000rpm!O184</x:v>
      </x:c>
      <x:c r="R638" s="20" t="str">
        <x:v>4000rpm!O173</x:v>
      </x:c>
    </x:row>
    <x:row r="639">
      <x:c r="A639" s="21" t="n">
        <x:v>4000</x:v>
      </x:c>
      <x:c r="B639" s="21" t="n">
        <x:v>90</x:v>
      </x:c>
      <x:c r="C639" s="21" t="n">
        <x:v>13</x:v>
      </x:c>
      <x:c r="D639" s="21" t="n">
        <x:v>1</x:v>
      </x:c>
      <x:c r="E639" s="21" t="str">
        <x:v>4000rpm</x:v>
      </x:c>
      <x:c r="F639" s="21" t="n">
        <x:v>185</x:v>
      </x:c>
      <x:c r="G639" s="22" t="n">
        <x:f>IFERROR('4000rpm'!E185,"")</x:f>
        <x:v>9.262756778769285</x:v>
      </x:c>
      <x:c r="H639" s="22" t="n">
        <x:f>IFERROR('4000rpm'!B185,"")</x:f>
        <x:v>4127.240234375</x:v>
      </x:c>
      <x:c r="I639" s="22" t="n">
        <x:f>IFERROR('4000rpm'!D185,"")</x:f>
        <x:v>1352.633663781313</x:v>
      </x:c>
      <x:c r="J639" s="22" t="n">
        <x:f>IFERROR('4000rpm'!D173,"")</x:f>
        <x:v>223.71193333333227</x:v>
      </x:c>
      <x:c r="K639" s="22" t="n">
        <x:f>IF(AND(ISNUMBER(I639),ISNUMBER(J639)),I639-J639,"")</x:f>
        <x:v>1128.9217304479807</x:v>
      </x:c>
      <x:c r="L639" s="22" t="n">
        <x:f>IF(ISNUMBER(K639),K639*$B$2+$B$3,"")</x:f>
        <x:v>1062.5313599450596</x:v>
      </x:c>
      <x:c r="M639" s="22" t="n">
        <x:f>IF(AND(ISNUMBER(G639),ISNUMBER(H639),H639&lt;&gt;0),G639/(H639/60)/$B$5,"")</x:f>
        <x:v>0.2945272894413088</x:v>
      </x:c>
      <x:c r="N639" s="22" t="n">
        <x:f>IF(AND(ISNUMBER(L639),ISNUMBER(H639),H639&lt;&gt;0),L639*$B$6/$B$4/(H639/60)^2/$B$5^4/$B$7,"")</x:f>
        <x:v>0.041796402452047035</x:v>
      </x:c>
      <x:c r="O639" s="22" t="n">
        <x:f>IF(ISNUMBER(N639),N639*$B$8,"")</x:f>
        <x:v>0.005400201304279865</x:v>
      </x:c>
      <x:c r="P639" s="20" t="str">
        <x:v>4000rpm!E185</x:v>
      </x:c>
      <x:c r="Q639" s="20" t="str">
        <x:v>4000rpm!D185</x:v>
      </x:c>
      <x:c r="R639" s="20" t="str">
        <x:v>4000rpm!D173</x:v>
      </x:c>
    </x:row>
    <x:row r="640">
      <x:c r="A640" s="21" t="n">
        <x:v>4000</x:v>
      </x:c>
      <x:c r="B640" s="21" t="n">
        <x:v>90</x:v>
      </x:c>
      <x:c r="C640" s="21" t="n">
        <x:v>13</x:v>
      </x:c>
      <x:c r="D640" s="21" t="n">
        <x:v>2</x:v>
      </x:c>
      <x:c r="E640" s="21" t="str">
        <x:v>4000rpm</x:v>
      </x:c>
      <x:c r="F640" s="21" t="n">
        <x:v>185</x:v>
      </x:c>
      <x:c r="G640" s="22" t="n">
        <x:f>IFERROR('4000rpm'!P185,"")</x:f>
        <x:v>9.131375094739393</x:v>
      </x:c>
      <x:c r="H640" s="22" t="n">
        <x:f>IFERROR('4000rpm'!M185,"")</x:f>
        <x:v>4124.96120117187</x:v>
      </x:c>
      <x:c r="I640" s="22" t="n">
        <x:f>IFERROR('4000rpm'!O185,"")</x:f>
        <x:v>1374.445485714281</x:v>
      </x:c>
      <x:c r="J640" s="22" t="n">
        <x:f>IFERROR('4000rpm'!O173,"")</x:f>
        <x:v>178.1609775720164</x:v>
      </x:c>
      <x:c r="K640" s="22" t="n">
        <x:f>IF(AND(ISNUMBER(I640),ISNUMBER(J640)),I640-J640,"")</x:f>
        <x:v>1196.2845081422645</x:v>
      </x:c>
      <x:c r="L640" s="22" t="n">
        <x:f>IF(ISNUMBER(K640),K640*$B$2+$B$3,"")</x:f>
        <x:v>1124.2159943819368</x:v>
      </x:c>
      <x:c r="M640" s="22" t="n">
        <x:f>IF(AND(ISNUMBER(G640),ISNUMBER(H640),H640&lt;&gt;0),G640/(H640/60)/$B$5,"")</x:f>
        <x:v>0.2905101720582413</x:v>
      </x:c>
      <x:c r="N640" s="22" t="n">
        <x:f>IF(AND(ISNUMBER(L640),ISNUMBER(H640),H640&lt;&gt;0),L640*$B$6/$B$4/(H640/60)^2/$B$5^4/$B$7,"")</x:f>
        <x:v>0.044271747663414025</x:v>
      </x:c>
      <x:c r="O640" s="22" t="n">
        <x:f>IF(ISNUMBER(N640),N640*$B$8,"")</x:f>
        <x:v>0.005720022189685092</x:v>
      </x:c>
      <x:c r="P640" s="20" t="str">
        <x:v>4000rpm!P185</x:v>
      </x:c>
      <x:c r="Q640" s="20" t="str">
        <x:v>4000rpm!O185</x:v>
      </x:c>
      <x:c r="R640" s="20" t="str">
        <x:v>4000rpm!O173</x:v>
      </x:c>
    </x:row>
    <x:row r="641">
      <x:c r="A641" s="21" t="n">
        <x:v>4000</x:v>
      </x:c>
      <x:c r="B641" s="21" t="n">
        <x:v>90</x:v>
      </x:c>
      <x:c r="C641" s="21" t="n">
        <x:v>14</x:v>
      </x:c>
      <x:c r="D641" s="21" t="n">
        <x:v>1</x:v>
      </x:c>
      <x:c r="E641" s="21" t="str">
        <x:v>4000rpm</x:v>
      </x:c>
      <x:c r="F641" s="21" t="n">
        <x:v>186</x:v>
      </x:c>
      <x:c r="G641" s="22" t="n">
        <x:f>IFERROR('4000rpm'!E186,"")</x:f>
        <x:v>8.252971074543886</x:v>
      </x:c>
      <x:c r="H641" s="22" t="n">
        <x:f>IFERROR('4000rpm'!B186,"")</x:f>
        <x:v>4106.24658203125</x:v>
      </x:c>
      <x:c r="I641" s="22" t="n">
        <x:f>IFERROR('4000rpm'!D186,"")</x:f>
        <x:v>1458.823414814811</x:v>
      </x:c>
      <x:c r="J641" s="22" t="n">
        <x:f>IFERROR('4000rpm'!D173,"")</x:f>
        <x:v>223.71193333333227</x:v>
      </x:c>
      <x:c r="K641" s="22" t="n">
        <x:f>IF(AND(ISNUMBER(I641),ISNUMBER(J641)),I641-J641,"")</x:f>
        <x:v>1235.1114814814787</x:v>
      </x:c>
      <x:c r="L641" s="22" t="n">
        <x:f>IF(ISNUMBER(K641),K641*$B$2+$B$3,"")</x:f>
        <x:v>1159.770164484442</x:v>
      </x:c>
      <x:c r="M641" s="22" t="n">
        <x:f>IF(AND(ISNUMBER(G641),ISNUMBER(H641),H641&lt;&gt;0),G641/(H641/60)/$B$5,"")</x:f>
        <x:v>0.2637608454615388</x:v>
      </x:c>
      <x:c r="N641" s="22" t="n">
        <x:f>IF(AND(ISNUMBER(L641),ISNUMBER(H641),H641&lt;&gt;0),L641*$B$6/$B$4/(H641/60)^2/$B$5^4/$B$7,"")</x:f>
        <x:v>0.04608913146032429</x:v>
      </x:c>
      <x:c r="O641" s="22" t="n">
        <x:f>IF(ISNUMBER(N641),N641*$B$8,"")</x:f>
        <x:v>0.005954832789992422</x:v>
      </x:c>
      <x:c r="P641" s="20" t="str">
        <x:v>4000rpm!E186</x:v>
      </x:c>
      <x:c r="Q641" s="20" t="str">
        <x:v>4000rpm!D186</x:v>
      </x:c>
      <x:c r="R641" s="20" t="str">
        <x:v>4000rpm!D173</x:v>
      </x:c>
    </x:row>
    <x:row r="642">
      <x:c r="A642" s="21" t="n">
        <x:v>4000</x:v>
      </x:c>
      <x:c r="B642" s="21" t="n">
        <x:v>90</x:v>
      </x:c>
      <x:c r="C642" s="21" t="n">
        <x:v>14</x:v>
      </x:c>
      <x:c r="D642" s="21" t="n">
        <x:v>2</x:v>
      </x:c>
      <x:c r="E642" s="21" t="str">
        <x:v>4000rpm</x:v>
      </x:c>
      <x:c r="F642" s="21" t="n">
        <x:v>186</x:v>
      </x:c>
      <x:c r="G642" s="22" t="n">
        <x:f>IFERROR('4000rpm'!P186,"")</x:f>
        <x:v>8.144545098063361</x:v>
      </x:c>
      <x:c r="H642" s="22" t="n">
        <x:f>IFERROR('4000rpm'!M186,"")</x:f>
        <x:v>4099.4285546875</x:v>
      </x:c>
      <x:c r="I642" s="22" t="n">
        <x:f>IFERROR('4000rpm'!O186,"")</x:f>
        <x:v>1486.464284647293</x:v>
      </x:c>
      <x:c r="J642" s="22" t="n">
        <x:f>IFERROR('4000rpm'!O173,"")</x:f>
        <x:v>178.1609775720164</x:v>
      </x:c>
      <x:c r="K642" s="22" t="n">
        <x:f>IF(AND(ISNUMBER(I642),ISNUMBER(J642)),I642-J642,"")</x:f>
        <x:v>1308.3033070752765</x:v>
      </x:c>
      <x:c r="L642" s="22" t="n">
        <x:f>IF(ISNUMBER(K642),K642*$B$2+$B$3,"")</x:f>
        <x:v>1226.7925047152874</x:v>
      </x:c>
      <x:c r="M642" s="22" t="n">
        <x:f>IF(AND(ISNUMBER(G642),ISNUMBER(H642),H642&lt;&gt;0),G642/(H642/60)/$B$5,"")</x:f>
        <x:v>0.2607285198704656</x:v>
      </x:c>
      <x:c r="N642" s="22" t="n">
        <x:f>IF(AND(ISNUMBER(L642),ISNUMBER(H642),H642&lt;&gt;0),L642*$B$6/$B$4/(H642/60)^2/$B$5^4/$B$7,"")</x:f>
        <x:v>0.048914893559491884</x:v>
      </x:c>
      <x:c r="O642" s="22" t="n">
        <x:f>IF(ISNUMBER(N642),N642*$B$8,"")</x:f>
        <x:v>0.006319928426896025</x:v>
      </x:c>
      <x:c r="P642" s="20" t="str">
        <x:v>4000rpm!P186</x:v>
      </x:c>
      <x:c r="Q642" s="20" t="str">
        <x:v>4000rpm!O186</x:v>
      </x:c>
      <x:c r="R642" s="20" t="str">
        <x:v>4000rpm!O173</x:v>
      </x:c>
    </x:row>
    <x:row r="643">
      <x:c r="A643" s="21" t="n">
        <x:v>4000</x:v>
      </x:c>
      <x:c r="B643" s="21" t="n">
        <x:v>90</x:v>
      </x:c>
      <x:c r="C643" s="21" t="n">
        <x:v>15</x:v>
      </x:c>
      <x:c r="D643" s="21" t="n">
        <x:v>1</x:v>
      </x:c>
      <x:c r="E643" s="21" t="str">
        <x:v>4000rpm</x:v>
      </x:c>
      <x:c r="F643" s="21" t="n">
        <x:v>187</x:v>
      </x:c>
      <x:c r="G643" s="22" t="n">
        <x:f>IFERROR('4000rpm'!E187,"")</x:f>
        <x:v>7.232083689640545</x:v>
      </x:c>
      <x:c r="H643" s="22" t="n">
        <x:f>IFERROR('4000rpm'!B187,"")</x:f>
        <x:v>4077.63264683314</x:v>
      </x:c>
      <x:c r="I643" s="22" t="n">
        <x:f>IFERROR('4000rpm'!D187,"")</x:f>
        <x:v>1553.876112820504</x:v>
      </x:c>
      <x:c r="J643" s="22" t="n">
        <x:f>IFERROR('4000rpm'!D173,"")</x:f>
        <x:v>223.71193333333227</x:v>
      </x:c>
      <x:c r="K643" s="22" t="n">
        <x:f>IF(AND(ISNUMBER(I643),ISNUMBER(J643)),I643-J643,"")</x:f>
        <x:v>1330.1641794871716</x:v>
      </x:c>
      <x:c r="L643" s="22" t="n">
        <x:f>IF(ISNUMBER(K643),K643*$B$2+$B$3,"")</x:f>
        <x:v>1246.810680469839</x:v>
      </x:c>
      <x:c r="M643" s="22" t="n">
        <x:f>IF(AND(ISNUMBER(G643),ISNUMBER(H643),H643&lt;&gt;0),G643/(H643/60)/$B$5,"")</x:f>
        <x:v>0.23275572615864776</x:v>
      </x:c>
      <x:c r="N643" s="22" t="n">
        <x:f>IF(AND(ISNUMBER(L643),ISNUMBER(H643),H643&lt;&gt;0),L643*$B$6/$B$4/(H643/60)^2/$B$5^4/$B$7,"")</x:f>
        <x:v>0.05024593835065763</x:v>
      </x:c>
      <x:c r="O643" s="22" t="n">
        <x:f>IF(ISNUMBER(N643),N643*$B$8,"")</x:f>
        <x:v>0.006491902793004565</x:v>
      </x:c>
      <x:c r="P643" s="20" t="str">
        <x:v>4000rpm!E187</x:v>
      </x:c>
      <x:c r="Q643" s="20" t="str">
        <x:v>4000rpm!D187</x:v>
      </x:c>
      <x:c r="R643" s="20" t="str">
        <x:v>4000rpm!D173</x:v>
      </x:c>
    </x:row>
    <x:row r="644">
      <x:c r="A644" s="21" t="n">
        <x:v>4000</x:v>
      </x:c>
      <x:c r="B644" s="21" t="n">
        <x:v>90</x:v>
      </x:c>
      <x:c r="C644" s="21" t="n">
        <x:v>15</x:v>
      </x:c>
      <x:c r="D644" s="21" t="n">
        <x:v>2</x:v>
      </x:c>
      <x:c r="E644" s="21" t="str">
        <x:v>4000rpm</x:v>
      </x:c>
      <x:c r="F644" s="21" t="n">
        <x:v>187</x:v>
      </x:c>
      <x:c r="G644" s="22" t="n">
        <x:f>IFERROR('4000rpm'!P187,"")</x:f>
        <x:v>7.120463219120264</x:v>
      </x:c>
      <x:c r="H644" s="22" t="n">
        <x:f>IFERROR('4000rpm'!M187,"")</x:f>
        <x:v>4091.84345703125</x:v>
      </x:c>
      <x:c r="I644" s="22" t="n">
        <x:f>IFERROR('4000rpm'!O187,"")</x:f>
        <x:v>1592.9088216624625</x:v>
      </x:c>
      <x:c r="J644" s="22" t="n">
        <x:f>IFERROR('4000rpm'!O173,"")</x:f>
        <x:v>178.1609775720164</x:v>
      </x:c>
      <x:c r="K644" s="22" t="n">
        <x:f>IF(AND(ISNUMBER(I644),ISNUMBER(J644)),I644-J644,"")</x:f>
        <x:v>1414.747844090446</x:v>
      </x:c>
      <x:c r="L644" s="22" t="n">
        <x:f>IF(ISNUMBER(K644),K644*$B$2+$B$3,"")</x:f>
        <x:v>1324.2646188163742</x:v>
      </x:c>
      <x:c r="M644" s="22" t="n">
        <x:f>IF(AND(ISNUMBER(G644),ISNUMBER(H644),H644&lt;&gt;0),G644/(H644/60)/$B$5,"")</x:f>
        <x:v>0.22836748321953138</x:v>
      </x:c>
      <x:c r="N644" s="22" t="n">
        <x:f>IF(AND(ISNUMBER(L644),ISNUMBER(H644),H644&lt;&gt;0),L644*$B$6/$B$4/(H644/60)^2/$B$5^4/$B$7,"")</x:f>
        <x:v>0.052997257670150136</x:v>
      </x:c>
      <x:c r="O644" s="22" t="n">
        <x:f>IF(ISNUMBER(N644),N644*$B$8,"")</x:f>
        <x:v>0.006847380233788135</x:v>
      </x:c>
      <x:c r="P644" s="20" t="str">
        <x:v>4000rpm!P187</x:v>
      </x:c>
      <x:c r="Q644" s="20" t="str">
        <x:v>4000rpm!O187</x:v>
      </x:c>
      <x:c r="R644" s="20" t="str">
        <x:v>4000rpm!O173</x:v>
      </x:c>
    </x:row>
    <x:row r="645">
      <x:c r="A645" s="21" t="n">
        <x:v>4000</x:v>
      </x:c>
      <x:c r="B645" s="21" t="n">
        <x:v>90</x:v>
      </x:c>
      <x:c r="C645" s="21" t="n">
        <x:v>16</x:v>
      </x:c>
      <x:c r="D645" s="21" t="n">
        <x:v>1</x:v>
      </x:c>
      <x:c r="E645" s="21" t="str">
        <x:v>4000rpm</x:v>
      </x:c>
      <x:c r="F645" s="21" t="n">
        <x:v>188</x:v>
      </x:c>
      <x:c r="G645" s="22" t="n">
        <x:f>IFERROR('4000rpm'!E188,"")</x:f>
        <x:v>6.218296158881415</x:v>
      </x:c>
      <x:c r="H645" s="22" t="n">
        <x:f>IFERROR('4000rpm'!B188,"")</x:f>
        <x:v>4041.70987304687</x:v>
      </x:c>
      <x:c r="I645" s="22" t="n">
        <x:f>IFERROR('4000rpm'!D188,"")</x:f>
        <x:v>1642.9494687872673</x:v>
      </x:c>
      <x:c r="J645" s="22" t="n">
        <x:f>IFERROR('4000rpm'!D173,"")</x:f>
        <x:v>223.71193333333227</x:v>
      </x:c>
      <x:c r="K645" s="22" t="n">
        <x:f>IF(AND(ISNUMBER(I645),ISNUMBER(J645)),I645-J645,"")</x:f>
        <x:v>1419.237535453935</x:v>
      </x:c>
      <x:c r="L645" s="22" t="n">
        <x:f>IF(ISNUMBER(K645),K645*$B$2+$B$3,"")</x:f>
        <x:v>1328.375865115452</x:v>
      </x:c>
      <x:c r="M645" s="22" t="n">
        <x:f>IF(AND(ISNUMBER(G645),ISNUMBER(H645),H645&lt;&gt;0),G645/(H645/60)/$B$5,"")</x:f>
        <x:v>0.20190696272501527</x:v>
      </x:c>
      <x:c r="N645" s="22" t="n">
        <x:f>IF(AND(ISNUMBER(L645),ISNUMBER(H645),H645&lt;&gt;0),L645*$B$6/$B$4/(H645/60)^2/$B$5^4/$B$7,"")</x:f>
        <x:v>0.05448881317399784</x:v>
      </x:c>
      <x:c r="O645" s="22" t="n">
        <x:f>IF(ISNUMBER(N645),N645*$B$8,"")</x:f>
        <x:v>0.007040092991459692</x:v>
      </x:c>
      <x:c r="P645" s="20" t="str">
        <x:v>4000rpm!E188</x:v>
      </x:c>
      <x:c r="Q645" s="20" t="str">
        <x:v>4000rpm!D188</x:v>
      </x:c>
      <x:c r="R645" s="20" t="str">
        <x:v>4000rpm!D173</x:v>
      </x:c>
    </x:row>
    <x:row r="646">
      <x:c r="A646" s="21" t="n">
        <x:v>4000</x:v>
      </x:c>
      <x:c r="B646" s="21" t="n">
        <x:v>90</x:v>
      </x:c>
      <x:c r="C646" s="21" t="n">
        <x:v>16</x:v>
      </x:c>
      <x:c r="D646" s="21" t="n">
        <x:v>2</x:v>
      </x:c>
      <x:c r="E646" s="21" t="str">
        <x:v>4000rpm</x:v>
      </x:c>
      <x:c r="F646" s="21" t="n">
        <x:v>188</x:v>
      </x:c>
      <x:c r="G646" s="22" t="n">
        <x:f>IFERROR('4000rpm'!P188,"")</x:f>
        <x:v>6.212015442053476</x:v>
      </x:c>
      <x:c r="H646" s="22" t="n">
        <x:f>IFERROR('4000rpm'!M188,"")</x:f>
        <x:v>4040.92621527777</x:v>
      </x:c>
      <x:c r="I646" s="22" t="n">
        <x:f>IFERROR('4000rpm'!O188,"")</x:f>
        <x:v>1697.5582315789363</x:v>
      </x:c>
      <x:c r="J646" s="22" t="n">
        <x:f>IFERROR('4000rpm'!O173,"")</x:f>
        <x:v>178.1609775720164</x:v>
      </x:c>
      <x:c r="K646" s="22" t="n">
        <x:f>IF(AND(ISNUMBER(I646),ISNUMBER(J646)),I646-J646,"")</x:f>
        <x:v>1519.3972540069199</x:v>
      </x:c>
      <x:c r="L646" s="22" t="n">
        <x:f>IF(ISNUMBER(K646),K646*$B$2+$B$3,"")</x:f>
        <x:v>1420.0929206721687</x:v>
      </x:c>
      <x:c r="M646" s="22" t="n">
        <x:f>IF(AND(ISNUMBER(G646),ISNUMBER(H646),H646&lt;&gt;0),G646/(H646/60)/$B$5,"")</x:f>
        <x:v>0.20174214529008103</x:v>
      </x:c>
      <x:c r="N646" s="22" t="n">
        <x:f>IF(AND(ISNUMBER(L646),ISNUMBER(H646),H646&lt;&gt;0),L646*$B$6/$B$4/(H646/60)^2/$B$5^4/$B$7,"")</x:f>
        <x:v>0.058273561806902414</x:v>
      </x:c>
      <x:c r="O646" s="22" t="n">
        <x:f>IF(ISNUMBER(N646),N646*$B$8,"")</x:f>
        <x:v>0.0075290921230771</x:v>
      </x:c>
      <x:c r="P646" s="20" t="str">
        <x:v>4000rpm!P188</x:v>
      </x:c>
      <x:c r="Q646" s="20" t="str">
        <x:v>4000rpm!O188</x:v>
      </x:c>
      <x:c r="R646" s="20" t="str">
        <x:v>4000rpm!O173</x:v>
      </x:c>
    </x:row>
    <x:row r="647">
      <x:c r="A647" s="21" t="n">
        <x:v>4000</x:v>
      </x:c>
      <x:c r="B647" s="21" t="n">
        <x:v>90</x:v>
      </x:c>
      <x:c r="C647" s="21" t="n">
        <x:v>17</x:v>
      </x:c>
      <x:c r="D647" s="21" t="n">
        <x:v>1</x:v>
      </x:c>
      <x:c r="E647" s="21" t="str">
        <x:v>4000rpm</x:v>
      </x:c>
      <x:c r="F647" s="21" t="n">
        <x:v>189</x:v>
      </x:c>
      <x:c r="G647" s="22" t="n">
        <x:f>IFERROR('4000rpm'!E189,"")</x:f>
        <x:v>5.1963882575972695</x:v>
      </x:c>
      <x:c r="H647" s="22" t="n">
        <x:f>IFERROR('4000rpm'!B189,"")</x:f>
        <x:v>4043.26360066731</x:v>
      </x:c>
      <x:c r="I647" s="22" t="n">
        <x:f>IFERROR('4000rpm'!D189,"")</x:f>
        <x:v>1748.671660542788</x:v>
      </x:c>
      <x:c r="J647" s="22" t="n">
        <x:f>IFERROR('4000rpm'!D173,"")</x:f>
        <x:v>223.71193333333227</x:v>
      </x:c>
      <x:c r="K647" s="22" t="n">
        <x:f>IF(AND(ISNUMBER(I647),ISNUMBER(J647)),I647-J647,"")</x:f>
        <x:v>1524.9597272094557</x:v>
      </x:c>
      <x:c r="L647" s="22" t="n">
        <x:f>IF(ISNUMBER(K647),K647*$B$2+$B$3,"")</x:f>
        <x:v>1425.1865218835162</x:v>
      </x:c>
      <x:c r="M647" s="22" t="n">
        <x:f>IF(AND(ISNUMBER(G647),ISNUMBER(H647),H647&lt;&gt;0),G647/(H647/60)/$B$5,"")</x:f>
        <x:v>0.1686609589608664</x:v>
      </x:c>
      <x:c r="N647" s="22" t="n">
        <x:f>IF(AND(ISNUMBER(L647),ISNUMBER(H647),H647&lt;&gt;0),L647*$B$6/$B$4/(H647/60)^2/$B$5^4/$B$7,"")</x:f>
        <x:v>0.05841498062735752</x:v>
      </x:c>
      <x:c r="O647" s="22" t="n">
        <x:f>IF(ISNUMBER(N647),N647*$B$8,"")</x:f>
        <x:v>0.007547363793696301</x:v>
      </x:c>
      <x:c r="P647" s="20" t="str">
        <x:v>4000rpm!E189</x:v>
      </x:c>
      <x:c r="Q647" s="20" t="str">
        <x:v>4000rpm!D189</x:v>
      </x:c>
      <x:c r="R647" s="20" t="str">
        <x:v>4000rpm!D173</x:v>
      </x:c>
    </x:row>
    <x:row r="648">
      <x:c r="A648" s="21" t="n">
        <x:v>4000</x:v>
      </x:c>
      <x:c r="B648" s="21" t="n">
        <x:v>90</x:v>
      </x:c>
      <x:c r="C648" s="21" t="n">
        <x:v>17</x:v>
      </x:c>
      <x:c r="D648" s="21" t="n">
        <x:v>2</x:v>
      </x:c>
      <x:c r="E648" s="21" t="str">
        <x:v>4000rpm</x:v>
      </x:c>
      <x:c r="F648" s="21" t="n">
        <x:v>189</x:v>
      </x:c>
      <x:c r="G648" s="22" t="n">
        <x:f>IFERROR('4000rpm'!P189,"")</x:f>
        <x:v>5.189579115285495</x:v>
      </x:c>
      <x:c r="H648" s="22" t="n">
        <x:f>IFERROR('4000rpm'!M189,"")</x:f>
        <x:v>4028.55486795176</x:v>
      </x:c>
      <x:c r="I648" s="22" t="n">
        <x:f>IFERROR('4000rpm'!O189,"")</x:f>
        <x:v>1821.016681896543</x:v>
      </x:c>
      <x:c r="J648" s="22" t="n">
        <x:f>IFERROR('4000rpm'!O173,"")</x:f>
        <x:v>178.1609775720164</x:v>
      </x:c>
      <x:c r="K648" s="22" t="n">
        <x:f>IF(AND(ISNUMBER(I648),ISNUMBER(J648)),I648-J648,"")</x:f>
        <x:v>1642.8557043245266</x:v>
      </x:c>
      <x:c r="L648" s="22" t="n">
        <x:f>IF(ISNUMBER(K648),K648*$B$2+$B$3,"")</x:f>
        <x:v>1533.1448112956036</x:v>
      </x:c>
      <x:c r="M648" s="22" t="n">
        <x:f>IF(AND(ISNUMBER(G648),ISNUMBER(H648),H648&lt;&gt;0),G648/(H648/60)/$B$5,"")</x:f>
        <x:v>0.16905494657852024</x:v>
      </x:c>
      <x:c r="N648" s="22" t="n">
        <x:f>IF(AND(ISNUMBER(L648),ISNUMBER(H648),H648&lt;&gt;0),L648*$B$6/$B$4/(H648/60)^2/$B$5^4/$B$7,"")</x:f>
        <x:v>0.06329964205397112</x:v>
      </x:c>
      <x:c r="O648" s="22" t="n">
        <x:f>IF(ISNUMBER(N648),N648*$B$8,"")</x:f>
        <x:v>0.008178474450581853</x:v>
      </x:c>
      <x:c r="P648" s="20" t="str">
        <x:v>4000rpm!P189</x:v>
      </x:c>
      <x:c r="Q648" s="20" t="str">
        <x:v>4000rpm!O189</x:v>
      </x:c>
      <x:c r="R648" s="20" t="str">
        <x:v>4000rpm!O173</x:v>
      </x:c>
    </x:row>
    <x:row r="649">
      <x:c r="A649" s="21" t="n">
        <x:v>4000</x:v>
      </x:c>
      <x:c r="B649" s="21" t="n">
        <x:v>90</x:v>
      </x:c>
      <x:c r="C649" s="21" t="n">
        <x:v>18</x:v>
      </x:c>
      <x:c r="D649" s="21" t="n">
        <x:v>1</x:v>
      </x:c>
      <x:c r="E649" s="21" t="str">
        <x:v>4000rpm</x:v>
      </x:c>
      <x:c r="F649" s="21" t="n">
        <x:v>190</x:v>
      </x:c>
      <x:c r="G649" s="22" t="n">
        <x:f>IFERROR('4000rpm'!E190,"")</x:f>
        <x:v>4.17342505516944</x:v>
      </x:c>
      <x:c r="H649" s="22" t="n">
        <x:f>IFERROR('4000rpm'!B190,"")</x:f>
        <x:v>3998.75681470788</x:v>
      </x:c>
      <x:c r="I649" s="22" t="n">
        <x:f>IFERROR('4000rpm'!D190,"")</x:f>
        <x:v>1858.6296497835394</x:v>
      </x:c>
      <x:c r="J649" s="22" t="n">
        <x:f>IFERROR('4000rpm'!D173,"")</x:f>
        <x:v>223.71193333333227</x:v>
      </x:c>
      <x:c r="K649" s="22" t="n">
        <x:f>IF(AND(ISNUMBER(I649),ISNUMBER(J649)),I649-J649,"")</x:f>
        <x:v>1634.917716450207</x:v>
      </x:c>
      <x:c r="L649" s="22" t="n">
        <x:f>IF(ISNUMBER(K649),K649*$B$2+$B$3,"")</x:f>
        <x:v>1525.8759322951862</x:v>
      </x:c>
      <x:c r="M649" s="22" t="n">
        <x:f>IF(AND(ISNUMBER(G649),ISNUMBER(H649),H649&lt;&gt;0),G649/(H649/60)/$B$5,"")</x:f>
        <x:v>0.13696596271606484</x:v>
      </x:c>
      <x:c r="N649" s="22" t="n">
        <x:f>IF(AND(ISNUMBER(L649),ISNUMBER(H649),H649&lt;&gt;0),L649*$B$6/$B$4/(H649/60)^2/$B$5^4/$B$7,"")</x:f>
        <x:v>0.0639419503806342</x:v>
      </x:c>
      <x:c r="O649" s="22" t="n">
        <x:f>IF(ISNUMBER(N649),N649*$B$8,"")</x:f>
        <x:v>0.008261462316998713</x:v>
      </x:c>
      <x:c r="P649" s="20" t="str">
        <x:v>4000rpm!E190</x:v>
      </x:c>
      <x:c r="Q649" s="20" t="str">
        <x:v>4000rpm!D190</x:v>
      </x:c>
      <x:c r="R649" s="20" t="str">
        <x:v>4000rpm!D173</x:v>
      </x:c>
    </x:row>
    <x:row r="650">
      <x:c r="A650" s="21" t="n">
        <x:v>4000</x:v>
      </x:c>
      <x:c r="B650" s="21" t="n">
        <x:v>90</x:v>
      </x:c>
      <x:c r="C650" s="21" t="n">
        <x:v>18</x:v>
      </x:c>
      <x:c r="D650" s="21" t="n">
        <x:v>2</x:v>
      </x:c>
      <x:c r="E650" s="21" t="str">
        <x:v>4000rpm</x:v>
      </x:c>
      <x:c r="F650" s="21" t="n">
        <x:v>190</x:v>
      </x:c>
      <x:c r="G650" s="22" t="n">
        <x:f>IFERROR('4000rpm'!P190,"")</x:f>
        <x:v>3.857099942289855</x:v>
      </x:c>
      <x:c r="H650" s="22" t="n">
        <x:f>IFERROR('4000rpm'!M190,"")</x:f>
        <x:v>3997.49402436755</x:v>
      </x:c>
      <x:c r="I650" s="22" t="n">
        <x:f>IFERROR('4000rpm'!O190,"")</x:f>
        <x:v>1987.8360519230682</x:v>
      </x:c>
      <x:c r="J650" s="22" t="n">
        <x:f>IFERROR('4000rpm'!O173,"")</x:f>
        <x:v>178.1609775720164</x:v>
      </x:c>
      <x:c r="K650" s="22" t="n">
        <x:f>IF(AND(ISNUMBER(I650),ISNUMBER(J650)),I650-J650,"")</x:f>
        <x:v>1809.6750743510518</x:v>
      </x:c>
      <x:c r="L650" s="22" t="n">
        <x:f>IF(ISNUMBER(K650),K650*$B$2+$B$3,"")</x:f>
        <x:v>1685.902642983853</x:v>
      </x:c>
      <x:c r="M650" s="22" t="n">
        <x:f>IF(AND(ISNUMBER(G650),ISNUMBER(H650),H650&lt;&gt;0),G650/(H650/60)/$B$5,"")</x:f>
        <x:v>0.12662460323972055</x:v>
      </x:c>
      <x:c r="N650" s="22" t="n">
        <x:f>IF(AND(ISNUMBER(L650),ISNUMBER(H650),H650&lt;&gt;0),L650*$B$6/$B$4/(H650/60)^2/$B$5^4/$B$7,"")</x:f>
        <x:v>0.07069252396304836</x:v>
      </x:c>
      <x:c r="O650" s="22" t="n">
        <x:f>IF(ISNUMBER(N650),N650*$B$8,"")</x:f>
        <x:v>0.009133653561357943</x:v>
      </x:c>
      <x:c r="P650" s="20" t="str">
        <x:v>4000rpm!P190</x:v>
      </x:c>
      <x:c r="Q650" s="20" t="str">
        <x:v>4000rpm!O190</x:v>
      </x:c>
      <x:c r="R650" s="20" t="str">
        <x:v>4000rpm!O173</x:v>
      </x:c>
    </x:row>
    <x:row r="651">
      <x:c r="A651" s="21" t="n">
        <x:v>4000</x:v>
      </x:c>
      <x:c r="B651" s="21" t="n">
        <x:v>90</x:v>
      </x:c>
      <x:c r="C651" s="21" t="n">
        <x:v>19</x:v>
      </x:c>
      <x:c r="D651" s="21" t="n">
        <x:v>1</x:v>
      </x:c>
      <x:c r="E651" s="21" t="str">
        <x:v>4000rpm</x:v>
      </x:c>
      <x:c r="F651" s="21" t="n">
        <x:v>191</x:v>
      </x:c>
      <x:c r="G651" s="22" t="n">
        <x:f>IFERROR('4000rpm'!E191,"")</x:f>
        <x:v>3.04457191088313</x:v>
      </x:c>
      <x:c r="H651" s="22" t="n">
        <x:f>IFERROR('4000rpm'!B191,"")</x:f>
        <x:v>3998.78789487092</x:v>
      </x:c>
      <x:c r="I651" s="22" t="n">
        <x:f>IFERROR('4000rpm'!D191,"")</x:f>
        <x:v>1977.0303292576384</x:v>
      </x:c>
      <x:c r="J651" s="22" t="n">
        <x:f>IFERROR('4000rpm'!D173,"")</x:f>
        <x:v>223.71193333333227</x:v>
      </x:c>
      <x:c r="K651" s="22" t="n">
        <x:f>IF(AND(ISNUMBER(I651),ISNUMBER(J651)),I651-J651,"")</x:f>
        <x:v>1753.318395924306</x:v>
      </x:c>
      <x:c r="L651" s="22" t="n">
        <x:f>IF(ISNUMBER(K651),K651*$B$2+$B$3,"")</x:f>
        <x:v>1634.2963816950544</x:v>
      </x:c>
      <x:c r="M651" s="22" t="n">
        <x:f>IF(AND(ISNUMBER(G651),ISNUMBER(H651),H651&lt;&gt;0),G651/(H651/60)/$B$5,"")</x:f>
        <x:v>0.09991780760638867</x:v>
      </x:c>
      <x:c r="N651" s="22" t="n">
        <x:f>IF(AND(ISNUMBER(L651),ISNUMBER(H651),H651&lt;&gt;0),L651*$B$6/$B$4/(H651/60)^2/$B$5^4/$B$7,"")</x:f>
        <x:v>0.06848425321345375</x:v>
      </x:c>
      <x:c r="O651" s="22" t="n">
        <x:f>IF(ISNUMBER(N651),N651*$B$8,"")</x:f>
        <x:v>0.008848339374428924</x:v>
      </x:c>
      <x:c r="P651" s="20" t="str">
        <x:v>4000rpm!E191</x:v>
      </x:c>
      <x:c r="Q651" s="20" t="str">
        <x:v>4000rpm!D191</x:v>
      </x:c>
      <x:c r="R651" s="20" t="str">
        <x:v>4000rpm!D173</x:v>
      </x:c>
    </x:row>
    <x:row r="652">
      <x:c r="A652" s="21" t="n">
        <x:v>4000</x:v>
      </x:c>
      <x:c r="B652" s="21" t="n">
        <x:v>90</x:v>
      </x:c>
      <x:c r="C652" s="21" t="n">
        <x:v>19</x:v>
      </x:c>
      <x:c r="D652" s="21" t="n">
        <x:v>2</x:v>
      </x:c>
      <x:c r="E652" s="21" t="str">
        <x:v>4000rpm</x:v>
      </x:c>
      <x:c r="F652" s="21" t="n">
        <x:v>191</x:v>
      </x:c>
      <x:c r="G652" s="22" t="n">
        <x:f>IFERROR('4000rpm'!P191,"")</x:f>
        <x:v>3.14588404533474</x:v>
      </x:c>
      <x:c r="H652" s="22" t="n">
        <x:f>IFERROR('4000rpm'!M191,"")</x:f>
        <x:v>4002.40452223557</x:v>
      </x:c>
      <x:c r="I652" s="22" t="n">
        <x:f>IFERROR('4000rpm'!O191,"")</x:f>
        <x:v>2064.7366603112755</x:v>
      </x:c>
      <x:c r="J652" s="22" t="n">
        <x:f>IFERROR('4000rpm'!O173,"")</x:f>
        <x:v>178.1609775720164</x:v>
      </x:c>
      <x:c r="K652" s="22" t="n">
        <x:f>IF(AND(ISNUMBER(I652),ISNUMBER(J652)),I652-J652,"")</x:f>
        <x:v>1886.575682739259</x:v>
      </x:c>
      <x:c r="L652" s="22" t="n">
        <x:f>IF(ISNUMBER(K652),K652*$B$2+$B$3,"")</x:f>
        <x:v>1756.3211452898015</x:v>
      </x:c>
      <x:c r="M652" s="22" t="n">
        <x:f>IF(AND(ISNUMBER(G652),ISNUMBER(H652),H652&lt;&gt;0),G652/(H652/60)/$B$5,"")</x:f>
        <x:v>0.10314941254618157</x:v>
      </x:c>
      <x:c r="N652" s="22" t="n">
        <x:f>IF(AND(ISNUMBER(L652),ISNUMBER(H652),H652&lt;&gt;0),L652*$B$6/$B$4/(H652/60)^2/$B$5^4/$B$7,"")</x:f>
        <x:v>0.07346468344165684</x:v>
      </x:c>
      <x:c r="O652" s="22" t="n">
        <x:f>IF(ISNUMBER(N652),N652*$B$8,"")</x:f>
        <x:v>0.009491823603605686</x:v>
      </x:c>
      <x:c r="P652" s="20" t="str">
        <x:v>4000rpm!P191</x:v>
      </x:c>
      <x:c r="Q652" s="20" t="str">
        <x:v>4000rpm!O191</x:v>
      </x:c>
      <x:c r="R652" s="20" t="str">
        <x:v>4000rpm!O173</x:v>
      </x:c>
    </x:row>
    <x:row r="653">
      <x:c r="A653" s="21" t="n">
        <x:v>4000</x:v>
      </x:c>
      <x:c r="B653" s="21" t="n">
        <x:v>90</x:v>
      </x:c>
      <x:c r="C653" s="21" t="n">
        <x:v>20</x:v>
      </x:c>
      <x:c r="D653" s="21" t="n">
        <x:v>1</x:v>
      </x:c>
      <x:c r="E653" s="21" t="str">
        <x:v>4000rpm</x:v>
      </x:c>
      <x:c r="F653" s="21" t="n">
        <x:v>192</x:v>
      </x:c>
      <x:c r="G653" s="22" t="n">
        <x:f>IFERROR('4000rpm'!E192,"")</x:f>
        <x:v>2.00890466495541</x:v>
      </x:c>
      <x:c r="H653" s="22" t="n">
        <x:f>IFERROR('4000rpm'!B192,"")</x:f>
        <x:v>4003.04653494698</x:v>
      </x:c>
      <x:c r="I653" s="22" t="n">
        <x:f>IFERROR('4000rpm'!D192,"")</x:f>
        <x:v>2096.5584137432184</x:v>
      </x:c>
      <x:c r="J653" s="22" t="n">
        <x:f>IFERROR('4000rpm'!D173,"")</x:f>
        <x:v>223.71193333333227</x:v>
      </x:c>
      <x:c r="K653" s="22" t="n">
        <x:f>IF(AND(ISNUMBER(I653),ISNUMBER(J653)),I653-J653,"")</x:f>
        <x:v>1872.846480409886</x:v>
      </x:c>
      <x:c r="L653" s="22" t="n">
        <x:f>IF(ISNUMBER(K653),K653*$B$2+$B$3,"")</x:f>
        <x:v>1743.749204883176</x:v>
      </x:c>
      <x:c r="M653" s="22" t="n">
        <x:f>IF(AND(ISNUMBER(G653),ISNUMBER(H653),H653&lt;&gt;0),G653/(H653/60)/$B$5,"")</x:f>
        <x:v>0.06585878542779396</x:v>
      </x:c>
      <x:c r="N653" s="22" t="n">
        <x:f>IF(AND(ISNUMBER(L653),ISNUMBER(H653),H653&lt;&gt;0),L653*$B$6/$B$4/(H653/60)^2/$B$5^4/$B$7,"")</x:f>
        <x:v>0.07291542100959153</x:v>
      </x:c>
      <x:c r="O653" s="22" t="n">
        <x:f>IF(ISNUMBER(N653),N653*$B$8,"")</x:f>
        <x:v>0.00942085750298413</x:v>
      </x:c>
      <x:c r="P653" s="20" t="str">
        <x:v>4000rpm!E192</x:v>
      </x:c>
      <x:c r="Q653" s="20" t="str">
        <x:v>4000rpm!D192</x:v>
      </x:c>
      <x:c r="R653" s="20" t="str">
        <x:v>4000rpm!D173</x:v>
      </x:c>
    </x:row>
    <x:row r="654">
      <x:c r="A654" s="21" t="n">
        <x:v>4000</x:v>
      </x:c>
      <x:c r="B654" s="21" t="n">
        <x:v>90</x:v>
      </x:c>
      <x:c r="C654" s="21" t="n">
        <x:v>20</x:v>
      </x:c>
      <x:c r="D654" s="21" t="n">
        <x:v>2</x:v>
      </x:c>
      <x:c r="E654" s="21" t="str">
        <x:v>4000rpm</x:v>
      </x:c>
      <x:c r="F654" s="21" t="n">
        <x:v>192</x:v>
      </x:c>
      <x:c r="G654" s="22" t="n">
        <x:f>IFERROR('4000rpm'!P192,"")</x:f>
        <x:v>2.1210154203268052</x:v>
      </x:c>
      <x:c r="H654" s="22" t="n">
        <x:f>IFERROR('4000rpm'!M192,"")</x:f>
        <x:v>3982.39525462962</x:v>
      </x:c>
      <x:c r="I654" s="22" t="n">
        <x:f>IFERROR('4000rpm'!O192,"")</x:f>
        <x:v>2170.6168084094966</x:v>
      </x:c>
      <x:c r="J654" s="22" t="n">
        <x:f>IFERROR('4000rpm'!O173,"")</x:f>
        <x:v>178.1609775720164</x:v>
      </x:c>
      <x:c r="K654" s="22" t="n">
        <x:f>IF(AND(ISNUMBER(I654),ISNUMBER(J654)),I654-J654,"")</x:f>
        <x:v>1992.45583083748</x:v>
      </x:c>
      <x:c r="L654" s="22" t="n">
        <x:f>IF(ISNUMBER(K654),K654*$B$2+$B$3,"")</x:f>
        <x:v>1853.2764439445273</x:v>
      </x:c>
      <x:c r="M654" s="22" t="n">
        <x:f>IF(AND(ISNUMBER(G654),ISNUMBER(H654),H654&lt;&gt;0),G654/(H654/60)/$B$5,"")</x:f>
        <x:v>0.06989473986397066</x:v>
      </x:c>
      <x:c r="N654" s="22" t="n">
        <x:f>IF(AND(ISNUMBER(L654),ISNUMBER(H654),H654&lt;&gt;0),L654*$B$6/$B$4/(H654/60)^2/$B$5^4/$B$7,"")</x:f>
        <x:v>0.07830114716331825</x:v>
      </x:c>
      <x:c r="O654" s="22" t="n">
        <x:f>IF(ISNUMBER(N654),N654*$B$8,"")</x:f>
        <x:v>0.010116706994653115</x:v>
      </x:c>
      <x:c r="P654" s="20" t="str">
        <x:v>4000rpm!P192</x:v>
      </x:c>
      <x:c r="Q654" s="20" t="str">
        <x:v>4000rpm!O192</x:v>
      </x:c>
      <x:c r="R654" s="20" t="str">
        <x:v>4000rpm!O173</x:v>
      </x:c>
    </x:row>
    <x:row r="655">
      <x:c r="A655" s="21" t="n">
        <x:v>4000</x:v>
      </x:c>
      <x:c r="B655" s="21" t="n">
        <x:v>90</x:v>
      </x:c>
      <x:c r="C655" s="21" t="n">
        <x:v>21</x:v>
      </x:c>
      <x:c r="D655" s="21" t="n">
        <x:v>1</x:v>
      </x:c>
      <x:c r="E655" s="21" t="str">
        <x:v>4000rpm</x:v>
      </x:c>
      <x:c r="F655" s="21" t="n">
        <x:v>193</x:v>
      </x:c>
      <x:c r="G655" s="22" t="n">
        <x:f>IFERROR('4000rpm'!E193,"")</x:f>
        <x:v>1.089615920620248</x:v>
      </x:c>
      <x:c r="H655" s="22" t="n">
        <x:f>IFERROR('4000rpm'!B193,"")</x:f>
        <x:v>3987.54787597656</x:v>
      </x:c>
      <x:c r="I655" s="22" t="n">
        <x:f>IFERROR('4000rpm'!D193,"")</x:f>
        <x:v>2156.3177293532312</x:v>
      </x:c>
      <x:c r="J655" s="22" t="n">
        <x:f>IFERROR('4000rpm'!D173,"")</x:f>
        <x:v>223.71193333333227</x:v>
      </x:c>
      <x:c r="K655" s="22" t="n">
        <x:f>IF(AND(ISNUMBER(I655),ISNUMBER(J655)),I655-J655,"")</x:f>
        <x:v>1932.605796019899</x:v>
      </x:c>
      <x:c r="L655" s="22" t="n">
        <x:f>IF(ISNUMBER(K655),K655*$B$2+$B$3,"")</x:f>
        <x:v>1798.4712882617896</x:v>
      </x:c>
      <x:c r="M655" s="22" t="n">
        <x:f>IF(AND(ISNUMBER(G655),ISNUMBER(H655),H655&lt;&gt;0),G655/(H655/60)/$B$5,"")</x:f>
        <x:v>0.035860187702316894</x:v>
      </x:c>
      <x:c r="N655" s="22" t="n">
        <x:f>IF(AND(ISNUMBER(L655),ISNUMBER(H655),H655&lt;&gt;0),L655*$B$6/$B$4/(H655/60)^2/$B$5^4/$B$7,"")</x:f>
        <x:v>0.0757893758922371</x:v>
      </x:c>
      <x:c r="O655" s="22" t="n">
        <x:f>IF(ISNUMBER(N655),N655*$B$8,"")</x:f>
        <x:v>0.009792179769858895</x:v>
      </x:c>
      <x:c r="P655" s="20" t="str">
        <x:v>4000rpm!E193</x:v>
      </x:c>
      <x:c r="Q655" s="20" t="str">
        <x:v>4000rpm!D193</x:v>
      </x:c>
      <x:c r="R655" s="20" t="str">
        <x:v>4000rpm!D173</x:v>
      </x:c>
    </x:row>
    <x:row r="656">
      <x:c r="A656" s="21" t="n">
        <x:v>4000</x:v>
      </x:c>
      <x:c r="B656" s="21" t="n">
        <x:v>90</x:v>
      </x:c>
      <x:c r="C656" s="21" t="n">
        <x:v>21</x:v>
      </x:c>
      <x:c r="D656" s="21" t="n">
        <x:v>2</x:v>
      </x:c>
      <x:c r="E656" s="21" t="str">
        <x:v>4000rpm</x:v>
      </x:c>
      <x:c r="F656" s="21" t="n">
        <x:v>193</x:v>
      </x:c>
      <x:c r="G656" s="22" t="n">
        <x:f>IFERROR('4000rpm'!P193,"")</x:f>
        <x:v>1.0922348894178855</x:v>
      </x:c>
      <x:c r="H656" s="22" t="n">
        <x:f>IFERROR('4000rpm'!M193,"")</x:f>
        <x:v>4003.84576416015</x:v>
      </x:c>
      <x:c r="I656" s="22" t="n">
        <x:f>IFERROR('4000rpm'!O193,"")</x:f>
        <x:v>2260.903132359075</x:v>
      </x:c>
      <x:c r="J656" s="22" t="n">
        <x:f>IFERROR('4000rpm'!O173,"")</x:f>
        <x:v>178.1609775720164</x:v>
      </x:c>
      <x:c r="K656" s="22" t="n">
        <x:f>IF(AND(ISNUMBER(I656),ISNUMBER(J656)),I656-J656,"")</x:f>
        <x:v>2082.7421547870586</x:v>
      </x:c>
      <x:c r="L656" s="22" t="n">
        <x:f>IF(ISNUMBER(K656),K656*$B$2+$B$3,"")</x:f>
        <x:v>1935.9523530757479</x:v>
      </x:c>
      <x:c r="M656" s="22" t="n">
        <x:f>IF(AND(ISNUMBER(G656),ISNUMBER(H656),H656&lt;&gt;0),G656/(H656/60)/$B$5,"")</x:f>
        <x:v>0.03580005835393725</x:v>
      </x:c>
      <x:c r="N656" s="22" t="n">
        <x:f>IF(AND(ISNUMBER(L656),ISNUMBER(H656),H656&lt;&gt;0),L656*$B$6/$B$4/(H656/60)^2/$B$5^4/$B$7,"")</x:f>
        <x:v>0.08092014056918738</x:v>
      </x:c>
      <x:c r="O656" s="22" t="n">
        <x:f>IF(ISNUMBER(N656),N656*$B$8,"")</x:f>
        <x:v>0.010455087591464076</x:v>
      </x:c>
      <x:c r="P656" s="20" t="str">
        <x:v>4000rpm!P193</x:v>
      </x:c>
      <x:c r="Q656" s="20" t="str">
        <x:v>4000rpm!O193</x:v>
      </x:c>
      <x:c r="R656" s="20" t="str">
        <x:v>4000rpm!O173</x:v>
      </x:c>
    </x:row>
    <x:row r="657">
      <x:c r="A657" s="21" t="n">
        <x:v>4000</x:v>
      </x:c>
      <x:c r="B657" s="21" t="n">
        <x:v>90</x:v>
      </x:c>
      <x:c r="C657" s="21" t="n">
        <x:v>22</x:v>
      </x:c>
      <x:c r="D657" s="21" t="n">
        <x:v>1</x:v>
      </x:c>
      <x:c r="E657" s="21" t="str">
        <x:v>4000rpm</x:v>
      </x:c>
      <x:c r="F657" s="21" t="n">
        <x:v>194</x:v>
      </x:c>
      <x:c r="G657" s="22" t="n">
        <x:f>IFERROR('4000rpm'!E194,"")</x:f>
        <x:v>0.20328000000000002</x:v>
      </x:c>
      <x:c r="H657" s="22" t="n">
        <x:f>IFERROR('4000rpm'!B194,"")</x:f>
        <x:v>4040.05</x:v>
      </x:c>
      <x:c r="I657" s="22" t="n">
        <x:f>IFERROR('4000rpm'!D194,"")</x:f>
        <x:v>2213.7535273999997</x:v>
      </x:c>
      <x:c r="J657" s="22" t="n">
        <x:f>IFERROR('4000rpm'!D173,"")</x:f>
        <x:v>223.71193333333227</x:v>
      </x:c>
      <x:c r="K657" s="22" t="n">
        <x:f>IF(AND(ISNUMBER(I657),ISNUMBER(J657)),I657-J657,"")</x:f>
        <x:v>1990.0415940666674</x:v>
      </x:c>
      <x:c r="L657" s="22" t="n">
        <x:f>IF(ISNUMBER(K657),K657*$B$2+$B$3,"")</x:f>
        <x:v>1851.0657080196</x:v>
      </x:c>
      <x:c r="M657" s="22" t="n">
        <x:f>IF(AND(ISNUMBER(G657),ISNUMBER(H657),H657&lt;&gt;0),G657/(H657/60)/$B$5,"")</x:f>
        <x:v>0.00660317702858398</x:v>
      </x:c>
      <x:c r="N657" s="22" t="n">
        <x:f>IF(AND(ISNUMBER(L657),ISNUMBER(H657),H657&lt;&gt;0),L657*$B$6/$B$4/(H657/60)^2/$B$5^4/$B$7,"")</x:f>
        <x:v>0.07599149664639601</x:v>
      </x:c>
      <x:c r="O657" s="22" t="n">
        <x:f>IF(ISNUMBER(N657),N657*$B$8,"")</x:f>
        <x:v>0.0098182942844151</x:v>
      </x:c>
      <x:c r="P657" s="20" t="str">
        <x:v>4000rpm!E194</x:v>
      </x:c>
      <x:c r="Q657" s="20" t="str">
        <x:v>4000rpm!D194</x:v>
      </x:c>
      <x:c r="R657" s="20" t="str">
        <x:v>4000rpm!D173</x:v>
      </x:c>
    </x:row>
    <x:row r="658">
      <x:c r="A658" s="21" t="n">
        <x:v>4000</x:v>
      </x:c>
      <x:c r="B658" s="21" t="n">
        <x:v>90</x:v>
      </x:c>
      <x:c r="C658" s="21" t="n">
        <x:v>22</x:v>
      </x:c>
      <x:c r="D658" s="21" t="n">
        <x:v>2</x:v>
      </x:c>
      <x:c r="E658" s="21" t="str">
        <x:v>4000rpm</x:v>
      </x:c>
      <x:c r="F658" s="21" t="n">
        <x:v>194</x:v>
      </x:c>
      <x:c r="G658" s="22" t="n">
        <x:f>IFERROR('4000rpm'!P194,"")</x:f>
        <x:v>0.202485</x:v>
      </x:c>
      <x:c r="H658" s="22" t="n">
        <x:f>IFERROR('4000rpm'!M194,"")</x:f>
        <x:v>4002.565967</x:v>
      </x:c>
      <x:c r="I658" s="22" t="n">
        <x:f>IFERROR('4000rpm'!O194,"")</x:f>
        <x:v>2305.5640999999996</x:v>
      </x:c>
      <x:c r="J658" s="22" t="n">
        <x:f>IFERROR('4000rpm'!O173,"")</x:f>
        <x:v>178.1609775720164</x:v>
      </x:c>
      <x:c r="K658" s="22" t="n">
        <x:f>IF(AND(ISNUMBER(I658),ISNUMBER(J658)),I658-J658,"")</x:f>
        <x:v>2127.4031224279834</x:v>
      </x:c>
      <x:c r="L658" s="22" t="n">
        <x:f>IF(ISNUMBER(K658),K658*$B$2+$B$3,"")</x:f>
        <x:v>1976.8487584322838</x:v>
      </x:c>
      <x:c r="M658" s="22" t="n">
        <x:f>IF(AND(ISNUMBER(G658),ISNUMBER(H658),H658&lt;&gt;0),G658/(H658/60)/$B$5,"")</x:f>
        <x:v>0.006638949829872796</x:v>
      </x:c>
      <x:c r="N658" s="22" t="n">
        <x:f>IF(AND(ISNUMBER(L658),ISNUMBER(H658),H658&lt;&gt;0),L658*$B$6/$B$4/(H658/60)^2/$B$5^4/$B$7,"")</x:f>
        <x:v>0.08268240304200974</x:v>
      </x:c>
      <x:c r="O658" s="22" t="n">
        <x:f>IF(ISNUMBER(N658),N658*$B$8,"")</x:f>
        <x:v>0.01068277637676413</x:v>
      </x:c>
      <x:c r="P658" s="20" t="str">
        <x:v>4000rpm!P194</x:v>
      </x:c>
      <x:c r="Q658" s="20" t="str">
        <x:v>4000rpm!O194</x:v>
      </x:c>
      <x:c r="R658" s="20" t="str">
        <x:v>4000rpm!O173</x:v>
      </x:c>
    </x:row>
    <x:row r="659">
      <x:c r="A659" s="21" t="n">
        <x:v>4000</x:v>
      </x:c>
      <x:c r="B659" s="21" t="n">
        <x:v>90</x:v>
      </x:c>
      <x:c r="C659" s="21" t="n">
        <x:v>23</x:v>
      </x:c>
      <x:c r="D659" s="21" t="n">
        <x:v>1</x:v>
      </x:c>
      <x:c r="E659" s="21" t="str">
        <x:v>4000rpm</x:v>
      </x:c>
      <x:c r="F659" s="21" t="n">
        <x:v>195</x:v>
      </x:c>
      <x:c r="G659" s="22" t="n">
        <x:f>IFERROR('4000rpm'!E195,"")</x:f>
        <x:v>0.0445742015348514</x:v>
      </x:c>
      <x:c r="H659" s="22" t="n">
        <x:f>IFERROR('4000rpm'!B195,"")</x:f>
        <x:v>0</x:v>
      </x:c>
      <x:c r="I659" s="22" t="n">
        <x:f>IFERROR('4000rpm'!D195,"")</x:f>
        <x:v>228.92862784810043</x:v>
      </x:c>
      <x:c r="J659" s="22" t="n">
        <x:f>IFERROR('4000rpm'!D173,"")</x:f>
        <x:v>223.71193333333227</x:v>
      </x:c>
      <x:c r="K659" s="22" t="n">
        <x:f>IF(AND(ISNUMBER(I659),ISNUMBER(J659)),I659-J659,"")</x:f>
        <x:v>5.2166945147681645</x:v>
      </x:c>
      <x:c r="L659" s="22" t="n">
        <x:f>IF(ISNUMBER(K659),K659*$B$2+$B$3,"")</x:f>
        <x:v>33.545668900729325</x:v>
      </x:c>
      <x:c r="M659" s="22" t="str">
        <x:f>IF(AND(ISNUMBER(G659),ISNUMBER(H659),H659&lt;&gt;0),G659/(H659/60)/$B$5,"")</x:f>
      </x:c>
      <x:c r="N659" s="22" t="str">
        <x:f>IF(AND(ISNUMBER(L659),ISNUMBER(H659),H659&lt;&gt;0),L659*$B$6/$B$4/(H659/60)^2/$B$5^4/$B$7,"")</x:f>
      </x:c>
      <x:c r="O659" s="22" t="str">
        <x:f>IF(ISNUMBER(N659),N659*$B$8,"")</x:f>
      </x:c>
      <x:c r="P659" s="20" t="str">
        <x:v>4000rpm!E195</x:v>
      </x:c>
      <x:c r="Q659" s="20" t="str">
        <x:v>4000rpm!D195</x:v>
      </x:c>
      <x:c r="R659" s="20" t="str">
        <x:v>4000rpm!D173</x:v>
      </x:c>
    </x:row>
    <x:row r="660">
      <x:c r="A660" s="21" t="n">
        <x:v>4000</x:v>
      </x:c>
      <x:c r="B660" s="21" t="n">
        <x:v>90</x:v>
      </x:c>
      <x:c r="C660" s="21" t="n">
        <x:v>23</x:v>
      </x:c>
      <x:c r="D660" s="21" t="n">
        <x:v>2</x:v>
      </x:c>
      <x:c r="E660" s="21" t="str">
        <x:v>4000rpm</x:v>
      </x:c>
      <x:c r="F660" s="21" t="n">
        <x:v>195</x:v>
      </x:c>
      <x:c r="G660" s="22" t="n">
        <x:f>IFERROR('4000rpm'!P195,"")</x:f>
        <x:v>0.095775</x:v>
      </x:c>
      <x:c r="H660" s="22" t="n">
        <x:f>IFERROR('4000rpm'!M195,"")</x:f>
        <x:v>0</x:v>
      </x:c>
      <x:c r="I660" s="22" t="n">
        <x:f>IFERROR('4000rpm'!O195,"")</x:f>
        <x:v>182.6143</x:v>
      </x:c>
      <x:c r="J660" s="22" t="n">
        <x:f>IFERROR('4000rpm'!O173,"")</x:f>
        <x:v>178.1609775720164</x:v>
      </x:c>
      <x:c r="K660" s="22" t="n">
        <x:f>IF(AND(ISNUMBER(I660),ISNUMBER(J660)),I660-J660,"")</x:f>
        <x:v>4.453322427983579</x:v>
      </x:c>
      <x:c r="L660" s="22" t="n">
        <x:f>IF(ISNUMBER(K660),K660*$B$2+$B$3,"")</x:f>
        <x:v>32.84664297388399</x:v>
      </x:c>
      <x:c r="M660" s="22" t="str">
        <x:f>IF(AND(ISNUMBER(G660),ISNUMBER(H660),H660&lt;&gt;0),G660/(H660/60)/$B$5,"")</x:f>
      </x:c>
      <x:c r="N660" s="22" t="str">
        <x:f>IF(AND(ISNUMBER(L660),ISNUMBER(H660),H660&lt;&gt;0),L660*$B$6/$B$4/(H660/60)^2/$B$5^4/$B$7,"")</x:f>
      </x:c>
      <x:c r="O660" s="22" t="str">
        <x:f>IF(ISNUMBER(N660),N660*$B$8,"")</x:f>
      </x:c>
      <x:c r="P660" s="20" t="str">
        <x:v>4000rpm!P195</x:v>
      </x:c>
      <x:c r="Q660" s="20" t="str">
        <x:v>4000rpm!O195</x:v>
      </x:c>
      <x:c r="R660" s="20" t="str">
        <x:v>4000rpm!O173</x:v>
      </x:c>
    </x:row>
    <x:row r="661">
      <x:c r="A661" s="21" t="n">
        <x:v>5000</x:v>
      </x:c>
      <x:c r="B661" s="21" t="n">
        <x:v>0</x:v>
      </x:c>
      <x:c r="C661" s="21" t="n">
        <x:v>1</x:v>
      </x:c>
      <x:c r="D661" s="21" t="n">
        <x:v>1</x:v>
      </x:c>
      <x:c r="E661" s="21" t="str">
        <x:v>5000rpm</x:v>
      </x:c>
      <x:c r="F661" s="21" t="n">
        <x:v>3</x:v>
      </x:c>
      <x:c r="G661" s="22" t="n">
        <x:f>IFERROR('5000rpm'!D3,"")</x:f>
        <x:v>0.002001438375575355</x:v>
      </x:c>
      <x:c r="H661" s="22" t="n">
        <x:f>IFERROR('5000rpm'!B3,"")</x:f>
        <x:v>0</x:v>
      </x:c>
      <x:c r="I661" s="22" t="n">
        <x:f>IFERROR('5000rpm'!C3,"")</x:f>
        <x:v>41.1064814814814</x:v>
      </x:c>
      <x:c r="J661" s="22" t="n">
        <x:f>IFERROR('5000rpm'!C3,"")</x:f>
        <x:v>41.1064814814814</x:v>
      </x:c>
      <x:c r="K661" s="22" t="n">
        <x:f>IF(AND(ISNUMBER(I661),ISNUMBER(J661)),I661-J661,"")</x:f>
        <x:v>0</x:v>
      </x:c>
      <x:c r="L661" s="22" t="n">
        <x:f>IF(ISNUMBER(K661),K661*$B$2+$B$3,"")</x:f>
        <x:v>28.7687</x:v>
      </x:c>
      <x:c r="M661" s="22" t="str">
        <x:f>IF(AND(ISNUMBER(G661),ISNUMBER(H661),H661&lt;&gt;0),G661/(H661/60)/$B$5,"")</x:f>
      </x:c>
      <x:c r="N661" s="22" t="str">
        <x:f>IF(AND(ISNUMBER(L661),ISNUMBER(H661),H661&lt;&gt;0),L661*$B$6/$B$4/(H661/60)^2/$B$5^4/$B$7,"")</x:f>
      </x:c>
      <x:c r="O661" s="22" t="str">
        <x:f>IF(ISNUMBER(N661),N661*$B$8,"")</x:f>
      </x:c>
      <x:c r="P661" s="20" t="str">
        <x:v>5000rpm!D3</x:v>
      </x:c>
      <x:c r="Q661" s="20" t="str">
        <x:v>5000rpm!C3</x:v>
      </x:c>
      <x:c r="R661" s="20" t="str">
        <x:v>5000rpm!C3</x:v>
      </x:c>
    </x:row>
    <x:row r="662">
      <x:c r="A662" s="21" t="n">
        <x:v>5000</x:v>
      </x:c>
      <x:c r="B662" s="21" t="n">
        <x:v>0</x:v>
      </x:c>
      <x:c r="C662" s="21" t="n">
        <x:v>1</x:v>
      </x:c>
      <x:c r="D662" s="21" t="n">
        <x:v>2</x:v>
      </x:c>
      <x:c r="E662" s="21" t="str">
        <x:v>5000rpm</x:v>
      </x:c>
      <x:c r="F662" s="21" t="n">
        <x:v>3</x:v>
      </x:c>
      <x:c r="G662" s="22" t="n">
        <x:f>IFERROR('5000rpm'!N3,"")</x:f>
        <x:v>0.007449852128047484</x:v>
      </x:c>
      <x:c r="H662" s="22" t="n">
        <x:f>IFERROR('5000rpm'!L3,"")</x:f>
        <x:v>0</x:v>
      </x:c>
      <x:c r="I662" s="22" t="n">
        <x:f>IFERROR('5000rpm'!M3,"")</x:f>
        <x:v>40.5375</x:v>
      </x:c>
      <x:c r="J662" s="22" t="n">
        <x:f>IFERROR('5000rpm'!M3,"")</x:f>
        <x:v>40.5375</x:v>
      </x:c>
      <x:c r="K662" s="22" t="n">
        <x:f>IF(AND(ISNUMBER(I662),ISNUMBER(J662)),I662-J662,"")</x:f>
        <x:v>0</x:v>
      </x:c>
      <x:c r="L662" s="22" t="n">
        <x:f>IF(ISNUMBER(K662),K662*$B$2+$B$3,"")</x:f>
        <x:v>28.7687</x:v>
      </x:c>
      <x:c r="M662" s="22" t="str">
        <x:f>IF(AND(ISNUMBER(G662),ISNUMBER(H662),H662&lt;&gt;0),G662/(H662/60)/$B$5,"")</x:f>
      </x:c>
      <x:c r="N662" s="22" t="str">
        <x:f>IF(AND(ISNUMBER(L662),ISNUMBER(H662),H662&lt;&gt;0),L662*$B$6/$B$4/(H662/60)^2/$B$5^4/$B$7,"")</x:f>
      </x:c>
      <x:c r="O662" s="22" t="str">
        <x:f>IF(ISNUMBER(N662),N662*$B$8,"")</x:f>
      </x:c>
      <x:c r="P662" s="20" t="str">
        <x:v>5000rpm!N3</x:v>
      </x:c>
      <x:c r="Q662" s="20" t="str">
        <x:v>5000rpm!M3</x:v>
      </x:c>
      <x:c r="R662" s="20" t="str">
        <x:v>5000rpm!M3</x:v>
      </x:c>
    </x:row>
    <x:row r="663">
      <x:c r="A663" s="21" t="n">
        <x:v>5000</x:v>
      </x:c>
      <x:c r="B663" s="21" t="n">
        <x:v>0</x:v>
      </x:c>
      <x:c r="C663" s="21" t="n">
        <x:v>2</x:v>
      </x:c>
      <x:c r="D663" s="21" t="n">
        <x:v>1</x:v>
      </x:c>
      <x:c r="E663" s="21" t="str">
        <x:v>5000rpm</x:v>
      </x:c>
      <x:c r="F663" s="21" t="n">
        <x:v>4</x:v>
      </x:c>
      <x:c r="G663" s="22" t="n">
        <x:f>IFERROR('5000rpm'!D4,"")</x:f>
        <x:v>0.013422999484576457</x:v>
      </x:c>
      <x:c r="H663" s="22" t="n">
        <x:f>IFERROR('5000rpm'!B4,"")</x:f>
        <x:v>5021.29612320188</x:v>
      </x:c>
      <x:c r="I663" s="22" t="n">
        <x:f>IFERROR('5000rpm'!C4,"")</x:f>
        <x:v>3235.5016025641</x:v>
      </x:c>
      <x:c r="J663" s="22" t="n">
        <x:f>IFERROR('5000rpm'!C3,"")</x:f>
        <x:v>41.1064814814814</x:v>
      </x:c>
      <x:c r="K663" s="22" t="n">
        <x:f>IF(AND(ISNUMBER(I663),ISNUMBER(J663)),I663-J663,"")</x:f>
        <x:v>3194.3951210826185</x:v>
      </x:c>
      <x:c r="L663" s="22" t="n">
        <x:f>IF(ISNUMBER(K663),K663*$B$2+$B$3,"")</x:f>
        <x:v>2953.9018675363222</x:v>
      </x:c>
      <x:c r="M663" s="22" t="n">
        <x:f>IF(AND(ISNUMBER(G663),ISNUMBER(H663),H663&lt;&gt;0),G663/(H663/60)/$B$5,"")</x:f>
        <x:v>0.0003508154957541704</x:v>
      </x:c>
      <x:c r="N663" s="22" t="n">
        <x:f>IF(AND(ISNUMBER(L663),ISNUMBER(H663),H663&lt;&gt;0),L663*$B$6/$B$4/(H663/60)^2/$B$5^4/$B$7,"")</x:f>
        <x:v>0.07850205723813725</x:v>
      </x:c>
      <x:c r="O663" s="22" t="n">
        <x:f>IF(ISNUMBER(N663),N663*$B$8,"")</x:f>
        <x:v>0.01014266508636508</x:v>
      </x:c>
      <x:c r="P663" s="20" t="str">
        <x:v>5000rpm!D4</x:v>
      </x:c>
      <x:c r="Q663" s="20" t="str">
        <x:v>5000rpm!C4</x:v>
      </x:c>
      <x:c r="R663" s="20" t="str">
        <x:v>5000rpm!C3</x:v>
      </x:c>
    </x:row>
    <x:row r="664">
      <x:c r="A664" s="21" t="n">
        <x:v>5000</x:v>
      </x:c>
      <x:c r="B664" s="21" t="n">
        <x:v>0</x:v>
      </x:c>
      <x:c r="C664" s="21" t="n">
        <x:v>2</x:v>
      </x:c>
      <x:c r="D664" s="21" t="n">
        <x:v>2</x:v>
      </x:c>
      <x:c r="E664" s="21" t="str">
        <x:v>5000rpm</x:v>
      </x:c>
      <x:c r="F664" s="21" t="n">
        <x:v>4</x:v>
      </x:c>
      <x:c r="G664" s="22" t="n">
        <x:f>IFERROR('5000rpm'!N4,"")</x:f>
        <x:v>0.007617971676013455</x:v>
      </x:c>
      <x:c r="H664" s="22" t="n">
        <x:f>IFERROR('5000rpm'!L4,"")</x:f>
        <x:v>5060.96881448997</x:v>
      </x:c>
      <x:c r="I664" s="22" t="n">
        <x:f>IFERROR('5000rpm'!M4,"")</x:f>
        <x:v>3239.12995391705</x:v>
      </x:c>
      <x:c r="J664" s="22" t="n">
        <x:f>IFERROR('5000rpm'!M3,"")</x:f>
        <x:v>40.5375</x:v>
      </x:c>
      <x:c r="K664" s="22" t="n">
        <x:f>IF(AND(ISNUMBER(I664),ISNUMBER(J664)),I664-J664,"")</x:f>
        <x:v>3198.59245391705</x:v>
      </x:c>
      <x:c r="L664" s="22" t="n">
        <x:f>IF(ISNUMBER(K664),K664*$B$2+$B$3,"")</x:f>
        <x:v>2957.745398791474</x:v>
      </x:c>
      <x:c r="M664" s="22" t="n">
        <x:f>IF(AND(ISNUMBER(G664),ISNUMBER(H664),H664&lt;&gt;0),G664/(H664/60)/$B$5,"")</x:f>
        <x:v>0.00019753803123375845</x:v>
      </x:c>
      <x:c r="N664" s="22" t="n">
        <x:f>IF(AND(ISNUMBER(L664),ISNUMBER(H664),H664&lt;&gt;0),L664*$B$6/$B$4/(H664/60)^2/$B$5^4/$B$7,"")</x:f>
        <x:v>0.07737668287579016</x:v>
      </x:c>
      <x:c r="O664" s="22" t="n">
        <x:f>IF(ISNUMBER(N664),N664*$B$8,"")</x:f>
        <x:v>0.009997263861790257</x:v>
      </x:c>
      <x:c r="P664" s="20" t="str">
        <x:v>5000rpm!N4</x:v>
      </x:c>
      <x:c r="Q664" s="20" t="str">
        <x:v>5000rpm!M4</x:v>
      </x:c>
      <x:c r="R664" s="20" t="str">
        <x:v>5000rpm!M3</x:v>
      </x:c>
    </x:row>
    <x:row r="665">
      <x:c r="A665" s="21" t="n">
        <x:v>5000</x:v>
      </x:c>
      <x:c r="B665" s="21" t="n">
        <x:v>0</x:v>
      </x:c>
      <x:c r="C665" s="21" t="n">
        <x:v>3</x:v>
      </x:c>
      <x:c r="D665" s="21" t="n">
        <x:v>1</x:v>
      </x:c>
      <x:c r="E665" s="21" t="str">
        <x:v>5000rpm</x:v>
      </x:c>
      <x:c r="F665" s="21" t="n">
        <x:v>5</x:v>
      </x:c>
      <x:c r="G665" s="22" t="n">
        <x:f>IFERROR('5000rpm'!D5,"")</x:f>
        <x:v>1.0219346718643907</x:v>
      </x:c>
      <x:c r="H665" s="22" t="n">
        <x:f>IFERROR('5000rpm'!B5,"")</x:f>
        <x:v>5039.53048270089</x:v>
      </x:c>
      <x:c r="I665" s="22" t="n">
        <x:f>IFERROR('5000rpm'!C5,"")</x:f>
        <x:v>3232.36428571428</x:v>
      </x:c>
      <x:c r="J665" s="22" t="n">
        <x:f>IFERROR('5000rpm'!C3,"")</x:f>
        <x:v>41.1064814814814</x:v>
      </x:c>
      <x:c r="K665" s="22" t="n">
        <x:f>IF(AND(ISNUMBER(I665),ISNUMBER(J665)),I665-J665,"")</x:f>
        <x:v>3191.2578042327987</x:v>
      </x:c>
      <x:c r="L665" s="22" t="n">
        <x:f>IF(ISNUMBER(K665),K665*$B$2+$B$3,"")</x:f>
        <x:v>2951.0290013984077</x:v>
      </x:c>
      <x:c r="M665" s="22" t="n">
        <x:f>IF(AND(ISNUMBER(G665),ISNUMBER(H665),H665&lt;&gt;0),G665/(H665/60)/$B$5,"")</x:f>
        <x:v>0.026612035014443914</x:v>
      </x:c>
      <x:c r="N665" s="22" t="n">
        <x:f>IF(AND(ISNUMBER(L665),ISNUMBER(H665),H665&lt;&gt;0),L665*$B$6/$B$4/(H665/60)^2/$B$5^4/$B$7,"")</x:f>
        <x:v>0.07785920542127855</x:v>
      </x:c>
      <x:c r="O665" s="22" t="n">
        <x:f>IF(ISNUMBER(N665),N665*$B$8,"")</x:f>
        <x:v>0.010059606999635203</x:v>
      </x:c>
      <x:c r="P665" s="20" t="str">
        <x:v>5000rpm!D5</x:v>
      </x:c>
      <x:c r="Q665" s="20" t="str">
        <x:v>5000rpm!C5</x:v>
      </x:c>
      <x:c r="R665" s="20" t="str">
        <x:v>5000rpm!C3</x:v>
      </x:c>
    </x:row>
    <x:row r="666">
      <x:c r="A666" s="21" t="n">
        <x:v>5000</x:v>
      </x:c>
      <x:c r="B666" s="21" t="n">
        <x:v>0</x:v>
      </x:c>
      <x:c r="C666" s="21" t="n">
        <x:v>3</x:v>
      </x:c>
      <x:c r="D666" s="21" t="n">
        <x:v>2</x:v>
      </x:c>
      <x:c r="E666" s="21" t="str">
        <x:v>5000rpm</x:v>
      </x:c>
      <x:c r="F666" s="21" t="n">
        <x:v>5</x:v>
      </x:c>
      <x:c r="G666" s="22" t="n">
        <x:f>IFERROR('5000rpm'!N5,"")</x:f>
        <x:v>1.025157970364217</x:v>
      </x:c>
      <x:c r="H666" s="22" t="n">
        <x:f>IFERROR('5000rpm'!L5,"")</x:f>
        <x:v>5022.14939831149</x:v>
      </x:c>
      <x:c r="I666" s="22" t="n">
        <x:f>IFERROR('5000rpm'!M5,"")</x:f>
        <x:v>3240.54383116883</x:v>
      </x:c>
      <x:c r="J666" s="22" t="n">
        <x:f>IFERROR('5000rpm'!M3,"")</x:f>
        <x:v>40.5375</x:v>
      </x:c>
      <x:c r="K666" s="22" t="n">
        <x:f>IF(AND(ISNUMBER(I666),ISNUMBER(J666)),I666-J666,"")</x:f>
        <x:v>3200.00633116883</x:v>
      </x:c>
      <x:c r="L666" s="22" t="n">
        <x:f>IF(ISNUMBER(K666),K666*$B$2+$B$3,"")</x:f>
        <x:v>2959.040097501947</x:v>
      </x:c>
      <x:c r="M666" s="22" t="n">
        <x:f>IF(AND(ISNUMBER(G666),ISNUMBER(H666),H666&lt;&gt;0),G666/(H666/60)/$B$5,"")</x:f>
        <x:v>0.026788364113520126</x:v>
      </x:c>
      <x:c r="N666" s="22" t="n">
        <x:f>IF(AND(ISNUMBER(L666),ISNUMBER(H666),H666&lt;&gt;0),L666*$B$6/$B$4/(H666/60)^2/$B$5^4/$B$7,"")</x:f>
        <x:v>0.0786118898757159</x:v>
      </x:c>
      <x:c r="O666" s="22" t="n">
        <x:f>IF(ISNUMBER(N666),N666*$B$8,"")</x:f>
        <x:v>0.010156855741969598</x:v>
      </x:c>
      <x:c r="P666" s="20" t="str">
        <x:v>5000rpm!N5</x:v>
      </x:c>
      <x:c r="Q666" s="20" t="str">
        <x:v>5000rpm!M5</x:v>
      </x:c>
      <x:c r="R666" s="20" t="str">
        <x:v>5000rpm!M3</x:v>
      </x:c>
    </x:row>
    <x:row r="667">
      <x:c r="A667" s="21" t="n">
        <x:v>5000</x:v>
      </x:c>
      <x:c r="B667" s="21" t="n">
        <x:v>0</x:v>
      </x:c>
      <x:c r="C667" s="21" t="n">
        <x:v>4</x:v>
      </x:c>
      <x:c r="D667" s="21" t="n">
        <x:v>1</x:v>
      </x:c>
      <x:c r="E667" s="21" t="str">
        <x:v>5000rpm</x:v>
      </x:c>
      <x:c r="F667" s="21" t="n">
        <x:v>6</x:v>
      </x:c>
      <x:c r="G667" s="22" t="n">
        <x:f>IFERROR('5000rpm'!D6,"")</x:f>
        <x:v>2.0427692519145</x:v>
      </x:c>
      <x:c r="H667" s="22" t="n">
        <x:f>IFERROR('5000rpm'!B6,"")</x:f>
        <x:v>5059.05432581018</x:v>
      </x:c>
      <x:c r="I667" s="22" t="n">
        <x:f>IFERROR('5000rpm'!C6,"")</x:f>
        <x:v>3248.40747663551</x:v>
      </x:c>
      <x:c r="J667" s="22" t="n">
        <x:f>IFERROR('5000rpm'!C3,"")</x:f>
        <x:v>41.1064814814814</x:v>
      </x:c>
      <x:c r="K667" s="22" t="n">
        <x:f>IF(AND(ISNUMBER(I667),ISNUMBER(J667)),I667-J667,"")</x:f>
        <x:v>3207.300995154029</x:v>
      </x:c>
      <x:c r="L667" s="22" t="n">
        <x:f>IF(ISNUMBER(K667),K667*$B$2+$B$3,"")</x:f>
        <x:v>2965.7198796705056</x:v>
      </x:c>
      <x:c r="M667" s="22" t="n">
        <x:f>IF(AND(ISNUMBER(G667),ISNUMBER(H667),H667&lt;&gt;0),G667/(H667/60)/$B$5,"")</x:f>
        <x:v>0.05299013156506412</x:v>
      </x:c>
      <x:c r="N667" s="22" t="n">
        <x:f>IF(AND(ISNUMBER(L667),ISNUMBER(H667),H667&lt;&gt;0),L667*$B$6/$B$4/(H667/60)^2/$B$5^4/$B$7,"")</x:f>
        <x:v>0.07764403289632699</x:v>
      </x:c>
      <x:c r="O667" s="22" t="n">
        <x:f>IF(ISNUMBER(N667),N667*$B$8,"")</x:f>
        <x:v>0.010031806163158385</x:v>
      </x:c>
      <x:c r="P667" s="20" t="str">
        <x:v>5000rpm!D6</x:v>
      </x:c>
      <x:c r="Q667" s="20" t="str">
        <x:v>5000rpm!C6</x:v>
      </x:c>
      <x:c r="R667" s="20" t="str">
        <x:v>5000rpm!C3</x:v>
      </x:c>
    </x:row>
    <x:row r="668">
      <x:c r="A668" s="21" t="n">
        <x:v>5000</x:v>
      </x:c>
      <x:c r="B668" s="21" t="n">
        <x:v>0</x:v>
      </x:c>
      <x:c r="C668" s="21" t="n">
        <x:v>4</x:v>
      </x:c>
      <x:c r="D668" s="21" t="n">
        <x:v>2</x:v>
      </x:c>
      <x:c r="E668" s="21" t="str">
        <x:v>5000rpm</x:v>
      </x:c>
      <x:c r="F668" s="21" t="n">
        <x:v>6</x:v>
      </x:c>
      <x:c r="G668" s="22" t="n">
        <x:f>IFERROR('5000rpm'!N6,"")</x:f>
        <x:v>2.04202938594405</x:v>
      </x:c>
      <x:c r="H668" s="22" t="n">
        <x:f>IFERROR('5000rpm'!L6,"")</x:f>
        <x:v>5061.03074428013</x:v>
      </x:c>
      <x:c r="I668" s="22" t="n">
        <x:f>IFERROR('5000rpm'!M6,"")</x:f>
        <x:v>3257.82194244604</x:v>
      </x:c>
      <x:c r="J668" s="22" t="n">
        <x:f>IFERROR('5000rpm'!M3,"")</x:f>
        <x:v>40.5375</x:v>
      </x:c>
      <x:c r="K668" s="22" t="n">
        <x:f>IF(AND(ISNUMBER(I668),ISNUMBER(J668)),I668-J668,"")</x:f>
        <x:v>3217.28444244604</x:v>
      </x:c>
      <x:c r="L668" s="22" t="n">
        <x:f>IF(ISNUMBER(K668),K668*$B$2+$B$3,"")</x:f>
        <x:v>2974.861802223378</x:v>
      </x:c>
      <x:c r="M668" s="22" t="n">
        <x:f>IF(AND(ISNUMBER(G668),ISNUMBER(H668),H668&lt;&gt;0),G668/(H668/60)/$B$5,"")</x:f>
        <x:v>0.05295025313779098</x:v>
      </x:c>
      <x:c r="N668" s="22" t="n">
        <x:f>IF(AND(ISNUMBER(L668),ISNUMBER(H668),H668&lt;&gt;0),L668*$B$6/$B$4/(H668/60)^2/$B$5^4/$B$7,"")</x:f>
        <x:v>0.07782255532816379</x:v>
      </x:c>
      <x:c r="O668" s="22" t="n">
        <x:f>IF(ISNUMBER(N668),N668*$B$8,"")</x:f>
        <x:v>0.010054871714562106</x:v>
      </x:c>
      <x:c r="P668" s="20" t="str">
        <x:v>5000rpm!N6</x:v>
      </x:c>
      <x:c r="Q668" s="20" t="str">
        <x:v>5000rpm!M6</x:v>
      </x:c>
      <x:c r="R668" s="20" t="str">
        <x:v>5000rpm!M3</x:v>
      </x:c>
    </x:row>
    <x:row r="669">
      <x:c r="A669" s="21" t="n">
        <x:v>5000</x:v>
      </x:c>
      <x:c r="B669" s="21" t="n">
        <x:v>0</x:v>
      </x:c>
      <x:c r="C669" s="21" t="n">
        <x:v>5</x:v>
      </x:c>
      <x:c r="D669" s="21" t="n">
        <x:v>1</x:v>
      </x:c>
      <x:c r="E669" s="21" t="str">
        <x:v>5000rpm</x:v>
      </x:c>
      <x:c r="F669" s="21" t="n">
        <x:v>7</x:v>
      </x:c>
      <x:c r="G669" s="22" t="n">
        <x:f>IFERROR('5000rpm'!D7,"")</x:f>
        <x:v>3.063804878450145</x:v>
      </x:c>
      <x:c r="H669" s="22" t="n">
        <x:f>IFERROR('5000rpm'!B7,"")</x:f>
        <x:v>5055.96565755208</x:v>
      </x:c>
      <x:c r="I669" s="22" t="n">
        <x:f>IFERROR('5000rpm'!C7,"")</x:f>
        <x:v>3265.55037313432</x:v>
      </x:c>
      <x:c r="J669" s="22" t="n">
        <x:f>IFERROR('5000rpm'!C3,"")</x:f>
        <x:v>41.1064814814814</x:v>
      </x:c>
      <x:c r="K669" s="22" t="n">
        <x:f>IF(AND(ISNUMBER(I669),ISNUMBER(J669)),I669-J669,"")</x:f>
        <x:v>3224.443891652839</x:v>
      </x:c>
      <x:c r="L669" s="22" t="n">
        <x:f>IF(ISNUMBER(K669),K669*$B$2+$B$3,"")</x:f>
        <x:v>2981.417767137638</x:v>
      </x:c>
      <x:c r="M669" s="22" t="n">
        <x:f>IF(AND(ISNUMBER(G669),ISNUMBER(H669),H669&lt;&gt;0),G669/(H669/60)/$B$5,"")</x:f>
        <x:v>0.07952469582731952</x:v>
      </x:c>
      <x:c r="N669" s="22" t="n">
        <x:f>IF(AND(ISNUMBER(L669),ISNUMBER(H669),H669&lt;&gt;0),L669*$B$6/$B$4/(H669/60)^2/$B$5^4/$B$7,"")</x:f>
        <x:v>0.0781504075473729</x:v>
      </x:c>
      <x:c r="O669" s="22" t="n">
        <x:f>IF(ISNUMBER(N669),N669*$B$8,"")</x:f>
        <x:v>0.010097231053594105</x:v>
      </x:c>
      <x:c r="P669" s="20" t="str">
        <x:v>5000rpm!D7</x:v>
      </x:c>
      <x:c r="Q669" s="20" t="str">
        <x:v>5000rpm!C7</x:v>
      </x:c>
      <x:c r="R669" s="20" t="str">
        <x:v>5000rpm!C3</x:v>
      </x:c>
    </x:row>
    <x:row r="670">
      <x:c r="A670" s="21" t="n">
        <x:v>5000</x:v>
      </x:c>
      <x:c r="B670" s="21" t="n">
        <x:v>0</x:v>
      </x:c>
      <x:c r="C670" s="21" t="n">
        <x:v>5</x:v>
      </x:c>
      <x:c r="D670" s="21" t="n">
        <x:v>2</x:v>
      </x:c>
      <x:c r="E670" s="21" t="str">
        <x:v>5000rpm</x:v>
      </x:c>
      <x:c r="F670" s="21" t="n">
        <x:v>7</x:v>
      </x:c>
      <x:c r="G670" s="22" t="n">
        <x:f>IFERROR('5000rpm'!N7,"")</x:f>
        <x:v>3.0669044458866</x:v>
      </x:c>
      <x:c r="H670" s="22" t="n">
        <x:f>IFERROR('5000rpm'!L7,"")</x:f>
        <x:v>5050.76107421875</x:v>
      </x:c>
      <x:c r="I670" s="22" t="n">
        <x:f>IFERROR('5000rpm'!M7,"")</x:f>
        <x:v>3275.57285429141</x:v>
      </x:c>
      <x:c r="J670" s="22" t="n">
        <x:f>IFERROR('5000rpm'!M3,"")</x:f>
        <x:v>40.5375</x:v>
      </x:c>
      <x:c r="K670" s="22" t="n">
        <x:f>IF(AND(ISNUMBER(I670),ISNUMBER(J670)),I670-J670,"")</x:f>
        <x:v>3235.03535429141</x:v>
      </x:c>
      <x:c r="L670" s="22" t="n">
        <x:f>IF(ISNUMBER(K670),K670*$B$2+$B$3,"")</x:f>
        <x:v>2991.1164542074785</x:v>
      </x:c>
      <x:c r="M670" s="22" t="n">
        <x:f>IF(AND(ISNUMBER(G670),ISNUMBER(H670),H670&lt;&gt;0),G670/(H670/60)/$B$5,"")</x:f>
        <x:v>0.07968717832739111</x:v>
      </x:c>
      <x:c r="N670" s="22" t="n">
        <x:f>IF(AND(ISNUMBER(L670),ISNUMBER(H670),H670&lt;&gt;0),L670*$B$6/$B$4/(H670/60)^2/$B$5^4/$B$7,"")</x:f>
        <x:v>0.07856630255307545</x:v>
      </x:c>
      <x:c r="O670" s="22" t="n">
        <x:f>IF(ISNUMBER(N670),N670*$B$8,"")</x:f>
        <x:v>0.010150965744153062</x:v>
      </x:c>
      <x:c r="P670" s="20" t="str">
        <x:v>5000rpm!N7</x:v>
      </x:c>
      <x:c r="Q670" s="20" t="str">
        <x:v>5000rpm!M7</x:v>
      </x:c>
      <x:c r="R670" s="20" t="str">
        <x:v>5000rpm!M3</x:v>
      </x:c>
    </x:row>
    <x:row r="671">
      <x:c r="A671" s="21" t="n">
        <x:v>5000</x:v>
      </x:c>
      <x:c r="B671" s="21" t="n">
        <x:v>0</x:v>
      </x:c>
      <x:c r="C671" s="21" t="n">
        <x:v>6</x:v>
      </x:c>
      <x:c r="D671" s="21" t="n">
        <x:v>1</x:v>
      </x:c>
      <x:c r="E671" s="21" t="str">
        <x:v>5000rpm</x:v>
      </x:c>
      <x:c r="F671" s="21" t="n">
        <x:v>8</x:v>
      </x:c>
      <x:c r="G671" s="22" t="n">
        <x:f>IFERROR('5000rpm'!D8,"")</x:f>
        <x:v>4.0925662470715345</x:v>
      </x:c>
      <x:c r="H671" s="22" t="n">
        <x:f>IFERROR('5000rpm'!B8,"")</x:f>
        <x:v>5064.95415387834</x:v>
      </x:c>
      <x:c r="I671" s="22" t="n">
        <x:f>IFERROR('5000rpm'!C8,"")</x:f>
        <x:v>3283.90196078431</x:v>
      </x:c>
      <x:c r="J671" s="22" t="n">
        <x:f>IFERROR('5000rpm'!C3,"")</x:f>
        <x:v>41.1064814814814</x:v>
      </x:c>
      <x:c r="K671" s="22" t="n">
        <x:f>IF(AND(ISNUMBER(I671),ISNUMBER(J671)),I671-J671,"")</x:f>
        <x:v>3242.795479302829</x:v>
      </x:c>
      <x:c r="L671" s="22" t="n">
        <x:f>IF(ISNUMBER(K671),K671*$B$2+$B$3,"")</x:f>
        <x:v>2998.2224627614346</x:v>
      </x:c>
      <x:c r="M671" s="22" t="n">
        <x:f>IF(AND(ISNUMBER(G671),ISNUMBER(H671),H671&lt;&gt;0),G671/(H671/60)/$B$5,"")</x:f>
        <x:v>0.10603890348026193</x:v>
      </x:c>
      <x:c r="N671" s="22" t="n">
        <x:f>IF(AND(ISNUMBER(L671),ISNUMBER(H671),H671&lt;&gt;0),L671*$B$6/$B$4/(H671/60)^2/$B$5^4/$B$7,"")</x:f>
        <x:v>0.07831220618966453</x:v>
      </x:c>
      <x:c r="O671" s="22" t="n">
        <x:f>IF(ISNUMBER(N671),N671*$B$8,"")</x:f>
        <x:v>0.010118135848932326</x:v>
      </x:c>
      <x:c r="P671" s="20" t="str">
        <x:v>5000rpm!D8</x:v>
      </x:c>
      <x:c r="Q671" s="20" t="str">
        <x:v>5000rpm!C8</x:v>
      </x:c>
      <x:c r="R671" s="20" t="str">
        <x:v>5000rpm!C3</x:v>
      </x:c>
    </x:row>
    <x:row r="672">
      <x:c r="A672" s="21" t="n">
        <x:v>5000</x:v>
      </x:c>
      <x:c r="B672" s="21" t="n">
        <x:v>0</x:v>
      </x:c>
      <x:c r="C672" s="21" t="n">
        <x:v>6</x:v>
      </x:c>
      <x:c r="D672" s="21" t="n">
        <x:v>2</x:v>
      </x:c>
      <x:c r="E672" s="21" t="str">
        <x:v>5000rpm</x:v>
      </x:c>
      <x:c r="F672" s="21" t="n">
        <x:v>8</x:v>
      </x:c>
      <x:c r="G672" s="22" t="n">
        <x:f>IFERROR('5000rpm'!N8,"")</x:f>
        <x:v>4.094523624198075</x:v>
      </x:c>
      <x:c r="H672" s="22" t="n">
        <x:f>IFERROR('5000rpm'!L8,"")</x:f>
        <x:v>5084.65618341619</x:v>
      </x:c>
      <x:c r="I672" s="22" t="n">
        <x:f>IFERROR('5000rpm'!M8,"")</x:f>
        <x:v>3290.7602739726</x:v>
      </x:c>
      <x:c r="J672" s="22" t="n">
        <x:f>IFERROR('5000rpm'!M3,"")</x:f>
        <x:v>40.5375</x:v>
      </x:c>
      <x:c r="K672" s="22" t="n">
        <x:f>IF(AND(ISNUMBER(I672),ISNUMBER(J672)),I672-J672,"")</x:f>
        <x:v>3250.2227739726</x:v>
      </x:c>
      <x:c r="L672" s="22" t="n">
        <x:f>IF(ISNUMBER(K672),K672*$B$2+$B$3,"")</x:f>
        <x:v>3005.0236959089016</x:v>
      </x:c>
      <x:c r="M672" s="22" t="n">
        <x:f>IF(AND(ISNUMBER(G672),ISNUMBER(H672),H672&lt;&gt;0),G672/(H672/60)/$B$5,"")</x:f>
        <x:v>0.10567854323095897</x:v>
      </x:c>
      <x:c r="N672" s="22" t="n">
        <x:f>IF(AND(ISNUMBER(L672),ISNUMBER(H672),H672&lt;&gt;0),L672*$B$6/$B$4/(H672/60)^2/$B$5^4/$B$7,"")</x:f>
        <x:v>0.07788276468939755</x:v>
      </x:c>
      <x:c r="O672" s="22" t="n">
        <x:f>IF(ISNUMBER(N672),N672*$B$8,"")</x:f>
        <x:v>0.0100626509168855</x:v>
      </x:c>
      <x:c r="P672" s="20" t="str">
        <x:v>5000rpm!N8</x:v>
      </x:c>
      <x:c r="Q672" s="20" t="str">
        <x:v>5000rpm!M8</x:v>
      </x:c>
      <x:c r="R672" s="20" t="str">
        <x:v>5000rpm!M3</x:v>
      </x:c>
    </x:row>
    <x:row r="673">
      <x:c r="A673" s="21" t="n">
        <x:v>5000</x:v>
      </x:c>
      <x:c r="B673" s="21" t="n">
        <x:v>0</x:v>
      </x:c>
      <x:c r="C673" s="21" t="n">
        <x:v>7</x:v>
      </x:c>
      <x:c r="D673" s="21" t="n">
        <x:v>1</x:v>
      </x:c>
      <x:c r="E673" s="21" t="str">
        <x:v>5000rpm</x:v>
      </x:c>
      <x:c r="F673" s="21" t="n">
        <x:v>9</x:v>
      </x:c>
      <x:c r="G673" s="22" t="n">
        <x:f>IFERROR('5000rpm'!D9,"")</x:f>
        <x:v>5.10332546450874</x:v>
      </x:c>
      <x:c r="H673" s="22" t="n">
        <x:f>IFERROR('5000rpm'!B9,"")</x:f>
        <x:v>5062.6141826923</x:v>
      </x:c>
      <x:c r="I673" s="22" t="n">
        <x:f>IFERROR('5000rpm'!C9,"")</x:f>
        <x:v>3312.44781783681</x:v>
      </x:c>
      <x:c r="J673" s="22" t="n">
        <x:f>IFERROR('5000rpm'!C3,"")</x:f>
        <x:v>41.1064814814814</x:v>
      </x:c>
      <x:c r="K673" s="22" t="n">
        <x:f>IF(AND(ISNUMBER(I673),ISNUMBER(J673)),I673-J673,"")</x:f>
        <x:v>3271.3413363553286</x:v>
      </x:c>
      <x:c r="L673" s="22" t="n">
        <x:f>IF(ISNUMBER(K673),K673*$B$2+$B$3,"")</x:f>
        <x:v>3024.3621324312653</x:v>
      </x:c>
      <x:c r="M673" s="22" t="n">
        <x:f>IF(AND(ISNUMBER(G673),ISNUMBER(H673),H673&lt;&gt;0),G673/(H673/60)/$B$5,"")</x:f>
        <x:v>0.13228891775665683</x:v>
      </x:c>
      <x:c r="N673" s="22" t="n">
        <x:f>IF(AND(ISNUMBER(L673),ISNUMBER(H673),H673&lt;&gt;0),L673*$B$6/$B$4/(H673/60)^2/$B$5^4/$B$7,"")</x:f>
        <x:v>0.07906800324885993</x:v>
      </x:c>
      <x:c r="O673" s="22" t="n">
        <x:f>IF(ISNUMBER(N673),N673*$B$8,"")</x:f>
        <x:v>0.010215786747703352</x:v>
      </x:c>
      <x:c r="P673" s="20" t="str">
        <x:v>5000rpm!D9</x:v>
      </x:c>
      <x:c r="Q673" s="20" t="str">
        <x:v>5000rpm!C9</x:v>
      </x:c>
      <x:c r="R673" s="20" t="str">
        <x:v>5000rpm!C3</x:v>
      </x:c>
    </x:row>
    <x:row r="674">
      <x:c r="A674" s="21" t="n">
        <x:v>5000</x:v>
      </x:c>
      <x:c r="B674" s="21" t="n">
        <x:v>0</x:v>
      </x:c>
      <x:c r="C674" s="21" t="n">
        <x:v>7</x:v>
      </x:c>
      <x:c r="D674" s="21" t="n">
        <x:v>2</x:v>
      </x:c>
      <x:c r="E674" s="21" t="str">
        <x:v>5000rpm</x:v>
      </x:c>
      <x:c r="F674" s="21" t="n">
        <x:v>9</x:v>
      </x:c>
      <x:c r="G674" s="22" t="n">
        <x:f>IFERROR('5000rpm'!N9,"")</x:f>
        <x:v>5.122744487660385</x:v>
      </x:c>
      <x:c r="H674" s="22" t="n">
        <x:f>IFERROR('5000rpm'!L9,"")</x:f>
        <x:v>5096.06080845424</x:v>
      </x:c>
      <x:c r="I674" s="22" t="n">
        <x:f>IFERROR('5000rpm'!M9,"")</x:f>
        <x:v>3317.49261992619</x:v>
      </x:c>
      <x:c r="J674" s="22" t="n">
        <x:f>IFERROR('5000rpm'!M3,"")</x:f>
        <x:v>40.5375</x:v>
      </x:c>
      <x:c r="K674" s="22" t="n">
        <x:f>IF(AND(ISNUMBER(I674),ISNUMBER(J674)),I674-J674,"")</x:f>
        <x:v>3276.95511992619</x:v>
      </x:c>
      <x:c r="L674" s="22" t="n">
        <x:f>IF(ISNUMBER(K674),K674*$B$2+$B$3,"")</x:f>
        <x:v>3029.5027189573716</x:v>
      </x:c>
      <x:c r="M674" s="22" t="n">
        <x:f>IF(AND(ISNUMBER(G674),ISNUMBER(H674),H674&lt;&gt;0),G674/(H674/60)/$B$5,"")</x:f>
        <x:v>0.13192075305846046</x:v>
      </x:c>
      <x:c r="N674" s="22" t="n">
        <x:f>IF(AND(ISNUMBER(L674),ISNUMBER(H674),H674&lt;&gt;0),L674*$B$6/$B$4/(H674/60)^2/$B$5^4/$B$7,"")</x:f>
        <x:v>0.07816616159846074</x:v>
      </x:c>
      <x:c r="O674" s="22" t="n">
        <x:f>IF(ISNUMBER(N674),N674*$B$8,"")</x:f>
        <x:v>0.010099266516989065</x:v>
      </x:c>
      <x:c r="P674" s="20" t="str">
        <x:v>5000rpm!N9</x:v>
      </x:c>
      <x:c r="Q674" s="20" t="str">
        <x:v>5000rpm!M9</x:v>
      </x:c>
      <x:c r="R674" s="20" t="str">
        <x:v>5000rpm!M3</x:v>
      </x:c>
    </x:row>
    <x:row r="675">
      <x:c r="A675" s="21" t="n">
        <x:v>5000</x:v>
      </x:c>
      <x:c r="B675" s="21" t="n">
        <x:v>0</x:v>
      </x:c>
      <x:c r="C675" s="21" t="n">
        <x:v>8</x:v>
      </x:c>
      <x:c r="D675" s="21" t="n">
        <x:v>1</x:v>
      </x:c>
      <x:c r="E675" s="21" t="str">
        <x:v>5000rpm</x:v>
      </x:c>
      <x:c r="F675" s="21" t="n">
        <x:v>10</x:v>
      </x:c>
      <x:c r="G675" s="22" t="n">
        <x:f>IFERROR('5000rpm'!D10,"")</x:f>
        <x:v>6.134090749344015</x:v>
      </x:c>
      <x:c r="H675" s="22" t="n">
        <x:f>IFERROR('5000rpm'!B10,"")</x:f>
        <x:v>5086.45953566028</x:v>
      </x:c>
      <x:c r="I675" s="22" t="n">
        <x:f>IFERROR('5000rpm'!C10,"")</x:f>
        <x:v>3337.84462809917</x:v>
      </x:c>
      <x:c r="J675" s="22" t="n">
        <x:f>IFERROR('5000rpm'!C3,"")</x:f>
        <x:v>41.1064814814814</x:v>
      </x:c>
      <x:c r="K675" s="22" t="n">
        <x:f>IF(AND(ISNUMBER(I675),ISNUMBER(J675)),I675-J675,"")</x:f>
        <x:v>3296.738146617689</x:v>
      </x:c>
      <x:c r="L675" s="22" t="n">
        <x:f>IF(ISNUMBER(K675),K675*$B$2+$B$3,"")</x:f>
        <x:v>3047.6181947629907</x:v>
      </x:c>
      <x:c r="M675" s="22" t="n">
        <x:f>IF(AND(ISNUMBER(G675),ISNUMBER(H675),H675&lt;&gt;0),G675/(H675/60)/$B$5,"")</x:f>
        <x:v>0.15826308660463048</x:v>
      </x:c>
      <x:c r="N675" s="22" t="n">
        <x:f>IF(AND(ISNUMBER(L675),ISNUMBER(H675),H675&lt;&gt;0),L675*$B$6/$B$4/(H675/60)^2/$B$5^4/$B$7,"")</x:f>
        <x:v>0.07893071057516955</x:v>
      </x:c>
      <x:c r="O675" s="22" t="n">
        <x:f>IF(ISNUMBER(N675),N675*$B$8,"")</x:f>
        <x:v>0.010198048185721098</x:v>
      </x:c>
      <x:c r="P675" s="20" t="str">
        <x:v>5000rpm!D10</x:v>
      </x:c>
      <x:c r="Q675" s="20" t="str">
        <x:v>5000rpm!C10</x:v>
      </x:c>
      <x:c r="R675" s="20" t="str">
        <x:v>5000rpm!C3</x:v>
      </x:c>
    </x:row>
    <x:row r="676">
      <x:c r="A676" s="21" t="n">
        <x:v>5000</x:v>
      </x:c>
      <x:c r="B676" s="21" t="n">
        <x:v>0</x:v>
      </x:c>
      <x:c r="C676" s="21" t="n">
        <x:v>8</x:v>
      </x:c>
      <x:c r="D676" s="21" t="n">
        <x:v>2</x:v>
      </x:c>
      <x:c r="E676" s="21" t="str">
        <x:v>5000rpm</x:v>
      </x:c>
      <x:c r="F676" s="21" t="n">
        <x:v>10</x:v>
      </x:c>
      <x:c r="G676" s="22" t="n">
        <x:f>IFERROR('5000rpm'!N10,"")</x:f>
        <x:v>6.13074682042461</x:v>
      </x:c>
      <x:c r="H676" s="22" t="n">
        <x:f>IFERROR('5000rpm'!L10,"")</x:f>
        <x:v>5099.17603600543</x:v>
      </x:c>
      <x:c r="I676" s="22" t="n">
        <x:f>IFERROR('5000rpm'!M10,"")</x:f>
        <x:v>3345.08114035087</x:v>
      </x:c>
      <x:c r="J676" s="22" t="n">
        <x:f>IFERROR('5000rpm'!M3,"")</x:f>
        <x:v>40.5375</x:v>
      </x:c>
      <x:c r="K676" s="22" t="n">
        <x:f>IF(AND(ISNUMBER(I676),ISNUMBER(J676)),I676-J676,"")</x:f>
        <x:v>3304.54364035087</x:v>
      </x:c>
      <x:c r="L676" s="22" t="n">
        <x:f>IF(ISNUMBER(K676),K676*$B$2+$B$3,"")</x:f>
        <x:v>3054.7657478184146</x:v>
      </x:c>
      <x:c r="M676" s="22" t="n">
        <x:f>IF(AND(ISNUMBER(G676),ISNUMBER(H676),H676&lt;&gt;0),G676/(H676/60)/$B$5,"")</x:f>
        <x:v>0.1577823445407524</x:v>
      </x:c>
      <x:c r="N676" s="22" t="n">
        <x:f>IF(AND(ISNUMBER(L676),ISNUMBER(H676),H676&lt;&gt;0),L676*$B$6/$B$4/(H676/60)^2/$B$5^4/$B$7,"")</x:f>
        <x:v>0.07872171460869624</x:v>
      </x:c>
      <x:c r="O676" s="22" t="n">
        <x:f>IF(ISNUMBER(N676),N676*$B$8,"")</x:f>
        <x:v>0.010171045376279943</x:v>
      </x:c>
      <x:c r="P676" s="20" t="str">
        <x:v>5000rpm!N10</x:v>
      </x:c>
      <x:c r="Q676" s="20" t="str">
        <x:v>5000rpm!M10</x:v>
      </x:c>
      <x:c r="R676" s="20" t="str">
        <x:v>5000rpm!M3</x:v>
      </x:c>
    </x:row>
    <x:row r="677">
      <x:c r="A677" s="21" t="n">
        <x:v>5000</x:v>
      </x:c>
      <x:c r="B677" s="21" t="n">
        <x:v>0</x:v>
      </x:c>
      <x:c r="C677" s="21" t="n">
        <x:v>9</x:v>
      </x:c>
      <x:c r="D677" s="21" t="n">
        <x:v>1</x:v>
      </x:c>
      <x:c r="E677" s="21" t="str">
        <x:v>5000rpm</x:v>
      </x:c>
      <x:c r="F677" s="21" t="n">
        <x:v>11</x:v>
      </x:c>
      <x:c r="G677" s="22" t="n">
        <x:f>IFERROR('5000rpm'!D11,"")</x:f>
        <x:v>7.147476077529615</x:v>
      </x:c>
      <x:c r="H677" s="22" t="n">
        <x:f>IFERROR('5000rpm'!B11,"")</x:f>
        <x:v>5117.31922743055</x:v>
      </x:c>
      <x:c r="I677" s="22" t="n">
        <x:f>IFERROR('5000rpm'!C11,"")</x:f>
        <x:v>3383.7037735849</x:v>
      </x:c>
      <x:c r="J677" s="22" t="n">
        <x:f>IFERROR('5000rpm'!C3,"")</x:f>
        <x:v>41.1064814814814</x:v>
      </x:c>
      <x:c r="K677" s="22" t="n">
        <x:f>IF(AND(ISNUMBER(I677),ISNUMBER(J677)),I677-J677,"")</x:f>
        <x:v>3342.5972921034186</x:v>
      </x:c>
      <x:c r="L677" s="22" t="n">
        <x:f>IF(ISNUMBER(K677),K677*$B$2+$B$3,"")</x:f>
        <x:v>3089.6117811574372</x:v>
      </x:c>
      <x:c r="M677" s="22" t="n">
        <x:f>IF(AND(ISNUMBER(G677),ISNUMBER(H677),H677&lt;&gt;0),G677/(H677/60)/$B$5,"")</x:f>
        <x:v>0.18329694608937172</x:v>
      </x:c>
      <x:c r="N677" s="22" t="n">
        <x:f>IF(AND(ISNUMBER(L677),ISNUMBER(H677),H677&lt;&gt;0),L677*$B$6/$B$4/(H677/60)^2/$B$5^4/$B$7,"")</x:f>
        <x:v>0.07905612721005378</x:v>
      </x:c>
      <x:c r="O677" s="22" t="n">
        <x:f>IF(ISNUMBER(N677),N677*$B$8,"")</x:f>
        <x:v>0.010214252333340196</x:v>
      </x:c>
      <x:c r="P677" s="20" t="str">
        <x:v>5000rpm!D11</x:v>
      </x:c>
      <x:c r="Q677" s="20" t="str">
        <x:v>5000rpm!C11</x:v>
      </x:c>
      <x:c r="R677" s="20" t="str">
        <x:v>5000rpm!C3</x:v>
      </x:c>
    </x:row>
    <x:row r="678">
      <x:c r="A678" s="21" t="n">
        <x:v>5000</x:v>
      </x:c>
      <x:c r="B678" s="21" t="n">
        <x:v>0</x:v>
      </x:c>
      <x:c r="C678" s="21" t="n">
        <x:v>9</x:v>
      </x:c>
      <x:c r="D678" s="21" t="n">
        <x:v>2</x:v>
      </x:c>
      <x:c r="E678" s="21" t="str">
        <x:v>5000rpm</x:v>
      </x:c>
      <x:c r="F678" s="21" t="n">
        <x:v>11</x:v>
      </x:c>
      <x:c r="G678" s="22" t="n">
        <x:f>IFERROR('5000rpm'!N11,"")</x:f>
        <x:v>7.134764667819526</x:v>
      </x:c>
      <x:c r="H678" s="22" t="n">
        <x:f>IFERROR('5000rpm'!L11,"")</x:f>
        <x:v>5079.88337402343</x:v>
      </x:c>
      <x:c r="I678" s="22" t="n">
        <x:f>IFERROR('5000rpm'!M11,"")</x:f>
        <x:v>3380.37073170731</x:v>
      </x:c>
      <x:c r="J678" s="22" t="n">
        <x:f>IFERROR('5000rpm'!M3,"")</x:f>
        <x:v>40.5375</x:v>
      </x:c>
      <x:c r="K678" s="22" t="n">
        <x:f>IF(AND(ISNUMBER(I678),ISNUMBER(J678)),I678-J678,"")</x:f>
        <x:v>3339.83323170731</x:v>
      </x:c>
      <x:c r="L678" s="22" t="n">
        <x:f>IF(ISNUMBER(K678),K678*$B$2+$B$3,"")</x:f>
        <x:v>3087.0807089402374</x:v>
      </x:c>
      <x:c r="M678" s="22" t="n">
        <x:f>IF(AND(ISNUMBER(G678),ISNUMBER(H678),H678&lt;&gt;0),G678/(H678/60)/$B$5,"")</x:f>
        <x:v>0.1843193541285768</x:v>
      </x:c>
      <x:c r="N678" s="22" t="n">
        <x:f>IF(AND(ISNUMBER(L678),ISNUMBER(H678),H678&lt;&gt;0),L678*$B$6/$B$4/(H678/60)^2/$B$5^4/$B$7,"")</x:f>
        <x:v>0.08015989564378095</x:v>
      </x:c>
      <x:c r="O678" s="22" t="n">
        <x:f>IF(ISNUMBER(N678),N678*$B$8,"")</x:f>
        <x:v>0.010356862017086901</x:v>
      </x:c>
      <x:c r="P678" s="20" t="str">
        <x:v>5000rpm!N11</x:v>
      </x:c>
      <x:c r="Q678" s="20" t="str">
        <x:v>5000rpm!M11</x:v>
      </x:c>
      <x:c r="R678" s="20" t="str">
        <x:v>5000rpm!M3</x:v>
      </x:c>
    </x:row>
    <x:row r="679">
      <x:c r="A679" s="21" t="n">
        <x:v>5000</x:v>
      </x:c>
      <x:c r="B679" s="21" t="n">
        <x:v>0</x:v>
      </x:c>
      <x:c r="C679" s="21" t="n">
        <x:v>10</x:v>
      </x:c>
      <x:c r="D679" s="21" t="n">
        <x:v>1</x:v>
      </x:c>
      <x:c r="E679" s="21" t="str">
        <x:v>5000rpm</x:v>
      </x:c>
      <x:c r="F679" s="21" t="n">
        <x:v>12</x:v>
      </x:c>
      <x:c r="G679" s="22" t="n">
        <x:f>IFERROR('5000rpm'!D12,"")</x:f>
        <x:v>8.166407694687706</x:v>
      </x:c>
      <x:c r="H679" s="22" t="n">
        <x:f>IFERROR('5000rpm'!B12,"")</x:f>
        <x:v>5126.33626302083</x:v>
      </x:c>
      <x:c r="I679" s="22" t="n">
        <x:f>IFERROR('5000rpm'!C12,"")</x:f>
        <x:v>3427.0054054054</x:v>
      </x:c>
      <x:c r="J679" s="22" t="n">
        <x:f>IFERROR('5000rpm'!C3,"")</x:f>
        <x:v>41.1064814814814</x:v>
      </x:c>
      <x:c r="K679" s="22" t="n">
        <x:f>IF(AND(ISNUMBER(I679),ISNUMBER(J679)),I679-J679,"")</x:f>
        <x:v>3385.8989239239186</x:v>
      </x:c>
      <x:c r="L679" s="22" t="n">
        <x:f>IF(ISNUMBER(K679),K679*$B$2+$B$3,"")</x:f>
        <x:v>3129.2634318285236</x:v>
      </x:c>
      <x:c r="M679" s="22" t="n">
        <x:f>IF(AND(ISNUMBER(G679),ISNUMBER(H679),H679&lt;&gt;0),G679/(H679/60)/$B$5,"")</x:f>
        <x:v>0.20905906120083723</x:v>
      </x:c>
      <x:c r="N679" s="22" t="n">
        <x:f>IF(AND(ISNUMBER(L679),ISNUMBER(H679),H679&lt;&gt;0),L679*$B$6/$B$4/(H679/60)^2/$B$5^4/$B$7,"")</x:f>
        <x:v>0.07978928748739253</x:v>
      </x:c>
      <x:c r="O679" s="22" t="n">
        <x:f>IF(ISNUMBER(N679),N679*$B$8,"")</x:f>
        <x:v>0.010308978502427913</x:v>
      </x:c>
      <x:c r="P679" s="20" t="str">
        <x:v>5000rpm!D12</x:v>
      </x:c>
      <x:c r="Q679" s="20" t="str">
        <x:v>5000rpm!C12</x:v>
      </x:c>
      <x:c r="R679" s="20" t="str">
        <x:v>5000rpm!C3</x:v>
      </x:c>
    </x:row>
    <x:row r="680">
      <x:c r="A680" s="21" t="n">
        <x:v>5000</x:v>
      </x:c>
      <x:c r="B680" s="21" t="n">
        <x:v>0</x:v>
      </x:c>
      <x:c r="C680" s="21" t="n">
        <x:v>10</x:v>
      </x:c>
      <x:c r="D680" s="21" t="n">
        <x:v>2</x:v>
      </x:c>
      <x:c r="E680" s="21" t="str">
        <x:v>5000rpm</x:v>
      </x:c>
      <x:c r="F680" s="21" t="n">
        <x:v>12</x:v>
      </x:c>
      <x:c r="G680" s="22" t="n">
        <x:f>IFERROR('5000rpm'!N12,"")</x:f>
        <x:v>8.166058636259745</x:v>
      </x:c>
      <x:c r="H680" s="22" t="n">
        <x:f>IFERROR('5000rpm'!L12,"")</x:f>
        <x:v>5084.59814453125</x:v>
      </x:c>
      <x:c r="I680" s="22" t="n">
        <x:f>IFERROR('5000rpm'!M12,"")</x:f>
        <x:v>3423.80879541108</x:v>
      </x:c>
      <x:c r="J680" s="22" t="n">
        <x:f>IFERROR('5000rpm'!M3,"")</x:f>
        <x:v>40.5375</x:v>
      </x:c>
      <x:c r="K680" s="22" t="n">
        <x:f>IF(AND(ISNUMBER(I680),ISNUMBER(J680)),I680-J680,"")</x:f>
        <x:v>3383.2712954110802</x:v>
      </x:c>
      <x:c r="L680" s="22" t="n">
        <x:f>IF(ISNUMBER(K680),K680*$B$2+$B$3,"")</x:f>
        <x:v>3126.8572913782896</x:v>
      </x:c>
      <x:c r="M680" s="22" t="n">
        <x:f>IF(AND(ISNUMBER(G680),ISNUMBER(H680),H680&lt;&gt;0),G680/(H680/60)/$B$5,"")</x:f>
        <x:v>0.21076616241677323</x:v>
      </x:c>
      <x:c r="N680" s="22" t="n">
        <x:f>IF(AND(ISNUMBER(L680),ISNUMBER(H680),H680&lt;&gt;0),L680*$B$6/$B$4/(H680/60)^2/$B$5^4/$B$7,"")</x:f>
        <x:v>0.08104223956143869</x:v>
      </x:c>
      <x:c r="O680" s="22" t="n">
        <x:f>IF(ISNUMBER(N680),N680*$B$8,"")</x:f>
        <x:v>0.010470863091232586</x:v>
      </x:c>
      <x:c r="P680" s="20" t="str">
        <x:v>5000rpm!N12</x:v>
      </x:c>
      <x:c r="Q680" s="20" t="str">
        <x:v>5000rpm!M12</x:v>
      </x:c>
      <x:c r="R680" s="20" t="str">
        <x:v>5000rpm!M3</x:v>
      </x:c>
    </x:row>
    <x:row r="681">
      <x:c r="A681" s="21" t="n">
        <x:v>5000</x:v>
      </x:c>
      <x:c r="B681" s="21" t="n">
        <x:v>0</x:v>
      </x:c>
      <x:c r="C681" s="21" t="n">
        <x:v>11</x:v>
      </x:c>
      <x:c r="D681" s="21" t="n">
        <x:v>1</x:v>
      </x:c>
      <x:c r="E681" s="21" t="str">
        <x:v>5000rpm</x:v>
      </x:c>
      <x:c r="F681" s="21" t="n">
        <x:v>13</x:v>
      </x:c>
      <x:c r="G681" s="22" t="n">
        <x:f>IFERROR('5000rpm'!D13,"")</x:f>
        <x:v>9.158719753607716</x:v>
      </x:c>
      <x:c r="H681" s="22" t="n">
        <x:f>IFERROR('5000rpm'!B13,"")</x:f>
        <x:v>5102.92227836277</x:v>
      </x:c>
      <x:c r="I681" s="22" t="n">
        <x:f>IFERROR('5000rpm'!C13,"")</x:f>
        <x:v>3480.16059957173</x:v>
      </x:c>
      <x:c r="J681" s="22" t="n">
        <x:f>IFERROR('5000rpm'!C3,"")</x:f>
        <x:v>41.1064814814814</x:v>
      </x:c>
      <x:c r="K681" s="22" t="n">
        <x:f>IF(AND(ISNUMBER(I681),ISNUMBER(J681)),I681-J681,"")</x:f>
        <x:v>3439.0541180902487</x:v>
      </x:c>
      <x:c r="L681" s="22" t="n">
        <x:f>IF(ISNUMBER(K681),K681*$B$2+$B$3,"")</x:f>
        <x:v>3177.9380683681857</x:v>
      </x:c>
      <x:c r="M681" s="22" t="n">
        <x:f>IF(AND(ISNUMBER(G681),ISNUMBER(H681),H681&lt;&gt;0),G681/(H681/60)/$B$5,"")</x:f>
        <x:v>0.23553792525738174</x:v>
      </x:c>
      <x:c r="N681" s="22" t="n">
        <x:f>IF(AND(ISNUMBER(L681),ISNUMBER(H681),H681&lt;&gt;0),L681*$B$6/$B$4/(H681/60)^2/$B$5^4/$B$7,"")</x:f>
        <x:v>0.081775680088967</x:v>
      </x:c>
      <x:c r="O681" s="22" t="n">
        <x:f>IF(ISNUMBER(N681),N681*$B$8,"")</x:f>
        <x:v>0.010565625469356259</x:v>
      </x:c>
      <x:c r="P681" s="20" t="str">
        <x:v>5000rpm!D13</x:v>
      </x:c>
      <x:c r="Q681" s="20" t="str">
        <x:v>5000rpm!C13</x:v>
      </x:c>
      <x:c r="R681" s="20" t="str">
        <x:v>5000rpm!C3</x:v>
      </x:c>
    </x:row>
    <x:row r="682">
      <x:c r="A682" s="21" t="n">
        <x:v>5000</x:v>
      </x:c>
      <x:c r="B682" s="21" t="n">
        <x:v>0</x:v>
      </x:c>
      <x:c r="C682" s="21" t="n">
        <x:v>11</x:v>
      </x:c>
      <x:c r="D682" s="21" t="n">
        <x:v>2</x:v>
      </x:c>
      <x:c r="E682" s="21" t="str">
        <x:v>5000rpm</x:v>
      </x:c>
      <x:c r="F682" s="21" t="n">
        <x:v>13</x:v>
      </x:c>
      <x:c r="G682" s="22" t="n">
        <x:f>IFERROR('5000rpm'!N13,"")</x:f>
        <x:v>9.177839574097199</x:v>
      </x:c>
      <x:c r="H682" s="22" t="n">
        <x:f>IFERROR('5000rpm'!L13,"")</x:f>
        <x:v>5120.86056857638</x:v>
      </x:c>
      <x:c r="I682" s="22" t="n">
        <x:f>IFERROR('5000rpm'!M13,"")</x:f>
        <x:v>3469.57471264367</x:v>
      </x:c>
      <x:c r="J682" s="22" t="n">
        <x:f>IFERROR('5000rpm'!M3,"")</x:f>
        <x:v>40.5375</x:v>
      </x:c>
      <x:c r="K682" s="22" t="n">
        <x:f>IF(AND(ISNUMBER(I682),ISNUMBER(J682)),I682-J682,"")</x:f>
        <x:v>3429.03721264367</x:v>
      </x:c>
      <x:c r="L682" s="22" t="n">
        <x:f>IF(ISNUMBER(K682),K682*$B$2+$B$3,"")</x:f>
        <x:v>3168.7655079155097</x:v>
      </x:c>
      <x:c r="M682" s="22" t="n">
        <x:f>IF(AND(ISNUMBER(G682),ISNUMBER(H682),H682&lt;&gt;0),G682/(H682/60)/$B$5,"")</x:f>
        <x:v>0.23520282828633493</x:v>
      </x:c>
      <x:c r="N682" s="22" t="n">
        <x:f>IF(AND(ISNUMBER(L682),ISNUMBER(H682),H682&lt;&gt;0),L682*$B$6/$B$4/(H682/60)^2/$B$5^4/$B$7,"")</x:f>
        <x:v>0.0809693854117462</x:v>
      </x:c>
      <x:c r="O682" s="22" t="n">
        <x:f>IF(ISNUMBER(N682),N682*$B$8,"")</x:f>
        <x:v>0.010461450150139318</x:v>
      </x:c>
      <x:c r="P682" s="20" t="str">
        <x:v>5000rpm!N13</x:v>
      </x:c>
      <x:c r="Q682" s="20" t="str">
        <x:v>5000rpm!M13</x:v>
      </x:c>
      <x:c r="R682" s="20" t="str">
        <x:v>5000rpm!M3</x:v>
      </x:c>
    </x:row>
    <x:row r="683">
      <x:c r="A683" s="21" t="n">
        <x:v>5000</x:v>
      </x:c>
      <x:c r="B683" s="21" t="n">
        <x:v>0</x:v>
      </x:c>
      <x:c r="C683" s="21" t="n">
        <x:v>12</x:v>
      </x:c>
      <x:c r="D683" s="21" t="n">
        <x:v>1</x:v>
      </x:c>
      <x:c r="E683" s="21" t="str">
        <x:v>5000rpm</x:v>
      </x:c>
      <x:c r="F683" s="21" t="n">
        <x:v>14</x:v>
      </x:c>
      <x:c r="G683" s="22" t="n">
        <x:f>IFERROR('5000rpm'!D14,"")</x:f>
        <x:v>10.13306502898533</x:v>
      </x:c>
      <x:c r="H683" s="22" t="n">
        <x:f>IFERROR('5000rpm'!B14,"")</x:f>
        <x:v>5129.54456922743</x:v>
      </x:c>
      <x:c r="I683" s="22" t="n">
        <x:f>IFERROR('5000rpm'!C14,"")</x:f>
        <x:v>3532.93036211699</x:v>
      </x:c>
      <x:c r="J683" s="22" t="n">
        <x:f>IFERROR('5000rpm'!C3,"")</x:f>
        <x:v>41.1064814814814</x:v>
      </x:c>
      <x:c r="K683" s="22" t="n">
        <x:f>IF(AND(ISNUMBER(I683),ISNUMBER(J683)),I683-J683,"")</x:f>
        <x:v>3491.823880635509</x:v>
      </x:c>
      <x:c r="L683" s="22" t="n">
        <x:f>IF(ISNUMBER(K683),K683*$B$2+$B$3,"")</x:f>
        <x:v>3226.2597620889806</x:v>
      </x:c>
      <x:c r="M683" s="22" t="n">
        <x:f>IF(AND(ISNUMBER(G683),ISNUMBER(H683),H683&lt;&gt;0),G683/(H683/60)/$B$5,"")</x:f>
        <x:v>0.2592430073055353</x:v>
      </x:c>
      <x:c r="N683" s="22" t="n">
        <x:f>IF(AND(ISNUMBER(L683),ISNUMBER(H683),H683&lt;&gt;0),L683*$B$6/$B$4/(H683/60)^2/$B$5^4/$B$7,"")</x:f>
        <x:v>0.08215960810370108</x:v>
      </x:c>
      <x:c r="O683" s="22" t="n">
        <x:f>IF(ISNUMBER(N683),N683*$B$8,"")</x:f>
        <x:v>0.010615229943528294</x:v>
      </x:c>
      <x:c r="P683" s="20" t="str">
        <x:v>5000rpm!D14</x:v>
      </x:c>
      <x:c r="Q683" s="20" t="str">
        <x:v>5000rpm!C14</x:v>
      </x:c>
      <x:c r="R683" s="20" t="str">
        <x:v>5000rpm!C3</x:v>
      </x:c>
    </x:row>
    <x:row r="684">
      <x:c r="A684" s="21" t="n">
        <x:v>5000</x:v>
      </x:c>
      <x:c r="B684" s="21" t="n">
        <x:v>0</x:v>
      </x:c>
      <x:c r="C684" s="21" t="n">
        <x:v>12</x:v>
      </x:c>
      <x:c r="D684" s="21" t="n">
        <x:v>2</x:v>
      </x:c>
      <x:c r="E684" s="21" t="str">
        <x:v>5000rpm</x:v>
      </x:c>
      <x:c r="F684" s="21" t="n">
        <x:v>14</x:v>
      </x:c>
      <x:c r="G684" s="22" t="n">
        <x:f>IFERROR('5000rpm'!N14,"")</x:f>
        <x:v>10.113</x:v>
      </x:c>
      <x:c r="H684" s="22" t="n">
        <x:f>IFERROR('5000rpm'!L14,"")</x:f>
        <x:v>5129.7</x:v>
      </x:c>
      <x:c r="I684" s="22" t="n">
        <x:f>IFERROR('5000rpm'!M14,"")</x:f>
        <x:v>3532.3</x:v>
      </x:c>
      <x:c r="J684" s="22" t="n">
        <x:f>IFERROR('5000rpm'!M3,"")</x:f>
        <x:v>40.5375</x:v>
      </x:c>
      <x:c r="K684" s="22" t="n">
        <x:f>IF(AND(ISNUMBER(I684),ISNUMBER(J684)),I684-J684,"")</x:f>
        <x:v>3491.7625000000003</x:v>
      </x:c>
      <x:c r="L684" s="22" t="n">
        <x:f>IF(ISNUMBER(K684),K684*$B$2+$B$3,"")</x:f>
        <x:v>3226.20355535</x:v>
      </x:c>
      <x:c r="M684" s="22" t="n">
        <x:f>IF(AND(ISNUMBER(G684),ISNUMBER(H684),H684&lt;&gt;0),G684/(H684/60)/$B$5,"")</x:f>
        <x:v>0.25872182668201044</x:v>
      </x:c>
      <x:c r="N684" s="22" t="n">
        <x:f>IF(AND(ISNUMBER(L684),ISNUMBER(H684),H684&lt;&gt;0),L684*$B$6/$B$4/(H684/60)^2/$B$5^4/$B$7,"")</x:f>
        <x:v>0.08215319801080169</x:v>
      </x:c>
      <x:c r="O684" s="22" t="n">
        <x:f>IF(ISNUMBER(N684),N684*$B$8,"")</x:f>
        <x:v>0.01061440174325255</x:v>
      </x:c>
      <x:c r="P684" s="20" t="str">
        <x:v>5000rpm!N14</x:v>
      </x:c>
      <x:c r="Q684" s="20" t="str">
        <x:v>5000rpm!M14</x:v>
      </x:c>
      <x:c r="R684" s="20" t="str">
        <x:v>5000rpm!M3</x:v>
      </x:c>
    </x:row>
    <x:row r="685">
      <x:c r="A685" s="21" t="n">
        <x:v>5000</x:v>
      </x:c>
      <x:c r="B685" s="21" t="n">
        <x:v>0</x:v>
      </x:c>
      <x:c r="C685" s="21" t="n">
        <x:v>13</x:v>
      </x:c>
      <x:c r="D685" s="21" t="n">
        <x:v>1</x:v>
      </x:c>
      <x:c r="E685" s="21" t="str">
        <x:v>5000rpm</x:v>
      </x:c>
      <x:c r="F685" s="21" t="n">
        <x:v>15</x:v>
      </x:c>
      <x:c r="G685" s="22" t="n">
        <x:f>IFERROR('5000rpm'!D15,"")</x:f>
        <x:v>9.188508477616814</x:v>
      </x:c>
      <x:c r="H685" s="22" t="n">
        <x:f>IFERROR('5000rpm'!B15,"")</x:f>
        <x:v>5145.28976004464</x:v>
      </x:c>
      <x:c r="I685" s="22" t="n">
        <x:f>IFERROR('5000rpm'!C15,"")</x:f>
        <x:v>3475.58510638297</x:v>
      </x:c>
      <x:c r="J685" s="22" t="n">
        <x:f>IFERROR('5000rpm'!C3,"")</x:f>
        <x:v>41.1064814814814</x:v>
      </x:c>
      <x:c r="K685" s="22" t="n">
        <x:f>IF(AND(ISNUMBER(I685),ISNUMBER(J685)),I685-J685,"")</x:f>
        <x:v>3434.4786249014887</x:v>
      </x:c>
      <x:c r="L685" s="22" t="n">
        <x:f>IF(ISNUMBER(K685),K685*$B$2+$B$3,"")</x:f>
        <x:v>3173.748252651292</x:v>
      </x:c>
      <x:c r="M685" s="22" t="n">
        <x:f>IF(AND(ISNUMBER(G685),ISNUMBER(H685),H685&lt;&gt;0),G685/(H685/60)/$B$5,"")</x:f>
        <x:v>0.23435823127496708</x:v>
      </x:c>
      <x:c r="N685" s="22" t="n">
        <x:f>IF(AND(ISNUMBER(L685),ISNUMBER(H685),H685&lt;&gt;0),L685*$B$6/$B$4/(H685/60)^2/$B$5^4/$B$7,"")</x:f>
        <x:v>0.08032846031359003</x:v>
      </x:c>
      <x:c r="O685" s="22" t="n">
        <x:f>IF(ISNUMBER(N685),N685*$B$8,"")</x:f>
        <x:v>0.01037864100035712</x:v>
      </x:c>
      <x:c r="P685" s="20" t="str">
        <x:v>5000rpm!D15</x:v>
      </x:c>
      <x:c r="Q685" s="20" t="str">
        <x:v>5000rpm!C15</x:v>
      </x:c>
      <x:c r="R685" s="20" t="str">
        <x:v>5000rpm!C3</x:v>
      </x:c>
    </x:row>
    <x:row r="686">
      <x:c r="A686" s="21" t="n">
        <x:v>5000</x:v>
      </x:c>
      <x:c r="B686" s="21" t="n">
        <x:v>0</x:v>
      </x:c>
      <x:c r="C686" s="21" t="n">
        <x:v>13</x:v>
      </x:c>
      <x:c r="D686" s="21" t="n">
        <x:v>2</x:v>
      </x:c>
      <x:c r="E686" s="21" t="str">
        <x:v>5000rpm</x:v>
      </x:c>
      <x:c r="F686" s="21" t="n">
        <x:v>15</x:v>
      </x:c>
      <x:c r="G686" s="22" t="n">
        <x:f>IFERROR('5000rpm'!N15,"")</x:f>
        <x:v>9.191744525997615</x:v>
      </x:c>
      <x:c r="H686" s="22" t="n">
        <x:f>IFERROR('5000rpm'!L15,"")</x:f>
        <x:v>5125.73021024816</x:v>
      </x:c>
      <x:c r="I686" s="22" t="n">
        <x:f>IFERROR('5000rpm'!M15,"")</x:f>
        <x:v>3469.35549132947</x:v>
      </x:c>
      <x:c r="J686" s="22" t="n">
        <x:f>IFERROR('5000rpm'!M3,"")</x:f>
        <x:v>40.5375</x:v>
      </x:c>
      <x:c r="K686" s="22" t="n">
        <x:f>IF(AND(ISNUMBER(I686),ISNUMBER(J686)),I686-J686,"")</x:f>
        <x:v>3428.8179913294703</x:v>
      </x:c>
      <x:c r="L686" s="22" t="n">
        <x:f>IF(ISNUMBER(K686),K686*$B$2+$B$3,"")</x:f>
        <x:v>3168.5647652043267</x:v>
      </x:c>
      <x:c r="M686" s="22" t="n">
        <x:f>IF(AND(ISNUMBER(G686),ISNUMBER(H686),H686&lt;&gt;0),G686/(H686/60)/$B$5,"")</x:f>
        <x:v>0.23533538371073529</x:v>
      </x:c>
      <x:c r="N686" s="22" t="n">
        <x:f>IF(AND(ISNUMBER(L686),ISNUMBER(H686),H686&lt;&gt;0),L686*$B$6/$B$4/(H686/60)^2/$B$5^4/$B$7,"")</x:f>
        <x:v>0.08081049070064537</x:v>
      </x:c>
      <x:c r="O686" s="22" t="n">
        <x:f>IF(ISNUMBER(N686),N686*$B$8,"")</x:f>
        <x:v>0.010440920550083086</x:v>
      </x:c>
      <x:c r="P686" s="20" t="str">
        <x:v>5000rpm!N15</x:v>
      </x:c>
      <x:c r="Q686" s="20" t="str">
        <x:v>5000rpm!M15</x:v>
      </x:c>
      <x:c r="R686" s="20" t="str">
        <x:v>5000rpm!M3</x:v>
      </x:c>
    </x:row>
    <x:row r="687">
      <x:c r="A687" s="21" t="n">
        <x:v>5000</x:v>
      </x:c>
      <x:c r="B687" s="21" t="n">
        <x:v>0</x:v>
      </x:c>
      <x:c r="C687" s="21" t="n">
        <x:v>14</x:v>
      </x:c>
      <x:c r="D687" s="21" t="n">
        <x:v>1</x:v>
      </x:c>
      <x:c r="E687" s="21" t="str">
        <x:v>5000rpm</x:v>
      </x:c>
      <x:c r="F687" s="21" t="n">
        <x:v>16</x:v>
      </x:c>
      <x:c r="G687" s="22" t="n">
        <x:f>IFERROR('5000rpm'!D16,"")</x:f>
        <x:v>8.174787050616121</x:v>
      </x:c>
      <x:c r="H687" s="22" t="n">
        <x:f>IFERROR('5000rpm'!B16,"")</x:f>
        <x:v>5101.23191550925</x:v>
      </x:c>
      <x:c r="I687" s="22" t="n">
        <x:f>IFERROR('5000rpm'!C16,"")</x:f>
        <x:v>3419.53187613843</x:v>
      </x:c>
      <x:c r="J687" s="22" t="n">
        <x:f>IFERROR('5000rpm'!C3,"")</x:f>
        <x:v>41.1064814814814</x:v>
      </x:c>
      <x:c r="K687" s="22" t="n">
        <x:f>IF(AND(ISNUMBER(I687),ISNUMBER(J687)),I687-J687,"")</x:f>
        <x:v>3378.425394656949</x:v>
      </x:c>
      <x:c r="L687" s="22" t="n">
        <x:f>IF(ISNUMBER(K687),K687*$B$2+$B$3,"")</x:f>
        <x:v>3122.419861290525</x:v>
      </x:c>
      <x:c r="M687" s="22" t="n">
        <x:f>IF(AND(ISNUMBER(G687),ISNUMBER(H687),H687&lt;&gt;0),G687/(H687/60)/$B$5,"")</x:f>
        <x:v>0.2103034555818316</x:v>
      </x:c>
      <x:c r="N687" s="22" t="n">
        <x:f>IF(AND(ISNUMBER(L687),ISNUMBER(H687),H687&lt;&gt;0),L687*$B$6/$B$4/(H687/60)^2/$B$5^4/$B$7,"")</x:f>
        <x:v>0.08040032552276596</x:v>
      </x:c>
      <x:c r="O687" s="22" t="n">
        <x:f>IF(ISNUMBER(N687),N687*$B$8,"")</x:f>
        <x:v>0.01038792616782505</x:v>
      </x:c>
      <x:c r="P687" s="20" t="str">
        <x:v>5000rpm!D16</x:v>
      </x:c>
      <x:c r="Q687" s="20" t="str">
        <x:v>5000rpm!C16</x:v>
      </x:c>
      <x:c r="R687" s="20" t="str">
        <x:v>5000rpm!C3</x:v>
      </x:c>
    </x:row>
    <x:row r="688">
      <x:c r="A688" s="21" t="n">
        <x:v>5000</x:v>
      </x:c>
      <x:c r="B688" s="21" t="n">
        <x:v>0</x:v>
      </x:c>
      <x:c r="C688" s="21" t="n">
        <x:v>14</x:v>
      </x:c>
      <x:c r="D688" s="21" t="n">
        <x:v>2</x:v>
      </x:c>
      <x:c r="E688" s="21" t="str">
        <x:v>5000rpm</x:v>
      </x:c>
      <x:c r="F688" s="21" t="n">
        <x:v>16</x:v>
      </x:c>
      <x:c r="G688" s="22" t="n">
        <x:f>IFERROR('5000rpm'!N16,"")</x:f>
        <x:v>8.169950554022204</x:v>
      </x:c>
      <x:c r="H688" s="22" t="n">
        <x:f>IFERROR('5000rpm'!L16,"")</x:f>
        <x:v>5092.34177734375</x:v>
      </x:c>
      <x:c r="I688" s="22" t="n">
        <x:f>IFERROR('5000rpm'!M16,"")</x:f>
        <x:v>3417.36363636363</x:v>
      </x:c>
      <x:c r="J688" s="22" t="n">
        <x:f>IFERROR('5000rpm'!M3,"")</x:f>
        <x:v>40.5375</x:v>
      </x:c>
      <x:c r="K688" s="22" t="n">
        <x:f>IF(AND(ISNUMBER(I688),ISNUMBER(J688)),I688-J688,"")</x:f>
        <x:v>3376.82613636363</x:v>
      </x:c>
      <x:c r="L688" s="22" t="n">
        <x:f>IF(ISNUMBER(K688),K688*$B$2+$B$3,"")</x:f>
        <x:v>3120.955407677267</x:v>
      </x:c>
      <x:c r="M688" s="22" t="n">
        <x:f>IF(AND(ISNUMBER(G688),ISNUMBER(H688),H688&lt;&gt;0),G688/(H688/60)/$B$5,"")</x:f>
        <x:v>0.21054596010955245</x:v>
      </x:c>
      <x:c r="N688" s="22" t="n">
        <x:f>IF(AND(ISNUMBER(L688),ISNUMBER(H688),H688&lt;&gt;0),L688*$B$6/$B$4/(H688/60)^2/$B$5^4/$B$7,"")</x:f>
        <x:v>0.08064345353706642</x:v>
      </x:c>
      <x:c r="O688" s="22" t="n">
        <x:f>IF(ISNUMBER(N688),N688*$B$8,"")</x:f>
        <x:v>0.010419338924495642</x:v>
      </x:c>
      <x:c r="P688" s="20" t="str">
        <x:v>5000rpm!N16</x:v>
      </x:c>
      <x:c r="Q688" s="20" t="str">
        <x:v>5000rpm!M16</x:v>
      </x:c>
      <x:c r="R688" s="20" t="str">
        <x:v>5000rpm!M3</x:v>
      </x:c>
    </x:row>
    <x:row r="689">
      <x:c r="A689" s="21" t="n">
        <x:v>5000</x:v>
      </x:c>
      <x:c r="B689" s="21" t="n">
        <x:v>0</x:v>
      </x:c>
      <x:c r="C689" s="21" t="n">
        <x:v>15</x:v>
      </x:c>
      <x:c r="D689" s="21" t="n">
        <x:v>1</x:v>
      </x:c>
      <x:c r="E689" s="21" t="str">
        <x:v>5000rpm</x:v>
      </x:c>
      <x:c r="F689" s="21" t="n">
        <x:v>17</x:v>
      </x:c>
      <x:c r="G689" s="22" t="n">
        <x:f>IFERROR('5000rpm'!D17,"")</x:f>
        <x:v>7.1636167008702305</x:v>
      </x:c>
      <x:c r="H689" s="22" t="n">
        <x:f>IFERROR('5000rpm'!B17,"")</x:f>
        <x:v>5121.90055847168</x:v>
      </x:c>
      <x:c r="I689" s="22" t="n">
        <x:f>IFERROR('5000rpm'!C17,"")</x:f>
        <x:v>3366.87519025875</x:v>
      </x:c>
      <x:c r="J689" s="22" t="n">
        <x:f>IFERROR('5000rpm'!C3,"")</x:f>
        <x:v>41.1064814814814</x:v>
      </x:c>
      <x:c r="K689" s="22" t="n">
        <x:f>IF(AND(ISNUMBER(I689),ISNUMBER(J689)),I689-J689,"")</x:f>
        <x:v>3325.768708777269</x:v>
      </x:c>
      <x:c r="L689" s="22" t="n">
        <x:f>IF(ISNUMBER(K689),K689*$B$2+$B$3,"")</x:f>
        <x:v>3074.201712777015</x:v>
      </x:c>
      <x:c r="M689" s="22" t="n">
        <x:f>IF(AND(ISNUMBER(G689),ISNUMBER(H689),H689&lt;&gt;0),G689/(H689/60)/$B$5,"")</x:f>
        <x:v>0.18354655032045597</x:v>
      </x:c>
      <x:c r="N689" s="22" t="n">
        <x:f>IF(AND(ISNUMBER(L689),ISNUMBER(H689),H689&lt;&gt;0),L689*$B$6/$B$4/(H689/60)^2/$B$5^4/$B$7,"")</x:f>
        <x:v>0.07852116202524584</x:v>
      </x:c>
      <x:c r="O689" s="22" t="n">
        <x:f>IF(ISNUMBER(N689),N689*$B$8,"")</x:f>
        <x:v>0.010145133473360353</x:v>
      </x:c>
      <x:c r="P689" s="20" t="str">
        <x:v>5000rpm!D17</x:v>
      </x:c>
      <x:c r="Q689" s="20" t="str">
        <x:v>5000rpm!C17</x:v>
      </x:c>
      <x:c r="R689" s="20" t="str">
        <x:v>5000rpm!C3</x:v>
      </x:c>
    </x:row>
    <x:row r="690">
      <x:c r="A690" s="21" t="n">
        <x:v>5000</x:v>
      </x:c>
      <x:c r="B690" s="21" t="n">
        <x:v>0</x:v>
      </x:c>
      <x:c r="C690" s="21" t="n">
        <x:v>15</x:v>
      </x:c>
      <x:c r="D690" s="21" t="n">
        <x:v>2</x:v>
      </x:c>
      <x:c r="E690" s="21" t="str">
        <x:v>5000rpm</x:v>
      </x:c>
      <x:c r="F690" s="21" t="n">
        <x:v>17</x:v>
      </x:c>
      <x:c r="G690" s="22" t="n">
        <x:f>IFERROR('5000rpm'!N17,"")</x:f>
        <x:v>7.16090637289959</x:v>
      </x:c>
      <x:c r="H690" s="22" t="n">
        <x:f>IFERROR('5000rpm'!L17,"")</x:f>
        <x:v>5087.8375721807</x:v>
      </x:c>
      <x:c r="I690" s="22" t="n">
        <x:f>IFERROR('5000rpm'!M17,"")</x:f>
        <x:v>3353.58605664488</x:v>
      </x:c>
      <x:c r="J690" s="22" t="n">
        <x:f>IFERROR('5000rpm'!M3,"")</x:f>
        <x:v>40.5375</x:v>
      </x:c>
      <x:c r="K690" s="22" t="n">
        <x:f>IF(AND(ISNUMBER(I690),ISNUMBER(J690)),I690-J690,"")</x:f>
        <x:v>3313.04855664488</x:v>
      </x:c>
      <x:c r="L690" s="22" t="n">
        <x:f>IF(ISNUMBER(K690),K690*$B$2+$B$3,"")</x:f>
        <x:v>3062.5537677081697</x:v>
      </x:c>
      <x:c r="M690" s="22" t="n">
        <x:f>IF(AND(ISNUMBER(G690),ISNUMBER(H690),H690&lt;&gt;0),G690/(H690/60)/$B$5,"")</x:f>
        <x:v>0.18470548227500128</x:v>
      </x:c>
      <x:c r="N690" s="22" t="n">
        <x:f>IF(AND(ISNUMBER(L690),ISNUMBER(H690),H690&lt;&gt;0),L690*$B$6/$B$4/(H690/60)^2/$B$5^4/$B$7,"")</x:f>
        <x:v>0.07927456881601522</x:v>
      </x:c>
      <x:c r="O690" s="22" t="n">
        <x:f>IF(ISNUMBER(N690),N690*$B$8,"")</x:f>
        <x:v>0.010242475543382623</x:v>
      </x:c>
      <x:c r="P690" s="20" t="str">
        <x:v>5000rpm!N17</x:v>
      </x:c>
      <x:c r="Q690" s="20" t="str">
        <x:v>5000rpm!M17</x:v>
      </x:c>
      <x:c r="R690" s="20" t="str">
        <x:v>5000rpm!M3</x:v>
      </x:c>
    </x:row>
    <x:row r="691">
      <x:c r="A691" s="21" t="n">
        <x:v>5000</x:v>
      </x:c>
      <x:c r="B691" s="21" t="n">
        <x:v>0</x:v>
      </x:c>
      <x:c r="C691" s="21" t="n">
        <x:v>16</x:v>
      </x:c>
      <x:c r="D691" s="21" t="n">
        <x:v>1</x:v>
      </x:c>
      <x:c r="E691" s="21" t="str">
        <x:v>5000rpm</x:v>
      </x:c>
      <x:c r="F691" s="21" t="n">
        <x:v>18</x:v>
      </x:c>
      <x:c r="G691" s="22" t="n">
        <x:f>IFERROR('5000rpm'!D18,"")</x:f>
        <x:v>6.151079504830485</x:v>
      </x:c>
      <x:c r="H691" s="22" t="n">
        <x:f>IFERROR('5000rpm'!B18,"")</x:f>
        <x:v>5070.08735656738</x:v>
      </x:c>
      <x:c r="I691" s="22" t="n">
        <x:f>IFERROR('5000rpm'!C18,"")</x:f>
        <x:v>3324.7229299363</x:v>
      </x:c>
      <x:c r="J691" s="22" t="n">
        <x:f>IFERROR('5000rpm'!C3,"")</x:f>
        <x:v>41.1064814814814</x:v>
      </x:c>
      <x:c r="K691" s="22" t="n">
        <x:f>IF(AND(ISNUMBER(I691),ISNUMBER(J691)),I691-J691,"")</x:f>
        <x:v>3283.6164484548185</x:v>
      </x:c>
      <x:c r="L691" s="22" t="n">
        <x:f>IF(ISNUMBER(K691),K691*$B$2+$B$3,"")</x:f>
        <x:v>3035.602550781665</x:v>
      </x:c>
      <x:c r="M691" s="22" t="n">
        <x:f>IF(AND(ISNUMBER(G691),ISNUMBER(H691),H691&lt;&gt;0),G691/(H691/60)/$B$5,"")</x:f>
        <x:v>0.15921388029502076</x:v>
      </x:c>
      <x:c r="N691" s="22" t="n">
        <x:f>IF(AND(ISNUMBER(L691),ISNUMBER(H691),H691&lt;&gt;0),L691*$B$6/$B$4/(H691/60)^2/$B$5^4/$B$7,"")</x:f>
        <x:v>0.07912808717909006</x:v>
      </x:c>
      <x:c r="O691" s="22" t="n">
        <x:f>IF(ISNUMBER(N691),N691*$B$8,"")</x:f>
        <x:v>0.010223549744022646</x:v>
      </x:c>
      <x:c r="P691" s="20" t="str">
        <x:v>5000rpm!D18</x:v>
      </x:c>
      <x:c r="Q691" s="20" t="str">
        <x:v>5000rpm!C18</x:v>
      </x:c>
      <x:c r="R691" s="20" t="str">
        <x:v>5000rpm!C3</x:v>
      </x:c>
    </x:row>
    <x:row r="692">
      <x:c r="A692" s="21" t="n">
        <x:v>5000</x:v>
      </x:c>
      <x:c r="B692" s="21" t="n">
        <x:v>0</x:v>
      </x:c>
      <x:c r="C692" s="21" t="n">
        <x:v>16</x:v>
      </x:c>
      <x:c r="D692" s="21" t="n">
        <x:v>2</x:v>
      </x:c>
      <x:c r="E692" s="21" t="str">
        <x:v>5000rpm</x:v>
      </x:c>
      <x:c r="F692" s="21" t="n">
        <x:v>18</x:v>
      </x:c>
      <x:c r="G692" s="22" t="n">
        <x:f>IFERROR('5000rpm'!N18,"")</x:f>
        <x:v>6.153184087032134</x:v>
      </x:c>
      <x:c r="H692" s="22" t="n">
        <x:f>IFERROR('5000rpm'!L18,"")</x:f>
        <x:v>5058.30010114397</x:v>
      </x:c>
      <x:c r="I692" s="22" t="n">
        <x:f>IFERROR('5000rpm'!M18,"")</x:f>
        <x:v>3303.26278659612</x:v>
      </x:c>
      <x:c r="J692" s="22" t="n">
        <x:f>IFERROR('5000rpm'!M3,"")</x:f>
        <x:v>40.5375</x:v>
      </x:c>
      <x:c r="K692" s="22" t="n">
        <x:f>IF(AND(ISNUMBER(I692),ISNUMBER(J692)),I692-J692,"")</x:f>
        <x:v>3262.72528659612</x:v>
      </x:c>
      <x:c r="L692" s="22" t="n">
        <x:f>IF(ISNUMBER(K692),K692*$B$2+$B$3,"")</x:f>
        <x:v>3016.4723467383596</x:v>
      </x:c>
      <x:c r="M692" s="22" t="n">
        <x:f>IF(AND(ISNUMBER(G692),ISNUMBER(H692),H692&lt;&gt;0),G692/(H692/60)/$B$5,"")</x:f>
        <x:v>0.15963949493253166</x:v>
      </x:c>
      <x:c r="N692" s="22" t="n">
        <x:f>IF(AND(ISNUMBER(L692),ISNUMBER(H692),H692&lt;&gt;0),L692*$B$6/$B$4/(H692/60)^2/$B$5^4/$B$7,"")</x:f>
        <x:v>0.07899631035694785</x:v>
      </x:c>
      <x:c r="O692" s="22" t="n">
        <x:f>IF(ISNUMBER(N692),N692*$B$8,"")</x:f>
        <x:v>0.010206523844063368</x:v>
      </x:c>
      <x:c r="P692" s="20" t="str">
        <x:v>5000rpm!N18</x:v>
      </x:c>
      <x:c r="Q692" s="20" t="str">
        <x:v>5000rpm!M18</x:v>
      </x:c>
      <x:c r="R692" s="20" t="str">
        <x:v>5000rpm!M3</x:v>
      </x:c>
    </x:row>
    <x:row r="693">
      <x:c r="A693" s="21" t="n">
        <x:v>5000</x:v>
      </x:c>
      <x:c r="B693" s="21" t="n">
        <x:v>0</x:v>
      </x:c>
      <x:c r="C693" s="21" t="n">
        <x:v>17</x:v>
      </x:c>
      <x:c r="D693" s="21" t="n">
        <x:v>1</x:v>
      </x:c>
      <x:c r="E693" s="21" t="str">
        <x:v>5000rpm</x:v>
      </x:c>
      <x:c r="F693" s="21" t="n">
        <x:v>19</x:v>
      </x:c>
      <x:c r="G693" s="22" t="n">
        <x:f>IFERROR('5000rpm'!D19,"")</x:f>
        <x:v>5.117993939573115</x:v>
      </x:c>
      <x:c r="H693" s="22" t="n">
        <x:f>IFERROR('5000rpm'!B19,"")</x:f>
        <x:v>5048.50469098772</x:v>
      </x:c>
      <x:c r="I693" s="22" t="n">
        <x:f>IFERROR('5000rpm'!C19,"")</x:f>
        <x:v>3290.12909090909</x:v>
      </x:c>
      <x:c r="J693" s="22" t="n">
        <x:f>IFERROR('5000rpm'!C3,"")</x:f>
        <x:v>41.1064814814814</x:v>
      </x:c>
      <x:c r="K693" s="22" t="n">
        <x:f>IF(AND(ISNUMBER(I693),ISNUMBER(J693)),I693-J693,"")</x:f>
        <x:v>3249.0226094276086</x:v>
      </x:c>
      <x:c r="L693" s="22" t="n">
        <x:f>IF(ISNUMBER(K693),K693*$B$2+$B$3,"")</x:f>
        <x:v>3003.9246956337365</x:v>
      </x:c>
      <x:c r="M693" s="22" t="n">
        <x:f>IF(AND(ISNUMBER(G693),ISNUMBER(H693),H693&lt;&gt;0),G693/(H693/60)/$B$5,"")</x:f>
        <x:v>0.13303993738472059</x:v>
      </x:c>
      <x:c r="N693" s="22" t="n">
        <x:f>IF(AND(ISNUMBER(L693),ISNUMBER(H693),H693&lt;&gt;0),L693*$B$6/$B$4/(H693/60)^2/$B$5^4/$B$7,"")</x:f>
        <x:v>0.07897327631184481</x:v>
      </x:c>
      <x:c r="O693" s="22" t="n">
        <x:f>IF(ISNUMBER(N693),N693*$B$8,"")</x:f>
        <x:v>0.010203547786960105</x:v>
      </x:c>
      <x:c r="P693" s="20" t="str">
        <x:v>5000rpm!D19</x:v>
      </x:c>
      <x:c r="Q693" s="20" t="str">
        <x:v>5000rpm!C19</x:v>
      </x:c>
      <x:c r="R693" s="20" t="str">
        <x:v>5000rpm!C3</x:v>
      </x:c>
    </x:row>
    <x:row r="694">
      <x:c r="A694" s="21" t="n">
        <x:v>5000</x:v>
      </x:c>
      <x:c r="B694" s="21" t="n">
        <x:v>0</x:v>
      </x:c>
      <x:c r="C694" s="21" t="n">
        <x:v>17</x:v>
      </x:c>
      <x:c r="D694" s="21" t="n">
        <x:v>2</x:v>
      </x:c>
      <x:c r="E694" s="21" t="str">
        <x:v>5000rpm</x:v>
      </x:c>
      <x:c r="F694" s="21" t="n">
        <x:v>19</x:v>
      </x:c>
      <x:c r="G694" s="22" t="n">
        <x:f>IFERROR('5000rpm'!N19,"")</x:f>
        <x:v>5.141226103228905</x:v>
      </x:c>
      <x:c r="H694" s="22" t="n">
        <x:f>IFERROR('5000rpm'!L19,"")</x:f>
        <x:v>5030.46348353794</x:v>
      </x:c>
      <x:c r="I694" s="22" t="n">
        <x:f>IFERROR('5000rpm'!M19,"")</x:f>
        <x:v>3268.56451612903</x:v>
      </x:c>
      <x:c r="J694" s="22" t="n">
        <x:f>IFERROR('5000rpm'!M3,"")</x:f>
        <x:v>40.5375</x:v>
      </x:c>
      <x:c r="K694" s="22" t="n">
        <x:f>IF(AND(ISNUMBER(I694),ISNUMBER(J694)),I694-J694,"")</x:f>
        <x:v>3228.02701612903</x:v>
      </x:c>
      <x:c r="L694" s="22" t="n">
        <x:f>IF(ISNUMBER(K694),K694*$B$2+$B$3,"")</x:f>
        <x:v>2984.698862885482</x:v>
      </x:c>
      <x:c r="M694" s="22" t="n">
        <x:f>IF(AND(ISNUMBER(G694),ISNUMBER(H694),H694&lt;&gt;0),G694/(H694/60)/$B$5,"")</x:f>
        <x:v>0.13412314601988332</x:v>
      </x:c>
      <x:c r="N694" s="22" t="n">
        <x:f>IF(AND(ISNUMBER(L694),ISNUMBER(H694),H694&lt;&gt;0),L694*$B$6/$B$4/(H694/60)^2/$B$5^4/$B$7,"")</x:f>
        <x:v>0.0790316704038477</x:v>
      </x:c>
      <x:c r="O694" s="22" t="n">
        <x:f>IF(ISNUMBER(N694),N694*$B$8,"")</x:f>
        <x:v>0.010211092451890492</x:v>
      </x:c>
      <x:c r="P694" s="20" t="str">
        <x:v>5000rpm!N19</x:v>
      </x:c>
      <x:c r="Q694" s="20" t="str">
        <x:v>5000rpm!M19</x:v>
      </x:c>
      <x:c r="R694" s="20" t="str">
        <x:v>5000rpm!M3</x:v>
      </x:c>
    </x:row>
    <x:row r="695">
      <x:c r="A695" s="21" t="n">
        <x:v>5000</x:v>
      </x:c>
      <x:c r="B695" s="21" t="n">
        <x:v>0</x:v>
      </x:c>
      <x:c r="C695" s="21" t="n">
        <x:v>18</x:v>
      </x:c>
      <x:c r="D695" s="21" t="n">
        <x:v>1</x:v>
      </x:c>
      <x:c r="E695" s="21" t="str">
        <x:v>5000rpm</x:v>
      </x:c>
      <x:c r="F695" s="21" t="n">
        <x:v>20</x:v>
      </x:c>
      <x:c r="G695" s="22" t="n">
        <x:f>IFERROR('5000rpm'!D20,"")</x:f>
        <x:v>4.20630893266989</x:v>
      </x:c>
      <x:c r="H695" s="22" t="n">
        <x:f>IFERROR('5000rpm'!B20,"")</x:f>
        <x:v>5035.9266399515</x:v>
      </x:c>
      <x:c r="I695" s="22" t="n">
        <x:f>IFERROR('5000rpm'!C20,"")</x:f>
        <x:v>3261.13194444444</x:v>
      </x:c>
      <x:c r="J695" s="22" t="n">
        <x:f>IFERROR('5000rpm'!C3,"")</x:f>
        <x:v>41.1064814814814</x:v>
      </x:c>
      <x:c r="K695" s="22" t="n">
        <x:f>IF(AND(ISNUMBER(I695),ISNUMBER(J695)),I695-J695,"")</x:f>
        <x:v>3220.0254629629585</x:v>
      </x:c>
      <x:c r="L695" s="22" t="n">
        <x:f>IF(ISNUMBER(K695),K695*$B$2+$B$3,"")</x:f>
        <x:v>2977.371776638885</x:v>
      </x:c>
      <x:c r="M695" s="22" t="n">
        <x:f>IF(AND(ISNUMBER(G695),ISNUMBER(H695),H695&lt;&gt;0),G695/(H695/60)/$B$5,"")</x:f>
        <x:v>0.10961419531072718</x:v>
      </x:c>
      <x:c r="N695" s="22" t="n">
        <x:f>IF(AND(ISNUMBER(L695),ISNUMBER(H695),H695&lt;&gt;0),L695*$B$6/$B$4/(H695/60)^2/$B$5^4/$B$7,"")</x:f>
        <x:v>0.07866669777179397</x:v>
      </x:c>
      <x:c r="O695" s="22" t="n">
        <x:f>IF(ISNUMBER(N695),N695*$B$8,"")</x:f>
        <x:v>0.01016393706128231</x:v>
      </x:c>
      <x:c r="P695" s="20" t="str">
        <x:v>5000rpm!D20</x:v>
      </x:c>
      <x:c r="Q695" s="20" t="str">
        <x:v>5000rpm!C20</x:v>
      </x:c>
      <x:c r="R695" s="20" t="str">
        <x:v>5000rpm!C3</x:v>
      </x:c>
    </x:row>
    <x:row r="696">
      <x:c r="A696" s="21" t="n">
        <x:v>5000</x:v>
      </x:c>
      <x:c r="B696" s="21" t="n">
        <x:v>0</x:v>
      </x:c>
      <x:c r="C696" s="21" t="n">
        <x:v>18</x:v>
      </x:c>
      <x:c r="D696" s="21" t="n">
        <x:v>2</x:v>
      </x:c>
      <x:c r="E696" s="21" t="str">
        <x:v>5000rpm</x:v>
      </x:c>
      <x:c r="F696" s="21" t="n">
        <x:v>20</x:v>
      </x:c>
      <x:c r="G696" s="22" t="n">
        <x:f>IFERROR('5000rpm'!N20,"")</x:f>
        <x:v>4.10849711894988</x:v>
      </x:c>
      <x:c r="H696" s="22" t="n">
        <x:f>IFERROR('5000rpm'!L20,"")</x:f>
        <x:v>5020.7794921875</x:v>
      </x:c>
      <x:c r="I696" s="22" t="n">
        <x:f>IFERROR('5000rpm'!M20,"")</x:f>
        <x:v>3232.033203125</x:v>
      </x:c>
      <x:c r="J696" s="22" t="n">
        <x:f>IFERROR('5000rpm'!M3,"")</x:f>
        <x:v>40.5375</x:v>
      </x:c>
      <x:c r="K696" s="22" t="n">
        <x:f>IF(AND(ISNUMBER(I696),ISNUMBER(J696)),I696-J696,"")</x:f>
        <x:v>3191.495703125</x:v>
      </x:c>
      <x:c r="L696" s="22" t="n">
        <x:f>IF(ISNUMBER(K696),K696*$B$2+$B$3,"")</x:f>
        <x:v>2951.2468473171875</x:v>
      </x:c>
      <x:c r="M696" s="22" t="n">
        <x:f>IF(AND(ISNUMBER(G696),ISNUMBER(H696),H696&lt;&gt;0),G696/(H696/60)/$B$5,"")</x:f>
        <x:v>0.10738827528571224</x:v>
      </x:c>
      <x:c r="N696" s="22" t="n">
        <x:f>IF(AND(ISNUMBER(L696),ISNUMBER(H696),H696&lt;&gt;0),L696*$B$6/$B$4/(H696/60)^2/$B$5^4/$B$7,"")</x:f>
        <x:v>0.07844763998267922</x:v>
      </x:c>
      <x:c r="O696" s="22" t="n">
        <x:f>IF(ISNUMBER(N696),N696*$B$8,"")</x:f>
        <x:v>0.010135634238812186</x:v>
      </x:c>
      <x:c r="P696" s="20" t="str">
        <x:v>5000rpm!N20</x:v>
      </x:c>
      <x:c r="Q696" s="20" t="str">
        <x:v>5000rpm!M20</x:v>
      </x:c>
      <x:c r="R696" s="20" t="str">
        <x:v>5000rpm!M3</x:v>
      </x:c>
    </x:row>
    <x:row r="697">
      <x:c r="A697" s="21" t="n">
        <x:v>5000</x:v>
      </x:c>
      <x:c r="B697" s="21" t="n">
        <x:v>0</x:v>
      </x:c>
      <x:c r="C697" s="21" t="n">
        <x:v>19</x:v>
      </x:c>
      <x:c r="D697" s="21" t="n">
        <x:v>1</x:v>
      </x:c>
      <x:c r="E697" s="21" t="str">
        <x:v>5000rpm</x:v>
      </x:c>
      <x:c r="F697" s="21" t="n">
        <x:v>21</x:v>
      </x:c>
      <x:c r="G697" s="22" t="n">
        <x:f>IFERROR('5000rpm'!D21,"")</x:f>
        <x:v>3.07633610764431</x:v>
      </x:c>
      <x:c r="H697" s="22" t="n">
        <x:f>IFERROR('5000rpm'!B21,"")</x:f>
        <x:v>5019.24731445312</x:v>
      </x:c>
      <x:c r="I697" s="22" t="n">
        <x:f>IFERROR('5000rpm'!C21,"")</x:f>
        <x:v>3227.13725490196</x:v>
      </x:c>
      <x:c r="J697" s="22" t="n">
        <x:f>IFERROR('5000rpm'!C3,"")</x:f>
        <x:v>41.1064814814814</x:v>
      </x:c>
      <x:c r="K697" s="22" t="n">
        <x:f>IF(AND(ISNUMBER(I697),ISNUMBER(J697)),I697-J697,"")</x:f>
        <x:v>3186.030773420479</x:v>
      </x:c>
      <x:c r="L697" s="22" t="n">
        <x:f>IF(ISNUMBER(K697),K697*$B$2+$B$3,"")</x:f>
        <x:v>2946.24256746732</x:v>
      </x:c>
      <x:c r="M697" s="22" t="n">
        <x:f>IF(AND(ISNUMBER(G697),ISNUMBER(H697),H697&lt;&gt;0),G697/(H697/60)/$B$5,"")</x:f>
        <x:v>0.08043410176952821</x:v>
      </x:c>
      <x:c r="N697" s="22" t="n">
        <x:f>IF(AND(ISNUMBER(L697),ISNUMBER(H697),H697&lt;&gt;0),L697*$B$6/$B$4/(H697/60)^2/$B$5^4/$B$7,"")</x:f>
        <x:v>0.07836244030295708</x:v>
      </x:c>
      <x:c r="O697" s="22" t="n">
        <x:f>IF(ISNUMBER(N697),N697*$B$8,"")</x:f>
        <x:v>0.010124626223897802</x:v>
      </x:c>
      <x:c r="P697" s="20" t="str">
        <x:v>5000rpm!D21</x:v>
      </x:c>
      <x:c r="Q697" s="20" t="str">
        <x:v>5000rpm!C21</x:v>
      </x:c>
      <x:c r="R697" s="20" t="str">
        <x:v>5000rpm!C3</x:v>
      </x:c>
    </x:row>
    <x:row r="698">
      <x:c r="A698" s="21" t="n">
        <x:v>5000</x:v>
      </x:c>
      <x:c r="B698" s="21" t="n">
        <x:v>0</x:v>
      </x:c>
      <x:c r="C698" s="21" t="n">
        <x:v>19</x:v>
      </x:c>
      <x:c r="D698" s="21" t="n">
        <x:v>2</x:v>
      </x:c>
      <x:c r="E698" s="21" t="str">
        <x:v>5000rpm</x:v>
      </x:c>
      <x:c r="F698" s="21" t="n">
        <x:v>21</x:v>
      </x:c>
      <x:c r="G698" s="22" t="n">
        <x:f>IFERROR('5000rpm'!N21,"")</x:f>
        <x:v>3.075257247637125</x:v>
      </x:c>
      <x:c r="H698" s="22" t="n">
        <x:f>IFERROR('5000rpm'!L21,"")</x:f>
        <x:v>4997.59501139322</x:v>
      </x:c>
      <x:c r="I698" s="22" t="n">
        <x:f>IFERROR('5000rpm'!M21,"")</x:f>
        <x:v>3194.48148148148</x:v>
      </x:c>
      <x:c r="J698" s="22" t="n">
        <x:f>IFERROR('5000rpm'!M3,"")</x:f>
        <x:v>40.5375</x:v>
      </x:c>
      <x:c r="K698" s="22" t="n">
        <x:f>IF(AND(ISNUMBER(I698),ISNUMBER(J698)),I698-J698,"")</x:f>
        <x:v>3153.94398148148</x:v>
      </x:c>
      <x:c r="L698" s="22" t="n">
        <x:f>IF(ISNUMBER(K698),K698*$B$2+$B$3,"")</x:f>
        <x:v>2916.860435394443</x:v>
      </x:c>
      <x:c r="M698" s="22" t="n">
        <x:f>IF(AND(ISNUMBER(G698),ISNUMBER(H698),H698&lt;&gt;0),G698/(H698/60)/$B$5,"")</x:f>
        <x:v>0.08075425593690451</x:v>
      </x:c>
      <x:c r="N698" s="22" t="n">
        <x:f>IF(AND(ISNUMBER(L698),ISNUMBER(H698),H698&lt;&gt;0),L698*$B$6/$B$4/(H698/60)^2/$B$5^4/$B$7,"")</x:f>
        <x:v>0.0782546536280203</x:v>
      </x:c>
      <x:c r="O698" s="22" t="n">
        <x:f>IF(ISNUMBER(N698),N698*$B$8,"")</x:f>
        <x:v>0.01011069991186065</x:v>
      </x:c>
      <x:c r="P698" s="20" t="str">
        <x:v>5000rpm!N21</x:v>
      </x:c>
      <x:c r="Q698" s="20" t="str">
        <x:v>5000rpm!M21</x:v>
      </x:c>
      <x:c r="R698" s="20" t="str">
        <x:v>5000rpm!M3</x:v>
      </x:c>
    </x:row>
    <x:row r="699">
      <x:c r="A699" s="21" t="n">
        <x:v>5000</x:v>
      </x:c>
      <x:c r="B699" s="21" t="n">
        <x:v>0</x:v>
      </x:c>
      <x:c r="C699" s="21" t="n">
        <x:v>20</x:v>
      </x:c>
      <x:c r="D699" s="21" t="n">
        <x:v>1</x:v>
      </x:c>
      <x:c r="E699" s="21" t="str">
        <x:v>5000rpm</x:v>
      </x:c>
      <x:c r="F699" s="21" t="n">
        <x:v>22</x:v>
      </x:c>
      <x:c r="G699" s="22" t="n">
        <x:f>IFERROR('5000rpm'!D22,"")</x:f>
        <x:v>2.05327967604</x:v>
      </x:c>
      <x:c r="H699" s="22" t="n">
        <x:f>IFERROR('5000rpm'!B22,"")</x:f>
        <x:v>4988.74873408564</x:v>
      </x:c>
      <x:c r="I699" s="22" t="n">
        <x:f>IFERROR('5000rpm'!C22,"")</x:f>
        <x:v>3193.63450834879</x:v>
      </x:c>
      <x:c r="J699" s="22" t="n">
        <x:f>IFERROR('5000rpm'!C3,"")</x:f>
        <x:v>41.1064814814814</x:v>
      </x:c>
      <x:c r="K699" s="22" t="n">
        <x:f>IF(AND(ISNUMBER(I699),ISNUMBER(J699)),I699-J699,"")</x:f>
        <x:v>3152.5280268673087</x:v>
      </x:c>
      <x:c r="L699" s="22" t="n">
        <x:f>IF(ISNUMBER(K699),K699*$B$2+$B$3,"")</x:f>
        <x:v>2915.5638344266094</x:v>
      </x:c>
      <x:c r="M699" s="22" t="n">
        <x:f>IF(AND(ISNUMBER(G699),ISNUMBER(H699),H699&lt;&gt;0),G699/(H699/60)/$B$5,"")</x:f>
        <x:v>0.054013398836823524</x:v>
      </x:c>
      <x:c r="N699" s="22" t="n">
        <x:f>IF(AND(ISNUMBER(L699),ISNUMBER(H699),H699&lt;&gt;0),L699*$B$6/$B$4/(H699/60)^2/$B$5^4/$B$7,"")</x:f>
        <x:v>0.07849751996411147</x:v>
      </x:c>
      <x:c r="O699" s="22" t="n">
        <x:f>IF(ISNUMBER(N699),N699*$B$8,"")</x:f>
        <x:v>0.010142078859042288</x:v>
      </x:c>
      <x:c r="P699" s="20" t="str">
        <x:v>5000rpm!D22</x:v>
      </x:c>
      <x:c r="Q699" s="20" t="str">
        <x:v>5000rpm!C22</x:v>
      </x:c>
      <x:c r="R699" s="20" t="str">
        <x:v>5000rpm!C3</x:v>
      </x:c>
    </x:row>
    <x:row r="700">
      <x:c r="A700" s="21" t="n">
        <x:v>5000</x:v>
      </x:c>
      <x:c r="B700" s="21" t="n">
        <x:v>0</x:v>
      </x:c>
      <x:c r="C700" s="21" t="n">
        <x:v>20</x:v>
      </x:c>
      <x:c r="D700" s="21" t="n">
        <x:v>2</x:v>
      </x:c>
      <x:c r="E700" s="21" t="str">
        <x:v>5000rpm</x:v>
      </x:c>
      <x:c r="F700" s="21" t="n">
        <x:v>22</x:v>
      </x:c>
      <x:c r="G700" s="22" t="n">
        <x:f>IFERROR('5000rpm'!N22,"")</x:f>
        <x:v>1.935869490278175</x:v>
      </x:c>
      <x:c r="H700" s="22" t="n">
        <x:f>IFERROR('5000rpm'!L22,"")</x:f>
        <x:v>4985.42094089673</x:v>
      </x:c>
      <x:c r="I700" s="22" t="n">
        <x:f>IFERROR('5000rpm'!M22,"")</x:f>
        <x:v>3152.31827956989</x:v>
      </x:c>
      <x:c r="J700" s="22" t="n">
        <x:f>IFERROR('5000rpm'!M3,"")</x:f>
        <x:v>40.5375</x:v>
      </x:c>
      <x:c r="K700" s="22" t="n">
        <x:f>IF(AND(ISNUMBER(I700),ISNUMBER(J700)),I700-J700,"")</x:f>
        <x:v>3111.78077956989</x:v>
      </x:c>
      <x:c r="L700" s="22" t="n">
        <x:f>IF(ISNUMBER(K700),K700*$B$2+$B$3,"")</x:f>
        <x:v>2878.251254098385</x:v>
      </x:c>
      <x:c r="M700" s="22" t="n">
        <x:f>IF(AND(ISNUMBER(G700),ISNUMBER(H700),H700&lt;&gt;0),G700/(H700/60)/$B$5,"")</x:f>
        <x:v>0.050958809140003725</x:v>
      </x:c>
      <x:c r="N700" s="22" t="n">
        <x:f>IF(AND(ISNUMBER(L700),ISNUMBER(H700),H700&lt;&gt;0),L700*$B$6/$B$4/(H700/60)^2/$B$5^4/$B$7,"")</x:f>
        <x:v>0.07759641875219724</x:v>
      </x:c>
      <x:c r="O700" s="22" t="n">
        <x:f>IF(ISNUMBER(N700),N700*$B$8,"")</x:f>
        <x:v>0.01002565429485999</x:v>
      </x:c>
      <x:c r="P700" s="20" t="str">
        <x:v>5000rpm!N22</x:v>
      </x:c>
      <x:c r="Q700" s="20" t="str">
        <x:v>5000rpm!M22</x:v>
      </x:c>
      <x:c r="R700" s="20" t="str">
        <x:v>5000rpm!M3</x:v>
      </x:c>
    </x:row>
    <x:row r="701">
      <x:c r="A701" s="21" t="n">
        <x:v>5000</x:v>
      </x:c>
      <x:c r="B701" s="21" t="n">
        <x:v>0</x:v>
      </x:c>
      <x:c r="C701" s="21" t="n">
        <x:v>21</x:v>
      </x:c>
      <x:c r="D701" s="21" t="n">
        <x:v>1</x:v>
      </x:c>
      <x:c r="E701" s="21" t="str">
        <x:v>5000rpm</x:v>
      </x:c>
      <x:c r="F701" s="21" t="n">
        <x:v>23</x:v>
      </x:c>
      <x:c r="G701" s="22" t="n">
        <x:f>IFERROR('5000rpm'!D23,"")</x:f>
        <x:v>1.0302324606312645</x:v>
      </x:c>
      <x:c r="H701" s="22" t="n">
        <x:f>IFERROR('5000rpm'!B23,"")</x:f>
        <x:v>4962.47126374421</x:v>
      </x:c>
      <x:c r="I701" s="22" t="n">
        <x:f>IFERROR('5000rpm'!C23,"")</x:f>
        <x:v>3153.17439703153</x:v>
      </x:c>
      <x:c r="J701" s="22" t="n">
        <x:f>IFERROR('5000rpm'!C3,"")</x:f>
        <x:v>41.1064814814814</x:v>
      </x:c>
      <x:c r="K701" s="22" t="n">
        <x:f>IF(AND(ISNUMBER(I701),ISNUMBER(J701)),I701-J701,"")</x:f>
        <x:v>3112.067915550049</x:v>
      </x:c>
      <x:c r="L701" s="22" t="n">
        <x:f>IF(ISNUMBER(K701),K701*$B$2+$B$3,"")</x:f>
        <x:v>2878.5141868125042</x:v>
      </x:c>
      <x:c r="M701" s="22" t="n">
        <x:f>IF(AND(ISNUMBER(G701),ISNUMBER(H701),H701&lt;&gt;0),G701/(H701/60)/$B$5,"")</x:f>
        <x:v>0.02724471400103457</x:v>
      </x:c>
      <x:c r="N701" s="22" t="n">
        <x:f>IF(AND(ISNUMBER(L701),ISNUMBER(H701),H701&lt;&gt;0),L701*$B$6/$B$4/(H701/60)^2/$B$5^4/$B$7,"")</x:f>
        <x:v>0.07832294467230348</x:v>
      </x:c>
      <x:c r="O701" s="22" t="n">
        <x:f>IF(ISNUMBER(N701),N701*$B$8,"")</x:f>
        <x:v>0.010119523288150793</x:v>
      </x:c>
      <x:c r="P701" s="20" t="str">
        <x:v>5000rpm!D23</x:v>
      </x:c>
      <x:c r="Q701" s="20" t="str">
        <x:v>5000rpm!C23</x:v>
      </x:c>
      <x:c r="R701" s="20" t="str">
        <x:v>5000rpm!C3</x:v>
      </x:c>
    </x:row>
    <x:row r="702">
      <x:c r="A702" s="21" t="n">
        <x:v>5000</x:v>
      </x:c>
      <x:c r="B702" s="21" t="n">
        <x:v>0</x:v>
      </x:c>
      <x:c r="C702" s="21" t="n">
        <x:v>21</x:v>
      </x:c>
      <x:c r="D702" s="21" t="n">
        <x:v>2</x:v>
      </x:c>
      <x:c r="E702" s="21" t="str">
        <x:v>5000rpm</x:v>
      </x:c>
      <x:c r="F702" s="21" t="n">
        <x:v>23</x:v>
      </x:c>
      <x:c r="G702" s="22" t="n">
        <x:f>IFERROR('5000rpm'!N23,"")</x:f>
        <x:v>1.031077214933577</x:v>
      </x:c>
      <x:c r="H702" s="22" t="n">
        <x:f>IFERROR('5000rpm'!L23,"")</x:f>
        <x:v>4948.81677246093</x:v>
      </x:c>
      <x:c r="I702" s="22" t="n">
        <x:f>IFERROR('5000rpm'!M23,"")</x:f>
        <x:v>3112.45700636942</x:v>
      </x:c>
      <x:c r="J702" s="22" t="n">
        <x:f>IFERROR('5000rpm'!M3,"")</x:f>
        <x:v>40.5375</x:v>
      </x:c>
      <x:c r="K702" s="22" t="n">
        <x:f>IF(AND(ISNUMBER(I702),ISNUMBER(J702)),I702-J702,"")</x:f>
        <x:v>3071.91950636942</x:v>
      </x:c>
      <x:c r="L702" s="22" t="n">
        <x:f>IF(ISNUMBER(K702),K702*$B$2+$B$3,"")</x:f>
        <x:v>2841.749967338529</x:v>
      </x:c>
      <x:c r="M702" s="22" t="n">
        <x:f>IF(AND(ISNUMBER(G702),ISNUMBER(H702),H702&lt;&gt;0),G702/(H702/60)/$B$5,"")</x:f>
        <x:v>0.027342287396192395</x:v>
      </x:c>
      <x:c r="N702" s="22" t="n">
        <x:f>IF(AND(ISNUMBER(L702),ISNUMBER(H702),H702&lt;&gt;0),L702*$B$6/$B$4/(H702/60)^2/$B$5^4/$B$7,"")</x:f>
        <x:v>0.07774988533382582</x:v>
      </x:c>
      <x:c r="O702" s="22" t="n">
        <x:f>IF(ISNUMBER(N702),N702*$B$8,"")</x:f>
        <x:v>0.010045482566808154</x:v>
      </x:c>
      <x:c r="P702" s="20" t="str">
        <x:v>5000rpm!N23</x:v>
      </x:c>
      <x:c r="Q702" s="20" t="str">
        <x:v>5000rpm!M23</x:v>
      </x:c>
      <x:c r="R702" s="20" t="str">
        <x:v>5000rpm!M3</x:v>
      </x:c>
    </x:row>
    <x:row r="703">
      <x:c r="A703" s="21" t="n">
        <x:v>5000</x:v>
      </x:c>
      <x:c r="B703" s="21" t="n">
        <x:v>0</x:v>
      </x:c>
      <x:c r="C703" s="21" t="n">
        <x:v>22</x:v>
      </x:c>
      <x:c r="D703" s="21" t="n">
        <x:v>1</x:v>
      </x:c>
      <x:c r="E703" s="21" t="str">
        <x:v>5000rpm</x:v>
      </x:c>
      <x:c r="F703" s="21" t="n">
        <x:v>24</x:v>
      </x:c>
      <x:c r="G703" s="22" t="n">
        <x:f>IFERROR('5000rpm'!D24,"")</x:f>
        <x:v>0.00941493658562346</x:v>
      </x:c>
      <x:c r="H703" s="22" t="n">
        <x:f>IFERROR('5000rpm'!B24,"")</x:f>
        <x:v>0</x:v>
      </x:c>
      <x:c r="I703" s="22" t="n">
        <x:f>IFERROR('5000rpm'!C24,"")</x:f>
        <x:v>40.0104529616724</x:v>
      </x:c>
      <x:c r="J703" s="22" t="n">
        <x:f>IFERROR('5000rpm'!C3,"")</x:f>
        <x:v>41.1064814814814</x:v>
      </x:c>
      <x:c r="K703" s="22" t="n">
        <x:f>IF(AND(ISNUMBER(I703),ISNUMBER(J703)),I703-J703,"")</x:f>
        <x:v>-1.0960285198090034</x:v>
      </x:c>
      <x:c r="L703" s="22" t="n">
        <x:f>IF(ISNUMBER(K703),K703*$B$2+$B$3,"")</x:f>
        <x:v>27.765057916182737</x:v>
      </x:c>
      <x:c r="M703" s="22" t="str">
        <x:f>IF(AND(ISNUMBER(G703),ISNUMBER(H703),H703&lt;&gt;0),G703/(H703/60)/$B$5,"")</x:f>
      </x:c>
      <x:c r="N703" s="22" t="str">
        <x:f>IF(AND(ISNUMBER(L703),ISNUMBER(H703),H703&lt;&gt;0),L703*$B$6/$B$4/(H703/60)^2/$B$5^4/$B$7,"")</x:f>
      </x:c>
      <x:c r="O703" s="22" t="str">
        <x:f>IF(ISNUMBER(N703),N703*$B$8,"")</x:f>
      </x:c>
      <x:c r="P703" s="20" t="str">
        <x:v>5000rpm!D24</x:v>
      </x:c>
      <x:c r="Q703" s="20" t="str">
        <x:v>5000rpm!C24</x:v>
      </x:c>
      <x:c r="R703" s="20" t="str">
        <x:v>5000rpm!C3</x:v>
      </x:c>
    </x:row>
    <x:row r="704">
      <x:c r="A704" s="21" t="n">
        <x:v>5000</x:v>
      </x:c>
      <x:c r="B704" s="21" t="n">
        <x:v>0</x:v>
      </x:c>
      <x:c r="C704" s="21" t="n">
        <x:v>22</x:v>
      </x:c>
      <x:c r="D704" s="21" t="n">
        <x:v>2</x:v>
      </x:c>
      <x:c r="E704" s="21" t="str">
        <x:v>5000rpm</x:v>
      </x:c>
      <x:c r="F704" s="21" t="n">
        <x:v>24</x:v>
      </x:c>
      <x:c r="G704" s="22" t="n">
        <x:f>IFERROR('5000rpm'!N24,"")</x:f>
        <x:v>0.02276357299648215</x:v>
      </x:c>
      <x:c r="H704" s="22" t="n">
        <x:f>IFERROR('5000rpm'!L24,"")</x:f>
        <x:v>4939.55873325892</x:v>
      </x:c>
      <x:c r="I704" s="22" t="n">
        <x:f>IFERROR('5000rpm'!M24,"")</x:f>
        <x:v>3084.69666666666</x:v>
      </x:c>
      <x:c r="J704" s="22" t="n">
        <x:f>IFERROR('5000rpm'!M3,"")</x:f>
        <x:v>40.5375</x:v>
      </x:c>
      <x:c r="K704" s="22" t="n">
        <x:f>IF(AND(ISNUMBER(I704),ISNUMBER(J704)),I704-J704,"")</x:f>
        <x:v>3044.15916666666</x:v>
      </x:c>
      <x:c r="L704" s="22" t="n">
        <x:f>IF(ISNUMBER(K704),K704*$B$2+$B$3,"")</x:f>
        <x:v>2816.3296021899937</x:v>
      </x:c>
      <x:c r="M704" s="22" t="n">
        <x:f>IF(AND(ISNUMBER(G704),ISNUMBER(H704),H704&lt;&gt;0),G704/(H704/60)/$B$5,"")</x:f>
        <x:v>0.0006047798394382394</x:v>
      </x:c>
      <x:c r="N704" s="22" t="n">
        <x:f>IF(AND(ISNUMBER(L704),ISNUMBER(H704),H704&lt;&gt;0),L704*$B$6/$B$4/(H704/60)^2/$B$5^4/$B$7,"")</x:f>
        <x:v>0.07734349894257724</x:v>
      </x:c>
      <x:c r="O704" s="22" t="n">
        <x:f>IF(ISNUMBER(N704),N704*$B$8,"")</x:f>
        <x:v>0.00999297641337593</x:v>
      </x:c>
      <x:c r="P704" s="20" t="str">
        <x:v>5000rpm!N24</x:v>
      </x:c>
      <x:c r="Q704" s="20" t="str">
        <x:v>5000rpm!M24</x:v>
      </x:c>
      <x:c r="R704" s="20" t="str">
        <x:v>5000rpm!M3</x:v>
      </x:c>
    </x:row>
    <x:row r="705">
      <x:c r="A705" s="21" t="n">
        <x:v>5000</x:v>
      </x:c>
      <x:c r="B705" s="21" t="n">
        <x:v>0</x:v>
      </x:c>
      <x:c r="C705" s="21" t="n">
        <x:v>23</x:v>
      </x:c>
      <x:c r="D705" s="21" t="n">
        <x:v>1</x:v>
      </x:c>
      <x:c r="E705" s="21" t="str">
        <x:v>5000rpm</x:v>
      </x:c>
      <x:c r="F705" s="21" t="n">
        <x:v>25</x:v>
      </x:c>
      <x:c r="G705" s="22" t="str">
        <x:f>IFERROR('5000rpm'!D25,"")</x:f>
      </x:c>
      <x:c r="H705" s="22" t="str">
        <x:f>IFERROR('5000rpm'!B25,"")</x:f>
      </x:c>
      <x:c r="I705" s="22" t="str">
        <x:f>IFERROR('5000rpm'!C25,"")</x:f>
      </x:c>
      <x:c r="J705" s="22" t="n">
        <x:f>IFERROR('5000rpm'!C3,"")</x:f>
        <x:v>41.1064814814814</x:v>
      </x:c>
      <x:c r="K705" s="22" t="str">
        <x:f>IF(AND(ISNUMBER(I705),ISNUMBER(J705)),I705-J705,"")</x:f>
      </x:c>
      <x:c r="L705" s="22" t="str">
        <x:f>IF(ISNUMBER(K705),K705*$B$2+$B$3,"")</x:f>
      </x:c>
      <x:c r="M705" s="22" t="str">
        <x:f>IF(AND(ISNUMBER(G705),ISNUMBER(H705),H705&lt;&gt;0),G705/(H705/60)/$B$5,"")</x:f>
      </x:c>
      <x:c r="N705" s="22" t="str">
        <x:f>IF(AND(ISNUMBER(L705),ISNUMBER(H705),H705&lt;&gt;0),L705*$B$6/$B$4/(H705/60)^2/$B$5^4/$B$7,"")</x:f>
      </x:c>
      <x:c r="O705" s="22" t="str">
        <x:f>IF(ISNUMBER(N705),N705*$B$8,"")</x:f>
      </x:c>
      <x:c r="P705" s="20" t="str">
        <x:v>5000rpm!D25</x:v>
      </x:c>
      <x:c r="Q705" s="20" t="str">
        <x:v>5000rpm!C25</x:v>
      </x:c>
      <x:c r="R705" s="20" t="str">
        <x:v>5000rpm!C3</x:v>
      </x:c>
    </x:row>
    <x:row r="706">
      <x:c r="A706" s="21" t="n">
        <x:v>5000</x:v>
      </x:c>
      <x:c r="B706" s="21" t="n">
        <x:v>0</x:v>
      </x:c>
      <x:c r="C706" s="21" t="n">
        <x:v>23</x:v>
      </x:c>
      <x:c r="D706" s="21" t="n">
        <x:v>2</x:v>
      </x:c>
      <x:c r="E706" s="21" t="str">
        <x:v>5000rpm</x:v>
      </x:c>
      <x:c r="F706" s="21" t="n">
        <x:v>25</x:v>
      </x:c>
      <x:c r="G706" s="22" t="n">
        <x:f>IFERROR('5000rpm'!N25,"")</x:f>
        <x:v>0.008092504245915299</x:v>
      </x:c>
      <x:c r="H706" s="22" t="n">
        <x:f>IFERROR('5000rpm'!L25,"")</x:f>
        <x:v>0</x:v>
      </x:c>
      <x:c r="I706" s="22" t="n">
        <x:f>IFERROR('5000rpm'!M25,"")</x:f>
        <x:v>38.8464912280701</x:v>
      </x:c>
      <x:c r="J706" s="22" t="n">
        <x:f>IFERROR('5000rpm'!M3,"")</x:f>
        <x:v>40.5375</x:v>
      </x:c>
      <x:c r="K706" s="22" t="n">
        <x:f>IF(AND(ISNUMBER(I706),ISNUMBER(J706)),I706-J706,"")</x:f>
        <x:v>-1.6910087719299014</x:v>
      </x:c>
      <x:c r="L706" s="22" t="n">
        <x:f>IF(ISNUMBER(K706),K706*$B$2+$B$3,"")</x:f>
        <x:v>27.220229739473613</x:v>
      </x:c>
      <x:c r="M706" s="22" t="str">
        <x:f>IF(AND(ISNUMBER(G706),ISNUMBER(H706),H706&lt;&gt;0),G706/(H706/60)/$B$5,"")</x:f>
      </x:c>
      <x:c r="N706" s="22" t="str">
        <x:f>IF(AND(ISNUMBER(L706),ISNUMBER(H706),H706&lt;&gt;0),L706*$B$6/$B$4/(H706/60)^2/$B$5^4/$B$7,"")</x:f>
      </x:c>
      <x:c r="O706" s="22" t="str">
        <x:f>IF(ISNUMBER(N706),N706*$B$8,"")</x:f>
      </x:c>
      <x:c r="P706" s="20" t="str">
        <x:v>5000rpm!N25</x:v>
      </x:c>
      <x:c r="Q706" s="20" t="str">
        <x:v>5000rpm!M25</x:v>
      </x:c>
      <x:c r="R706" s="20" t="str">
        <x:v>5000rpm!M3</x:v>
      </x:c>
    </x:row>
    <x:row r="707">
      <x:c r="A707" s="21" t="n">
        <x:v>5000</x:v>
      </x:c>
      <x:c r="B707" s="21" t="n">
        <x:v>0</x:v>
      </x:c>
      <x:c r="C707" s="21" t="n">
        <x:v>24</x:v>
      </x:c>
      <x:c r="D707" s="21" t="n">
        <x:v>1</x:v>
      </x:c>
      <x:c r="E707" s="21" t="str">
        <x:v>5000rpm</x:v>
      </x:c>
      <x:c r="F707" s="21" t="n">
        <x:v>27</x:v>
      </x:c>
      <x:c r="G707" s="22" t="str">
        <x:f>IFERROR('5000rpm'!D27,"")</x:f>
      </x:c>
      <x:c r="H707" s="22" t="n">
        <x:f>IFERROR('5000rpm'!B27,"")</x:f>
        <x:v>0.9659258262890683</x:v>
      </x:c>
      <x:c r="I707" s="22" t="str">
        <x:f>IFERROR('5000rpm'!C27,"")</x:f>
      </x:c>
      <x:c r="J707" s="22" t="n">
        <x:f>IFERROR('5000rpm'!C3,"")</x:f>
        <x:v>41.1064814814814</x:v>
      </x:c>
      <x:c r="K707" s="22" t="str">
        <x:f>IF(AND(ISNUMBER(I707),ISNUMBER(J707)),I707-J707,"")</x:f>
      </x:c>
      <x:c r="L707" s="22" t="str">
        <x:f>IF(ISNUMBER(K707),K707*$B$2+$B$3,"")</x:f>
      </x:c>
      <x:c r="M707" s="22" t="str">
        <x:f>IF(AND(ISNUMBER(G707),ISNUMBER(H707),H707&lt;&gt;0),G707/(H707/60)/$B$5,"")</x:f>
      </x:c>
      <x:c r="N707" s="22" t="str">
        <x:f>IF(AND(ISNUMBER(L707),ISNUMBER(H707),H707&lt;&gt;0),L707*$B$6/$B$4/(H707/60)^2/$B$5^4/$B$7,"")</x:f>
      </x:c>
      <x:c r="O707" s="22" t="str">
        <x:f>IF(ISNUMBER(N707),N707*$B$8,"")</x:f>
      </x:c>
      <x:c r="P707" s="20" t="str">
        <x:v>5000rpm!D27</x:v>
      </x:c>
      <x:c r="Q707" s="20" t="str">
        <x:v>5000rpm!C27</x:v>
      </x:c>
      <x:c r="R707" s="20" t="str">
        <x:v>5000rpm!C3</x:v>
      </x:c>
    </x:row>
    <x:row r="708">
      <x:c r="A708" s="21" t="n">
        <x:v>5000</x:v>
      </x:c>
      <x:c r="B708" s="21" t="n">
        <x:v>0</x:v>
      </x:c>
      <x:c r="C708" s="21" t="n">
        <x:v>24</x:v>
      </x:c>
      <x:c r="D708" s="21" t="n">
        <x:v>2</x:v>
      </x:c>
      <x:c r="E708" s="21" t="str">
        <x:v>5000rpm</x:v>
      </x:c>
      <x:c r="F708" s="21" t="n">
        <x:v>27</x:v>
      </x:c>
      <x:c r="G708" s="22" t="str">
        <x:f>IFERROR('5000rpm'!N27,"")</x:f>
      </x:c>
      <x:c r="H708" s="22" t="str">
        <x:f>IFERROR('5000rpm'!L27,"")</x:f>
      </x:c>
      <x:c r="I708" s="22" t="str">
        <x:f>IFERROR('5000rpm'!M27,"")</x:f>
      </x:c>
      <x:c r="J708" s="22" t="n">
        <x:f>IFERROR('5000rpm'!M3,"")</x:f>
        <x:v>40.5375</x:v>
      </x:c>
      <x:c r="K708" s="22" t="str">
        <x:f>IF(AND(ISNUMBER(I708),ISNUMBER(J708)),I708-J708,"")</x:f>
      </x:c>
      <x:c r="L708" s="22" t="str">
        <x:f>IF(ISNUMBER(K708),K708*$B$2+$B$3,"")</x:f>
      </x:c>
      <x:c r="M708" s="22" t="str">
        <x:f>IF(AND(ISNUMBER(G708),ISNUMBER(H708),H708&lt;&gt;0),G708/(H708/60)/$B$5,"")</x:f>
      </x:c>
      <x:c r="N708" s="22" t="str">
        <x:f>IF(AND(ISNUMBER(L708),ISNUMBER(H708),H708&lt;&gt;0),L708*$B$6/$B$4/(H708/60)^2/$B$5^4/$B$7,"")</x:f>
      </x:c>
      <x:c r="O708" s="22" t="str">
        <x:f>IF(ISNUMBER(N708),N708*$B$8,"")</x:f>
      </x:c>
      <x:c r="P708" s="20" t="str">
        <x:v>5000rpm!N27</x:v>
      </x:c>
      <x:c r="Q708" s="20" t="str">
        <x:v>5000rpm!M27</x:v>
      </x:c>
      <x:c r="R708" s="20" t="str">
        <x:v>5000rpm!M3</x:v>
      </x:c>
    </x:row>
    <x:row r="709">
      <x:c r="A709" s="21" t="n">
        <x:v>5000</x:v>
      </x:c>
      <x:c r="B709" s="21" t="n">
        <x:v>15</x:v>
      </x:c>
      <x:c r="C709" s="21" t="n">
        <x:v>1</x:v>
      </x:c>
      <x:c r="D709" s="21" t="n">
        <x:v>1</x:v>
      </x:c>
      <x:c r="E709" s="21" t="str">
        <x:v>5000rpm</x:v>
      </x:c>
      <x:c r="F709" s="21" t="n">
        <x:v>30</x:v>
      </x:c>
      <x:c r="G709" s="22" t="n">
        <x:f>IFERROR('5000rpm'!E30,"")</x:f>
        <x:v>0.019610233921454032</x:v>
      </x:c>
      <x:c r="H709" s="22" t="n">
        <x:f>IFERROR('5000rpm'!C30,"")</x:f>
        <x:v>0</x:v>
      </x:c>
      <x:c r="I709" s="22" t="n">
        <x:f>IFERROR('5000rpm'!D30,"")</x:f>
        <x:v>53.9550922213311</x:v>
      </x:c>
      <x:c r="J709" s="22" t="n">
        <x:f>IFERROR('5000rpm'!D30,"")</x:f>
        <x:v>53.9550922213311</x:v>
      </x:c>
      <x:c r="K709" s="22" t="n">
        <x:f>IF(AND(ISNUMBER(I709),ISNUMBER(J709)),I709-J709,"")</x:f>
        <x:v>0</x:v>
      </x:c>
      <x:c r="L709" s="22" t="n">
        <x:f>IF(ISNUMBER(K709),K709*$B$2+$B$3,"")</x:f>
        <x:v>28.7687</x:v>
      </x:c>
      <x:c r="M709" s="22" t="str">
        <x:f>IF(AND(ISNUMBER(G709),ISNUMBER(H709),H709&lt;&gt;0),G709/(H709/60)/$B$5,"")</x:f>
      </x:c>
      <x:c r="N709" s="22" t="str">
        <x:f>IF(AND(ISNUMBER(L709),ISNUMBER(H709),H709&lt;&gt;0),L709*$B$6/$B$4/(H709/60)^2/$B$5^4/$B$7,"")</x:f>
      </x:c>
      <x:c r="O709" s="22" t="str">
        <x:f>IF(ISNUMBER(N709),N709*$B$8,"")</x:f>
      </x:c>
      <x:c r="P709" s="20" t="str">
        <x:v>5000rpm!E30</x:v>
      </x:c>
      <x:c r="Q709" s="20" t="str">
        <x:v>5000rpm!D30</x:v>
      </x:c>
      <x:c r="R709" s="20" t="str">
        <x:v>5000rpm!D30</x:v>
      </x:c>
    </x:row>
    <x:row r="710">
      <x:c r="A710" s="21" t="n">
        <x:v>5000</x:v>
      </x:c>
      <x:c r="B710" s="21" t="n">
        <x:v>15</x:v>
      </x:c>
      <x:c r="C710" s="21" t="n">
        <x:v>1</x:v>
      </x:c>
      <x:c r="D710" s="21" t="n">
        <x:v>2</x:v>
      </x:c>
      <x:c r="E710" s="21" t="str">
        <x:v>5000rpm</x:v>
      </x:c>
      <x:c r="F710" s="21" t="n">
        <x:v>30</x:v>
      </x:c>
      <x:c r="G710" s="22" t="n">
        <x:f>IFERROR('5000rpm'!P30,"")</x:f>
        <x:v>0.01387106990930997</x:v>
      </x:c>
      <x:c r="H710" s="22" t="n">
        <x:f>IFERROR('5000rpm'!N30,"")</x:f>
        <x:v>0</x:v>
      </x:c>
      <x:c r="I710" s="22" t="n">
        <x:f>IFERROR('5000rpm'!O30,"")</x:f>
        <x:v>111.314410480349</x:v>
      </x:c>
      <x:c r="J710" s="22" t="n">
        <x:f>IFERROR('5000rpm'!O30,"")</x:f>
        <x:v>111.314410480349</x:v>
      </x:c>
      <x:c r="K710" s="22" t="n">
        <x:f>IF(AND(ISNUMBER(I710),ISNUMBER(J710)),I710-J710,"")</x:f>
        <x:v>0</x:v>
      </x:c>
      <x:c r="L710" s="22" t="n">
        <x:f>IF(ISNUMBER(K710),K710*$B$2+$B$3,"")</x:f>
        <x:v>28.7687</x:v>
      </x:c>
      <x:c r="M710" s="22" t="str">
        <x:f>IF(AND(ISNUMBER(G710),ISNUMBER(H710),H710&lt;&gt;0),G710/(H710/60)/$B$5,"")</x:f>
      </x:c>
      <x:c r="N710" s="22" t="str">
        <x:f>IF(AND(ISNUMBER(L710),ISNUMBER(H710),H710&lt;&gt;0),L710*$B$6/$B$4/(H710/60)^2/$B$5^4/$B$7,"")</x:f>
      </x:c>
      <x:c r="O710" s="22" t="str">
        <x:f>IF(ISNUMBER(N710),N710*$B$8,"")</x:f>
      </x:c>
      <x:c r="P710" s="20" t="str">
        <x:v>5000rpm!P30</x:v>
      </x:c>
      <x:c r="Q710" s="20" t="str">
        <x:v>5000rpm!O30</x:v>
      </x:c>
      <x:c r="R710" s="20" t="str">
        <x:v>5000rpm!O30</x:v>
      </x:c>
    </x:row>
    <x:row r="711">
      <x:c r="A711" s="21" t="n">
        <x:v>5000</x:v>
      </x:c>
      <x:c r="B711" s="21" t="n">
        <x:v>15</x:v>
      </x:c>
      <x:c r="C711" s="21" t="n">
        <x:v>2</x:v>
      </x:c>
      <x:c r="D711" s="21" t="n">
        <x:v>1</x:v>
      </x:c>
      <x:c r="E711" s="21" t="str">
        <x:v>5000rpm</x:v>
      </x:c>
      <x:c r="F711" s="21" t="n">
        <x:v>31</x:v>
      </x:c>
      <x:c r="G711" s="22" t="n">
        <x:f>IFERROR('5000rpm'!E31,"")</x:f>
        <x:v>0.08488426790774796</x:v>
      </x:c>
      <x:c r="H711" s="22" t="n">
        <x:f>IFERROR('5000rpm'!C31,"")</x:f>
        <x:v>5017.61451981707</x:v>
      </x:c>
      <x:c r="I711" s="22" t="n">
        <x:f>IFERROR('5000rpm'!D31,"")</x:f>
        <x:v>3245.3390036452</x:v>
      </x:c>
      <x:c r="J711" s="22" t="n">
        <x:f>IFERROR('5000rpm'!D30,"")</x:f>
        <x:v>53.9550922213311</x:v>
      </x:c>
      <x:c r="K711" s="22" t="n">
        <x:f>IF(AND(ISNUMBER(I711),ISNUMBER(J711)),I711-J711,"")</x:f>
        <x:v>3191.383911423869</x:v>
      </x:c>
      <x:c r="L711" s="22" t="n">
        <x:f>IF(ISNUMBER(K711),K711*$B$2+$B$3,"")</x:f>
        <x:v>2951.144478762128</x:v>
      </x:c>
      <x:c r="M711" s="22" t="n">
        <x:f>IF(AND(ISNUMBER(G711),ISNUMBER(H711),H711&lt;&gt;0),G711/(H711/60)/$B$5,"")</x:f>
        <x:v>0.0022201122984702682</x:v>
      </x:c>
      <x:c r="N711" s="22" t="n">
        <x:f>IF(AND(ISNUMBER(L711),ISNUMBER(H711),H711&lt;&gt;0),L711*$B$6/$B$4/(H711/60)^2/$B$5^4/$B$7,"")</x:f>
        <x:v>0.07854391188386814</x:v>
      </x:c>
      <x:c r="O711" s="22" t="n">
        <x:f>IF(ISNUMBER(N711),N711*$B$8,"")</x:f>
        <x:v>0.010148072812848848</x:v>
      </x:c>
      <x:c r="P711" s="20" t="str">
        <x:v>5000rpm!E31</x:v>
      </x:c>
      <x:c r="Q711" s="20" t="str">
        <x:v>5000rpm!D31</x:v>
      </x:c>
      <x:c r="R711" s="20" t="str">
        <x:v>5000rpm!D30</x:v>
      </x:c>
    </x:row>
    <x:row r="712">
      <x:c r="A712" s="21" t="n">
        <x:v>5000</x:v>
      </x:c>
      <x:c r="B712" s="21" t="n">
        <x:v>15</x:v>
      </x:c>
      <x:c r="C712" s="21" t="n">
        <x:v>2</x:v>
      </x:c>
      <x:c r="D712" s="21" t="n">
        <x:v>2</x:v>
      </x:c>
      <x:c r="E712" s="21" t="str">
        <x:v>5000rpm</x:v>
      </x:c>
      <x:c r="F712" s="21" t="n">
        <x:v>31</x:v>
      </x:c>
      <x:c r="G712" s="22" t="n">
        <x:f>IFERROR('5000rpm'!P31,"")</x:f>
        <x:v>0.11106981673740032</x:v>
      </x:c>
      <x:c r="H712" s="22" t="n">
        <x:f>IFERROR('5000rpm'!N31,"")</x:f>
        <x:v>5038.1015148628</x:v>
      </x:c>
      <x:c r="I712" s="22" t="n">
        <x:f>IFERROR('5000rpm'!O31,"")</x:f>
        <x:v>3167.50490196078</x:v>
      </x:c>
      <x:c r="J712" s="22" t="n">
        <x:f>IFERROR('5000rpm'!O30,"")</x:f>
        <x:v>111.314410480349</x:v>
      </x:c>
      <x:c r="K712" s="22" t="n">
        <x:f>IF(AND(ISNUMBER(I712),ISNUMBER(J712)),I712-J712,"")</x:f>
        <x:v>3056.190491480431</x:v>
      </x:c>
      <x:c r="L712" s="22" t="n">
        <x:f>IF(ISNUMBER(K712),K712*$B$2+$B$3,"")</x:f>
        <x:v>2827.3467825725625</x:v>
      </x:c>
      <x:c r="M712" s="22" t="n">
        <x:f>IF(AND(ISNUMBER(G712),ISNUMBER(H712),H712&lt;&gt;0),G712/(H712/60)/$B$5,"")</x:f>
        <x:v>0.002893171444115158</x:v>
      </x:c>
      <x:c r="N712" s="22" t="n">
        <x:f>IF(AND(ISNUMBER(L712),ISNUMBER(H712),H712&lt;&gt;0),L712*$B$6/$B$4/(H712/60)^2/$B$5^4/$B$7,"")</x:f>
        <x:v>0.07463832659122689</x:v>
      </x:c>
      <x:c r="O712" s="22" t="n">
        <x:f>IF(ISNUMBER(N712),N712*$B$8,"")</x:f>
        <x:v>0.009643461278028474</x:v>
      </x:c>
      <x:c r="P712" s="20" t="str">
        <x:v>5000rpm!P31</x:v>
      </x:c>
      <x:c r="Q712" s="20" t="str">
        <x:v>5000rpm!O31</x:v>
      </x:c>
      <x:c r="R712" s="20" t="str">
        <x:v>5000rpm!O30</x:v>
      </x:c>
    </x:row>
    <x:row r="713">
      <x:c r="A713" s="21" t="n">
        <x:v>5000</x:v>
      </x:c>
      <x:c r="B713" s="21" t="n">
        <x:v>15</x:v>
      </x:c>
      <x:c r="C713" s="21" t="n">
        <x:v>3</x:v>
      </x:c>
      <x:c r="D713" s="21" t="n">
        <x:v>1</x:v>
      </x:c>
      <x:c r="E713" s="21" t="str">
        <x:v>5000rpm</x:v>
      </x:c>
      <x:c r="F713" s="21" t="n">
        <x:v>32</x:v>
      </x:c>
      <x:c r="G713" s="22" t="n">
        <x:f>IFERROR('5000rpm'!E32,"")</x:f>
        <x:v>1.0034096836337136</x:v>
      </x:c>
      <x:c r="H713" s="22" t="n">
        <x:f>IFERROR('5000rpm'!C32,"")</x:f>
        <x:v>5003.9060311153</x:v>
      </x:c>
      <x:c r="I713" s="22" t="n">
        <x:f>IFERROR('5000rpm'!D32,"")</x:f>
        <x:v>3200.53010033444</x:v>
      </x:c>
      <x:c r="J713" s="22" t="n">
        <x:f>IFERROR('5000rpm'!D30,"")</x:f>
        <x:v>53.9550922213311</x:v>
      </x:c>
      <x:c r="K713" s="22" t="n">
        <x:f>IF(AND(ISNUMBER(I713),ISNUMBER(J713)),I713-J713,"")</x:f>
        <x:v>3146.5750081131087</x:v>
      </x:c>
      <x:c r="L713" s="22" t="n">
        <x:f>IF(ISNUMBER(K713),K713*$B$2+$B$3,"")</x:f>
        <x:v>2910.1126075292386</x:v>
      </x:c>
      <x:c r="M713" s="22" t="n">
        <x:f>IF(AND(ISNUMBER(G713),ISNUMBER(H713),H713&lt;&gt;0),G713/(H713/60)/$B$5,"")</x:f>
        <x:v>0.026315654216026423</x:v>
      </x:c>
      <x:c r="N713" s="22" t="n">
        <x:f>IF(AND(ISNUMBER(L713),ISNUMBER(H713),H713&lt;&gt;0),L713*$B$6/$B$4/(H713/60)^2/$B$5^4/$B$7,"")</x:f>
        <x:v>0.07787680868077566</x:v>
      </x:c>
      <x:c r="O713" s="22" t="n">
        <x:f>IF(ISNUMBER(N713),N713*$B$8,"")</x:f>
        <x:v>0.010061881385451181</x:v>
      </x:c>
      <x:c r="P713" s="20" t="str">
        <x:v>5000rpm!E32</x:v>
      </x:c>
      <x:c r="Q713" s="20" t="str">
        <x:v>5000rpm!D32</x:v>
      </x:c>
      <x:c r="R713" s="20" t="str">
        <x:v>5000rpm!D30</x:v>
      </x:c>
    </x:row>
    <x:row r="714">
      <x:c r="A714" s="21" t="n">
        <x:v>5000</x:v>
      </x:c>
      <x:c r="B714" s="21" t="n">
        <x:v>15</x:v>
      </x:c>
      <x:c r="C714" s="21" t="n">
        <x:v>3</x:v>
      </x:c>
      <x:c r="D714" s="21" t="n">
        <x:v>2</x:v>
      </x:c>
      <x:c r="E714" s="21" t="str">
        <x:v>5000rpm</x:v>
      </x:c>
      <x:c r="F714" s="21" t="n">
        <x:v>32</x:v>
      </x:c>
      <x:c r="G714" s="22" t="n">
        <x:f>IFERROR('5000rpm'!P32,"")</x:f>
        <x:v>1.0305452130951331</x:v>
      </x:c>
      <x:c r="H714" s="22" t="n">
        <x:f>IFERROR('5000rpm'!N32,"")</x:f>
        <x:v>5029.90256426411</x:v>
      </x:c>
      <x:c r="I714" s="22" t="n">
        <x:f>IFERROR('5000rpm'!O32,"")</x:f>
        <x:v>3168.72741679873</x:v>
      </x:c>
      <x:c r="J714" s="22" t="n">
        <x:f>IFERROR('5000rpm'!O30,"")</x:f>
        <x:v>111.314410480349</x:v>
      </x:c>
      <x:c r="K714" s="22" t="n">
        <x:f>IF(AND(ISNUMBER(I714),ISNUMBER(J714)),I714-J714,"")</x:f>
        <x:v>3057.4130063183807</x:v>
      </x:c>
      <x:c r="L714" s="22" t="n">
        <x:f>IF(ISNUMBER(K714),K714*$B$2+$B$3,"")</x:f>
        <x:v>2828.4662491897916</x:v>
      </x:c>
      <x:c r="M714" s="22" t="n">
        <x:f>IF(AND(ISNUMBER(G714),ISNUMBER(H714),H714&lt;&gt;0),G714/(H714/60)/$B$5,"")</x:f>
        <x:v>0.026887628979206456</x:v>
      </x:c>
      <x:c r="N714" s="22" t="n">
        <x:f>IF(AND(ISNUMBER(L714),ISNUMBER(H714),H714&lt;&gt;0),L714*$B$6/$B$4/(H714/60)^2/$B$5^4/$B$7,"")</x:f>
        <x:v>0.07491150097182143</x:v>
      </x:c>
      <x:c r="O714" s="22" t="n">
        <x:f>IF(ISNUMBER(N714),N714*$B$8,"")</x:f>
        <x:v>0.009678756101502217</x:v>
      </x:c>
      <x:c r="P714" s="20" t="str">
        <x:v>5000rpm!P32</x:v>
      </x:c>
      <x:c r="Q714" s="20" t="str">
        <x:v>5000rpm!O32</x:v>
      </x:c>
      <x:c r="R714" s="20" t="str">
        <x:v>5000rpm!O30</x:v>
      </x:c>
    </x:row>
    <x:row r="715">
      <x:c r="A715" s="21" t="n">
        <x:v>5000</x:v>
      </x:c>
      <x:c r="B715" s="21" t="n">
        <x:v>15</x:v>
      </x:c>
      <x:c r="C715" s="21" t="n">
        <x:v>4</x:v>
      </x:c>
      <x:c r="D715" s="21" t="n">
        <x:v>1</x:v>
      </x:c>
      <x:c r="E715" s="21" t="str">
        <x:v>5000rpm</x:v>
      </x:c>
      <x:c r="F715" s="21" t="n">
        <x:v>33</x:v>
      </x:c>
      <x:c r="G715" s="22" t="n">
        <x:f>IFERROR('5000rpm'!E33,"")</x:f>
        <x:v>2.0317891965814194</x:v>
      </x:c>
      <x:c r="H715" s="22" t="n">
        <x:f>IFERROR('5000rpm'!C33,"")</x:f>
        <x:v>4990.2540234375</x:v>
      </x:c>
      <x:c r="I715" s="22" t="n">
        <x:f>IFERROR('5000rpm'!D33,"")</x:f>
        <x:v>3183.1369047619</x:v>
      </x:c>
      <x:c r="J715" s="22" t="n">
        <x:f>IFERROR('5000rpm'!D30,"")</x:f>
        <x:v>53.9550922213311</x:v>
      </x:c>
      <x:c r="K715" s="22" t="n">
        <x:f>IF(AND(ISNUMBER(I715),ISNUMBER(J715)),I715-J715,"")</x:f>
        <x:v>3129.181812540569</x:v>
      </x:c>
      <x:c r="L715" s="22" t="n">
        <x:f>IF(ISNUMBER(K715),K715*$B$2+$B$3,"")</x:f>
        <x:v>2894.1855191978993</x:v>
      </x:c>
      <x:c r="M715" s="22" t="n">
        <x:f>IF(AND(ISNUMBER(G715),ISNUMBER(H715),H715&lt;&gt;0),G715/(H715/60)/$B$5,"")</x:f>
        <x:v>0.053431949741181095</x:v>
      </x:c>
      <x:c r="N715" s="22" t="n">
        <x:f>IF(AND(ISNUMBER(L715),ISNUMBER(H715),H715&lt;&gt;0),L715*$B$6/$B$4/(H715/60)^2/$B$5^4/$B$7,"")</x:f>
        <x:v>0.07787493585596494</x:v>
      </x:c>
      <x:c r="O715" s="22" t="n">
        <x:f>IF(ISNUMBER(N715),N715*$B$8,"")</x:f>
        <x:v>0.010061639411731143</x:v>
      </x:c>
      <x:c r="P715" s="20" t="str">
        <x:v>5000rpm!E33</x:v>
      </x:c>
      <x:c r="Q715" s="20" t="str">
        <x:v>5000rpm!D33</x:v>
      </x:c>
      <x:c r="R715" s="20" t="str">
        <x:v>5000rpm!D30</x:v>
      </x:c>
    </x:row>
    <x:row r="716">
      <x:c r="A716" s="21" t="n">
        <x:v>5000</x:v>
      </x:c>
      <x:c r="B716" s="21" t="n">
        <x:v>15</x:v>
      </x:c>
      <x:c r="C716" s="21" t="n">
        <x:v>4</x:v>
      </x:c>
      <x:c r="D716" s="21" t="n">
        <x:v>2</x:v>
      </x:c>
      <x:c r="E716" s="21" t="str">
        <x:v>5000rpm</x:v>
      </x:c>
      <x:c r="F716" s="21" t="n">
        <x:v>33</x:v>
      </x:c>
      <x:c r="G716" s="22" t="n">
        <x:f>IFERROR('5000rpm'!P33,"")</x:f>
        <x:v>2.0584460154820503</x:v>
      </x:c>
      <x:c r="H716" s="22" t="n">
        <x:f>IFERROR('5000rpm'!N33,"")</x:f>
        <x:v>5005.83754475911</x:v>
      </x:c>
      <x:c r="I716" s="22" t="n">
        <x:f>IFERROR('5000rpm'!O33,"")</x:f>
        <x:v>3083.83910386965</x:v>
      </x:c>
      <x:c r="J716" s="22" t="n">
        <x:f>IFERROR('5000rpm'!O30,"")</x:f>
        <x:v>111.314410480349</x:v>
      </x:c>
      <x:c r="K716" s="22" t="n">
        <x:f>IF(AND(ISNUMBER(I716),ISNUMBER(J716)),I716-J716,"")</x:f>
        <x:v>2972.524693389301</x:v>
      </x:c>
      <x:c r="L716" s="22" t="n">
        <x:f>IF(ISNUMBER(K716),K716*$B$2+$B$3,"")</x:f>
        <x:v>2750.73334193413</x:v>
      </x:c>
      <x:c r="M716" s="22" t="n">
        <x:f>IF(AND(ISNUMBER(G716),ISNUMBER(H716),H716&lt;&gt;0),G716/(H716/60)/$B$5,"")</x:f>
        <x:v>0.05396445049556078</x:v>
      </x:c>
      <x:c r="N716" s="22" t="n">
        <x:f>IF(AND(ISNUMBER(L716),ISNUMBER(H716),H716&lt;&gt;0),L716*$B$6/$B$4/(H716/60)^2/$B$5^4/$B$7,"")</x:f>
        <x:v>0.073554903783331</x:v>
      </x:c>
      <x:c r="O716" s="22" t="n">
        <x:f>IF(ISNUMBER(N716),N716*$B$8,"")</x:f>
        <x:v>0.0095034803007901</x:v>
      </x:c>
      <x:c r="P716" s="20" t="str">
        <x:v>5000rpm!P33</x:v>
      </x:c>
      <x:c r="Q716" s="20" t="str">
        <x:v>5000rpm!O33</x:v>
      </x:c>
      <x:c r="R716" s="20" t="str">
        <x:v>5000rpm!O30</x:v>
      </x:c>
    </x:row>
    <x:row r="717">
      <x:c r="A717" s="21" t="n">
        <x:v>5000</x:v>
      </x:c>
      <x:c r="B717" s="21" t="n">
        <x:v>15</x:v>
      </x:c>
      <x:c r="C717" s="21" t="n">
        <x:v>5</x:v>
      </x:c>
      <x:c r="D717" s="21" t="n">
        <x:v>1</x:v>
      </x:c>
      <x:c r="E717" s="21" t="str">
        <x:v>5000rpm</x:v>
      </x:c>
      <x:c r="F717" s="21" t="n">
        <x:v>34</x:v>
      </x:c>
      <x:c r="G717" s="22" t="n">
        <x:f>IFERROR('5000rpm'!E34,"")</x:f>
        <x:v>3.0564513272507963</x:v>
      </x:c>
      <x:c r="H717" s="22" t="n">
        <x:f>IFERROR('5000rpm'!C34,"")</x:f>
        <x:v>5002.64926382211</x:v>
      </x:c>
      <x:c r="I717" s="22" t="n">
        <x:f>IFERROR('5000rpm'!D34,"")</x:f>
        <x:v>3157.62840466926</x:v>
      </x:c>
      <x:c r="J717" s="22" t="n">
        <x:f>IFERROR('5000rpm'!D30,"")</x:f>
        <x:v>53.9550922213311</x:v>
      </x:c>
      <x:c r="K717" s="22" t="n">
        <x:f>IF(AND(ISNUMBER(I717),ISNUMBER(J717)),I717-J717,"")</x:f>
        <x:v>3103.6733124479288</x:v>
      </x:c>
      <x:c r="L717" s="22" t="n">
        <x:f>IF(ISNUMBER(K717),K717*$B$2+$B$3,"")</x:f>
        <x:v>2870.827181595068</x:v>
      </x:c>
      <x:c r="M717" s="22" t="n">
        <x:f>IF(AND(ISNUMBER(G717),ISNUMBER(H717),H717&lt;&gt;0),G717/(H717/60)/$B$5,"")</x:f>
        <x:v>0.0801793363698567</x:v>
      </x:c>
      <x:c r="N717" s="22" t="n">
        <x:f>IF(AND(ISNUMBER(L717),ISNUMBER(H717),H717&lt;&gt;0),L717*$B$6/$B$4/(H717/60)^2/$B$5^4/$B$7,"")</x:f>
        <x:v>0.0768641061539394</x:v>
      </x:c>
      <x:c r="O717" s="22" t="n">
        <x:f>IF(ISNUMBER(N717),N717*$B$8,"")</x:f>
        <x:v>0.00993103764806151</x:v>
      </x:c>
      <x:c r="P717" s="20" t="str">
        <x:v>5000rpm!E34</x:v>
      </x:c>
      <x:c r="Q717" s="20" t="str">
        <x:v>5000rpm!D34</x:v>
      </x:c>
      <x:c r="R717" s="20" t="str">
        <x:v>5000rpm!D30</x:v>
      </x:c>
    </x:row>
    <x:row r="718">
      <x:c r="A718" s="21" t="n">
        <x:v>5000</x:v>
      </x:c>
      <x:c r="B718" s="21" t="n">
        <x:v>15</x:v>
      </x:c>
      <x:c r="C718" s="21" t="n">
        <x:v>5</x:v>
      </x:c>
      <x:c r="D718" s="21" t="n">
        <x:v>2</x:v>
      </x:c>
      <x:c r="E718" s="21" t="str">
        <x:v>5000rpm</x:v>
      </x:c>
      <x:c r="F718" s="21" t="n">
        <x:v>34</x:v>
      </x:c>
      <x:c r="G718" s="22" t="n">
        <x:f>IFERROR('5000rpm'!P34,"")</x:f>
        <x:v>3.0840419479670755</x:v>
      </x:c>
      <x:c r="H718" s="22" t="n">
        <x:f>IFERROR('5000rpm'!N34,"")</x:f>
        <x:v>5032.15347055288</x:v>
      </x:c>
      <x:c r="I718" s="22" t="n">
        <x:f>IFERROR('5000rpm'!O34,"")</x:f>
        <x:v>3005.53359683794</x:v>
      </x:c>
      <x:c r="J718" s="22" t="n">
        <x:f>IFERROR('5000rpm'!O30,"")</x:f>
        <x:v>111.314410480349</x:v>
      </x:c>
      <x:c r="K718" s="22" t="n">
        <x:f>IF(AND(ISNUMBER(I718),ISNUMBER(J718)),I718-J718,"")</x:f>
        <x:v>2894.219186357591</x:v>
      </x:c>
      <x:c r="L718" s="22" t="n">
        <x:f>IF(ISNUMBER(K718),K718*$B$2+$B$3,"")</x:f>
        <x:v>2679.0283627011368</x:v>
      </x:c>
      <x:c r="M718" s="22" t="n">
        <x:f>IF(AND(ISNUMBER(G718),ISNUMBER(H718),H718&lt;&gt;0),G718/(H718/60)/$B$5,"")</x:f>
        <x:v>0.080428770068276</x:v>
      </x:c>
      <x:c r="N718" s="22" t="n">
        <x:f>IF(AND(ISNUMBER(L718),ISNUMBER(H718),H718&lt;&gt;0),L718*$B$6/$B$4/(H718/60)^2/$B$5^4/$B$7,"")</x:f>
        <x:v>0.07089019951508943</x:v>
      </x:c>
      <x:c r="O718" s="22" t="n">
        <x:f>IF(ISNUMBER(N718),N718*$B$8,"")</x:f>
        <x:v>0.009159193744515601</x:v>
      </x:c>
      <x:c r="P718" s="20" t="str">
        <x:v>5000rpm!P34</x:v>
      </x:c>
      <x:c r="Q718" s="20" t="str">
        <x:v>5000rpm!O34</x:v>
      </x:c>
      <x:c r="R718" s="20" t="str">
        <x:v>5000rpm!O30</x:v>
      </x:c>
    </x:row>
    <x:row r="719">
      <x:c r="A719" s="21" t="n">
        <x:v>5000</x:v>
      </x:c>
      <x:c r="B719" s="21" t="n">
        <x:v>15</x:v>
      </x:c>
      <x:c r="C719" s="21" t="n">
        <x:v>6</x:v>
      </x:c>
      <x:c r="D719" s="21" t="n">
        <x:v>1</x:v>
      </x:c>
      <x:c r="E719" s="21" t="str">
        <x:v>5000rpm</x:v>
      </x:c>
      <x:c r="F719" s="21" t="n">
        <x:v>35</x:v>
      </x:c>
      <x:c r="G719" s="22" t="n">
        <x:f>IFERROR('5000rpm'!E35,"")</x:f>
        <x:v>4.093764878279046</x:v>
      </x:c>
      <x:c r="H719" s="22" t="n">
        <x:f>IFERROR('5000rpm'!C35,"")</x:f>
        <x:v>4970.18686523437</x:v>
      </x:c>
      <x:c r="I719" s="22" t="n">
        <x:f>IFERROR('5000rpm'!D35,"")</x:f>
        <x:v>3138.9625</x:v>
      </x:c>
      <x:c r="J719" s="22" t="n">
        <x:f>IFERROR('5000rpm'!D30,"")</x:f>
        <x:v>53.9550922213311</x:v>
      </x:c>
      <x:c r="K719" s="22" t="n">
        <x:f>IF(AND(ISNUMBER(I719),ISNUMBER(J719)),I719-J719,"")</x:f>
        <x:v>3085.007407778669</x:v>
      </x:c>
      <x:c r="L719" s="22" t="n">
        <x:f>IF(ISNUMBER(K719),K719*$B$2+$B$3,"")</x:f>
        <x:v>2853.734663362189</x:v>
      </x:c>
      <x:c r="M719" s="22" t="n">
        <x:f>IF(AND(ISNUMBER(G719),ISNUMBER(H719),H719&lt;&gt;0),G719/(H719/60)/$B$5,"")</x:f>
        <x:v>0.10809241179569289</x:v>
      </x:c>
      <x:c r="N719" s="22" t="n">
        <x:f>IF(AND(ISNUMBER(L719),ISNUMBER(H719),H719&lt;&gt;0),L719*$B$6/$B$4/(H719/60)^2/$B$5^4/$B$7,"")</x:f>
        <x:v>0.07740781318188042</x:v>
      </x:c>
      <x:c r="O719" s="22" t="n">
        <x:f>IF(ISNUMBER(N719),N719*$B$8,"")</x:f>
        <x:v>0.010001285976366842</x:v>
      </x:c>
      <x:c r="P719" s="20" t="str">
        <x:v>5000rpm!E35</x:v>
      </x:c>
      <x:c r="Q719" s="20" t="str">
        <x:v>5000rpm!D35</x:v>
      </x:c>
      <x:c r="R719" s="20" t="str">
        <x:v>5000rpm!D30</x:v>
      </x:c>
    </x:row>
    <x:row r="720">
      <x:c r="A720" s="21" t="n">
        <x:v>5000</x:v>
      </x:c>
      <x:c r="B720" s="21" t="n">
        <x:v>15</x:v>
      </x:c>
      <x:c r="C720" s="21" t="n">
        <x:v>6</x:v>
      </x:c>
      <x:c r="D720" s="21" t="n">
        <x:v>2</x:v>
      </x:c>
      <x:c r="E720" s="21" t="str">
        <x:v>5000rpm</x:v>
      </x:c>
      <x:c r="F720" s="21" t="n">
        <x:v>35</x:v>
      </x:c>
      <x:c r="G720" s="22" t="n">
        <x:f>IFERROR('5000rpm'!P35,"")</x:f>
        <x:v>4.116040350527074</x:v>
      </x:c>
      <x:c r="H720" s="22" t="n">
        <x:f>IFERROR('5000rpm'!N35,"")</x:f>
        <x:v>5025.46123046875</x:v>
      </x:c>
      <x:c r="I720" s="22" t="n">
        <x:f>IFERROR('5000rpm'!O35,"")</x:f>
        <x:v>3009.59846547314</x:v>
      </x:c>
      <x:c r="J720" s="22" t="n">
        <x:f>IFERROR('5000rpm'!O30,"")</x:f>
        <x:v>111.314410480349</x:v>
      </x:c>
      <x:c r="K720" s="22" t="n">
        <x:f>IF(AND(ISNUMBER(I720),ISNUMBER(J720)),I720-J720,"")</x:f>
        <x:v>2898.284054992791</x:v>
      </x:c>
      <x:c r="L720" s="22" t="n">
        <x:f>IF(ISNUMBER(K720),K720*$B$2+$B$3,"")</x:f>
        <x:v>2682.750595429339</x:v>
      </x:c>
      <x:c r="M720" s="22" t="n">
        <x:f>IF(AND(ISNUMBER(G720),ISNUMBER(H720),H720&lt;&gt;0),G720/(H720/60)/$B$5,"")</x:f>
        <x:v>0.10748521397096468</x:v>
      </x:c>
      <x:c r="N720" s="22" t="n">
        <x:f>IF(AND(ISNUMBER(L720),ISNUMBER(H720),H720&lt;&gt;0),L720*$B$6/$B$4/(H720/60)^2/$B$5^4/$B$7,"")</x:f>
        <x:v>0.07117788657976253</x:v>
      </x:c>
      <x:c r="O720" s="22" t="n">
        <x:f>IF(ISNUMBER(N720),N720*$B$8,"")</x:f>
        <x:v>0.009196363643615278</x:v>
      </x:c>
      <x:c r="P720" s="20" t="str">
        <x:v>5000rpm!P35</x:v>
      </x:c>
      <x:c r="Q720" s="20" t="str">
        <x:v>5000rpm!O35</x:v>
      </x:c>
      <x:c r="R720" s="20" t="str">
        <x:v>5000rpm!O30</x:v>
      </x:c>
    </x:row>
    <x:row r="721">
      <x:c r="A721" s="21" t="n">
        <x:v>5000</x:v>
      </x:c>
      <x:c r="B721" s="21" t="n">
        <x:v>15</x:v>
      </x:c>
      <x:c r="C721" s="21" t="n">
        <x:v>7</x:v>
      </x:c>
      <x:c r="D721" s="21" t="n">
        <x:v>1</x:v>
      </x:c>
      <x:c r="E721" s="21" t="str">
        <x:v>5000rpm</x:v>
      </x:c>
      <x:c r="F721" s="21" t="n">
        <x:v>36</x:v>
      </x:c>
      <x:c r="G721" s="22" t="n">
        <x:f>IFERROR('5000rpm'!E36,"")</x:f>
        <x:v>5.1179711233074086</x:v>
      </x:c>
      <x:c r="H721" s="22" t="n">
        <x:f>IFERROR('5000rpm'!C36,"")</x:f>
        <x:v>4989.38017926897</x:v>
      </x:c>
      <x:c r="I721" s="22" t="n">
        <x:f>IFERROR('5000rpm'!D36,"")</x:f>
        <x:v>3108.76811594202</x:v>
      </x:c>
      <x:c r="J721" s="22" t="n">
        <x:f>IFERROR('5000rpm'!D30,"")</x:f>
        <x:v>53.9550922213311</x:v>
      </x:c>
      <x:c r="K721" s="22" t="n">
        <x:f>IF(AND(ISNUMBER(I721),ISNUMBER(J721)),I721-J721,"")</x:f>
        <x:v>3054.8130237206888</x:v>
      </x:c>
      <x:c r="L721" s="22" t="n">
        <x:f>IF(ISNUMBER(K721),K721*$B$2+$B$3,"")</x:f>
        <x:v>2826.0854243252243</x:v>
      </x:c>
      <x:c r="M721" s="22" t="n">
        <x:f>IF(AND(ISNUMBER(G721),ISNUMBER(H721),H721&lt;&gt;0),G721/(H721/60)/$B$5,"")</x:f>
        <x:v>0.1346158700244188</x:v>
      </x:c>
      <x:c r="N721" s="22" t="n">
        <x:f>IF(AND(ISNUMBER(L721),ISNUMBER(H721),H721&lt;&gt;0),L721*$B$6/$B$4/(H721/60)^2/$B$5^4/$B$7,"")</x:f>
        <x:v>0.07606917968707604</x:v>
      </x:c>
      <x:c r="O721" s="22" t="n">
        <x:f>IF(ISNUMBER(N721),N721*$B$8,"")</x:f>
        <x:v>0.00982833113048294</x:v>
      </x:c>
      <x:c r="P721" s="20" t="str">
        <x:v>5000rpm!E36</x:v>
      </x:c>
      <x:c r="Q721" s="20" t="str">
        <x:v>5000rpm!D36</x:v>
      </x:c>
      <x:c r="R721" s="20" t="str">
        <x:v>5000rpm!D30</x:v>
      </x:c>
    </x:row>
    <x:row r="722">
      <x:c r="A722" s="21" t="n">
        <x:v>5000</x:v>
      </x:c>
      <x:c r="B722" s="21" t="n">
        <x:v>15</x:v>
      </x:c>
      <x:c r="C722" s="21" t="n">
        <x:v>7</x:v>
      </x:c>
      <x:c r="D722" s="21" t="n">
        <x:v>2</x:v>
      </x:c>
      <x:c r="E722" s="21" t="str">
        <x:v>5000rpm</x:v>
      </x:c>
      <x:c r="F722" s="21" t="n">
        <x:v>36</x:v>
      </x:c>
      <x:c r="G722" s="22" t="n">
        <x:f>IFERROR('5000rpm'!P36,"")</x:f>
        <x:v>5.14204984138248</x:v>
      </x:c>
      <x:c r="H722" s="22" t="n">
        <x:f>IFERROR('5000rpm'!N36,"")</x:f>
        <x:v>5035.77800958806</x:v>
      </x:c>
      <x:c r="I722" s="22" t="n">
        <x:f>IFERROR('5000rpm'!O36,"")</x:f>
        <x:v>2998.21212121212</x:v>
      </x:c>
      <x:c r="J722" s="22" t="n">
        <x:f>IFERROR('5000rpm'!O30,"")</x:f>
        <x:v>111.314410480349</x:v>
      </x:c>
      <x:c r="K722" s="22" t="n">
        <x:f>IF(AND(ISNUMBER(I722),ISNUMBER(J722)),I722-J722,"")</x:f>
        <x:v>2886.897710731771</x:v>
      </x:c>
      <x:c r="L722" s="22" t="n">
        <x:f>IF(ISNUMBER(K722),K722*$B$2+$B$3,"")</x:f>
        <x:v>2672.3240288987686</x:v>
      </x:c>
      <x:c r="M722" s="22" t="n">
        <x:f>IF(AND(ISNUMBER(G722),ISNUMBER(H722),H722&lt;&gt;0),G722/(H722/60)/$B$5,"")</x:f>
        <x:v>0.13400306550155952</x:v>
      </x:c>
      <x:c r="N722" s="22" t="n">
        <x:f>IF(AND(ISNUMBER(L722),ISNUMBER(H722),H722&lt;&gt;0),L722*$B$6/$B$4/(H722/60)^2/$B$5^4/$B$7,"")</x:f>
        <x:v>0.07061103956462828</x:v>
      </x:c>
      <x:c r="O722" s="22" t="n">
        <x:f>IF(ISNUMBER(N722),N722*$B$8,"")</x:f>
        <x:v>0.009123125570219676</x:v>
      </x:c>
      <x:c r="P722" s="20" t="str">
        <x:v>5000rpm!P36</x:v>
      </x:c>
      <x:c r="Q722" s="20" t="str">
        <x:v>5000rpm!O36</x:v>
      </x:c>
      <x:c r="R722" s="20" t="str">
        <x:v>5000rpm!O30</x:v>
      </x:c>
    </x:row>
    <x:row r="723">
      <x:c r="A723" s="21" t="n">
        <x:v>5000</x:v>
      </x:c>
      <x:c r="B723" s="21" t="n">
        <x:v>15</x:v>
      </x:c>
      <x:c r="C723" s="21" t="n">
        <x:v>8</x:v>
      </x:c>
      <x:c r="D723" s="21" t="n">
        <x:v>1</x:v>
      </x:c>
      <x:c r="E723" s="21" t="str">
        <x:v>5000rpm</x:v>
      </x:c>
      <x:c r="F723" s="21" t="n">
        <x:v>37</x:v>
      </x:c>
      <x:c r="G723" s="22" t="n">
        <x:f>IFERROR('5000rpm'!E37,"")</x:f>
        <x:v>6.151180920574484</x:v>
      </x:c>
      <x:c r="H723" s="22" t="n">
        <x:f>IFERROR('5000rpm'!C37,"")</x:f>
        <x:v>4997.85327990301</x:v>
      </x:c>
      <x:c r="I723" s="22" t="n">
        <x:f>IFERROR('5000rpm'!D37,"")</x:f>
        <x:v>3077.89672977624</x:v>
      </x:c>
      <x:c r="J723" s="22" t="n">
        <x:f>IFERROR('5000rpm'!D30,"")</x:f>
        <x:v>53.9550922213311</x:v>
      </x:c>
      <x:c r="K723" s="22" t="n">
        <x:f>IF(AND(ISNUMBER(I723),ISNUMBER(J723)),I723-J723,"")</x:f>
        <x:v>3023.941637554909</x:v>
      </x:c>
      <x:c r="L723" s="22" t="n">
        <x:f>IF(ISNUMBER(K723),K723*$B$2+$B$3,"")</x:f>
        <x:v>2797.8162490421305</x:v>
      </x:c>
      <x:c r="M723" s="22" t="n">
        <x:f>IF(AND(ISNUMBER(G723),ISNUMBER(H723),H723&lt;&gt;0),G723/(H723/60)/$B$5,"")</x:f>
        <x:v>0.16151766476871013</x:v>
      </x:c>
      <x:c r="N723" s="22" t="n">
        <x:f>IF(AND(ISNUMBER(L723),ISNUMBER(H723),H723&lt;&gt;0),L723*$B$6/$B$4/(H723/60)^2/$B$5^4/$B$7,"")</x:f>
        <x:v>0.07505313293442878</x:v>
      </x:c>
      <x:c r="O723" s="22" t="n">
        <x:f>IF(ISNUMBER(N723),N723*$B$8,"")</x:f>
        <x:v>0.009697055310628585</x:v>
      </x:c>
      <x:c r="P723" s="20" t="str">
        <x:v>5000rpm!E37</x:v>
      </x:c>
      <x:c r="Q723" s="20" t="str">
        <x:v>5000rpm!D37</x:v>
      </x:c>
      <x:c r="R723" s="20" t="str">
        <x:v>5000rpm!D30</x:v>
      </x:c>
    </x:row>
    <x:row r="724">
      <x:c r="A724" s="21" t="n">
        <x:v>5000</x:v>
      </x:c>
      <x:c r="B724" s="21" t="n">
        <x:v>15</x:v>
      </x:c>
      <x:c r="C724" s="21" t="n">
        <x:v>8</x:v>
      </x:c>
      <x:c r="D724" s="21" t="n">
        <x:v>2</x:v>
      </x:c>
      <x:c r="E724" s="21" t="str">
        <x:v>5000rpm</x:v>
      </x:c>
      <x:c r="F724" s="21" t="n">
        <x:v>37</x:v>
      </x:c>
      <x:c r="G724" s="22" t="n">
        <x:f>IFERROR('5000rpm'!P37,"")</x:f>
        <x:v>6.165750440273209</x:v>
      </x:c>
      <x:c r="H724" s="22" t="n">
        <x:f>IFERROR('5000rpm'!N37,"")</x:f>
        <x:v>4999.81958007812</x:v>
      </x:c>
      <x:c r="I724" s="22" t="n">
        <x:f>IFERROR('5000rpm'!O37,"")</x:f>
        <x:v>2971.86146095717</x:v>
      </x:c>
      <x:c r="J724" s="22" t="n">
        <x:f>IFERROR('5000rpm'!O30,"")</x:f>
        <x:v>111.314410480349</x:v>
      </x:c>
      <x:c r="K724" s="22" t="n">
        <x:f>IF(AND(ISNUMBER(I724),ISNUMBER(J724)),I724-J724,"")</x:f>
        <x:v>2860.547050476821</x:v>
      </x:c>
      <x:c r="L724" s="22" t="n">
        <x:f>IF(ISNUMBER(K724),K724*$B$2+$B$3,"")</x:f>
        <x:v>2648.1945184980286</x:v>
      </x:c>
      <x:c r="M724" s="22" t="n">
        <x:f>IF(AND(ISNUMBER(G724),ISNUMBER(H724),H724&lt;&gt;0),G724/(H724/60)/$B$5,"")</x:f>
        <x:v>0.16183655992504437</x:v>
      </x:c>
      <x:c r="N724" s="22" t="n">
        <x:f>IF(AND(ISNUMBER(L724),ISNUMBER(H724),H724&lt;&gt;0),L724*$B$6/$B$4/(H724/60)^2/$B$5^4/$B$7,"")</x:f>
        <x:v>0.0709835734822474</x:v>
      </x:c>
      <x:c r="O724" s="22" t="n">
        <x:f>IF(ISNUMBER(N724),N724*$B$8,"")</x:f>
        <x:v>0.009171257898118552</x:v>
      </x:c>
      <x:c r="P724" s="20" t="str">
        <x:v>5000rpm!P37</x:v>
      </x:c>
      <x:c r="Q724" s="20" t="str">
        <x:v>5000rpm!O37</x:v>
      </x:c>
      <x:c r="R724" s="20" t="str">
        <x:v>5000rpm!O30</x:v>
      </x:c>
    </x:row>
    <x:row r="725">
      <x:c r="A725" s="21" t="n">
        <x:v>5000</x:v>
      </x:c>
      <x:c r="B725" s="21" t="n">
        <x:v>15</x:v>
      </x:c>
      <x:c r="C725" s="21" t="n">
        <x:v>9</x:v>
      </x:c>
      <x:c r="D725" s="21" t="n">
        <x:v>1</x:v>
      </x:c>
      <x:c r="E725" s="21" t="str">
        <x:v>5000rpm</x:v>
      </x:c>
      <x:c r="F725" s="21" t="n">
        <x:v>38</x:v>
      </x:c>
      <x:c r="G725" s="22" t="n">
        <x:f>IFERROR('5000rpm'!E38,"")</x:f>
        <x:v>7.174224823930661</x:v>
      </x:c>
      <x:c r="H725" s="22" t="n">
        <x:f>IFERROR('5000rpm'!C38,"")</x:f>
        <x:v>4995.64845703125</x:v>
      </x:c>
      <x:c r="I725" s="22" t="n">
        <x:f>IFERROR('5000rpm'!D38,"")</x:f>
        <x:v>3111.53571428571</x:v>
      </x:c>
      <x:c r="J725" s="22" t="n">
        <x:f>IFERROR('5000rpm'!D30,"")</x:f>
        <x:v>53.9550922213311</x:v>
      </x:c>
      <x:c r="K725" s="22" t="n">
        <x:f>IF(AND(ISNUMBER(I725),ISNUMBER(J725)),I725-J725,"")</x:f>
        <x:v>3057.580622064379</x:v>
      </x:c>
      <x:c r="L725" s="22" t="n">
        <x:f>IF(ISNUMBER(K725),K725*$B$2+$B$3,"")</x:f>
        <x:v>2828.6197362693283</x:v>
      </x:c>
      <x:c r="M725" s="22" t="n">
        <x:f>IF(AND(ISNUMBER(G725),ISNUMBER(H725),H725&lt;&gt;0),G725/(H725/60)/$B$5,"")</x:f>
        <x:v>0.18846388588465865</x:v>
      </x:c>
      <x:c r="N725" s="22" t="n">
        <x:f>IF(AND(ISNUMBER(L725),ISNUMBER(H725),H725&lt;&gt;0),L725*$B$6/$B$4/(H725/60)^2/$B$5^4/$B$7,"")</x:f>
        <x:v>0.07594644870467103</x:v>
      </x:c>
      <x:c r="O725" s="22" t="n">
        <x:f>IF(ISNUMBER(N725),N725*$B$8,"")</x:f>
        <x:v>0.009812473975982157</x:v>
      </x:c>
      <x:c r="P725" s="20" t="str">
        <x:v>5000rpm!E38</x:v>
      </x:c>
      <x:c r="Q725" s="20" t="str">
        <x:v>5000rpm!D38</x:v>
      </x:c>
      <x:c r="R725" s="20" t="str">
        <x:v>5000rpm!D30</x:v>
      </x:c>
    </x:row>
    <x:row r="726">
      <x:c r="A726" s="21" t="n">
        <x:v>5000</x:v>
      </x:c>
      <x:c r="B726" s="21" t="n">
        <x:v>15</x:v>
      </x:c>
      <x:c r="C726" s="21" t="n">
        <x:v>9</x:v>
      </x:c>
      <x:c r="D726" s="21" t="n">
        <x:v>2</x:v>
      </x:c>
      <x:c r="E726" s="21" t="str">
        <x:v>5000rpm</x:v>
      </x:c>
      <x:c r="F726" s="21" t="n">
        <x:v>38</x:v>
      </x:c>
      <x:c r="G726" s="22" t="n">
        <x:f>IFERROR('5000rpm'!P38,"")</x:f>
        <x:v>7.191657510668624</x:v>
      </x:c>
      <x:c r="H726" s="22" t="n">
        <x:f>IFERROR('5000rpm'!N38,"")</x:f>
        <x:v>5020.56135253906</x:v>
      </x:c>
      <x:c r="I726" s="22" t="n">
        <x:f>IFERROR('5000rpm'!O38,"")</x:f>
        <x:v>2955.89873417721</x:v>
      </x:c>
      <x:c r="J726" s="22" t="n">
        <x:f>IFERROR('5000rpm'!O30,"")</x:f>
        <x:v>111.314410480349</x:v>
      </x:c>
      <x:c r="K726" s="22" t="n">
        <x:f>IF(AND(ISNUMBER(I726),ISNUMBER(J726)),I726-J726,"")</x:f>
        <x:v>2844.584323696861</x:v>
      </x:c>
      <x:c r="L726" s="22" t="n">
        <x:f>IF(ISNUMBER(K726),K726*$B$2+$B$3,"")</x:f>
        <x:v>2633.577321883805</x:v>
      </x:c>
      <x:c r="M726" s="22" t="n">
        <x:f>IF(AND(ISNUMBER(G726),ISNUMBER(H726),H726&lt;&gt;0),G726/(H726/60)/$B$5,"")</x:f>
        <x:v>0.1879843723876797</x:v>
      </x:c>
      <x:c r="N726" s="22" t="n">
        <x:f>IF(AND(ISNUMBER(L726),ISNUMBER(H726),H726&lt;&gt;0),L726*$B$6/$B$4/(H726/60)^2/$B$5^4/$B$7,"")</x:f>
        <x:v>0.07000969073233404</x:v>
      </x:c>
      <x:c r="O726" s="22" t="n">
        <x:f>IF(ISNUMBER(N726),N726*$B$8,"")</x:f>
        <x:v>0.00904542977445811</x:v>
      </x:c>
      <x:c r="P726" s="20" t="str">
        <x:v>5000rpm!P38</x:v>
      </x:c>
      <x:c r="Q726" s="20" t="str">
        <x:v>5000rpm!O38</x:v>
      </x:c>
      <x:c r="R726" s="20" t="str">
        <x:v>5000rpm!O30</x:v>
      </x:c>
    </x:row>
    <x:row r="727">
      <x:c r="A727" s="21" t="n">
        <x:v>5000</x:v>
      </x:c>
      <x:c r="B727" s="21" t="n">
        <x:v>15</x:v>
      </x:c>
      <x:c r="C727" s="21" t="n">
        <x:v>10</x:v>
      </x:c>
      <x:c r="D727" s="21" t="n">
        <x:v>1</x:v>
      </x:c>
      <x:c r="E727" s="21" t="str">
        <x:v>5000rpm</x:v>
      </x:c>
      <x:c r="F727" s="21" t="n">
        <x:v>39</x:v>
      </x:c>
      <x:c r="G727" s="22" t="n">
        <x:f>IFERROR('5000rpm'!E39,"")</x:f>
        <x:v>8.205947961256376</x:v>
      </x:c>
      <x:c r="H727" s="22" t="n">
        <x:f>IFERROR('5000rpm'!C39,"")</x:f>
        <x:v>4991.25116436298</x:v>
      </x:c>
      <x:c r="I727" s="22" t="n">
        <x:f>IFERROR('5000rpm'!D39,"")</x:f>
        <x:v>3170.86956521739</x:v>
      </x:c>
      <x:c r="J727" s="22" t="n">
        <x:f>IFERROR('5000rpm'!D30,"")</x:f>
        <x:v>53.9550922213311</x:v>
      </x:c>
      <x:c r="K727" s="22" t="n">
        <x:f>IF(AND(ISNUMBER(I727),ISNUMBER(J727)),I727-J727,"")</x:f>
        <x:v>3116.914472996059</x:v>
      </x:c>
      <x:c r="L727" s="22" t="n">
        <x:f>IF(ISNUMBER(K727),K727*$B$2+$B$3,"")</x:f>
        <x:v>2882.9522182382752</x:v>
      </x:c>
      <x:c r="M727" s="22" t="n">
        <x:f>IF(AND(ISNUMBER(G727),ISNUMBER(H727),H727&lt;&gt;0),G727/(H727/60)/$B$5,"")</x:f>
        <x:v>0.2157567356250449</x:v>
      </x:c>
      <x:c r="N727" s="22" t="n">
        <x:f>IF(AND(ISNUMBER(L727),ISNUMBER(H727),H727&lt;&gt;0),L727*$B$6/$B$4/(H727/60)^2/$B$5^4/$B$7,"")</x:f>
        <x:v>0.07754168571780438</x:v>
      </x:c>
      <x:c r="O727" s="22" t="n">
        <x:f>IF(ISNUMBER(N727),N727*$B$8,"")</x:f>
        <x:v>0.010018582647867057</x:v>
      </x:c>
      <x:c r="P727" s="20" t="str">
        <x:v>5000rpm!E39</x:v>
      </x:c>
      <x:c r="Q727" s="20" t="str">
        <x:v>5000rpm!D39</x:v>
      </x:c>
      <x:c r="R727" s="20" t="str">
        <x:v>5000rpm!D30</x:v>
      </x:c>
    </x:row>
    <x:row r="728">
      <x:c r="A728" s="21" t="n">
        <x:v>5000</x:v>
      </x:c>
      <x:c r="B728" s="21" t="n">
        <x:v>15</x:v>
      </x:c>
      <x:c r="C728" s="21" t="n">
        <x:v>10</x:v>
      </x:c>
      <x:c r="D728" s="21" t="n">
        <x:v>2</x:v>
      </x:c>
      <x:c r="E728" s="21" t="str">
        <x:v>5000rpm</x:v>
      </x:c>
      <x:c r="F728" s="21" t="n">
        <x:v>39</x:v>
      </x:c>
      <x:c r="G728" s="22" t="n">
        <x:f>IFERROR('5000rpm'!P39,"")</x:f>
        <x:v>8.209647487827914</x:v>
      </x:c>
      <x:c r="H728" s="22" t="n">
        <x:f>IFERROR('5000rpm'!N39,"")</x:f>
        <x:v>4992.29180908203</x:v>
      </x:c>
      <x:c r="I728" s="22" t="n">
        <x:f>IFERROR('5000rpm'!O39,"")</x:f>
        <x:v>2873.12320328542</x:v>
      </x:c>
      <x:c r="J728" s="22" t="n">
        <x:f>IFERROR('5000rpm'!O30,"")</x:f>
        <x:v>111.314410480349</x:v>
      </x:c>
      <x:c r="K728" s="22" t="n">
        <x:f>IF(AND(ISNUMBER(I728),ISNUMBER(J728)),I728-J728,"")</x:f>
        <x:v>2761.808792805071</x:v>
      </x:c>
      <x:c r="L728" s="22" t="n">
        <x:f>IF(ISNUMBER(K728),K728*$B$2+$B$3,"")</x:f>
        <x:v>2557.779106041946</x:v>
      </x:c>
      <x:c r="M728" s="22" t="n">
        <x:f>IF(AND(ISNUMBER(G728),ISNUMBER(H728),H728&lt;&gt;0),G728/(H728/60)/$B$5,"")</x:f>
        <x:v>0.21580901142886305</x:v>
      </x:c>
      <x:c r="N728" s="22" t="n">
        <x:f>IF(AND(ISNUMBER(L728),ISNUMBER(H728),H728&lt;&gt;0),L728*$B$6/$B$4/(H728/60)^2/$B$5^4/$B$7,"")</x:f>
        <x:v>0.06876694839649852</x:v>
      </x:c>
      <x:c r="O728" s="22" t="n">
        <x:f>IF(ISNUMBER(N728),N728*$B$8,"")</x:f>
        <x:v>0.008884864309749458</x:v>
      </x:c>
      <x:c r="P728" s="20" t="str">
        <x:v>5000rpm!P39</x:v>
      </x:c>
      <x:c r="Q728" s="20" t="str">
        <x:v>5000rpm!O39</x:v>
      </x:c>
      <x:c r="R728" s="20" t="str">
        <x:v>5000rpm!O30</x:v>
      </x:c>
    </x:row>
    <x:row r="729">
      <x:c r="A729" s="21" t="n">
        <x:v>5000</x:v>
      </x:c>
      <x:c r="B729" s="21" t="n">
        <x:v>15</x:v>
      </x:c>
      <x:c r="C729" s="21" t="n">
        <x:v>11</x:v>
      </x:c>
      <x:c r="D729" s="21" t="n">
        <x:v>1</x:v>
      </x:c>
      <x:c r="E729" s="21" t="str">
        <x:v>5000rpm</x:v>
      </x:c>
      <x:c r="F729" s="21" t="n">
        <x:v>40</x:v>
      </x:c>
      <x:c r="G729" s="22" t="n">
        <x:f>IFERROR('5000rpm'!E40,"")</x:f>
        <x:v>9.22418679384802</x:v>
      </x:c>
      <x:c r="H729" s="22" t="n">
        <x:f>IFERROR('5000rpm'!C40,"")</x:f>
        <x:v>4952.18318684895</x:v>
      </x:c>
      <x:c r="I729" s="22" t="n">
        <x:f>IFERROR('5000rpm'!D40,"")</x:f>
        <x:v>3184.4375</x:v>
      </x:c>
      <x:c r="J729" s="22" t="n">
        <x:f>IFERROR('5000rpm'!D30,"")</x:f>
        <x:v>53.9550922213311</x:v>
      </x:c>
      <x:c r="K729" s="22" t="n">
        <x:f>IF(AND(ISNUMBER(I729),ISNUMBER(J729)),I729-J729,"")</x:f>
        <x:v>3130.482407778669</x:v>
      </x:c>
      <x:c r="L729" s="22" t="n">
        <x:f>IF(ISNUMBER(K729),K729*$B$2+$B$3,"")</x:f>
        <x:v>2895.3764846621893</x:v>
      </x:c>
      <x:c r="M729" s="22" t="n">
        <x:f>IF(AND(ISNUMBER(G729),ISNUMBER(H729),H729&lt;&gt;0),G729/(H729/60)/$B$5,"")</x:f>
        <x:v>0.2444423309111554</x:v>
      </x:c>
      <x:c r="N729" s="22" t="n">
        <x:f>IF(AND(ISNUMBER(L729),ISNUMBER(H729),H729&lt;&gt;0),L729*$B$6/$B$4/(H729/60)^2/$B$5^4/$B$7,"")</x:f>
        <x:v>0.07910943500646342</x:v>
      </x:c>
      <x:c r="O729" s="22" t="n">
        <x:f>IF(ISNUMBER(N729),N729*$B$8,"")</x:f>
        <x:v>0.010221139835967482</x:v>
      </x:c>
      <x:c r="P729" s="20" t="str">
        <x:v>5000rpm!E40</x:v>
      </x:c>
      <x:c r="Q729" s="20" t="str">
        <x:v>5000rpm!D40</x:v>
      </x:c>
      <x:c r="R729" s="20" t="str">
        <x:v>5000rpm!D30</x:v>
      </x:c>
    </x:row>
    <x:row r="730">
      <x:c r="A730" s="21" t="n">
        <x:v>5000</x:v>
      </x:c>
      <x:c r="B730" s="21" t="n">
        <x:v>15</x:v>
      </x:c>
      <x:c r="C730" s="21" t="n">
        <x:v>11</x:v>
      </x:c>
      <x:c r="D730" s="21" t="n">
        <x:v>2</x:v>
      </x:c>
      <x:c r="E730" s="21" t="str">
        <x:v>5000rpm</x:v>
      </x:c>
      <x:c r="F730" s="21" t="n">
        <x:v>40</x:v>
      </x:c>
      <x:c r="G730" s="22" t="n">
        <x:f>IFERROR('5000rpm'!P40,"")</x:f>
        <x:v>9.234386045519202</x:v>
      </x:c>
      <x:c r="H730" s="22" t="n">
        <x:f>IFERROR('5000rpm'!N40,"")</x:f>
        <x:v>4998.48652787642</x:v>
      </x:c>
      <x:c r="I730" s="22" t="n">
        <x:f>IFERROR('5000rpm'!O40,"")</x:f>
        <x:v>2967.58700696055</x:v>
      </x:c>
      <x:c r="J730" s="22" t="n">
        <x:f>IFERROR('5000rpm'!O30,"")</x:f>
        <x:v>111.314410480349</x:v>
      </x:c>
      <x:c r="K730" s="22" t="n">
        <x:f>IF(AND(ISNUMBER(I730),ISNUMBER(J730)),I730-J730,"")</x:f>
        <x:v>2856.2725964802007</x:v>
      </x:c>
      <x:c r="L730" s="22" t="n">
        <x:f>IF(ISNUMBER(K730),K730*$B$2+$B$3,"")</x:f>
        <x:v>2644.2803667776916</x:v>
      </x:c>
      <x:c r="M730" s="22" t="n">
        <x:f>IF(AND(ISNUMBER(G730),ISNUMBER(H730),H730&lt;&gt;0),G730/(H730/60)/$B$5,"")</x:f>
        <x:v>0.24244572412172283</x:v>
      </x:c>
      <x:c r="N730" s="22" t="n">
        <x:f>IF(AND(ISNUMBER(L730),ISNUMBER(H730),H730&lt;&gt;0),L730*$B$6/$B$4/(H730/60)^2/$B$5^4/$B$7,"")</x:f>
        <x:v>0.07091646700248586</x:v>
      </x:c>
      <x:c r="O730" s="22" t="n">
        <x:f>IF(ISNUMBER(N730),N730*$B$8,"")</x:f>
        <x:v>0.00916258757057183</x:v>
      </x:c>
      <x:c r="P730" s="20" t="str">
        <x:v>5000rpm!P40</x:v>
      </x:c>
      <x:c r="Q730" s="20" t="str">
        <x:v>5000rpm!O40</x:v>
      </x:c>
      <x:c r="R730" s="20" t="str">
        <x:v>5000rpm!O30</x:v>
      </x:c>
    </x:row>
    <x:row r="731">
      <x:c r="A731" s="21" t="n">
        <x:v>5000</x:v>
      </x:c>
      <x:c r="B731" s="21" t="n">
        <x:v>15</x:v>
      </x:c>
      <x:c r="C731" s="21" t="n">
        <x:v>12</x:v>
      </x:c>
      <x:c r="D731" s="21" t="n">
        <x:v>1</x:v>
      </x:c>
      <x:c r="E731" s="21" t="str">
        <x:v>5000rpm</x:v>
      </x:c>
      <x:c r="F731" s="21" t="n">
        <x:v>41</x:v>
      </x:c>
      <x:c r="G731" s="22" t="n">
        <x:f>IFERROR('5000rpm'!E41,"")</x:f>
        <x:v>10.171864655967255</x:v>
      </x:c>
      <x:c r="H731" s="22" t="n">
        <x:f>IFERROR('5000rpm'!C41,"")</x:f>
        <x:v>4936.3358623798</x:v>
      </x:c>
      <x:c r="I731" s="22" t="n">
        <x:f>IFERROR('5000rpm'!D41,"")</x:f>
        <x:v>3181.86293436293</x:v>
      </x:c>
      <x:c r="J731" s="22" t="n">
        <x:f>IFERROR('5000rpm'!D30,"")</x:f>
        <x:v>53.9550922213311</x:v>
      </x:c>
      <x:c r="K731" s="22" t="n">
        <x:f>IF(AND(ISNUMBER(I731),ISNUMBER(J731)),I731-J731,"")</x:f>
        <x:v>3127.907842141599</x:v>
      </x:c>
      <x:c r="L731" s="22" t="n">
        <x:f>IF(ISNUMBER(K731),K731*$B$2+$B$3,"")</x:f>
        <x:v>2893.018934311799</x:v>
      </x:c>
      <x:c r="M731" s="22" t="n">
        <x:f>IF(AND(ISNUMBER(G731),ISNUMBER(H731),H731&lt;&gt;0),G731/(H731/60)/$B$5,"")</x:f>
        <x:v>0.2704213027667254</x:v>
      </x:c>
      <x:c r="N731" s="22" t="n">
        <x:f>IF(AND(ISNUMBER(L731),ISNUMBER(H731),H731&lt;&gt;0),L731*$B$6/$B$4/(H731/60)^2/$B$5^4/$B$7,"")</x:f>
        <x:v>0.07955335811991454</x:v>
      </x:c>
      <x:c r="O731" s="22" t="n">
        <x:f>IF(ISNUMBER(N731),N731*$B$8,"")</x:f>
        <x:v>0.010278495829201807</x:v>
      </x:c>
      <x:c r="P731" s="20" t="str">
        <x:v>5000rpm!E41</x:v>
      </x:c>
      <x:c r="Q731" s="20" t="str">
        <x:v>5000rpm!D41</x:v>
      </x:c>
      <x:c r="R731" s="20" t="str">
        <x:v>5000rpm!D30</x:v>
      </x:c>
    </x:row>
    <x:row r="732">
      <x:c r="A732" s="21" t="n">
        <x:v>5000</x:v>
      </x:c>
      <x:c r="B732" s="21" t="n">
        <x:v>15</x:v>
      </x:c>
      <x:c r="C732" s="21" t="n">
        <x:v>12</x:v>
      </x:c>
      <x:c r="D732" s="21" t="n">
        <x:v>2</x:v>
      </x:c>
      <x:c r="E732" s="21" t="str">
        <x:v>5000rpm</x:v>
      </x:c>
      <x:c r="F732" s="21" t="n">
        <x:v>41</x:v>
      </x:c>
      <x:c r="G732" s="22" t="n">
        <x:f>IFERROR('5000rpm'!P41,"")</x:f>
        <x:v>10.170778230841373</x:v>
      </x:c>
      <x:c r="H732" s="22" t="n">
        <x:f>IFERROR('5000rpm'!N41,"")</x:f>
        <x:v>5020.46319110576</x:v>
      </x:c>
      <x:c r="I732" s="22" t="n">
        <x:f>IFERROR('5000rpm'!O41,"")</x:f>
        <x:v>3023.21523809523</x:v>
      </x:c>
      <x:c r="J732" s="22" t="n">
        <x:f>IFERROR('5000rpm'!O30,"")</x:f>
        <x:v>111.314410480349</x:v>
      </x:c>
      <x:c r="K732" s="22" t="n">
        <x:f>IF(AND(ISNUMBER(I732),ISNUMBER(J732)),I732-J732,"")</x:f>
        <x:v>2911.9008276148807</x:v>
      </x:c>
      <x:c r="L732" s="22" t="n">
        <x:f>IF(ISNUMBER(K732),K732*$B$2+$B$3,"")</x:f>
        <x:v>2695.219583053567</x:v>
      </x:c>
      <x:c r="M732" s="22" t="n">
        <x:f>IF(AND(ISNUMBER(G732),ISNUMBER(H732),H732&lt;&gt;0),G732/(H732/60)/$B$5,"")</x:f>
        <x:v>0.26586148498960227</x:v>
      </x:c>
      <x:c r="N732" s="22" t="n">
        <x:f>IF(AND(ISNUMBER(L732),ISNUMBER(H732),H732&lt;&gt;0),L732*$B$6/$B$4/(H732/60)^2/$B$5^4/$B$7,"")</x:f>
        <x:v>0.07165115930409545</x:v>
      </x:c>
      <x:c r="O732" s="22" t="n">
        <x:f>IF(ISNUMBER(N732),N732*$B$8,"")</x:f>
        <x:v>0.009257511681084652</x:v>
      </x:c>
      <x:c r="P732" s="20" t="str">
        <x:v>5000rpm!P41</x:v>
      </x:c>
      <x:c r="Q732" s="20" t="str">
        <x:v>5000rpm!O41</x:v>
      </x:c>
      <x:c r="R732" s="20" t="str">
        <x:v>5000rpm!O30</x:v>
      </x:c>
    </x:row>
    <x:row r="733">
      <x:c r="A733" s="21" t="n">
        <x:v>5000</x:v>
      </x:c>
      <x:c r="B733" s="21" t="n">
        <x:v>15</x:v>
      </x:c>
      <x:c r="C733" s="21" t="n">
        <x:v>13</x:v>
      </x:c>
      <x:c r="D733" s="21" t="n">
        <x:v>1</x:v>
      </x:c>
      <x:c r="E733" s="21" t="str">
        <x:v>5000rpm</x:v>
      </x:c>
      <x:c r="F733" s="21" t="n">
        <x:v>42</x:v>
      </x:c>
      <x:c r="G733" s="22" t="n">
        <x:f>IFERROR('5000rpm'!E42,"")</x:f>
        <x:v>9.235710485150864</x:v>
      </x:c>
      <x:c r="H733" s="22" t="n">
        <x:f>IFERROR('5000rpm'!C42,"")</x:f>
        <x:v>4989.76246402138</x:v>
      </x:c>
      <x:c r="I733" s="22" t="n">
        <x:f>IFERROR('5000rpm'!D42,"")</x:f>
        <x:v>3162.52644836272</x:v>
      </x:c>
      <x:c r="J733" s="22" t="n">
        <x:f>IFERROR('5000rpm'!D30,"")</x:f>
        <x:v>53.9550922213311</x:v>
      </x:c>
      <x:c r="K733" s="22" t="n">
        <x:f>IF(AND(ISNUMBER(I733),ISNUMBER(J733)),I733-J733,"")</x:f>
        <x:v>3108.571356141389</x:v>
      </x:c>
      <x:c r="L733" s="22" t="n">
        <x:f>IF(ISNUMBER(K733),K733*$B$2+$B$3,"")</x:f>
        <x:v>2875.312359389519</x:v>
      </x:c>
      <x:c r="M733" s="22" t="n">
        <x:f>IF(AND(ISNUMBER(G733),ISNUMBER(H733),H733&lt;&gt;0),G733/(H733/60)/$B$5,"")</x:f>
        <x:v>0.24290444795284857</x:v>
      </x:c>
      <x:c r="N733" s="22" t="n">
        <x:f>IF(AND(ISNUMBER(L733),ISNUMBER(H733),H733&lt;&gt;0),L733*$B$6/$B$4/(H733/60)^2/$B$5^4/$B$7,"")</x:f>
        <x:v>0.07738235283670156</x:v>
      </x:c>
      <x:c r="O733" s="22" t="n">
        <x:f>IF(ISNUMBER(N733),N733*$B$8,"")</x:f>
        <x:v>0.009997996435134196</x:v>
      </x:c>
      <x:c r="P733" s="20" t="str">
        <x:v>5000rpm!E42</x:v>
      </x:c>
      <x:c r="Q733" s="20" t="str">
        <x:v>5000rpm!D42</x:v>
      </x:c>
      <x:c r="R733" s="20" t="str">
        <x:v>5000rpm!D30</x:v>
      </x:c>
    </x:row>
    <x:row r="734">
      <x:c r="A734" s="21" t="n">
        <x:v>5000</x:v>
      </x:c>
      <x:c r="B734" s="21" t="n">
        <x:v>15</x:v>
      </x:c>
      <x:c r="C734" s="21" t="n">
        <x:v>13</x:v>
      </x:c>
      <x:c r="D734" s="21" t="n">
        <x:v>2</x:v>
      </x:c>
      <x:c r="E734" s="21" t="str">
        <x:v>5000rpm</x:v>
      </x:c>
      <x:c r="F734" s="21" t="n">
        <x:v>42</x:v>
      </x:c>
      <x:c r="G734" s="22" t="n">
        <x:f>IFERROR('5000rpm'!P42,"")</x:f>
        <x:v>9.239928800237038</x:v>
      </x:c>
      <x:c r="H734" s="22" t="n">
        <x:f>IFERROR('5000rpm'!N42,"")</x:f>
        <x:v>5038.38562950721</x:v>
      </x:c>
      <x:c r="I734" s="22" t="n">
        <x:f>IFERROR('5000rpm'!O42,"")</x:f>
        <x:v>3171.51581027668</x:v>
      </x:c>
      <x:c r="J734" s="22" t="n">
        <x:f>IFERROR('5000rpm'!O30,"")</x:f>
        <x:v>111.314410480349</x:v>
      </x:c>
      <x:c r="K734" s="22" t="n">
        <x:f>IF(AND(ISNUMBER(I734),ISNUMBER(J734)),I734-J734,"")</x:f>
        <x:v>3060.201399796331</x:v>
      </x:c>
      <x:c r="L734" s="22" t="n">
        <x:f>IF(ISNUMBER(K734),K734*$B$2+$B$3,"")</x:f>
        <x:v>2831.0196034046985</x:v>
      </x:c>
      <x:c r="M734" s="22" t="n">
        <x:f>IF(AND(ISNUMBER(G734),ISNUMBER(H734),H734&lt;&gt;0),G734/(H734/60)/$B$5,"")</x:f>
        <x:v>0.2406701611513084</x:v>
      </x:c>
      <x:c r="N734" s="22" t="n">
        <x:f>IF(AND(ISNUMBER(L734),ISNUMBER(H734),H734&lt;&gt;0),L734*$B$6/$B$4/(H734/60)^2/$B$5^4/$B$7,"")</x:f>
        <x:v>0.07472685593762997</x:v>
      </x:c>
      <x:c r="O734" s="22" t="n">
        <x:f>IF(ISNUMBER(N734),N734*$B$8,"")</x:f>
        <x:v>0.009654899494330975</x:v>
      </x:c>
      <x:c r="P734" s="20" t="str">
        <x:v>5000rpm!P42</x:v>
      </x:c>
      <x:c r="Q734" s="20" t="str">
        <x:v>5000rpm!O42</x:v>
      </x:c>
      <x:c r="R734" s="20" t="str">
        <x:v>5000rpm!O30</x:v>
      </x:c>
    </x:row>
    <x:row r="735">
      <x:c r="A735" s="21" t="n">
        <x:v>5000</x:v>
      </x:c>
      <x:c r="B735" s="21" t="n">
        <x:v>15</x:v>
      </x:c>
      <x:c r="C735" s="21" t="n">
        <x:v>14</x:v>
      </x:c>
      <x:c r="D735" s="21" t="n">
        <x:v>1</x:v>
      </x:c>
      <x:c r="E735" s="21" t="str">
        <x:v>5000rpm</x:v>
      </x:c>
      <x:c r="F735" s="21" t="n">
        <x:v>43</x:v>
      </x:c>
      <x:c r="G735" s="22" t="n">
        <x:f>IFERROR('5000rpm'!E43,"")</x:f>
        <x:v>8.21537599444361</x:v>
      </x:c>
      <x:c r="H735" s="22" t="n">
        <x:f>IFERROR('5000rpm'!C43,"")</x:f>
        <x:v>4953.00080672554</x:v>
      </x:c>
      <x:c r="I735" s="22" t="n">
        <x:f>IFERROR('5000rpm'!D43,"")</x:f>
        <x:v>3093.88085106382</x:v>
      </x:c>
      <x:c r="J735" s="22" t="n">
        <x:f>IFERROR('5000rpm'!D30,"")</x:f>
        <x:v>53.9550922213311</x:v>
      </x:c>
      <x:c r="K735" s="22" t="n">
        <x:f>IF(AND(ISNUMBER(I735),ISNUMBER(J735)),I735-J735,"")</x:f>
        <x:v>3039.925758842489</x:v>
      </x:c>
      <x:c r="L735" s="22" t="n">
        <x:f>IF(ISNUMBER(K735),K735*$B$2+$B$3,"")</x:f>
        <x:v>2812.4530367781376</x:v>
      </x:c>
      <x:c r="M735" s="22" t="n">
        <x:f>IF(AND(ISNUMBER(G735),ISNUMBER(H735),H735&lt;&gt;0),G735/(H735/60)/$B$5,"")</x:f>
        <x:v>0.21767275530021749</x:v>
      </x:c>
      <x:c r="N735" s="22" t="n">
        <x:f>IF(AND(ISNUMBER(L735),ISNUMBER(H735),H735&lt;&gt;0),L735*$B$6/$B$4/(H735/60)^2/$B$5^4/$B$7,"")</x:f>
        <x:v>0.07681837649685061</x:v>
      </x:c>
      <x:c r="O735" s="22" t="n">
        <x:f>IF(ISNUMBER(N735),N735*$B$8,"")</x:f>
        <x:v>0.009925129260272907</x:v>
      </x:c>
      <x:c r="P735" s="20" t="str">
        <x:v>5000rpm!E43</x:v>
      </x:c>
      <x:c r="Q735" s="20" t="str">
        <x:v>5000rpm!D43</x:v>
      </x:c>
      <x:c r="R735" s="20" t="str">
        <x:v>5000rpm!D30</x:v>
      </x:c>
    </x:row>
    <x:row r="736">
      <x:c r="A736" s="21" t="n">
        <x:v>5000</x:v>
      </x:c>
      <x:c r="B736" s="21" t="n">
        <x:v>15</x:v>
      </x:c>
      <x:c r="C736" s="21" t="n">
        <x:v>14</x:v>
      </x:c>
      <x:c r="D736" s="21" t="n">
        <x:v>2</x:v>
      </x:c>
      <x:c r="E736" s="21" t="str">
        <x:v>5000rpm</x:v>
      </x:c>
      <x:c r="F736" s="21" t="n">
        <x:v>43</x:v>
      </x:c>
      <x:c r="G736" s="22" t="n">
        <x:f>IFERROR('5000rpm'!P43,"")</x:f>
        <x:v>8.224845153853433</x:v>
      </x:c>
      <x:c r="H736" s="22" t="n">
        <x:f>IFERROR('5000rpm'!N43,"")</x:f>
        <x:v>5022.10514884159</x:v>
      </x:c>
      <x:c r="I736" s="22" t="n">
        <x:f>IFERROR('5000rpm'!O43,"")</x:f>
        <x:v>3209.88612099644</x:v>
      </x:c>
      <x:c r="J736" s="22" t="n">
        <x:f>IFERROR('5000rpm'!O30,"")</x:f>
        <x:v>111.314410480349</x:v>
      </x:c>
      <x:c r="K736" s="22" t="n">
        <x:f>IF(AND(ISNUMBER(I736),ISNUMBER(J736)),I736-J736,"")</x:f>
        <x:v>3098.5717105160907</x:v>
      </x:c>
      <x:c r="L736" s="22" t="n">
        <x:f>IF(ISNUMBER(K736),K736*$B$2+$B$3,"")</x:f>
        <x:v>2866.155603893268</x:v>
      </x:c>
      <x:c r="M736" s="22" t="n">
        <x:f>IF(AND(ISNUMBER(G736),ISNUMBER(H736),H736&lt;&gt;0),G736/(H736/60)/$B$5,"")</x:f>
        <x:v>0.21492501101687989</x:v>
      </x:c>
      <x:c r="N736" s="22" t="n">
        <x:f>IF(AND(ISNUMBER(L736),ISNUMBER(H736),H736&lt;&gt;0),L736*$B$6/$B$4/(H736/60)^2/$B$5^4/$B$7,"")</x:f>
        <x:v>0.07614559848734058</x:v>
      </x:c>
      <x:c r="O736" s="22" t="n">
        <x:f>IF(ISNUMBER(N736),N736*$B$8,"")</x:f>
        <x:v>0.009838204633479605</x:v>
      </x:c>
      <x:c r="P736" s="20" t="str">
        <x:v>5000rpm!P43</x:v>
      </x:c>
      <x:c r="Q736" s="20" t="str">
        <x:v>5000rpm!O43</x:v>
      </x:c>
      <x:c r="R736" s="20" t="str">
        <x:v>5000rpm!O30</x:v>
      </x:c>
    </x:row>
    <x:row r="737">
      <x:c r="A737" s="21" t="n">
        <x:v>5000</x:v>
      </x:c>
      <x:c r="B737" s="21" t="n">
        <x:v>15</x:v>
      </x:c>
      <x:c r="C737" s="21" t="n">
        <x:v>15</x:v>
      </x:c>
      <x:c r="D737" s="21" t="n">
        <x:v>1</x:v>
      </x:c>
      <x:c r="E737" s="21" t="str">
        <x:v>5000rpm</x:v>
      </x:c>
      <x:c r="F737" s="21" t="n">
        <x:v>44</x:v>
      </x:c>
      <x:c r="G737" s="22" t="n">
        <x:f>IFERROR('5000rpm'!E44,"")</x:f>
        <x:v>7.197366684198585</x:v>
      </x:c>
      <x:c r="H737" s="22" t="n">
        <x:f>IFERROR('5000rpm'!C44,"")</x:f>
        <x:v>4981.76886858259</x:v>
      </x:c>
      <x:c r="I737" s="22" t="n">
        <x:f>IFERROR('5000rpm'!D44,"")</x:f>
        <x:v>3022.0989208633</x:v>
      </x:c>
      <x:c r="J737" s="22" t="n">
        <x:f>IFERROR('5000rpm'!D30,"")</x:f>
        <x:v>53.9550922213311</x:v>
      </x:c>
      <x:c r="K737" s="22" t="n">
        <x:f>IF(AND(ISNUMBER(I737),ISNUMBER(J737)),I737-J737,"")</x:f>
        <x:v>2968.143828641969</x:v>
      </x:c>
      <x:c r="L737" s="22" t="n">
        <x:f>IF(ISNUMBER(K737),K737*$B$2+$B$3,"")</x:f>
        <x:v>2746.72174903808</x:v>
      </x:c>
      <x:c r="M737" s="22" t="n">
        <x:f>IF(AND(ISNUMBER(G737),ISNUMBER(H737),H737&lt;&gt;0),G737/(H737/60)/$B$5,"")</x:f>
        <x:v>0.18959858138320668</x:v>
      </x:c>
      <x:c r="N737" s="22" t="n">
        <x:f>IF(AND(ISNUMBER(L737),ISNUMBER(H737),H737&lt;&gt;0),L737*$B$6/$B$4/(H737/60)^2/$B$5^4/$B$7,"")</x:f>
        <x:v>0.07415905042948152</x:v>
      </x:c>
      <x:c r="O737" s="22" t="n">
        <x:f>IF(ISNUMBER(N737),N737*$B$8,"")</x:f>
        <x:v>0.009581537581204638</x:v>
      </x:c>
      <x:c r="P737" s="20" t="str">
        <x:v>5000rpm!E44</x:v>
      </x:c>
      <x:c r="Q737" s="20" t="str">
        <x:v>5000rpm!D44</x:v>
      </x:c>
      <x:c r="R737" s="20" t="str">
        <x:v>5000rpm!D30</x:v>
      </x:c>
    </x:row>
    <x:row r="738">
      <x:c r="A738" s="21" t="n">
        <x:v>5000</x:v>
      </x:c>
      <x:c r="B738" s="21" t="n">
        <x:v>15</x:v>
      </x:c>
      <x:c r="C738" s="21" t="n">
        <x:v>15</x:v>
      </x:c>
      <x:c r="D738" s="21" t="n">
        <x:v>2</x:v>
      </x:c>
      <x:c r="E738" s="21" t="str">
        <x:v>5000rpm</x:v>
      </x:c>
      <x:c r="F738" s="21" t="n">
        <x:v>44</x:v>
      </x:c>
      <x:c r="G738" s="22" t="n">
        <x:f>IFERROR('5000rpm'!P44,"")</x:f>
        <x:v>7.178327590501068</x:v>
      </x:c>
      <x:c r="H738" s="22" t="n">
        <x:f>IFERROR('5000rpm'!N44,"")</x:f>
        <x:v>5007.30138671875</x:v>
      </x:c>
      <x:c r="I738" s="22" t="n">
        <x:f>IFERROR('5000rpm'!O44,"")</x:f>
        <x:v>3188.72689938398</x:v>
      </x:c>
      <x:c r="J738" s="22" t="n">
        <x:f>IFERROR('5000rpm'!O30,"")</x:f>
        <x:v>111.314410480349</x:v>
      </x:c>
      <x:c r="K738" s="22" t="n">
        <x:f>IF(AND(ISNUMBER(I738),ISNUMBER(J738)),I738-J738,"")</x:f>
        <x:v>3077.4124889036307</x:v>
      </x:c>
      <x:c r="L738" s="22" t="n">
        <x:f>IF(ISNUMBER(K738),K738*$B$2+$B$3,"")</x:f>
        <x:v>2846.779935388966</x:v>
      </x:c>
      <x:c r="M738" s="22" t="n">
        <x:f>IF(AND(ISNUMBER(G738),ISNUMBER(H738),H738&lt;&gt;0),G738/(H738/60)/$B$5,"")</x:f>
        <x:v>0.18813282220922675</x:v>
      </x:c>
      <x:c r="N738" s="22" t="n">
        <x:f>IF(AND(ISNUMBER(L738),ISNUMBER(H738),H738&lt;&gt;0),L738*$B$6/$B$4/(H738/60)^2/$B$5^4/$B$7,"")</x:f>
        <x:v>0.07607869853152206</x:v>
      </x:c>
      <x:c r="O738" s="22" t="n">
        <x:f>IF(ISNUMBER(N738),N738*$B$8,"")</x:f>
        <x:v>0.009829560989350618</x:v>
      </x:c>
      <x:c r="P738" s="20" t="str">
        <x:v>5000rpm!P44</x:v>
      </x:c>
      <x:c r="Q738" s="20" t="str">
        <x:v>5000rpm!O44</x:v>
      </x:c>
      <x:c r="R738" s="20" t="str">
        <x:v>5000rpm!O30</x:v>
      </x:c>
    </x:row>
    <x:row r="739">
      <x:c r="A739" s="21" t="n">
        <x:v>5000</x:v>
      </x:c>
      <x:c r="B739" s="21" t="n">
        <x:v>15</x:v>
      </x:c>
      <x:c r="C739" s="21" t="n">
        <x:v>16</x:v>
      </x:c>
      <x:c r="D739" s="21" t="n">
        <x:v>1</x:v>
      </x:c>
      <x:c r="E739" s="21" t="str">
        <x:v>5000rpm</x:v>
      </x:c>
      <x:c r="F739" s="21" t="n">
        <x:v>45</x:v>
      </x:c>
      <x:c r="G739" s="22" t="n">
        <x:f>IFERROR('5000rpm'!E45,"")</x:f>
        <x:v>6.079667516800121</x:v>
      </x:c>
      <x:c r="H739" s="22" t="n">
        <x:f>IFERROR('5000rpm'!C45,"")</x:f>
        <x:v>4969.56383338341</x:v>
      </x:c>
      <x:c r="I739" s="22" t="n">
        <x:f>IFERROR('5000rpm'!D45,"")</x:f>
        <x:v>2939.67519685039</x:v>
      </x:c>
      <x:c r="J739" s="22" t="n">
        <x:f>IFERROR('5000rpm'!D30,"")</x:f>
        <x:v>53.9550922213311</x:v>
      </x:c>
      <x:c r="K739" s="22" t="n">
        <x:f>IF(AND(ISNUMBER(I739),ISNUMBER(J739)),I739-J739,"")</x:f>
        <x:v>2885.720104629059</x:v>
      </x:c>
      <x:c r="L739" s="22" t="n">
        <x:f>IF(ISNUMBER(K739),K739*$B$2+$B$3,"")</x:f>
        <x:v>2671.245685569666</x:v>
      </x:c>
      <x:c r="M739" s="22" t="n">
        <x:f>IF(AND(ISNUMBER(G739),ISNUMBER(H739),H739&lt;&gt;0),G739/(H739/60)/$B$5,"")</x:f>
        <x:v>0.16054862282715188</x:v>
      </x:c>
      <x:c r="N739" s="22" t="n">
        <x:f>IF(AND(ISNUMBER(L739),ISNUMBER(H739),H739&lt;&gt;0),L739*$B$6/$B$4/(H739/60)^2/$B$5^4/$B$7,"")</x:f>
        <x:v>0.07247595213925653</x:v>
      </x:c>
      <x:c r="O739" s="22" t="n">
        <x:f>IF(ISNUMBER(N739),N739*$B$8,"")</x:f>
        <x:v>0.009364077009268284</x:v>
      </x:c>
      <x:c r="P739" s="20" t="str">
        <x:v>5000rpm!E45</x:v>
      </x:c>
      <x:c r="Q739" s="20" t="str">
        <x:v>5000rpm!D45</x:v>
      </x:c>
      <x:c r="R739" s="20" t="str">
        <x:v>5000rpm!D30</x:v>
      </x:c>
    </x:row>
    <x:row r="740">
      <x:c r="A740" s="21" t="n">
        <x:v>5000</x:v>
      </x:c>
      <x:c r="B740" s="21" t="n">
        <x:v>15</x:v>
      </x:c>
      <x:c r="C740" s="21" t="n">
        <x:v>16</x:v>
      </x:c>
      <x:c r="D740" s="21" t="n">
        <x:v>2</x:v>
      </x:c>
      <x:c r="E740" s="21" t="str">
        <x:v>5000rpm</x:v>
      </x:c>
      <x:c r="F740" s="21" t="n">
        <x:v>45</x:v>
      </x:c>
      <x:c r="G740" s="22" t="n">
        <x:f>IFERROR('5000rpm'!P45,"")</x:f>
        <x:v>6.181221948539726</x:v>
      </x:c>
      <x:c r="H740" s="22" t="n">
        <x:f>IFERROR('5000rpm'!N45,"")</x:f>
        <x:v>5016.67260742187</x:v>
      </x:c>
      <x:c r="I740" s="22" t="n">
        <x:f>IFERROR('5000rpm'!O45,"")</x:f>
        <x:v>3181.2443324937</x:v>
      </x:c>
      <x:c r="J740" s="22" t="n">
        <x:f>IFERROR('5000rpm'!O30,"")</x:f>
        <x:v>111.314410480349</x:v>
      </x:c>
      <x:c r="K740" s="22" t="n">
        <x:f>IF(AND(ISNUMBER(I740),ISNUMBER(J740)),I740-J740,"")</x:f>
        <x:v>3069.9299220133507</x:v>
      </x:c>
      <x:c r="L740" s="22" t="n">
        <x:f>IF(ISNUMBER(K740),K740*$B$2+$B$3,"")</x:f>
        <x:v>2839.9280890270015</x:v>
      </x:c>
      <x:c r="M740" s="22" t="n">
        <x:f>IF(AND(ISNUMBER(G740),ISNUMBER(H740),H740&lt;&gt;0),G740/(H740/60)/$B$5,"")</x:f>
        <x:v>0.16169761238712224</x:v>
      </x:c>
      <x:c r="N740" s="22" t="n">
        <x:f>IF(AND(ISNUMBER(L740),ISNUMBER(H740),H740&lt;&gt;0),L740*$B$6/$B$4/(H740/60)^2/$B$5^4/$B$7,"")</x:f>
        <x:v>0.07561230315345067</x:v>
      </x:c>
      <x:c r="O740" s="22" t="n">
        <x:f>IF(ISNUMBER(N740),N740*$B$8,"")</x:f>
        <x:v>0.009769301522477581</x:v>
      </x:c>
      <x:c r="P740" s="20" t="str">
        <x:v>5000rpm!P45</x:v>
      </x:c>
      <x:c r="Q740" s="20" t="str">
        <x:v>5000rpm!O45</x:v>
      </x:c>
      <x:c r="R740" s="20" t="str">
        <x:v>5000rpm!O30</x:v>
      </x:c>
    </x:row>
    <x:row r="741">
      <x:c r="A741" s="21" t="n">
        <x:v>5000</x:v>
      </x:c>
      <x:c r="B741" s="21" t="n">
        <x:v>15</x:v>
      </x:c>
      <x:c r="C741" s="21" t="n">
        <x:v>17</x:v>
      </x:c>
      <x:c r="D741" s="21" t="n">
        <x:v>1</x:v>
      </x:c>
      <x:c r="E741" s="21" t="str">
        <x:v>5000rpm</x:v>
      </x:c>
      <x:c r="F741" s="21" t="n">
        <x:v>46</x:v>
      </x:c>
      <x:c r="G741" s="22" t="n">
        <x:f>IFERROR('5000rpm'!E46,"")</x:f>
        <x:v>5.15692902768884</x:v>
      </x:c>
      <x:c r="H741" s="22" t="n">
        <x:f>IFERROR('5000rpm'!C46,"")</x:f>
        <x:v>4964.1867282006</x:v>
      </x:c>
      <x:c r="I741" s="22" t="n">
        <x:f>IFERROR('5000rpm'!D46,"")</x:f>
        <x:v>2946.75573770491</x:v>
      </x:c>
      <x:c r="J741" s="22" t="n">
        <x:f>IFERROR('5000rpm'!D30,"")</x:f>
        <x:v>53.9550922213311</x:v>
      </x:c>
      <x:c r="K741" s="22" t="n">
        <x:f>IF(AND(ISNUMBER(I741),ISNUMBER(J741)),I741-J741,"")</x:f>
        <x:v>2892.800645483579</x:v>
      </x:c>
      <x:c r="L741" s="22" t="n">
        <x:f>IF(ISNUMBER(K741),K741*$B$2+$B$3,"")</x:f>
        <x:v>2677.729393474477</x:v>
      </x:c>
      <x:c r="M741" s="22" t="n">
        <x:f>IF(AND(ISNUMBER(G741),ISNUMBER(H741),H741&lt;&gt;0),G741/(H741/60)/$B$5,"")</x:f>
        <x:v>0.1363289450308453</x:v>
      </x:c>
      <x:c r="N741" s="22" t="n">
        <x:f>IF(AND(ISNUMBER(L741),ISNUMBER(H741),H741&lt;&gt;0),L741*$B$6/$B$4/(H741/60)^2/$B$5^4/$B$7,"")</x:f>
        <x:v>0.07280934267269808</x:v>
      </x:c>
      <x:c r="O741" s="22" t="n">
        <x:f>IF(ISNUMBER(N741),N741*$B$8,"")</x:f>
        <x:v>0.009407151912559092</x:v>
      </x:c>
      <x:c r="P741" s="20" t="str">
        <x:v>5000rpm!E46</x:v>
      </x:c>
      <x:c r="Q741" s="20" t="str">
        <x:v>5000rpm!D46</x:v>
      </x:c>
      <x:c r="R741" s="20" t="str">
        <x:v>5000rpm!D30</x:v>
      </x:c>
    </x:row>
    <x:row r="742">
      <x:c r="A742" s="21" t="n">
        <x:v>5000</x:v>
      </x:c>
      <x:c r="B742" s="21" t="n">
        <x:v>15</x:v>
      </x:c>
      <x:c r="C742" s="21" t="n">
        <x:v>17</x:v>
      </x:c>
      <x:c r="D742" s="21" t="n">
        <x:v>2</x:v>
      </x:c>
      <x:c r="E742" s="21" t="str">
        <x:v>5000rpm</x:v>
      </x:c>
      <x:c r="F742" s="21" t="n">
        <x:v>46</x:v>
      </x:c>
      <x:c r="G742" s="22" t="n">
        <x:f>IFERROR('5000rpm'!P46,"")</x:f>
        <x:v>5.157101613453231</x:v>
      </x:c>
      <x:c r="H742" s="22" t="n">
        <x:f>IFERROR('5000rpm'!N46,"")</x:f>
        <x:v>5007.72690217391</x:v>
      </x:c>
      <x:c r="I742" s="22" t="n">
        <x:f>IFERROR('5000rpm'!O46,"")</x:f>
        <x:v>3162.59565217391</x:v>
      </x:c>
      <x:c r="J742" s="22" t="n">
        <x:f>IFERROR('5000rpm'!O30,"")</x:f>
        <x:v>111.314410480349</x:v>
      </x:c>
      <x:c r="K742" s="22" t="n">
        <x:f>IF(AND(ISNUMBER(I742),ISNUMBER(J742)),I742-J742,"")</x:f>
        <x:v>3051.281241693561</x:v>
      </x:c>
      <x:c r="L742" s="22" t="n">
        <x:f>IF(ISNUMBER(K742),K742*$B$2+$B$3,"")</x:f>
        <x:v>2822.8513432687273</x:v>
      </x:c>
      <x:c r="M742" s="22" t="n">
        <x:f>IF(AND(ISNUMBER(G742),ISNUMBER(H742),H742&lt;&gt;0),G742/(H742/60)/$B$5,"")</x:f>
        <x:v>0.1351481424333177</x:v>
      </x:c>
      <x:c r="N742" s="22" t="n">
        <x:f>IF(AND(ISNUMBER(L742),ISNUMBER(H742),H742&lt;&gt;0),L742*$B$6/$B$4/(H742/60)^2/$B$5^4/$B$7,"")</x:f>
        <x:v>0.07542639961092554</x:v>
      </x:c>
      <x:c r="O742" s="22" t="n">
        <x:f>IF(ISNUMBER(N742),N742*$B$8,"")</x:f>
        <x:v>0.009745282312834688</x:v>
      </x:c>
      <x:c r="P742" s="20" t="str">
        <x:v>5000rpm!P46</x:v>
      </x:c>
      <x:c r="Q742" s="20" t="str">
        <x:v>5000rpm!O46</x:v>
      </x:c>
      <x:c r="R742" s="20" t="str">
        <x:v>5000rpm!O30</x:v>
      </x:c>
    </x:row>
    <x:row r="743">
      <x:c r="A743" s="21" t="n">
        <x:v>5000</x:v>
      </x:c>
      <x:c r="B743" s="21" t="n">
        <x:v>15</x:v>
      </x:c>
      <x:c r="C743" s="21" t="n">
        <x:v>18</x:v>
      </x:c>
      <x:c r="D743" s="21" t="n">
        <x:v>1</x:v>
      </x:c>
      <x:c r="E743" s="21" t="str">
        <x:v>5000rpm</x:v>
      </x:c>
      <x:c r="F743" s="21" t="n">
        <x:v>47</x:v>
      </x:c>
      <x:c r="G743" s="22" t="n">
        <x:f>IFERROR('5000rpm'!E47,"")</x:f>
        <x:v>4.128889292529279</x:v>
      </x:c>
      <x:c r="H743" s="22" t="n">
        <x:f>IFERROR('5000rpm'!C47,"")</x:f>
        <x:v>4955.54045222355</x:v>
      </x:c>
      <x:c r="I743" s="22" t="n">
        <x:f>IFERROR('5000rpm'!D47,"")</x:f>
        <x:v>2974.7705544933</x:v>
      </x:c>
      <x:c r="J743" s="22" t="n">
        <x:f>IFERROR('5000rpm'!D30,"")</x:f>
        <x:v>53.9550922213311</x:v>
      </x:c>
      <x:c r="K743" s="22" t="n">
        <x:f>IF(AND(ISNUMBER(I743),ISNUMBER(J743)),I743-J743,"")</x:f>
        <x:v>2920.815462271969</x:v>
      </x:c>
      <x:c r="L743" s="22" t="n">
        <x:f>IF(ISNUMBER(K743),K743*$B$2+$B$3,"")</x:f>
        <x:v>2703.38278532614</x:v>
      </x:c>
      <x:c r="M743" s="22" t="n">
        <x:f>IF(AND(ISNUMBER(G743),ISNUMBER(H743),H743&lt;&gt;0),G743/(H743/60)/$B$5,"")</x:f>
        <x:v>0.10934205738907352</x:v>
      </x:c>
      <x:c r="N743" s="22" t="n">
        <x:f>IF(AND(ISNUMBER(L743),ISNUMBER(H743),H743&lt;&gt;0),L743*$B$6/$B$4/(H743/60)^2/$B$5^4/$B$7,"")</x:f>
        <x:v>0.07376360529983184</x:v>
      </x:c>
      <x:c r="O743" s="22" t="n">
        <x:f>IF(ISNUMBER(N743),N743*$B$8,"")</x:f>
        <x:v>0.009530445066547296</x:v>
      </x:c>
      <x:c r="P743" s="20" t="str">
        <x:v>5000rpm!E47</x:v>
      </x:c>
      <x:c r="Q743" s="20" t="str">
        <x:v>5000rpm!D47</x:v>
      </x:c>
      <x:c r="R743" s="20" t="str">
        <x:v>5000rpm!D30</x:v>
      </x:c>
    </x:row>
    <x:row r="744">
      <x:c r="A744" s="21" t="n">
        <x:v>5000</x:v>
      </x:c>
      <x:c r="B744" s="21" t="n">
        <x:v>15</x:v>
      </x:c>
      <x:c r="C744" s="21" t="n">
        <x:v>18</x:v>
      </x:c>
      <x:c r="D744" s="21" t="n">
        <x:v>2</x:v>
      </x:c>
      <x:c r="E744" s="21" t="str">
        <x:v>5000rpm</x:v>
      </x:c>
      <x:c r="F744" s="21" t="n">
        <x:v>47</x:v>
      </x:c>
      <x:c r="G744" s="22" t="n">
        <x:f>IFERROR('5000rpm'!P47,"")</x:f>
        <x:v>4.132087746960945</x:v>
      </x:c>
      <x:c r="H744" s="22" t="n">
        <x:f>IFERROR('5000rpm'!N47,"")</x:f>
        <x:v>5011.60454101562</x:v>
      </x:c>
      <x:c r="I744" s="22" t="n">
        <x:f>IFERROR('5000rpm'!O47,"")</x:f>
        <x:v>3172.70873786407</x:v>
      </x:c>
      <x:c r="J744" s="22" t="n">
        <x:f>IFERROR('5000rpm'!O30,"")</x:f>
        <x:v>111.314410480349</x:v>
      </x:c>
      <x:c r="K744" s="22" t="n">
        <x:f>IF(AND(ISNUMBER(I744),ISNUMBER(J744)),I744-J744,"")</x:f>
        <x:v>3061.394327383721</x:v>
      </x:c>
      <x:c r="L744" s="22" t="n">
        <x:f>IF(ISNUMBER(K744),K744*$B$2+$B$3,"")</x:f>
        <x:v>2832.1119767398923</x:v>
      </x:c>
      <x:c r="M744" s="22" t="n">
        <x:f>IF(AND(ISNUMBER(G744),ISNUMBER(H744),H744&lt;&gt;0),G744/(H744/60)/$B$5,"")</x:f>
        <x:v>0.10820261829499453</x:v>
      </x:c>
      <x:c r="N744" s="22" t="n">
        <x:f>IF(AND(ISNUMBER(L744),ISNUMBER(H744),H744&lt;&gt;0),L744*$B$6/$B$4/(H744/60)^2/$B$5^4/$B$7,"")</x:f>
        <x:v>0.07555678587350974</x:v>
      </x:c>
      <x:c r="O744" s="22" t="n">
        <x:f>IF(ISNUMBER(N744),N744*$B$8,"")</x:f>
        <x:v>0.009762128548968891</x:v>
      </x:c>
      <x:c r="P744" s="20" t="str">
        <x:v>5000rpm!P47</x:v>
      </x:c>
      <x:c r="Q744" s="20" t="str">
        <x:v>5000rpm!O47</x:v>
      </x:c>
      <x:c r="R744" s="20" t="str">
        <x:v>5000rpm!O30</x:v>
      </x:c>
    </x:row>
    <x:row r="745">
      <x:c r="A745" s="21" t="n">
        <x:v>5000</x:v>
      </x:c>
      <x:c r="B745" s="21" t="n">
        <x:v>15</x:v>
      </x:c>
      <x:c r="C745" s="21" t="n">
        <x:v>19</x:v>
      </x:c>
      <x:c r="D745" s="21" t="n">
        <x:v>1</x:v>
      </x:c>
      <x:c r="E745" s="21" t="str">
        <x:v>5000rpm</x:v>
      </x:c>
      <x:c r="F745" s="21" t="n">
        <x:v>48</x:v>
      </x:c>
      <x:c r="G745" s="22" t="n">
        <x:f>IFERROR('5000rpm'!E48,"")</x:f>
        <x:v>3.1011958733582072</x:v>
      </x:c>
      <x:c r="H745" s="22" t="n">
        <x:f>IFERROR('5000rpm'!C48,"")</x:f>
        <x:v>4964.76822335379</x:v>
      </x:c>
      <x:c r="I745" s="22" t="n">
        <x:f>IFERROR('5000rpm'!D48,"")</x:f>
        <x:v>2954.56137184115</x:v>
      </x:c>
      <x:c r="J745" s="22" t="n">
        <x:f>IFERROR('5000rpm'!D30,"")</x:f>
        <x:v>53.9550922213311</x:v>
      </x:c>
      <x:c r="K745" s="22" t="n">
        <x:f>IF(AND(ISNUMBER(I745),ISNUMBER(J745)),I745-J745,"")</x:f>
        <x:v>2900.606279619819</x:v>
      </x:c>
      <x:c r="L745" s="22" t="n">
        <x:f>IF(ISNUMBER(K745),K745*$B$2+$B$3,"")</x:f>
        <x:v>2684.8770750981053</x:v>
      </x:c>
      <x:c r="M745" s="22" t="n">
        <x:f>IF(AND(ISNUMBER(G745),ISNUMBER(H745),H745&lt;&gt;0),G745/(H745/60)/$B$5,"")</x:f>
        <x:v>0.08197383390993908</x:v>
      </x:c>
      <x:c r="N745" s="22" t="n">
        <x:f>IF(AND(ISNUMBER(L745),ISNUMBER(H745),H745&lt;&gt;0),L745*$B$6/$B$4/(H745/60)^2/$B$5^4/$B$7,"")</x:f>
        <x:v>0.07298659313971441</x:v>
      </x:c>
      <x:c r="O745" s="22" t="n">
        <x:f>IF(ISNUMBER(N745),N745*$B$8,"")</x:f>
        <x:v>0.009430053122878902</x:v>
      </x:c>
      <x:c r="P745" s="20" t="str">
        <x:v>5000rpm!E48</x:v>
      </x:c>
      <x:c r="Q745" s="20" t="str">
        <x:v>5000rpm!D48</x:v>
      </x:c>
      <x:c r="R745" s="20" t="str">
        <x:v>5000rpm!D30</x:v>
      </x:c>
    </x:row>
    <x:row r="746">
      <x:c r="A746" s="21" t="n">
        <x:v>5000</x:v>
      </x:c>
      <x:c r="B746" s="21" t="n">
        <x:v>15</x:v>
      </x:c>
      <x:c r="C746" s="21" t="n">
        <x:v>19</x:v>
      </x:c>
      <x:c r="D746" s="21" t="n">
        <x:v>2</x:v>
      </x:c>
      <x:c r="E746" s="21" t="str">
        <x:v>5000rpm</x:v>
      </x:c>
      <x:c r="F746" s="21" t="n">
        <x:v>48</x:v>
      </x:c>
      <x:c r="G746" s="22" t="n">
        <x:f>IFERROR('5000rpm'!P48,"")</x:f>
        <x:v>3.1054886158751143</x:v>
      </x:c>
      <x:c r="H746" s="22" t="n">
        <x:f>IFERROR('5000rpm'!N48,"")</x:f>
        <x:v>5020.03369140625</x:v>
      </x:c>
      <x:c r="I746" s="22" t="n">
        <x:f>IFERROR('5000rpm'!O48,"")</x:f>
        <x:v>3178.02588235294</x:v>
      </x:c>
      <x:c r="J746" s="22" t="n">
        <x:f>IFERROR('5000rpm'!O30,"")</x:f>
        <x:v>111.314410480349</x:v>
      </x:c>
      <x:c r="K746" s="22" t="n">
        <x:f>IF(AND(ISNUMBER(I746),ISNUMBER(J746)),I746-J746,"")</x:f>
        <x:v>3066.7114718725907</x:v>
      </x:c>
      <x:c r="L746" s="22" t="n">
        <x:f>IF(ISNUMBER(K746),K746*$B$2+$B$3,"")</x:f>
        <x:v>2836.9809284855064</x:v>
      </x:c>
      <x:c r="M746" s="22" t="n">
        <x:f>IF(AND(ISNUMBER(G746),ISNUMBER(H746),H746&lt;&gt;0),G746/(H746/60)/$B$5,"")</x:f>
        <x:v>0.0811836060934328</x:v>
      </x:c>
      <x:c r="N746" s="22" t="n">
        <x:f>IF(AND(ISNUMBER(L746),ISNUMBER(H746),H746&lt;&gt;0),L746*$B$6/$B$4/(H746/60)^2/$B$5^4/$B$7,"")</x:f>
        <x:v>0.07543272471085716</x:v>
      </x:c>
      <x:c r="O746" s="22" t="n">
        <x:f>IF(ISNUMBER(N746),N746*$B$8,"")</x:f>
        <x:v>0.009746099531803224</x:v>
      </x:c>
      <x:c r="P746" s="20" t="str">
        <x:v>5000rpm!P48</x:v>
      </x:c>
      <x:c r="Q746" s="20" t="str">
        <x:v>5000rpm!O48</x:v>
      </x:c>
      <x:c r="R746" s="20" t="str">
        <x:v>5000rpm!O30</x:v>
      </x:c>
    </x:row>
    <x:row r="747">
      <x:c r="A747" s="21" t="n">
        <x:v>5000</x:v>
      </x:c>
      <x:c r="B747" s="21" t="n">
        <x:v>15</x:v>
      </x:c>
      <x:c r="C747" s="21" t="n">
        <x:v>20</x:v>
      </x:c>
      <x:c r="D747" s="21" t="n">
        <x:v>1</x:v>
      </x:c>
      <x:c r="E747" s="21" t="str">
        <x:v>5000rpm</x:v>
      </x:c>
      <x:c r="F747" s="21" t="n">
        <x:v>49</x:v>
      </x:c>
      <x:c r="G747" s="22" t="n">
        <x:f>IFERROR('5000rpm'!E49,"")</x:f>
        <x:v>2.078793546417188</x:v>
      </x:c>
      <x:c r="H747" s="22" t="n">
        <x:f>IFERROR('5000rpm'!C49,"")</x:f>
        <x:v>4957.96903483072</x:v>
      </x:c>
      <x:c r="I747" s="22" t="n">
        <x:f>IFERROR('5000rpm'!D49,"")</x:f>
        <x:v>3004.91201716738</x:v>
      </x:c>
      <x:c r="J747" s="22" t="n">
        <x:f>IFERROR('5000rpm'!D30,"")</x:f>
        <x:v>53.9550922213311</x:v>
      </x:c>
      <x:c r="K747" s="22" t="n">
        <x:f>IF(AND(ISNUMBER(I747),ISNUMBER(J747)),I747-J747,"")</x:f>
        <x:v>2950.9569249460487</x:v>
      </x:c>
      <x:c r="L747" s="22" t="n">
        <x:f>IF(ISNUMBER(K747),K747*$B$2+$B$3,"")</x:f>
        <x:v>2730.9835638284962</x:v>
      </x:c>
      <x:c r="M747" s="22" t="n">
        <x:f>IF(AND(ISNUMBER(G747),ISNUMBER(H747),H747&lt;&gt;0),G747/(H747/60)/$B$5,"")</x:f>
        <x:v>0.05502405321750208</x:v>
      </x:c>
      <x:c r="N747" s="22" t="n">
        <x:f>IF(AND(ISNUMBER(L747),ISNUMBER(H747),H747&lt;&gt;0),L747*$B$6/$B$4/(H747/60)^2/$B$5^4/$B$7,"")</x:f>
        <x:v>0.07444372719804847</x:v>
      </x:c>
      <x:c r="O747" s="22" t="n">
        <x:f>IF(ISNUMBER(N747),N747*$B$8,"")</x:f>
        <x:v>0.009618318542405238</x:v>
      </x:c>
      <x:c r="P747" s="20" t="str">
        <x:v>5000rpm!E49</x:v>
      </x:c>
      <x:c r="Q747" s="20" t="str">
        <x:v>5000rpm!D49</x:v>
      </x:c>
      <x:c r="R747" s="20" t="str">
        <x:v>5000rpm!D30</x:v>
      </x:c>
    </x:row>
    <x:row r="748">
      <x:c r="A748" s="21" t="n">
        <x:v>5000</x:v>
      </x:c>
      <x:c r="B748" s="21" t="n">
        <x:v>15</x:v>
      </x:c>
      <x:c r="C748" s="21" t="n">
        <x:v>20</x:v>
      </x:c>
      <x:c r="D748" s="21" t="n">
        <x:v>2</x:v>
      </x:c>
      <x:c r="E748" s="21" t="str">
        <x:v>5000rpm</x:v>
      </x:c>
      <x:c r="F748" s="21" t="n">
        <x:v>49</x:v>
      </x:c>
      <x:c r="G748" s="22" t="n">
        <x:f>IFERROR('5000rpm'!P49,"")</x:f>
        <x:v>1.9672046637808385</x:v>
      </x:c>
      <x:c r="H748" s="22" t="n">
        <x:f>IFERROR('5000rpm'!N49,"")</x:f>
        <x:v>5014.4891015625</x:v>
      </x:c>
      <x:c r="I748" s="22" t="n">
        <x:f>IFERROR('5000rpm'!O49,"")</x:f>
        <x:v>3181.30374753451</x:v>
      </x:c>
      <x:c r="J748" s="22" t="n">
        <x:f>IFERROR('5000rpm'!O30,"")</x:f>
        <x:v>111.314410480349</x:v>
      </x:c>
      <x:c r="K748" s="22" t="n">
        <x:f>IF(AND(ISNUMBER(I748),ISNUMBER(J748)),I748-J748,"")</x:f>
        <x:v>3069.989337054161</x:v>
      </x:c>
      <x:c r="L748" s="22" t="n">
        <x:f>IF(ISNUMBER(K748),K748*$B$2+$B$3,"")</x:f>
        <x:v>2839.9824958551917</x:v>
      </x:c>
      <x:c r="M748" s="22" t="n">
        <x:f>IF(AND(ISNUMBER(G748),ISNUMBER(H748),H748&lt;&gt;0),G748/(H748/60)/$B$5,"")</x:f>
        <x:v>0.051483478471032906</x:v>
      </x:c>
      <x:c r="N748" s="22" t="n">
        <x:f>IF(AND(ISNUMBER(L748),ISNUMBER(H748),H748&lt;&gt;0),L748*$B$6/$B$4/(H748/60)^2/$B$5^4/$B$7,"")</x:f>
        <x:v>0.07567961646252433</x:v>
      </x:c>
      <x:c r="O748" s="22" t="n">
        <x:f>IF(ISNUMBER(N748),N748*$B$8,"")</x:f>
        <x:v>0.009777998572896502</x:v>
      </x:c>
      <x:c r="P748" s="20" t="str">
        <x:v>5000rpm!P49</x:v>
      </x:c>
      <x:c r="Q748" s="20" t="str">
        <x:v>5000rpm!O49</x:v>
      </x:c>
      <x:c r="R748" s="20" t="str">
        <x:v>5000rpm!O30</x:v>
      </x:c>
    </x:row>
    <x:row r="749">
      <x:c r="A749" s="21" t="n">
        <x:v>5000</x:v>
      </x:c>
      <x:c r="B749" s="21" t="n">
        <x:v>15</x:v>
      </x:c>
      <x:c r="C749" s="21" t="n">
        <x:v>21</x:v>
      </x:c>
      <x:c r="D749" s="21" t="n">
        <x:v>1</x:v>
      </x:c>
      <x:c r="E749" s="21" t="str">
        <x:v>5000rpm</x:v>
      </x:c>
      <x:c r="F749" s="21" t="n">
        <x:v>50</x:v>
      </x:c>
      <x:c r="G749" s="22" t="n">
        <x:f>IFERROR('5000rpm'!E50,"")</x:f>
        <x:v>1.0477958597013317</x:v>
      </x:c>
      <x:c r="H749" s="22" t="n">
        <x:f>IFERROR('5000rpm'!C50,"")</x:f>
        <x:v>4969.13106595552</x:v>
      </x:c>
      <x:c r="I749" s="22" t="n">
        <x:f>IFERROR('5000rpm'!D50,"")</x:f>
        <x:v>3044.35606060606</x:v>
      </x:c>
      <x:c r="J749" s="22" t="n">
        <x:f>IFERROR('5000rpm'!D30,"")</x:f>
        <x:v>53.9550922213311</x:v>
      </x:c>
      <x:c r="K749" s="22" t="n">
        <x:f>IF(AND(ISNUMBER(I749),ISNUMBER(J749)),I749-J749,"")</x:f>
        <x:v>2990.400968384729</x:v>
      </x:c>
      <x:c r="L749" s="22" t="n">
        <x:f>IF(ISNUMBER(K749),K749*$B$2+$B$3,"")</x:f>
        <x:v>2767.1027899576434</x:v>
      </x:c>
      <x:c r="M749" s="22" t="n">
        <x:f>IF(AND(ISNUMBER(G749),ISNUMBER(H749),H749&lt;&gt;0),G749/(H749/60)/$B$5,"")</x:f>
        <x:v>0.027672044972930677</x:v>
      </x:c>
      <x:c r="N749" s="22" t="n">
        <x:f>IF(AND(ISNUMBER(L749),ISNUMBER(H749),H749&lt;&gt;0),L749*$B$6/$B$4/(H749/60)^2/$B$5^4/$B$7,"")</x:f>
        <x:v>0.0750898144504101</x:v>
      </x:c>
      <x:c r="O749" s="22" t="n">
        <x:f>IF(ISNUMBER(N749),N749*$B$8,"")</x:f>
        <x:v>0.009701794655615815</x:v>
      </x:c>
      <x:c r="P749" s="20" t="str">
        <x:v>5000rpm!E50</x:v>
      </x:c>
      <x:c r="Q749" s="20" t="str">
        <x:v>5000rpm!D50</x:v>
      </x:c>
      <x:c r="R749" s="20" t="str">
        <x:v>5000rpm!D30</x:v>
      </x:c>
    </x:row>
    <x:row r="750">
      <x:c r="A750" s="21" t="n">
        <x:v>5000</x:v>
      </x:c>
      <x:c r="B750" s="21" t="n">
        <x:v>15</x:v>
      </x:c>
      <x:c r="C750" s="21" t="n">
        <x:v>21</x:v>
      </x:c>
      <x:c r="D750" s="21" t="n">
        <x:v>2</x:v>
      </x:c>
      <x:c r="E750" s="21" t="str">
        <x:v>5000rpm</x:v>
      </x:c>
      <x:c r="F750" s="21" t="n">
        <x:v>50</x:v>
      </x:c>
      <x:c r="G750" s="22" t="n">
        <x:f>IFERROR('5000rpm'!P50,"")</x:f>
        <x:v>1.050653208703783</x:v>
      </x:c>
      <x:c r="H750" s="22" t="n">
        <x:f>IFERROR('5000rpm'!N50,"")</x:f>
        <x:v>4979.14661907327</x:v>
      </x:c>
      <x:c r="I750" s="22" t="n">
        <x:f>IFERROR('5000rpm'!O50,"")</x:f>
        <x:v>3186.97033158813</x:v>
      </x:c>
      <x:c r="J750" s="22" t="n">
        <x:f>IFERROR('5000rpm'!O30,"")</x:f>
        <x:v>111.314410480349</x:v>
      </x:c>
      <x:c r="K750" s="22" t="n">
        <x:f>IF(AND(ISNUMBER(I750),ISNUMBER(J750)),I750-J750,"")</x:f>
        <x:v>3075.655921107781</x:v>
      </x:c>
      <x:c r="L750" s="22" t="n">
        <x:f>IF(ISNUMBER(K750),K750*$B$2+$B$3,"")</x:f>
        <x:v>2845.171432205764</x:v>
      </x:c>
      <x:c r="M750" s="22" t="n">
        <x:f>IF(AND(ISNUMBER(G750),ISNUMBER(H750),H750&lt;&gt;0),G750/(H750/60)/$B$5,"")</x:f>
        <x:v>0.027691692787150647</x:v>
      </x:c>
      <x:c r="N750" s="22" t="n">
        <x:f>IF(AND(ISNUMBER(L750),ISNUMBER(H750),H750&lt;&gt;0),L750*$B$6/$B$4/(H750/60)^2/$B$5^4/$B$7,"")</x:f>
        <x:v>0.07689803673867047</x:v>
      </x:c>
      <x:c r="O750" s="22" t="n">
        <x:f>IF(ISNUMBER(N750),N750*$B$8,"")</x:f>
        <x:v>0.009935421565747487</x:v>
      </x:c>
      <x:c r="P750" s="20" t="str">
        <x:v>5000rpm!P50</x:v>
      </x:c>
      <x:c r="Q750" s="20" t="str">
        <x:v>5000rpm!O50</x:v>
      </x:c>
      <x:c r="R750" s="20" t="str">
        <x:v>5000rpm!O30</x:v>
      </x:c>
    </x:row>
    <x:row r="751">
      <x:c r="A751" s="21" t="n">
        <x:v>5000</x:v>
      </x:c>
      <x:c r="B751" s="21" t="n">
        <x:v>15</x:v>
      </x:c>
      <x:c r="C751" s="21" t="n">
        <x:v>22</x:v>
      </x:c>
      <x:c r="D751" s="21" t="n">
        <x:v>1</x:v>
      </x:c>
      <x:c r="E751" s="21" t="str">
        <x:v>5000rpm</x:v>
      </x:c>
      <x:c r="F751" s="21" t="n">
        <x:v>51</x:v>
      </x:c>
      <x:c r="G751" s="22" t="n">
        <x:f>IFERROR('5000rpm'!E51,"")</x:f>
        <x:v>0.1383805667999718</x:v>
      </x:c>
      <x:c r="H751" s="22" t="n">
        <x:f>IFERROR('5000rpm'!C51,"")</x:f>
        <x:v>4972.80159505208</x:v>
      </x:c>
      <x:c r="I751" s="22" t="n">
        <x:f>IFERROR('5000rpm'!D51,"")</x:f>
        <x:v>3048.33333333333</x:v>
      </x:c>
      <x:c r="J751" s="22" t="n">
        <x:f>IFERROR('5000rpm'!D30,"")</x:f>
        <x:v>53.9550922213311</x:v>
      </x:c>
      <x:c r="K751" s="22" t="n">
        <x:f>IF(AND(ISNUMBER(I751),ISNUMBER(J751)),I751-J751,"")</x:f>
        <x:v>2994.3782411119987</x:v>
      </x:c>
      <x:c r="L751" s="22" t="n">
        <x:f>IF(ISNUMBER(K751),K751*$B$2+$B$3,"")</x:f>
        <x:v>2770.744810412186</x:v>
      </x:c>
      <x:c r="M751" s="22" t="n">
        <x:f>IF(AND(ISNUMBER(G751),ISNUMBER(H751),H751&lt;&gt;0),G751/(H751/60)/$B$5,"")</x:f>
        <x:v>0.003651901050736541</x:v>
      </x:c>
      <x:c r="N751" s="22" t="n">
        <x:f>IF(AND(ISNUMBER(L751),ISNUMBER(H751),H751&lt;&gt;0),L751*$B$6/$B$4/(H751/60)^2/$B$5^4/$B$7,"")</x:f>
        <x:v>0.0750776909044876</x:v>
      </x:c>
      <x:c r="O751" s="22" t="n">
        <x:f>IF(ISNUMBER(N751),N751*$B$8,"")</x:f>
        <x:v>0.009700228262704886</x:v>
      </x:c>
      <x:c r="P751" s="20" t="str">
        <x:v>5000rpm!E51</x:v>
      </x:c>
      <x:c r="Q751" s="20" t="str">
        <x:v>5000rpm!D51</x:v>
      </x:c>
      <x:c r="R751" s="20" t="str">
        <x:v>5000rpm!D30</x:v>
      </x:c>
    </x:row>
    <x:row r="752">
      <x:c r="A752" s="21" t="n">
        <x:v>5000</x:v>
      </x:c>
      <x:c r="B752" s="21" t="n">
        <x:v>15</x:v>
      </x:c>
      <x:c r="C752" s="21" t="n">
        <x:v>22</x:v>
      </x:c>
      <x:c r="D752" s="21" t="n">
        <x:v>2</x:v>
      </x:c>
      <x:c r="E752" s="21" t="str">
        <x:v>5000rpm</x:v>
      </x:c>
      <x:c r="F752" s="21" t="n">
        <x:v>51</x:v>
      </x:c>
      <x:c r="G752" s="22" t="n">
        <x:f>IFERROR('5000rpm'!P51,"")</x:f>
        <x:v>0.12987419824091562</x:v>
      </x:c>
      <x:c r="H752" s="22" t="n">
        <x:f>IFERROR('5000rpm'!N51,"")</x:f>
        <x:v>0</x:v>
      </x:c>
      <x:c r="I752" s="22" t="n">
        <x:f>IFERROR('5000rpm'!O51,"")</x:f>
        <x:v>51.8703703703703</x:v>
      </x:c>
      <x:c r="J752" s="22" t="n">
        <x:f>IFERROR('5000rpm'!O30,"")</x:f>
        <x:v>111.314410480349</x:v>
      </x:c>
      <x:c r="K752" s="22" t="n">
        <x:f>IF(AND(ISNUMBER(I752),ISNUMBER(J752)),I752-J752,"")</x:f>
        <x:v>-59.444040109978694</x:v>
      </x:c>
      <x:c r="L752" s="22" t="n">
        <x:f>IF(ISNUMBER(K752),K752*$B$2+$B$3,"")</x:f>
        <x:v>-25.664683081028368</x:v>
      </x:c>
      <x:c r="M752" s="22" t="str">
        <x:f>IF(AND(ISNUMBER(G752),ISNUMBER(H752),H752&lt;&gt;0),G752/(H752/60)/$B$5,"")</x:f>
      </x:c>
      <x:c r="N752" s="22" t="str">
        <x:f>IF(AND(ISNUMBER(L752),ISNUMBER(H752),H752&lt;&gt;0),L752*$B$6/$B$4/(H752/60)^2/$B$5^4/$B$7,"")</x:f>
      </x:c>
      <x:c r="O752" s="22" t="str">
        <x:f>IF(ISNUMBER(N752),N752*$B$8,"")</x:f>
      </x:c>
      <x:c r="P752" s="20" t="str">
        <x:v>5000rpm!P51</x:v>
      </x:c>
      <x:c r="Q752" s="20" t="str">
        <x:v>5000rpm!O51</x:v>
      </x:c>
      <x:c r="R752" s="20" t="str">
        <x:v>5000rpm!O30</x:v>
      </x:c>
    </x:row>
    <x:row r="753">
      <x:c r="A753" s="21" t="n">
        <x:v>5000</x:v>
      </x:c>
      <x:c r="B753" s="21" t="n">
        <x:v>15</x:v>
      </x:c>
      <x:c r="C753" s="21" t="n">
        <x:v>23</x:v>
      </x:c>
      <x:c r="D753" s="21" t="n">
        <x:v>1</x:v>
      </x:c>
      <x:c r="E753" s="21" t="str">
        <x:v>5000rpm</x:v>
      </x:c>
      <x:c r="F753" s="21" t="n">
        <x:v>52</x:v>
      </x:c>
      <x:c r="G753" s="22" t="n">
        <x:f>IFERROR('5000rpm'!E52,"")</x:f>
        <x:v>0.054516732474785945</x:v>
      </x:c>
      <x:c r="H753" s="22" t="n">
        <x:f>IFERROR('5000rpm'!C52,"")</x:f>
        <x:v>0</x:v>
      </x:c>
      <x:c r="I753" s="22" t="n">
        <x:f>IFERROR('5000rpm'!D52,"")</x:f>
        <x:v>111.661616161616</x:v>
      </x:c>
      <x:c r="J753" s="22" t="n">
        <x:f>IFERROR('5000rpm'!D30,"")</x:f>
        <x:v>53.9550922213311</x:v>
      </x:c>
      <x:c r="K753" s="22" t="n">
        <x:f>IF(AND(ISNUMBER(I753),ISNUMBER(J753)),I753-J753,"")</x:f>
        <x:v>57.706523940284896</x:v>
      </x:c>
      <x:c r="L753" s="22" t="n">
        <x:f>IF(ISNUMBER(K753),K753*$B$2+$B$3,"")</x:f>
        <x:v>81.6110256243104</x:v>
      </x:c>
      <x:c r="M753" s="22" t="str">
        <x:f>IF(AND(ISNUMBER(G753),ISNUMBER(H753),H753&lt;&gt;0),G753/(H753/60)/$B$5,"")</x:f>
      </x:c>
      <x:c r="N753" s="22" t="str">
        <x:f>IF(AND(ISNUMBER(L753),ISNUMBER(H753),H753&lt;&gt;0),L753*$B$6/$B$4/(H753/60)^2/$B$5^4/$B$7,"")</x:f>
      </x:c>
      <x:c r="O753" s="22" t="str">
        <x:f>IF(ISNUMBER(N753),N753*$B$8,"")</x:f>
      </x:c>
      <x:c r="P753" s="20" t="str">
        <x:v>5000rpm!E52</x:v>
      </x:c>
      <x:c r="Q753" s="20" t="str">
        <x:v>5000rpm!D52</x:v>
      </x:c>
      <x:c r="R753" s="20" t="str">
        <x:v>5000rpm!D30</x:v>
      </x:c>
    </x:row>
    <x:row r="754">
      <x:c r="A754" s="21" t="n">
        <x:v>5000</x:v>
      </x:c>
      <x:c r="B754" s="21" t="n">
        <x:v>15</x:v>
      </x:c>
      <x:c r="C754" s="21" t="n">
        <x:v>23</x:v>
      </x:c>
      <x:c r="D754" s="21" t="n">
        <x:v>2</x:v>
      </x:c>
      <x:c r="E754" s="21" t="str">
        <x:v>5000rpm</x:v>
      </x:c>
      <x:c r="F754" s="21" t="n">
        <x:v>52</x:v>
      </x:c>
      <x:c r="G754" s="22" t="str">
        <x:f>IFERROR('5000rpm'!P52,"")</x:f>
      </x:c>
      <x:c r="H754" s="22" t="str">
        <x:f>IFERROR('5000rpm'!N52,"")</x:f>
      </x:c>
      <x:c r="I754" s="22" t="str">
        <x:f>IFERROR('5000rpm'!O52,"")</x:f>
      </x:c>
      <x:c r="J754" s="22" t="n">
        <x:f>IFERROR('5000rpm'!O30,"")</x:f>
        <x:v>111.314410480349</x:v>
      </x:c>
      <x:c r="K754" s="22" t="str">
        <x:f>IF(AND(ISNUMBER(I754),ISNUMBER(J754)),I754-J754,"")</x:f>
      </x:c>
      <x:c r="L754" s="22" t="str">
        <x:f>IF(ISNUMBER(K754),K754*$B$2+$B$3,"")</x:f>
      </x:c>
      <x:c r="M754" s="22" t="str">
        <x:f>IF(AND(ISNUMBER(G754),ISNUMBER(H754),H754&lt;&gt;0),G754/(H754/60)/$B$5,"")</x:f>
      </x:c>
      <x:c r="N754" s="22" t="str">
        <x:f>IF(AND(ISNUMBER(L754),ISNUMBER(H754),H754&lt;&gt;0),L754*$B$6/$B$4/(H754/60)^2/$B$5^4/$B$7,"")</x:f>
      </x:c>
      <x:c r="O754" s="22" t="str">
        <x:f>IF(ISNUMBER(N754),N754*$B$8,"")</x:f>
      </x:c>
      <x:c r="P754" s="20" t="str">
        <x:v>5000rpm!P52</x:v>
      </x:c>
      <x:c r="Q754" s="20" t="str">
        <x:v>5000rpm!O52</x:v>
      </x:c>
      <x:c r="R754" s="20" t="str">
        <x:v>5000rpm!O30</x:v>
      </x:c>
    </x:row>
    <x:row r="755">
      <x:c r="A755" s="21" t="n">
        <x:v>5000</x:v>
      </x:c>
      <x:c r="B755" s="21" t="n">
        <x:v>30</x:v>
      </x:c>
      <x:c r="C755" s="21" t="n">
        <x:v>1</x:v>
      </x:c>
      <x:c r="D755" s="21" t="n">
        <x:v>1</x:v>
      </x:c>
      <x:c r="E755" s="21" t="str">
        <x:v>5000rpm</x:v>
      </x:c>
      <x:c r="F755" s="21" t="n">
        <x:v>58</x:v>
      </x:c>
      <x:c r="G755" s="22" t="n">
        <x:f>IFERROR('5000rpm'!D58,"")</x:f>
        <x:v>0.0409951726323924</x:v>
      </x:c>
      <x:c r="H755" s="22" t="n">
        <x:f>IFERROR('5000rpm'!B58,"")</x:f>
        <x:v>0</x:v>
      </x:c>
      <x:c r="I755" s="22" t="n">
        <x:f>IFERROR('5000rpm'!C58,"")</x:f>
        <x:v>89.7650933040614</x:v>
      </x:c>
      <x:c r="J755" s="22" t="n">
        <x:f>IFERROR('5000rpm'!C58,"")</x:f>
        <x:v>89.7650933040614</x:v>
      </x:c>
      <x:c r="K755" s="22" t="n">
        <x:f>IF(AND(ISNUMBER(I755),ISNUMBER(J755)),I755-J755,"")</x:f>
        <x:v>0</x:v>
      </x:c>
      <x:c r="L755" s="22" t="n">
        <x:f>IF(ISNUMBER(K755),K755*$B$2+$B$3,"")</x:f>
        <x:v>28.7687</x:v>
      </x:c>
      <x:c r="M755" s="22" t="str">
        <x:f>IF(AND(ISNUMBER(G755),ISNUMBER(H755),H755&lt;&gt;0),G755/(H755/60)/$B$5,"")</x:f>
      </x:c>
      <x:c r="N755" s="22" t="str">
        <x:f>IF(AND(ISNUMBER(L755),ISNUMBER(H755),H755&lt;&gt;0),L755*$B$6/$B$4/(H755/60)^2/$B$5^4/$B$7,"")</x:f>
      </x:c>
      <x:c r="O755" s="22" t="str">
        <x:f>IF(ISNUMBER(N755),N755*$B$8,"")</x:f>
      </x:c>
      <x:c r="P755" s="20" t="str">
        <x:v>5000rpm!D58</x:v>
      </x:c>
      <x:c r="Q755" s="20" t="str">
        <x:v>5000rpm!C58</x:v>
      </x:c>
      <x:c r="R755" s="20" t="str">
        <x:v>5000rpm!C58</x:v>
      </x:c>
    </x:row>
    <x:row r="756">
      <x:c r="A756" s="21" t="n">
        <x:v>5000</x:v>
      </x:c>
      <x:c r="B756" s="21" t="n">
        <x:v>30</x:v>
      </x:c>
      <x:c r="C756" s="21" t="n">
        <x:v>1</x:v>
      </x:c>
      <x:c r="D756" s="21" t="n">
        <x:v>2</x:v>
      </x:c>
      <x:c r="E756" s="21" t="str">
        <x:v>5000rpm</x:v>
      </x:c>
      <x:c r="F756" s="21" t="n">
        <x:v>58</x:v>
      </x:c>
      <x:c r="G756" s="22" t="n">
        <x:f>IFERROR('5000rpm'!N58,"")</x:f>
        <x:v>0.02707988202240165</x:v>
      </x:c>
      <x:c r="H756" s="22" t="n">
        <x:f>IFERROR('5000rpm'!L58,"")</x:f>
        <x:v>0</x:v>
      </x:c>
      <x:c r="I756" s="22" t="n">
        <x:f>IFERROR('5000rpm'!M58,"")</x:f>
        <x:v>89.5040983606557</x:v>
      </x:c>
      <x:c r="J756" s="22" t="n">
        <x:f>IFERROR('5000rpm'!M58,"")</x:f>
        <x:v>89.5040983606557</x:v>
      </x:c>
      <x:c r="K756" s="22" t="n">
        <x:f>IF(AND(ISNUMBER(I756),ISNUMBER(J756)),I756-J756,"")</x:f>
        <x:v>0</x:v>
      </x:c>
      <x:c r="L756" s="22" t="n">
        <x:f>IF(ISNUMBER(K756),K756*$B$2+$B$3,"")</x:f>
        <x:v>28.7687</x:v>
      </x:c>
      <x:c r="M756" s="22" t="str">
        <x:f>IF(AND(ISNUMBER(G756),ISNUMBER(H756),H756&lt;&gt;0),G756/(H756/60)/$B$5,"")</x:f>
      </x:c>
      <x:c r="N756" s="22" t="str">
        <x:f>IF(AND(ISNUMBER(L756),ISNUMBER(H756),H756&lt;&gt;0),L756*$B$6/$B$4/(H756/60)^2/$B$5^4/$B$7,"")</x:f>
      </x:c>
      <x:c r="O756" s="22" t="str">
        <x:f>IF(ISNUMBER(N756),N756*$B$8,"")</x:f>
      </x:c>
      <x:c r="P756" s="20" t="str">
        <x:v>5000rpm!N58</x:v>
      </x:c>
      <x:c r="Q756" s="20" t="str">
        <x:v>5000rpm!M58</x:v>
      </x:c>
      <x:c r="R756" s="20" t="str">
        <x:v>5000rpm!M58</x:v>
      </x:c>
    </x:row>
    <x:row r="757">
      <x:c r="A757" s="21" t="n">
        <x:v>5000</x:v>
      </x:c>
      <x:c r="B757" s="21" t="n">
        <x:v>30</x:v>
      </x:c>
      <x:c r="C757" s="21" t="n">
        <x:v>2</x:v>
      </x:c>
      <x:c r="D757" s="21" t="n">
        <x:v>1</x:v>
      </x:c>
      <x:c r="E757" s="21" t="str">
        <x:v>5000rpm</x:v>
      </x:c>
      <x:c r="F757" s="21" t="n">
        <x:v>59</x:v>
      </x:c>
      <x:c r="G757" s="22" t="n">
        <x:f>IFERROR('5000rpm'!D59,"")</x:f>
        <x:v>0.1411122872473566</x:v>
      </x:c>
      <x:c r="H757" s="22" t="n">
        <x:f>IFERROR('5000rpm'!B59,"")</x:f>
        <x:v>5028.0642578125</x:v>
      </x:c>
      <x:c r="I757" s="22" t="n">
        <x:f>IFERROR('5000rpm'!C59,"")</x:f>
        <x:v>3276.48098159509</x:v>
      </x:c>
      <x:c r="J757" s="22" t="n">
        <x:f>IFERROR('5000rpm'!C58,"")</x:f>
        <x:v>89.7650933040614</x:v>
      </x:c>
      <x:c r="K757" s="22" t="n">
        <x:f>IF(AND(ISNUMBER(I757),ISNUMBER(J757)),I757-J757,"")</x:f>
        <x:v>3186.7158882910285</x:v>
      </x:c>
      <x:c r="L757" s="22" t="n">
        <x:f>IF(ISNUMBER(K757),K757*$B$2+$B$3,"")</x:f>
        <x:v>2946.869932635201</x:v>
      </x:c>
      <x:c r="M757" s="22" t="n">
        <x:f>IF(AND(ISNUMBER(G757),ISNUMBER(H757),H757&lt;&gt;0),G757/(H757/60)/$B$5,"")</x:f>
        <x:v>0.003683062092600198</x:v>
      </x:c>
      <x:c r="N757" s="22" t="n">
        <x:f>IF(AND(ISNUMBER(L757),ISNUMBER(H757),H757&lt;&gt;0),L757*$B$6/$B$4/(H757/60)^2/$B$5^4/$B$7,"")</x:f>
        <x:v>0.07810448475418635</x:v>
      </x:c>
      <x:c r="O757" s="22" t="n">
        <x:f>IF(ISNUMBER(N757),N757*$B$8,"")</x:f>
        <x:v>0.010091297712131363</x:v>
      </x:c>
      <x:c r="P757" s="20" t="str">
        <x:v>5000rpm!D59</x:v>
      </x:c>
      <x:c r="Q757" s="20" t="str">
        <x:v>5000rpm!C59</x:v>
      </x:c>
      <x:c r="R757" s="20" t="str">
        <x:v>5000rpm!C58</x:v>
      </x:c>
    </x:row>
    <x:row r="758">
      <x:c r="A758" s="21" t="n">
        <x:v>5000</x:v>
      </x:c>
      <x:c r="B758" s="21" t="n">
        <x:v>30</x:v>
      </x:c>
      <x:c r="C758" s="21" t="n">
        <x:v>2</x:v>
      </x:c>
      <x:c r="D758" s="21" t="n">
        <x:v>2</x:v>
      </x:c>
      <x:c r="E758" s="21" t="str">
        <x:v>5000rpm</x:v>
      </x:c>
      <x:c r="F758" s="21" t="n">
        <x:v>59</x:v>
      </x:c>
      <x:c r="G758" s="22" t="n">
        <x:f>IFERROR('5000rpm'!N59,"")</x:f>
        <x:v>0.0886737683943162</x:v>
      </x:c>
      <x:c r="H758" s="22" t="n">
        <x:f>IFERROR('5000rpm'!L59,"")</x:f>
        <x:v>5044.80358886718</x:v>
      </x:c>
      <x:c r="I758" s="22" t="n">
        <x:f>IFERROR('5000rpm'!M59,"")</x:f>
        <x:v>3296.22361111111</x:v>
      </x:c>
      <x:c r="J758" s="22" t="n">
        <x:f>IFERROR('5000rpm'!M58,"")</x:f>
        <x:v>89.5040983606557</x:v>
      </x:c>
      <x:c r="K758" s="22" t="n">
        <x:f>IF(AND(ISNUMBER(I758),ISNUMBER(J758)),I758-J758,"")</x:f>
        <x:v>3206.719512750454</x:v>
      </x:c>
      <x:c r="L758" s="22" t="n">
        <x:f>IF(ISNUMBER(K758),K758*$B$2+$B$3,"")</x:f>
        <x:v>2965.1874115816927</x:v>
      </x:c>
      <x:c r="M758" s="22" t="n">
        <x:f>IF(AND(ISNUMBER(G758),ISNUMBER(H758),H758&lt;&gt;0),G758/(H758/60)/$B$5,"")</x:f>
        <x:v>0.0023067255790194517</x:v>
      </x:c>
      <x:c r="N758" s="22" t="n">
        <x:f>IF(AND(ISNUMBER(L758),ISNUMBER(H758),H758&lt;&gt;0),L758*$B$6/$B$4/(H758/60)^2/$B$5^4/$B$7,"")</x:f>
        <x:v>0.07806929645973489</x:v>
      </x:c>
      <x:c r="O758" s="22" t="n">
        <x:f>IF(ISNUMBER(N758),N758*$B$8,"")</x:f>
        <x:v>0.010086751295156595</x:v>
      </x:c>
      <x:c r="P758" s="20" t="str">
        <x:v>5000rpm!N59</x:v>
      </x:c>
      <x:c r="Q758" s="20" t="str">
        <x:v>5000rpm!M59</x:v>
      </x:c>
      <x:c r="R758" s="20" t="str">
        <x:v>5000rpm!M58</x:v>
      </x:c>
    </x:row>
    <x:row r="759">
      <x:c r="A759" s="21" t="n">
        <x:v>5000</x:v>
      </x:c>
      <x:c r="B759" s="21" t="n">
        <x:v>30</x:v>
      </x:c>
      <x:c r="C759" s="21" t="n">
        <x:v>3</x:v>
      </x:c>
      <x:c r="D759" s="21" t="n">
        <x:v>1</x:v>
      </x:c>
      <x:c r="E759" s="21" t="str">
        <x:v>5000rpm</x:v>
      </x:c>
      <x:c r="F759" s="21" t="n">
        <x:v>60</x:v>
      </x:c>
      <x:c r="G759" s="22" t="n">
        <x:f>IFERROR('5000rpm'!D60,"")</x:f>
        <x:v>1.038931753250616</x:v>
      </x:c>
      <x:c r="H759" s="22" t="n">
        <x:f>IFERROR('5000rpm'!B60,"")</x:f>
        <x:v>4971.89097595214</x:v>
      </x:c>
      <x:c r="I759" s="22" t="n">
        <x:f>IFERROR('5000rpm'!C60,"")</x:f>
        <x:v>3245.11532385466</x:v>
      </x:c>
      <x:c r="J759" s="22" t="n">
        <x:f>IFERROR('5000rpm'!C58,"")</x:f>
        <x:v>89.7650933040614</x:v>
      </x:c>
      <x:c r="K759" s="22" t="n">
        <x:f>IF(AND(ISNUMBER(I759),ISNUMBER(J759)),I759-J759,"")</x:f>
        <x:v>3155.3502305505986</x:v>
      </x:c>
      <x:c r="L759" s="22" t="n">
        <x:f>IF(ISNUMBER(K759),K759*$B$2+$B$3,"")</x:f>
        <x:v>2918.1481489170274</x:v>
      </x:c>
      <x:c r="M759" s="22" t="n">
        <x:f>IF(AND(ISNUMBER(G759),ISNUMBER(H759),H759&lt;&gt;0),G759/(H759/60)/$B$5,"")</x:f>
        <x:v>0.027422715105757473</x:v>
      </x:c>
      <x:c r="N759" s="22" t="n">
        <x:f>IF(AND(ISNUMBER(L759),ISNUMBER(H759),H759&lt;&gt;0),L759*$B$6/$B$4/(H759/60)^2/$B$5^4/$B$7,"")</x:f>
        <x:v>0.07910078353504094</x:v>
      </x:c>
      <x:c r="O759" s="22" t="n">
        <x:f>IF(ISNUMBER(N759),N759*$B$8,"")</x:f>
        <x:v>0.010220022043896425</x:v>
      </x:c>
      <x:c r="P759" s="20" t="str">
        <x:v>5000rpm!D60</x:v>
      </x:c>
      <x:c r="Q759" s="20" t="str">
        <x:v>5000rpm!C60</x:v>
      </x:c>
      <x:c r="R759" s="20" t="str">
        <x:v>5000rpm!C58</x:v>
      </x:c>
    </x:row>
    <x:row r="760">
      <x:c r="A760" s="21" t="n">
        <x:v>5000</x:v>
      </x:c>
      <x:c r="B760" s="21" t="n">
        <x:v>30</x:v>
      </x:c>
      <x:c r="C760" s="21" t="n">
        <x:v>3</x:v>
      </x:c>
      <x:c r="D760" s="21" t="n">
        <x:v>2</x:v>
      </x:c>
      <x:c r="E760" s="21" t="str">
        <x:v>5000rpm</x:v>
      </x:c>
      <x:c r="F760" s="21" t="n">
        <x:v>60</x:v>
      </x:c>
      <x:c r="G760" s="22" t="n">
        <x:f>IFERROR('5000rpm'!N60,"")</x:f>
        <x:v>0.9041844170540565</x:v>
      </x:c>
      <x:c r="H760" s="22" t="n">
        <x:f>IFERROR('5000rpm'!L60,"")</x:f>
        <x:v>5066.02036539713</x:v>
      </x:c>
      <x:c r="I760" s="22" t="n">
        <x:f>IFERROR('5000rpm'!M60,"")</x:f>
        <x:v>3290.23799582463</x:v>
      </x:c>
      <x:c r="J760" s="22" t="n">
        <x:f>IFERROR('5000rpm'!M58,"")</x:f>
        <x:v>89.5040983606557</x:v>
      </x:c>
      <x:c r="K760" s="22" t="n">
        <x:f>IF(AND(ISNUMBER(I760),ISNUMBER(J760)),I760-J760,"")</x:f>
        <x:v>3200.7338974639742</x:v>
      </x:c>
      <x:c r="L760" s="22" t="n">
        <x:f>IF(ISNUMBER(K760),K760*$B$2+$B$3,"")</x:f>
        <x:v>2959.7063357789407</x:v>
      </x:c>
      <x:c r="M760" s="22" t="n">
        <x:f>IF(AND(ISNUMBER(G760),ISNUMBER(H760),H760&lt;&gt;0),G760/(H760/60)/$B$5,"")</x:f>
        <x:v>0.02342260073159092</x:v>
      </x:c>
      <x:c r="N760" s="22" t="n">
        <x:f>IF(AND(ISNUMBER(L760),ISNUMBER(H760),H760&lt;&gt;0),L760*$B$6/$B$4/(H760/60)^2/$B$5^4/$B$7,"")</x:f>
        <x:v>0.07727364567315677</x:v>
      </x:c>
      <x:c r="O760" s="22" t="n">
        <x:f>IF(ISNUMBER(N760),N760*$B$8,"")</x:f>
        <x:v>0.009983951193632068</x:v>
      </x:c>
      <x:c r="P760" s="20" t="str">
        <x:v>5000rpm!N60</x:v>
      </x:c>
      <x:c r="Q760" s="20" t="str">
        <x:v>5000rpm!M60</x:v>
      </x:c>
      <x:c r="R760" s="20" t="str">
        <x:v>5000rpm!M58</x:v>
      </x:c>
    </x:row>
    <x:row r="761">
      <x:c r="A761" s="21" t="n">
        <x:v>5000</x:v>
      </x:c>
      <x:c r="B761" s="21" t="n">
        <x:v>30</x:v>
      </x:c>
      <x:c r="C761" s="21" t="n">
        <x:v>4</x:v>
      </x:c>
      <x:c r="D761" s="21" t="n">
        <x:v>1</x:v>
      </x:c>
      <x:c r="E761" s="21" t="str">
        <x:v>5000rpm</x:v>
      </x:c>
      <x:c r="F761" s="21" t="n">
        <x:v>61</x:v>
      </x:c>
      <x:c r="G761" s="22" t="n">
        <x:f>IFERROR('5000rpm'!D61,"")</x:f>
        <x:v>2.070806282262</x:v>
      </x:c>
      <x:c r="H761" s="22" t="n">
        <x:f>IFERROR('5000rpm'!B61,"")</x:f>
        <x:v>4995.06718306108</x:v>
      </x:c>
      <x:c r="I761" s="22" t="n">
        <x:f>IFERROR('5000rpm'!C61,"")</x:f>
        <x:v>3186.23556581986</x:v>
      </x:c>
      <x:c r="J761" s="22" t="n">
        <x:f>IFERROR('5000rpm'!C58,"")</x:f>
        <x:v>89.7650933040614</x:v>
      </x:c>
      <x:c r="K761" s="22" t="n">
        <x:f>IF(AND(ISNUMBER(I761),ISNUMBER(J761)),I761-J761,"")</x:f>
        <x:v>3096.4704725157985</x:v>
      </x:c>
      <x:c r="L761" s="22" t="n">
        <x:f>IF(ISNUMBER(K761),K761*$B$2+$B$3,"")</x:f>
        <x:v>2864.231483446497</x:v>
      </x:c>
      <x:c r="M761" s="22" t="n">
        <x:f>IF(AND(ISNUMBER(G761),ISNUMBER(H761),H761&lt;&gt;0),G761/(H761/60)/$B$5,"")</x:f>
        <x:v>0.05440554544474002</x:v>
      </x:c>
      <x:c r="N761" s="22" t="n">
        <x:f>IF(AND(ISNUMBER(L761),ISNUMBER(H761),H761&lt;&gt;0),L761*$B$6/$B$4/(H761/60)^2/$B$5^4/$B$7,"")</x:f>
        <x:v>0.07692049833818619</x:v>
      </x:c>
      <x:c r="O761" s="22" t="n">
        <x:f>IF(ISNUMBER(N761),N761*$B$8,"")</x:f>
        <x:v>0.009938323661427615</x:v>
      </x:c>
      <x:c r="P761" s="20" t="str">
        <x:v>5000rpm!D61</x:v>
      </x:c>
      <x:c r="Q761" s="20" t="str">
        <x:v>5000rpm!C61</x:v>
      </x:c>
      <x:c r="R761" s="20" t="str">
        <x:v>5000rpm!C58</x:v>
      </x:c>
    </x:row>
    <x:row r="762">
      <x:c r="A762" s="21" t="n">
        <x:v>5000</x:v>
      </x:c>
      <x:c r="B762" s="21" t="n">
        <x:v>30</x:v>
      </x:c>
      <x:c r="C762" s="21" t="n">
        <x:v>4</x:v>
      </x:c>
      <x:c r="D762" s="21" t="n">
        <x:v>2</x:v>
      </x:c>
      <x:c r="E762" s="21" t="str">
        <x:v>5000rpm</x:v>
      </x:c>
      <x:c r="F762" s="21" t="n">
        <x:v>61</x:v>
      </x:c>
      <x:c r="G762" s="22" t="n">
        <x:f>IFERROR('5000rpm'!N61,"")</x:f>
        <x:v>1.934458380863985</x:v>
      </x:c>
      <x:c r="H762" s="22" t="n">
        <x:f>IFERROR('5000rpm'!L61,"")</x:f>
        <x:v>5031.28676350911</x:v>
      </x:c>
      <x:c r="I762" s="22" t="n">
        <x:f>IFERROR('5000rpm'!M61,"")</x:f>
        <x:v>3226.08847736625</x:v>
      </x:c>
      <x:c r="J762" s="22" t="n">
        <x:f>IFERROR('5000rpm'!M58,"")</x:f>
        <x:v>89.5040983606557</x:v>
      </x:c>
      <x:c r="K762" s="22" t="n">
        <x:f>IF(AND(ISNUMBER(I762),ISNUMBER(J762)),I762-J762,"")</x:f>
        <x:v>3136.584379005594</x:v>
      </x:c>
      <x:c r="L762" s="22" t="n">
        <x:f>IF(ISNUMBER(K762),K762*$B$2+$B$3,"")</x:f>
        <x:v>2900.9641085304547</x:v>
      </x:c>
      <x:c r="M762" s="22" t="n">
        <x:f>IF(AND(ISNUMBER(G762),ISNUMBER(H762),H762&lt;&gt;0),G762/(H762/60)/$B$5,"")</x:f>
        <x:v>0.05045745575236928</x:v>
      </x:c>
      <x:c r="N762" s="22" t="n">
        <x:f>IF(AND(ISNUMBER(L762),ISNUMBER(H762),H762&lt;&gt;0),L762*$B$6/$B$4/(H762/60)^2/$B$5^4/$B$7,"")</x:f>
        <x:v>0.07678932606917542</x:v>
      </x:c>
      <x:c r="O762" s="22" t="n">
        <x:f>IF(ISNUMBER(N762),N762*$B$8,"")</x:f>
        <x:v>0.009921375871267683</x:v>
      </x:c>
      <x:c r="P762" s="20" t="str">
        <x:v>5000rpm!N61</x:v>
      </x:c>
      <x:c r="Q762" s="20" t="str">
        <x:v>5000rpm!M61</x:v>
      </x:c>
      <x:c r="R762" s="20" t="str">
        <x:v>5000rpm!M58</x:v>
      </x:c>
    </x:row>
    <x:row r="763">
      <x:c r="A763" s="21" t="n">
        <x:v>5000</x:v>
      </x:c>
      <x:c r="B763" s="21" t="n">
        <x:v>30</x:v>
      </x:c>
      <x:c r="C763" s="21" t="n">
        <x:v>5</x:v>
      </x:c>
      <x:c r="D763" s="21" t="n">
        <x:v>1</x:v>
      </x:c>
      <x:c r="E763" s="21" t="str">
        <x:v>5000rpm</x:v>
      </x:c>
      <x:c r="F763" s="21" t="n">
        <x:v>62</x:v>
      </x:c>
      <x:c r="G763" s="22" t="n">
        <x:f>IFERROR('5000rpm'!D62,"")</x:f>
        <x:v>3.0989723321464204</x:v>
      </x:c>
      <x:c r="H763" s="22" t="n">
        <x:f>IFERROR('5000rpm'!B62,"")</x:f>
        <x:v>4949.75375088778</x:v>
      </x:c>
      <x:c r="I763" s="22" t="n">
        <x:f>IFERROR('5000rpm'!C62,"")</x:f>
        <x:v>3143.36175115207</x:v>
      </x:c>
      <x:c r="J763" s="22" t="n">
        <x:f>IFERROR('5000rpm'!C58,"")</x:f>
        <x:v>89.7650933040614</x:v>
      </x:c>
      <x:c r="K763" s="22" t="n">
        <x:f>IF(AND(ISNUMBER(I763),ISNUMBER(J763)),I763-J763,"")</x:f>
        <x:v>3053.596657848009</x:v>
      </x:c>
      <x:c r="L763" s="22" t="n">
        <x:f>IF(ISNUMBER(K763),K763*$B$2+$B$3,"")</x:f>
        <x:v>2824.9715883646845</x:v>
      </x:c>
      <x:c r="M763" s="22" t="n">
        <x:f>IF(AND(ISNUMBER(G763),ISNUMBER(H763),H763&lt;&gt;0),G763/(H763/60)/$B$5,"")</x:f>
        <x:v>0.08216353841056644</x:v>
      </x:c>
      <x:c r="N763" s="22" t="n">
        <x:f>IF(AND(ISNUMBER(L763),ISNUMBER(H763),H763&lt;&gt;0),L763*$B$6/$B$4/(H763/60)^2/$B$5^4/$B$7,"")</x:f>
        <x:v>0.07726157198194843</x:v>
      </x:c>
      <x:c r="O763" s="22" t="n">
        <x:f>IF(ISNUMBER(N763),N763*$B$8,"")</x:f>
        <x:v>0.009982391242076774</x:v>
      </x:c>
      <x:c r="P763" s="20" t="str">
        <x:v>5000rpm!D62</x:v>
      </x:c>
      <x:c r="Q763" s="20" t="str">
        <x:v>5000rpm!C62</x:v>
      </x:c>
      <x:c r="R763" s="20" t="str">
        <x:v>5000rpm!C58</x:v>
      </x:c>
    </x:row>
    <x:row r="764">
      <x:c r="A764" s="21" t="n">
        <x:v>5000</x:v>
      </x:c>
      <x:c r="B764" s="21" t="n">
        <x:v>30</x:v>
      </x:c>
      <x:c r="C764" s="21" t="n">
        <x:v>5</x:v>
      </x:c>
      <x:c r="D764" s="21" t="n">
        <x:v>2</x:v>
      </x:c>
      <x:c r="E764" s="21" t="str">
        <x:v>5000rpm</x:v>
      </x:c>
      <x:c r="F764" s="21" t="n">
        <x:v>62</x:v>
      </x:c>
      <x:c r="G764" s="22" t="n">
        <x:f>IFERROR('5000rpm'!N62,"")</x:f>
        <x:v>2.967518598200325</x:v>
      </x:c>
      <x:c r="H764" s="22" t="n">
        <x:f>IFERROR('5000rpm'!L62,"")</x:f>
        <x:v>5041.2918359375</x:v>
      </x:c>
      <x:c r="I764" s="22" t="n">
        <x:f>IFERROR('5000rpm'!M62,"")</x:f>
        <x:v>3189.92785571142</x:v>
      </x:c>
      <x:c r="J764" s="22" t="n">
        <x:f>IFERROR('5000rpm'!M58,"")</x:f>
        <x:v>89.5040983606557</x:v>
      </x:c>
      <x:c r="K764" s="22" t="n">
        <x:f>IF(AND(ISNUMBER(I764),ISNUMBER(J764)),I764-J764,"")</x:f>
        <x:v>3100.423757350764</x:v>
      </x:c>
      <x:c r="L764" s="22" t="n">
        <x:f>IF(ISNUMBER(K764),K764*$B$2+$B$3,"")</x:f>
        <x:v>2867.851537996153</x:v>
      </x:c>
      <x:c r="M764" s="22" t="n">
        <x:f>IF(AND(ISNUMBER(G764),ISNUMBER(H764),H764&lt;&gt;0),G764/(H764/60)/$B$5,"")</x:f>
        <x:v>0.07724967110029253</x:v>
      </x:c>
      <x:c r="N764" s="22" t="n">
        <x:f>IF(AND(ISNUMBER(L764),ISNUMBER(H764),H764&lt;&gt;0),L764*$B$6/$B$4/(H764/60)^2/$B$5^4/$B$7,"")</x:f>
        <x:v>0.07561180917892057</x:v>
      </x:c>
      <x:c r="O764" s="22" t="n">
        <x:f>IF(ISNUMBER(N764),N764*$B$8,"")</x:f>
        <x:v>0.009769237699714252</x:v>
      </x:c>
      <x:c r="P764" s="20" t="str">
        <x:v>5000rpm!N62</x:v>
      </x:c>
      <x:c r="Q764" s="20" t="str">
        <x:v>5000rpm!M62</x:v>
      </x:c>
      <x:c r="R764" s="20" t="str">
        <x:v>5000rpm!M58</x:v>
      </x:c>
    </x:row>
    <x:row r="765">
      <x:c r="A765" s="21" t="n">
        <x:v>5000</x:v>
      </x:c>
      <x:c r="B765" s="21" t="n">
        <x:v>30</x:v>
      </x:c>
      <x:c r="C765" s="21" t="n">
        <x:v>6</x:v>
      </x:c>
      <x:c r="D765" s="21" t="n">
        <x:v>1</x:v>
      </x:c>
      <x:c r="E765" s="21" t="str">
        <x:v>5000rpm</x:v>
      </x:c>
      <x:c r="F765" s="21" t="n">
        <x:v>63</x:v>
      </x:c>
      <x:c r="G765" s="22" t="n">
        <x:f>IFERROR('5000rpm'!D63,"")</x:f>
        <x:v>4.13176977370692</x:v>
      </x:c>
      <x:c r="H765" s="22" t="n">
        <x:f>IFERROR('5000rpm'!B63,"")</x:f>
        <x:v>4930.39956942471</x:v>
      </x:c>
      <x:c r="I765" s="22" t="n">
        <x:f>IFERROR('5000rpm'!C63,"")</x:f>
        <x:v>3125.71302428256</x:v>
      </x:c>
      <x:c r="J765" s="22" t="n">
        <x:f>IFERROR('5000rpm'!C58,"")</x:f>
        <x:v>89.7650933040614</x:v>
      </x:c>
      <x:c r="K765" s="22" t="n">
        <x:f>IF(AND(ISNUMBER(I765),ISNUMBER(J765)),I765-J765,"")</x:f>
        <x:v>3035.947930978499</x:v>
      </x:c>
      <x:c r="L765" s="22" t="n">
        <x:f>IF(ISNUMBER(K765),K765*$B$2+$B$3,"")</x:f>
        <x:v>2808.810507980459</x:v>
      </x:c>
      <x:c r="M765" s="22" t="n">
        <x:f>IF(AND(ISNUMBER(G765),ISNUMBER(H765),H765&lt;&gt;0),G765/(H765/60)/$B$5,"")</x:f>
        <x:v>0.1099762801753507</x:v>
      </x:c>
      <x:c r="N765" s="22" t="n">
        <x:f>IF(AND(ISNUMBER(L765),ISNUMBER(H765),H765&lt;&gt;0),L765*$B$6/$B$4/(H765/60)^2/$B$5^4/$B$7,"")</x:f>
        <x:v>0.07742386548970495</x:v>
      </x:c>
      <x:c r="O765" s="22" t="n">
        <x:f>IF(ISNUMBER(N765),N765*$B$8,"")</x:f>
        <x:v>0.010003359975289361</x:v>
      </x:c>
      <x:c r="P765" s="20" t="str">
        <x:v>5000rpm!D63</x:v>
      </x:c>
      <x:c r="Q765" s="20" t="str">
        <x:v>5000rpm!C63</x:v>
      </x:c>
      <x:c r="R765" s="20" t="str">
        <x:v>5000rpm!C58</x:v>
      </x:c>
    </x:row>
    <x:row r="766">
      <x:c r="A766" s="21" t="n">
        <x:v>5000</x:v>
      </x:c>
      <x:c r="B766" s="21" t="n">
        <x:v>30</x:v>
      </x:c>
      <x:c r="C766" s="21" t="n">
        <x:v>6</x:v>
      </x:c>
      <x:c r="D766" s="21" t="n">
        <x:v>2</x:v>
      </x:c>
      <x:c r="E766" s="21" t="str">
        <x:v>5000rpm</x:v>
      </x:c>
      <x:c r="F766" s="21" t="n">
        <x:v>63</x:v>
      </x:c>
      <x:c r="G766" s="22" t="n">
        <x:f>IFERROR('5000rpm'!N63,"")</x:f>
        <x:v>4.015277700126165</x:v>
      </x:c>
      <x:c r="H766" s="22" t="n">
        <x:f>IFERROR('5000rpm'!L63,"")</x:f>
        <x:v>5012.61633300781</x:v>
      </x:c>
      <x:c r="I766" s="22" t="n">
        <x:f>IFERROR('5000rpm'!M63,"")</x:f>
        <x:v>3172.38284518828</x:v>
      </x:c>
      <x:c r="J766" s="22" t="n">
        <x:f>IFERROR('5000rpm'!M58,"")</x:f>
        <x:v>89.5040983606557</x:v>
      </x:c>
      <x:c r="K766" s="22" t="n">
        <x:f>IF(AND(ISNUMBER(I766),ISNUMBER(J766)),I766-J766,"")</x:f>
        <x:v>3082.878746827624</x:v>
      </x:c>
      <x:c r="L766" s="22" t="n">
        <x:f>IF(ISNUMBER(K766),K766*$B$2+$B$3,"")</x:f>
        <x:v>2851.78543150003</x:v>
      </x:c>
      <x:c r="M766" s="22" t="n">
        <x:f>IF(AND(ISNUMBER(G766),ISNUMBER(H766),H766&lt;&gt;0),G766/(H766/60)/$B$5,"")</x:f>
        <x:v>0.10512261376466243</x:v>
      </x:c>
      <x:c r="N766" s="22" t="n">
        <x:f>IF(AND(ISNUMBER(L766),ISNUMBER(H766),H766&lt;&gt;0),L766*$B$6/$B$4/(H766/60)^2/$B$5^4/$B$7,"")</x:f>
        <x:v>0.07605093520587272</x:v>
      </x:c>
      <x:c r="O766" s="22" t="n">
        <x:f>IF(ISNUMBER(N766),N766*$B$8,"")</x:f>
        <x:v>0.009825973897194666</x:v>
      </x:c>
      <x:c r="P766" s="20" t="str">
        <x:v>5000rpm!N63</x:v>
      </x:c>
      <x:c r="Q766" s="20" t="str">
        <x:v>5000rpm!M63</x:v>
      </x:c>
      <x:c r="R766" s="20" t="str">
        <x:v>5000rpm!M58</x:v>
      </x:c>
    </x:row>
    <x:row r="767">
      <x:c r="A767" s="21" t="n">
        <x:v>5000</x:v>
      </x:c>
      <x:c r="B767" s="21" t="n">
        <x:v>30</x:v>
      </x:c>
      <x:c r="C767" s="21" t="n">
        <x:v>7</x:v>
      </x:c>
      <x:c r="D767" s="21" t="n">
        <x:v>1</x:v>
      </x:c>
      <x:c r="E767" s="21" t="str">
        <x:v>5000rpm</x:v>
      </x:c>
      <x:c r="F767" s="21" t="n">
        <x:v>64</x:v>
      </x:c>
      <x:c r="G767" s="22" t="n">
        <x:f>IFERROR('5000rpm'!D64,"")</x:f>
        <x:v>5.173365899961285</x:v>
      </x:c>
      <x:c r="H767" s="22" t="n">
        <x:f>IFERROR('5000rpm'!B64,"")</x:f>
        <x:v>4951.22825985863</x:v>
      </x:c>
      <x:c r="I767" s="22" t="n">
        <x:f>IFERROR('5000rpm'!C64,"")</x:f>
        <x:v>3092.16210045662</x:v>
      </x:c>
      <x:c r="J767" s="22" t="n">
        <x:f>IFERROR('5000rpm'!C58,"")</x:f>
        <x:v>89.7650933040614</x:v>
      </x:c>
      <x:c r="K767" s="22" t="n">
        <x:f>IF(AND(ISNUMBER(I767),ISNUMBER(J767)),I767-J767,"")</x:f>
        <x:v>3002.3970071525587</x:v>
      </x:c>
      <x:c r="L767" s="22" t="n">
        <x:f>IF(ISNUMBER(K767),K767*$B$2+$B$3,"")</x:f>
        <x:v>2778.087658625655</x:v>
      </x:c>
      <x:c r="M767" s="22" t="n">
        <x:f>IF(AND(ISNUMBER(G767),ISNUMBER(H767),H767&lt;&gt;0),G767/(H767/60)/$B$5,"")</x:f>
        <x:v>0.13712141186217963</x:v>
      </x:c>
      <x:c r="N767" s="22" t="n">
        <x:f>IF(AND(ISNUMBER(L767),ISNUMBER(H767),H767&lt;&gt;0),L767*$B$6/$B$4/(H767/60)^2/$B$5^4/$B$7,"")</x:f>
        <x:v>0.07593407219114158</x:v>
      </x:c>
      <x:c r="O767" s="22" t="n">
        <x:f>IF(ISNUMBER(N767),N767*$B$8,"")</x:f>
        <x:v>0.009810874899014208</x:v>
      </x:c>
      <x:c r="P767" s="20" t="str">
        <x:v>5000rpm!D64</x:v>
      </x:c>
      <x:c r="Q767" s="20" t="str">
        <x:v>5000rpm!C64</x:v>
      </x:c>
      <x:c r="R767" s="20" t="str">
        <x:v>5000rpm!C58</x:v>
      </x:c>
    </x:row>
    <x:row r="768">
      <x:c r="A768" s="21" t="n">
        <x:v>5000</x:v>
      </x:c>
      <x:c r="B768" s="21" t="n">
        <x:v>30</x:v>
      </x:c>
      <x:c r="C768" s="21" t="n">
        <x:v>7</x:v>
      </x:c>
      <x:c r="D768" s="21" t="n">
        <x:v>2</x:v>
      </x:c>
      <x:c r="E768" s="21" t="str">
        <x:v>5000rpm</x:v>
      </x:c>
      <x:c r="F768" s="21" t="n">
        <x:v>64</x:v>
      </x:c>
      <x:c r="G768" s="22" t="n">
        <x:f>IFERROR('5000rpm'!N64,"")</x:f>
        <x:v>5.049502510012995</x:v>
      </x:c>
      <x:c r="H768" s="22" t="n">
        <x:f>IFERROR('5000rpm'!L64,"")</x:f>
        <x:v>4999.0191457648</x:v>
      </x:c>
      <x:c r="I768" s="22" t="n">
        <x:f>IFERROR('5000rpm'!M64,"")</x:f>
        <x:v>3130.91939546599</x:v>
      </x:c>
      <x:c r="J768" s="22" t="n">
        <x:f>IFERROR('5000rpm'!M58,"")</x:f>
        <x:v>89.5040983606557</x:v>
      </x:c>
      <x:c r="K768" s="22" t="n">
        <x:f>IF(AND(ISNUMBER(I768),ISNUMBER(J768)),I768-J768,"")</x:f>
        <x:v>3041.415297105334</x:v>
      </x:c>
      <x:c r="L768" s="22" t="n">
        <x:f>IF(ISNUMBER(K768),K768*$B$2+$B$3,"")</x:f>
        <x:v>2813.817018881731</x:v>
      </x:c>
      <x:c r="M768" s="22" t="n">
        <x:f>IF(AND(ISNUMBER(G768),ISNUMBER(H768),H768&lt;&gt;0),G768/(H768/60)/$B$5,"")</x:f>
        <x:v>0.13255887846602765</x:v>
      </x:c>
      <x:c r="N768" s="22" t="n">
        <x:f>IF(AND(ISNUMBER(L768),ISNUMBER(H768),H768&lt;&gt;0),L768*$B$6/$B$4/(H768/60)^2/$B$5^4/$B$7,"")</x:f>
        <x:v>0.07544715965121304</x:v>
      </x:c>
      <x:c r="O768" s="22" t="n">
        <x:f>IF(ISNUMBER(N768),N768*$B$8,"")</x:f>
        <x:v>0.009747964562742826</x:v>
      </x:c>
      <x:c r="P768" s="20" t="str">
        <x:v>5000rpm!N64</x:v>
      </x:c>
      <x:c r="Q768" s="20" t="str">
        <x:v>5000rpm!M64</x:v>
      </x:c>
      <x:c r="R768" s="20" t="str">
        <x:v>5000rpm!M58</x:v>
      </x:c>
    </x:row>
    <x:row r="769">
      <x:c r="A769" s="21" t="n">
        <x:v>5000</x:v>
      </x:c>
      <x:c r="B769" s="21" t="n">
        <x:v>30</x:v>
      </x:c>
      <x:c r="C769" s="21" t="n">
        <x:v>8</x:v>
      </x:c>
      <x:c r="D769" s="21" t="n">
        <x:v>1</x:v>
      </x:c>
      <x:c r="E769" s="21" t="str">
        <x:v>5000rpm</x:v>
      </x:c>
      <x:c r="F769" s="21" t="n">
        <x:v>65</x:v>
      </x:c>
      <x:c r="G769" s="22" t="n">
        <x:f>IFERROR('5000rpm'!D65,"")</x:f>
        <x:v>6.18920034964878</x:v>
      </x:c>
      <x:c r="H769" s="22" t="n">
        <x:f>IFERROR('5000rpm'!B65,"")</x:f>
        <x:v>4972.80650499131</x:v>
      </x:c>
      <x:c r="I769" s="22" t="n">
        <x:f>IFERROR('5000rpm'!C65,"")</x:f>
        <x:v>3046.03324099722</x:v>
      </x:c>
      <x:c r="J769" s="22" t="n">
        <x:f>IFERROR('5000rpm'!C58,"")</x:f>
        <x:v>89.7650933040614</x:v>
      </x:c>
      <x:c r="K769" s="22" t="n">
        <x:f>IF(AND(ISNUMBER(I769),ISNUMBER(J769)),I769-J769,"")</x:f>
        <x:v>2956.268147693159</x:v>
      </x:c>
      <x:c r="L769" s="22" t="n">
        <x:f>IF(ISNUMBER(K769),K769*$B$2+$B$3,"")</x:f>
        <x:v>2735.847092987807</x:v>
      </x:c>
      <x:c r="M769" s="22" t="n">
        <x:f>IF(AND(ISNUMBER(G769),ISNUMBER(H769),H769&lt;&gt;0),G769/(H769/60)/$B$5,"")</x:f>
        <x:v>0.16333453075220647</x:v>
      </x:c>
      <x:c r="N769" s="22" t="n">
        <x:f>IF(AND(ISNUMBER(L769),ISNUMBER(H769),H769&lt;&gt;0),L769*$B$6/$B$4/(H769/60)^2/$B$5^4/$B$7,"")</x:f>
        <x:v>0.0741319359433202</x:v>
      </x:c>
      <x:c r="O769" s="22" t="n">
        <x:f>IF(ISNUMBER(N769),N769*$B$8,"")</x:f>
        <x:v>0.00957803432075773</x:v>
      </x:c>
      <x:c r="P769" s="20" t="str">
        <x:v>5000rpm!D65</x:v>
      </x:c>
      <x:c r="Q769" s="20" t="str">
        <x:v>5000rpm!C65</x:v>
      </x:c>
      <x:c r="R769" s="20" t="str">
        <x:v>5000rpm!C58</x:v>
      </x:c>
    </x:row>
    <x:row r="770">
      <x:c r="A770" s="21" t="n">
        <x:v>5000</x:v>
      </x:c>
      <x:c r="B770" s="21" t="n">
        <x:v>30</x:v>
      </x:c>
      <x:c r="C770" s="21" t="n">
        <x:v>8</x:v>
      </x:c>
      <x:c r="D770" s="21" t="n">
        <x:v>2</x:v>
      </x:c>
      <x:c r="E770" s="21" t="str">
        <x:v>5000rpm</x:v>
      </x:c>
      <x:c r="F770" s="21" t="n">
        <x:v>65</x:v>
      </x:c>
      <x:c r="G770" s="22" t="n">
        <x:f>IFERROR('5000rpm'!N65,"")</x:f>
        <x:v>6.072262282778565</x:v>
      </x:c>
      <x:c r="H770" s="22" t="n">
        <x:f>IFERROR('5000rpm'!L65,"")</x:f>
        <x:v>4991.09409466911</x:v>
      </x:c>
      <x:c r="I770" s="22" t="n">
        <x:f>IFERROR('5000rpm'!M65,"")</x:f>
        <x:v>3091.99694189602</x:v>
      </x:c>
      <x:c r="J770" s="22" t="n">
        <x:f>IFERROR('5000rpm'!M58,"")</x:f>
        <x:v>89.5040983606557</x:v>
      </x:c>
      <x:c r="K770" s="22" t="n">
        <x:f>IF(AND(ISNUMBER(I770),ISNUMBER(J770)),I770-J770,"")</x:f>
        <x:v>3002.492843535364</x:v>
      </x:c>
      <x:c r="L770" s="22" t="n">
        <x:f>IF(ISNUMBER(K770),K770*$B$2+$B$3,"")</x:f>
        <x:v>2778.175416768081</x:v>
      </x:c>
      <x:c r="M770" s="22" t="n">
        <x:f>IF(AND(ISNUMBER(G770),ISNUMBER(H770),H770&lt;&gt;0),G770/(H770/60)/$B$5,"")</x:f>
        <x:v>0.1596613485736669</x:v>
      </x:c>
      <x:c r="N770" s="22" t="n">
        <x:f>IF(AND(ISNUMBER(L770),ISNUMBER(H770),H770&lt;&gt;0),L770*$B$6/$B$4/(H770/60)^2/$B$5^4/$B$7,"")</x:f>
        <x:v>0.074728246515925</x:v>
      </x:c>
      <x:c r="O770" s="22" t="n">
        <x:f>IF(ISNUMBER(N770),N770*$B$8,"")</x:f>
        <x:v>0.00965507916057692</x:v>
      </x:c>
      <x:c r="P770" s="20" t="str">
        <x:v>5000rpm!N65</x:v>
      </x:c>
      <x:c r="Q770" s="20" t="str">
        <x:v>5000rpm!M65</x:v>
      </x:c>
      <x:c r="R770" s="20" t="str">
        <x:v>5000rpm!M58</x:v>
      </x:c>
    </x:row>
    <x:row r="771">
      <x:c r="A771" s="21" t="n">
        <x:v>5000</x:v>
      </x:c>
      <x:c r="B771" s="21" t="n">
        <x:v>30</x:v>
      </x:c>
      <x:c r="C771" s="21" t="n">
        <x:v>9</x:v>
      </x:c>
      <x:c r="D771" s="21" t="n">
        <x:v>1</x:v>
      </x:c>
      <x:c r="E771" s="21" t="str">
        <x:v>5000rpm</x:v>
      </x:c>
      <x:c r="F771" s="21" t="n">
        <x:v>66</x:v>
      </x:c>
      <x:c r="G771" s="22" t="n">
        <x:f>IFERROR('5000rpm'!D66,"")</x:f>
        <x:v>7.211426989785556</x:v>
      </x:c>
      <x:c r="H771" s="22" t="n">
        <x:f>IFERROR('5000rpm'!B66,"")</x:f>
        <x:v>4958.32005774456</x:v>
      </x:c>
      <x:c r="I771" s="22" t="n">
        <x:f>IFERROR('5000rpm'!C66,"")</x:f>
        <x:v>3004.67462039045</x:v>
      </x:c>
      <x:c r="J771" s="22" t="n">
        <x:f>IFERROR('5000rpm'!C58,"")</x:f>
        <x:v>89.7650933040614</x:v>
      </x:c>
      <x:c r="K771" s="22" t="n">
        <x:f>IF(AND(ISNUMBER(I771),ISNUMBER(J771)),I771-J771,"")</x:f>
        <x:v>2914.9095270863886</x:v>
      </x:c>
      <x:c r="L771" s="22" t="n">
        <x:f>IF(ISNUMBER(K771),K771*$B$2+$B$3,"")</x:f>
        <x:v>2697.974673229223</x:v>
      </x:c>
      <x:c r="M771" s="22" t="n">
        <x:f>IF(AND(ISNUMBER(G771),ISNUMBER(H771),H771&lt;&gt;0),G771/(H771/60)/$B$5,"")</x:f>
        <x:v>0.19086736711244168</x:v>
      </x:c>
      <x:c r="N771" s="22" t="n">
        <x:f>IF(AND(ISNUMBER(L771),ISNUMBER(H771),H771&lt;&gt;0),L771*$B$6/$B$4/(H771/60)^2/$B$5^4/$B$7,"")</x:f>
        <x:v>0.07353352703012901</x:v>
      </x:c>
      <x:c r="O771" s="22" t="n">
        <x:f>IF(ISNUMBER(N771),N771*$B$8,"")</x:f>
        <x:v>0.009500718370007776</x:v>
      </x:c>
      <x:c r="P771" s="20" t="str">
        <x:v>5000rpm!D66</x:v>
      </x:c>
      <x:c r="Q771" s="20" t="str">
        <x:v>5000rpm!C66</x:v>
      </x:c>
      <x:c r="R771" s="20" t="str">
        <x:v>5000rpm!C58</x:v>
      </x:c>
    </x:row>
    <x:row r="772">
      <x:c r="A772" s="21" t="n">
        <x:v>5000</x:v>
      </x:c>
      <x:c r="B772" s="21" t="n">
        <x:v>30</x:v>
      </x:c>
      <x:c r="C772" s="21" t="n">
        <x:v>9</x:v>
      </x:c>
      <x:c r="D772" s="21" t="n">
        <x:v>2</x:v>
      </x:c>
      <x:c r="E772" s="21" t="str">
        <x:v>5000rpm</x:v>
      </x:c>
      <x:c r="F772" s="21" t="n">
        <x:v>66</x:v>
      </x:c>
      <x:c r="G772" s="22" t="n">
        <x:f>IFERROR('5000rpm'!N66,"")</x:f>
        <x:v>7.0938375421192195</x:v>
      </x:c>
      <x:c r="H772" s="22" t="n">
        <x:f>IFERROR('5000rpm'!L66,"")</x:f>
        <x:v>5018.57799762228</x:v>
      </x:c>
      <x:c r="I772" s="22" t="n">
        <x:f>IFERROR('5000rpm'!M66,"")</x:f>
        <x:v>3046.28260869565</x:v>
      </x:c>
      <x:c r="J772" s="22" t="n">
        <x:f>IFERROR('5000rpm'!M58,"")</x:f>
        <x:v>89.5040983606557</x:v>
      </x:c>
      <x:c r="K772" s="22" t="n">
        <x:f>IF(AND(ISNUMBER(I772),ISNUMBER(J772)),I772-J772,"")</x:f>
        <x:v>2956.7785103349943</x:v>
      </x:c>
      <x:c r="L772" s="22" t="n">
        <x:f>IF(ISNUMBER(K772),K772*$B$2+$B$3,"")</x:f>
        <x:v>2736.3144361418367</x:v>
      </x:c>
      <x:c r="M772" s="22" t="n">
        <x:f>IF(AND(ISNUMBER(G772),ISNUMBER(H772),H772&lt;&gt;0),G772/(H772/60)/$B$5,"")</x:f>
        <x:v>0.18550071536561386</x:v>
      </x:c>
      <x:c r="N772" s="22" t="n">
        <x:f>IF(AND(ISNUMBER(L772),ISNUMBER(H772),H772&lt;&gt;0),L772*$B$6/$B$4/(H772/60)^2/$B$5^4/$B$7,"")</x:f>
        <x:v>0.07279830840585427</x:v>
      </x:c>
      <x:c r="O772" s="22" t="n">
        <x:f>IF(ISNUMBER(N772),N772*$B$8,"")</x:f>
        <x:v>0.009405726257270456</x:v>
      </x:c>
      <x:c r="P772" s="20" t="str">
        <x:v>5000rpm!N66</x:v>
      </x:c>
      <x:c r="Q772" s="20" t="str">
        <x:v>5000rpm!M66</x:v>
      </x:c>
      <x:c r="R772" s="20" t="str">
        <x:v>5000rpm!M58</x:v>
      </x:c>
    </x:row>
    <x:row r="773">
      <x:c r="A773" s="21" t="n">
        <x:v>5000</x:v>
      </x:c>
      <x:c r="B773" s="21" t="n">
        <x:v>30</x:v>
      </x:c>
      <x:c r="C773" s="21" t="n">
        <x:v>10</x:v>
      </x:c>
      <x:c r="D773" s="21" t="n">
        <x:v>1</x:v>
      </x:c>
      <x:c r="E773" s="21" t="str">
        <x:v>5000rpm</x:v>
      </x:c>
      <x:c r="F773" s="21" t="n">
        <x:v>67</x:v>
      </x:c>
      <x:c r="G773" s="22" t="n">
        <x:f>IFERROR('5000rpm'!D67,"")</x:f>
        <x:v>8.238545523025095</x:v>
      </x:c>
      <x:c r="H773" s="22" t="n">
        <x:f>IFERROR('5000rpm'!B67,"")</x:f>
        <x:v>4991.40108548677</x:v>
      </x:c>
      <x:c r="I773" s="22" t="n">
        <x:f>IFERROR('5000rpm'!C67,"")</x:f>
        <x:v>2955.86354775828</x:v>
      </x:c>
      <x:c r="J773" s="22" t="n">
        <x:f>IFERROR('5000rpm'!C58,"")</x:f>
        <x:v>89.7650933040614</x:v>
      </x:c>
      <x:c r="K773" s="22" t="n">
        <x:f>IF(AND(ISNUMBER(I773),ISNUMBER(J773)),I773-J773,"")</x:f>
        <x:v>2866.098454454219</x:v>
      </x:c>
      <x:c r="L773" s="22" t="n">
        <x:f>IF(ISNUMBER(K773),K773*$B$2+$B$3,"")</x:f>
        <x:v>2653.277983531364</x:v>
      </x:c>
      <x:c r="M773" s="22" t="n">
        <x:f>IF(AND(ISNUMBER(G773),ISNUMBER(H773),H773&lt;&gt;0),G773/(H773/60)/$B$5,"")</x:f>
        <x:v>0.21660730817576881</x:v>
      </x:c>
      <x:c r="N773" s="22" t="n">
        <x:f>IF(AND(ISNUMBER(L773),ISNUMBER(H773),H773&lt;&gt;0),L773*$B$6/$B$4/(H773/60)^2/$B$5^4/$B$7,"")</x:f>
        <x:v>0.07135993696405281</x:v>
      </x:c>
      <x:c r="O773" s="22" t="n">
        <x:f>IF(ISNUMBER(N773),N773*$B$8,"")</x:f>
        <x:v>0.009219885015432314</x:v>
      </x:c>
      <x:c r="P773" s="20" t="str">
        <x:v>5000rpm!D67</x:v>
      </x:c>
      <x:c r="Q773" s="20" t="str">
        <x:v>5000rpm!C67</x:v>
      </x:c>
      <x:c r="R773" s="20" t="str">
        <x:v>5000rpm!C58</x:v>
      </x:c>
    </x:row>
    <x:row r="774">
      <x:c r="A774" s="21" t="n">
        <x:v>5000</x:v>
      </x:c>
      <x:c r="B774" s="21" t="n">
        <x:v>30</x:v>
      </x:c>
      <x:c r="C774" s="21" t="n">
        <x:v>10</x:v>
      </x:c>
      <x:c r="D774" s="21" t="n">
        <x:v>2</x:v>
      </x:c>
      <x:c r="E774" s="21" t="str">
        <x:v>5000rpm</x:v>
      </x:c>
      <x:c r="F774" s="21" t="n">
        <x:v>67</x:v>
      </x:c>
      <x:c r="G774" s="22" t="n">
        <x:f>IFERROR('5000rpm'!N67,"")</x:f>
        <x:v>8.130019981230316</x:v>
      </x:c>
      <x:c r="H774" s="22" t="n">
        <x:f>IFERROR('5000rpm'!L67,"")</x:f>
        <x:v>5009.2099609375</x:v>
      </x:c>
      <x:c r="I774" s="22" t="n">
        <x:f>IFERROR('5000rpm'!M67,"")</x:f>
        <x:v>3017.2062780269</x:v>
      </x:c>
      <x:c r="J774" s="22" t="n">
        <x:f>IFERROR('5000rpm'!M58,"")</x:f>
        <x:v>89.5040983606557</x:v>
      </x:c>
      <x:c r="K774" s="22" t="n">
        <x:f>IF(AND(ISNUMBER(I774),ISNUMBER(J774)),I774-J774,"")</x:f>
        <x:v>2927.702179666244</x:v>
      </x:c>
      <x:c r="L774" s="22" t="n">
        <x:f>IF(ISNUMBER(K774),K774*$B$2+$B$3,"")</x:f>
        <x:v>2709.689007537817</x:v>
      </x:c>
      <x:c r="M774" s="22" t="n">
        <x:f>IF(AND(ISNUMBER(G774),ISNUMBER(H774),H774&lt;&gt;0),G774/(H774/60)/$B$5,"")</x:f>
        <x:v>0.21299401789644462</x:v>
      </x:c>
      <x:c r="N774" s="22" t="n">
        <x:f>IF(AND(ISNUMBER(L774),ISNUMBER(H774),H774&lt;&gt;0),L774*$B$6/$B$4/(H774/60)^2/$B$5^4/$B$7,"")</x:f>
        <x:v>0.07235984387524995</x:v>
      </x:c>
      <x:c r="O774" s="22" t="n">
        <x:f>IF(ISNUMBER(N774),N774*$B$8,"")</x:f>
        <x:v>0.009349075526797503</x:v>
      </x:c>
      <x:c r="P774" s="20" t="str">
        <x:v>5000rpm!N67</x:v>
      </x:c>
      <x:c r="Q774" s="20" t="str">
        <x:v>5000rpm!M67</x:v>
      </x:c>
      <x:c r="R774" s="20" t="str">
        <x:v>5000rpm!M58</x:v>
      </x:c>
    </x:row>
    <x:row r="775">
      <x:c r="A775" s="21" t="n">
        <x:v>5000</x:v>
      </x:c>
      <x:c r="B775" s="21" t="n">
        <x:v>30</x:v>
      </x:c>
      <x:c r="C775" s="21" t="n">
        <x:v>11</x:v>
      </x:c>
      <x:c r="D775" s="21" t="n">
        <x:v>1</x:v>
      </x:c>
      <x:c r="E775" s="21" t="str">
        <x:v>5000rpm</x:v>
      </x:c>
      <x:c r="F775" s="21" t="n">
        <x:v>68</x:v>
      </x:c>
      <x:c r="G775" s="22" t="n">
        <x:f>IFERROR('5000rpm'!D68,"")</x:f>
        <x:v>9.2614268875122</x:v>
      </x:c>
      <x:c r="H775" s="22" t="n">
        <x:f>IFERROR('5000rpm'!B68,"")</x:f>
        <x:v>4933.15740411931</x:v>
      </x:c>
      <x:c r="I775" s="22" t="n">
        <x:f>IFERROR('5000rpm'!C68,"")</x:f>
        <x:v>2925.1814159292</x:v>
      </x:c>
      <x:c r="J775" s="22" t="n">
        <x:f>IFERROR('5000rpm'!C58,"")</x:f>
        <x:v>89.7650933040614</x:v>
      </x:c>
      <x:c r="K775" s="22" t="n">
        <x:f>IF(AND(ISNUMBER(I775),ISNUMBER(J775)),I775-J775,"")</x:f>
        <x:v>2835.4163226251385</x:v>
      </x:c>
      <x:c r="L775" s="22" t="n">
        <x:f>IF(ISNUMBER(K775),K775*$B$2+$B$3,"")</x:f>
        <x:v>2625.1821099584204</x:v>
      </x:c>
      <x:c r="M775" s="22" t="n">
        <x:f>IF(AND(ISNUMBER(G775),ISNUMBER(H775),H775&lt;&gt;0),G775/(H775/60)/$B$5,"")</x:f>
        <x:v>0.246375749469699</x:v>
      </x:c>
      <x:c r="N775" s="22" t="n">
        <x:f>IF(AND(ISNUMBER(L775),ISNUMBER(H775),H775&lt;&gt;0),L775*$B$6/$B$4/(H775/60)^2/$B$5^4/$B$7,"")</x:f>
        <x:v>0.07228132962448</x:v>
      </x:c>
      <x:c r="O775" s="22" t="n">
        <x:f>IF(ISNUMBER(N775),N775*$B$8,"")</x:f>
        <x:v>0.009338931286275873</x:v>
      </x:c>
      <x:c r="P775" s="20" t="str">
        <x:v>5000rpm!D68</x:v>
      </x:c>
      <x:c r="Q775" s="20" t="str">
        <x:v>5000rpm!C68</x:v>
      </x:c>
      <x:c r="R775" s="20" t="str">
        <x:v>5000rpm!C58</x:v>
      </x:c>
    </x:row>
    <x:row r="776">
      <x:c r="A776" s="21" t="n">
        <x:v>5000</x:v>
      </x:c>
      <x:c r="B776" s="21" t="n">
        <x:v>30</x:v>
      </x:c>
      <x:c r="C776" s="21" t="n">
        <x:v>11</x:v>
      </x:c>
      <x:c r="D776" s="21" t="n">
        <x:v>2</x:v>
      </x:c>
      <x:c r="E776" s="21" t="str">
        <x:v>5000rpm</x:v>
      </x:c>
      <x:c r="F776" s="21" t="n">
        <x:v>68</x:v>
      </x:c>
      <x:c r="G776" s="22" t="n">
        <x:f>IFERROR('5000rpm'!N68,"")</x:f>
        <x:v>9.166123073179634</x:v>
      </x:c>
      <x:c r="H776" s="22" t="n">
        <x:f>IFERROR('5000rpm'!L68,"")</x:f>
        <x:v>4993.1533203125</x:v>
      </x:c>
      <x:c r="I776" s="22" t="n">
        <x:f>IFERROR('5000rpm'!M68,"")</x:f>
        <x:v>2997.21487603305</x:v>
      </x:c>
      <x:c r="J776" s="22" t="n">
        <x:f>IFERROR('5000rpm'!M58,"")</x:f>
        <x:v>89.5040983606557</x:v>
      </x:c>
      <x:c r="K776" s="22" t="n">
        <x:f>IF(AND(ISNUMBER(I776),ISNUMBER(J776)),I776-J776,"")</x:f>
        <x:v>2907.710777672394</x:v>
      </x:c>
      <x:c r="L776" s="22" t="n">
        <x:f>IF(ISNUMBER(K776),K776*$B$2+$B$3,"")</x:f>
        <x:v>2691.382720800833</x:v>
      </x:c>
      <x:c r="M776" s="22" t="n">
        <x:f>IF(AND(ISNUMBER(G776),ISNUMBER(H776),H776&lt;&gt;0),G776/(H776/60)/$B$5,"")</x:f>
        <x:v>0.2409105455564575</x:v>
      </x:c>
      <x:c r="N776" s="22" t="n">
        <x:f>IF(AND(ISNUMBER(L776),ISNUMBER(H776),H776&lt;&gt;0),L776*$B$6/$B$4/(H776/60)^2/$B$5^4/$B$7,"")</x:f>
        <x:v>0.07233396954560545</x:v>
      </x:c>
      <x:c r="O776" s="22" t="n">
        <x:f>IF(ISNUMBER(N776),N776*$B$8,"")</x:f>
        <x:v>0.009345732497720924</x:v>
      </x:c>
      <x:c r="P776" s="20" t="str">
        <x:v>5000rpm!N68</x:v>
      </x:c>
      <x:c r="Q776" s="20" t="str">
        <x:v>5000rpm!M68</x:v>
      </x:c>
      <x:c r="R776" s="20" t="str">
        <x:v>5000rpm!M58</x:v>
      </x:c>
    </x:row>
    <x:row r="777">
      <x:c r="A777" s="21" t="n">
        <x:v>5000</x:v>
      </x:c>
      <x:c r="B777" s="21" t="n">
        <x:v>30</x:v>
      </x:c>
      <x:c r="C777" s="21" t="n">
        <x:v>12</x:v>
      </x:c>
      <x:c r="D777" s="21" t="n">
        <x:v>1</x:v>
      </x:c>
      <x:c r="E777" s="21" t="str">
        <x:v>5000rpm</x:v>
      </x:c>
      <x:c r="F777" s="21" t="n">
        <x:v>69</x:v>
      </x:c>
      <x:c r="G777" s="22" t="n">
        <x:f>IFERROR('5000rpm'!D69,"")</x:f>
        <x:v>10.209873357376486</x:v>
      </x:c>
      <x:c r="H777" s="22" t="n">
        <x:f>IFERROR('5000rpm'!B69,"")</x:f>
        <x:v>4942.75178328804</x:v>
      </x:c>
      <x:c r="I777" s="22" t="n">
        <x:f>IFERROR('5000rpm'!C69,"")</x:f>
        <x:v>2889.61771058315</x:v>
      </x:c>
      <x:c r="J777" s="22" t="n">
        <x:f>IFERROR('5000rpm'!C58,"")</x:f>
        <x:v>89.7650933040614</x:v>
      </x:c>
      <x:c r="K777" s="22" t="n">
        <x:f>IF(AND(ISNUMBER(I777),ISNUMBER(J777)),I777-J777,"")</x:f>
        <x:v>2799.8526172790885</x:v>
      </x:c>
      <x:c r="L777" s="22" t="n">
        <x:f>IF(ISNUMBER(K777),K777*$B$2+$B$3,"")</x:f>
        <x:v>2592.6161404633995</x:v>
      </x:c>
      <x:c r="M777" s="22" t="n">
        <x:f>IF(AND(ISNUMBER(G777),ISNUMBER(H777),H777&lt;&gt;0),G777/(H777/60)/$B$5,"")</x:f>
        <x:v>0.27107944159501657</x:v>
      </x:c>
      <x:c r="N777" s="22" t="n">
        <x:f>IF(AND(ISNUMBER(L777),ISNUMBER(H777),H777&lt;&gt;0),L777*$B$6/$B$4/(H777/60)^2/$B$5^4/$B$7,"")</x:f>
        <x:v>0.07110780293245485</x:v>
      </x:c>
      <x:c r="O777" s="22" t="n">
        <x:f>IF(ISNUMBER(N777),N777*$B$8,"")</x:f>
        <x:v>0.009187308658463534</x:v>
      </x:c>
      <x:c r="P777" s="20" t="str">
        <x:v>5000rpm!D69</x:v>
      </x:c>
      <x:c r="Q777" s="20" t="str">
        <x:v>5000rpm!C69</x:v>
      </x:c>
      <x:c r="R777" s="20" t="str">
        <x:v>5000rpm!C58</x:v>
      </x:c>
    </x:row>
    <x:row r="778">
      <x:c r="A778" s="21" t="n">
        <x:v>5000</x:v>
      </x:c>
      <x:c r="B778" s="21" t="n">
        <x:v>30</x:v>
      </x:c>
      <x:c r="C778" s="21" t="n">
        <x:v>12</x:v>
      </x:c>
      <x:c r="D778" s="21" t="n">
        <x:v>2</x:v>
      </x:c>
      <x:c r="E778" s="21" t="str">
        <x:v>5000rpm</x:v>
      </x:c>
      <x:c r="F778" s="21" t="n">
        <x:v>69</x:v>
      </x:c>
      <x:c r="G778" s="22" t="n">
        <x:f>IFERROR('5000rpm'!N69,"")</x:f>
        <x:v>10.13651491030482</x:v>
      </x:c>
      <x:c r="H778" s="22" t="n">
        <x:f>IFERROR('5000rpm'!L69,"")</x:f>
        <x:v>5004.97506009615</x:v>
      </x:c>
      <x:c r="I778" s="22" t="n">
        <x:f>IFERROR('5000rpm'!M69,"")</x:f>
        <x:v>2973.94666666666</x:v>
      </x:c>
      <x:c r="J778" s="22" t="n">
        <x:f>IFERROR('5000rpm'!M58,"")</x:f>
        <x:v>89.5040983606557</x:v>
      </x:c>
      <x:c r="K778" s="22" t="n">
        <x:f>IF(AND(ISNUMBER(I778),ISNUMBER(J778)),I778-J778,"")</x:f>
        <x:v>2884.442568306004</x:v>
      </x:c>
      <x:c r="L778" s="22" t="n">
        <x:f>IF(ISNUMBER(K778),K778*$B$2+$B$3,"")</x:f>
        <x:v>2670.0758353383544</x:v>
      </x:c>
      <x:c r="M778" s="22" t="n">
        <x:f>IF(AND(ISNUMBER(G778),ISNUMBER(H778),H778&lt;&gt;0),G778/(H778/60)/$B$5,"")</x:f>
        <x:v>0.2657858000473996</x:v>
      </x:c>
      <x:c r="N778" s="22" t="n">
        <x:f>IF(AND(ISNUMBER(L778),ISNUMBER(H778),H778&lt;&gt;0),L778*$B$6/$B$4/(H778/60)^2/$B$5^4/$B$7,"")</x:f>
        <x:v>0.07142272297646395</x:v>
      </x:c>
      <x:c r="O778" s="22" t="n">
        <x:f>IF(ISNUMBER(N778),N778*$B$8,"")</x:f>
        <x:v>0.009227997127629103</x:v>
      </x:c>
      <x:c r="P778" s="20" t="str">
        <x:v>5000rpm!N69</x:v>
      </x:c>
      <x:c r="Q778" s="20" t="str">
        <x:v>5000rpm!M69</x:v>
      </x:c>
      <x:c r="R778" s="20" t="str">
        <x:v>5000rpm!M58</x:v>
      </x:c>
    </x:row>
    <x:row r="779">
      <x:c r="A779" s="21" t="n">
        <x:v>5000</x:v>
      </x:c>
      <x:c r="B779" s="21" t="n">
        <x:v>30</x:v>
      </x:c>
      <x:c r="C779" s="21" t="n">
        <x:v>13</x:v>
      </x:c>
      <x:c r="D779" s="21" t="n">
        <x:v>1</x:v>
      </x:c>
      <x:c r="E779" s="21" t="str">
        <x:v>5000rpm</x:v>
      </x:c>
      <x:c r="F779" s="21" t="n">
        <x:v>70</x:v>
      </x:c>
      <x:c r="G779" s="22" t="n">
        <x:f>IFERROR('5000rpm'!D70,"")</x:f>
        <x:v>9.248253530668979</x:v>
      </x:c>
      <x:c r="H779" s="22" t="n">
        <x:f>IFERROR('5000rpm'!B70,"")</x:f>
        <x:v>4951.81956845238</x:v>
      </x:c>
      <x:c r="I779" s="22" t="n">
        <x:f>IFERROR('5000rpm'!C70,"")</x:f>
        <x:v>2925.800486618</x:v>
      </x:c>
      <x:c r="J779" s="22" t="n">
        <x:f>IFERROR('5000rpm'!C58,"")</x:f>
        <x:v>89.7650933040614</x:v>
      </x:c>
      <x:c r="K779" s="22" t="n">
        <x:f>IF(AND(ISNUMBER(I779),ISNUMBER(J779)),I779-J779,"")</x:f>
        <x:v>2836.0353933139386</x:v>
      </x:c>
      <x:c r="L779" s="22" t="n">
        <x:f>IF(ISNUMBER(K779),K779*$B$2+$B$3,"")</x:f>
        <x:v>2625.74899794072</x:v>
      </x:c>
      <x:c r="M779" s="22" t="n">
        <x:f>IF(AND(ISNUMBER(G779),ISNUMBER(H779),H779&lt;&gt;0),G779/(H779/60)/$B$5,"")</x:f>
        <x:v>0.24509809958279824</x:v>
      </x:c>
      <x:c r="N779" s="22" t="n">
        <x:f>IF(AND(ISNUMBER(L779),ISNUMBER(H779),H779&lt;&gt;0),L779*$B$6/$B$4/(H779/60)^2/$B$5^4/$B$7,"")</x:f>
        <x:v>0.07175302708515066</x:v>
      </x:c>
      <x:c r="O779" s="22" t="n">
        <x:f>IF(ISNUMBER(N779),N779*$B$8,"")</x:f>
        <x:v>0.009270673257006158</x:v>
      </x:c>
      <x:c r="P779" s="20" t="str">
        <x:v>5000rpm!D70</x:v>
      </x:c>
      <x:c r="Q779" s="20" t="str">
        <x:v>5000rpm!C70</x:v>
      </x:c>
      <x:c r="R779" s="20" t="str">
        <x:v>5000rpm!C58</x:v>
      </x:c>
    </x:row>
    <x:row r="780">
      <x:c r="A780" s="21" t="n">
        <x:v>5000</x:v>
      </x:c>
      <x:c r="B780" s="21" t="n">
        <x:v>30</x:v>
      </x:c>
      <x:c r="C780" s="21" t="n">
        <x:v>13</x:v>
      </x:c>
      <x:c r="D780" s="21" t="n">
        <x:v>2</x:v>
      </x:c>
      <x:c r="E780" s="21" t="str">
        <x:v>5000rpm</x:v>
      </x:c>
      <x:c r="F780" s="21" t="n">
        <x:v>70</x:v>
      </x:c>
      <x:c r="G780" s="22" t="n">
        <x:f>IFERROR('5000rpm'!N70,"")</x:f>
        <x:v>9.193435744174469</x:v>
      </x:c>
      <x:c r="H780" s="22" t="n">
        <x:f>IFERROR('5000rpm'!L70,"")</x:f>
        <x:v>4959.75346679687</x:v>
      </x:c>
      <x:c r="I780" s="22" t="n">
        <x:f>IFERROR('5000rpm'!M70,"")</x:f>
        <x:v>2969.83495145631</x:v>
      </x:c>
      <x:c r="J780" s="22" t="n">
        <x:f>IFERROR('5000rpm'!M58,"")</x:f>
        <x:v>89.5040983606557</x:v>
      </x:c>
      <x:c r="K780" s="22" t="n">
        <x:f>IF(AND(ISNUMBER(I780),ISNUMBER(J780)),I780-J780,"")</x:f>
        <x:v>2880.330853095654</x:v>
      </x:c>
      <x:c r="L780" s="22" t="n">
        <x:f>IF(ISNUMBER(K780),K780*$B$2+$B$3,"")</x:f>
        <x:v>2666.310704826515</x:v>
      </x:c>
      <x:c r="M780" s="22" t="n">
        <x:f>IF(AND(ISNUMBER(G780),ISNUMBER(H780),H780&lt;&gt;0),G780/(H780/60)/$B$5,"")</x:f>
        <x:v>0.24325556472633905</x:v>
      </x:c>
      <x:c r="N780" s="22" t="n">
        <x:f>IF(AND(ISNUMBER(L780),ISNUMBER(H780),H780&lt;&gt;0),L780*$B$6/$B$4/(H780/60)^2/$B$5^4/$B$7,"")</x:f>
        <x:v>0.07262852423019407</x:v>
      </x:c>
      <x:c r="O780" s="22" t="n">
        <x:f>IF(ISNUMBER(N780),N780*$B$8,"")</x:f>
        <x:v>0.009383789710748342</x:v>
      </x:c>
      <x:c r="P780" s="20" t="str">
        <x:v>5000rpm!N70</x:v>
      </x:c>
      <x:c r="Q780" s="20" t="str">
        <x:v>5000rpm!M70</x:v>
      </x:c>
      <x:c r="R780" s="20" t="str">
        <x:v>5000rpm!M58</x:v>
      </x:c>
    </x:row>
    <x:row r="781">
      <x:c r="A781" s="21" t="n">
        <x:v>5000</x:v>
      </x:c>
      <x:c r="B781" s="21" t="n">
        <x:v>30</x:v>
      </x:c>
      <x:c r="C781" s="21" t="n">
        <x:v>14</x:v>
      </x:c>
      <x:c r="D781" s="21" t="n">
        <x:v>1</x:v>
      </x:c>
      <x:c r="E781" s="21" t="str">
        <x:v>5000rpm</x:v>
      </x:c>
      <x:c r="F781" s="21" t="n">
        <x:v>71</x:v>
      </x:c>
      <x:c r="G781" s="22" t="n">
        <x:f>IFERROR('5000rpm'!D71,"")</x:f>
        <x:v>8.25380926736643</x:v>
      </x:c>
      <x:c r="H781" s="22" t="n">
        <x:f>IFERROR('5000rpm'!B71,"")</x:f>
        <x:v>4930.51299758184</x:v>
      </x:c>
      <x:c r="I781" s="22" t="n">
        <x:f>IFERROR('5000rpm'!C71,"")</x:f>
        <x:v>2947.0094117647</x:v>
      </x:c>
      <x:c r="J781" s="22" t="n">
        <x:f>IFERROR('5000rpm'!C58,"")</x:f>
        <x:v>89.7650933040614</x:v>
      </x:c>
      <x:c r="K781" s="22" t="n">
        <x:f>IF(AND(ISNUMBER(I781),ISNUMBER(J781)),I781-J781,"")</x:f>
        <x:v>2857.2443184606386</x:v>
      </x:c>
      <x:c r="L781" s="22" t="n">
        <x:f>IF(ISNUMBER(K781),K781*$B$2+$B$3,"")</x:f>
        <x:v>2645.1701803689543</x:v>
      </x:c>
      <x:c r="M781" s="22" t="n">
        <x:f>IF(AND(ISNUMBER(G781),ISNUMBER(H781),H781&lt;&gt;0),G781/(H781/60)/$B$5,"")</x:f>
        <x:v>0.21968851308969975</x:v>
      </x:c>
      <x:c r="N781" s="22" t="n">
        <x:f>IF(AND(ISNUMBER(L781),ISNUMBER(H781),H781&lt;&gt;0),L781*$B$6/$B$4/(H781/60)^2/$B$5^4/$B$7,"")</x:f>
        <x:v>0.0729098231480203</x:v>
      </x:c>
      <x:c r="O781" s="22" t="n">
        <x:f>IF(ISNUMBER(N781),N781*$B$8,"")</x:f>
        <x:v>0.009420134245057978</x:v>
      </x:c>
      <x:c r="P781" s="20" t="str">
        <x:v>5000rpm!D71</x:v>
      </x:c>
      <x:c r="Q781" s="20" t="str">
        <x:v>5000rpm!C71</x:v>
      </x:c>
      <x:c r="R781" s="20" t="str">
        <x:v>5000rpm!C58</x:v>
      </x:c>
    </x:row>
    <x:row r="782">
      <x:c r="A782" s="21" t="n">
        <x:v>5000</x:v>
      </x:c>
      <x:c r="B782" s="21" t="n">
        <x:v>30</x:v>
      </x:c>
      <x:c r="C782" s="21" t="n">
        <x:v>14</x:v>
      </x:c>
      <x:c r="D782" s="21" t="n">
        <x:v>2</x:v>
      </x:c>
      <x:c r="E782" s="21" t="str">
        <x:v>5000rpm</x:v>
      </x:c>
      <x:c r="F782" s="21" t="n">
        <x:v>71</x:v>
      </x:c>
      <x:c r="G782" s="22" t="n">
        <x:f>IFERROR('5000rpm'!N71,"")</x:f>
        <x:v>8.194677318014744</x:v>
      </x:c>
      <x:c r="H782" s="22" t="n">
        <x:f>IFERROR('5000rpm'!L71,"")</x:f>
        <x:v>4981.85666015625</x:v>
      </x:c>
      <x:c r="I782" s="22" t="n">
        <x:f>IFERROR('5000rpm'!M71,"")</x:f>
        <x:v>2990.10953346855</x:v>
      </x:c>
      <x:c r="J782" s="22" t="n">
        <x:f>IFERROR('5000rpm'!M58,"")</x:f>
        <x:v>89.5040983606557</x:v>
      </x:c>
      <x:c r="K782" s="22" t="n">
        <x:f>IF(AND(ISNUMBER(I782),ISNUMBER(J782)),I782-J782,"")</x:f>
        <x:v>2900.605435107894</x:v>
      </x:c>
      <x:c r="L782" s="22" t="n">
        <x:f>IF(ISNUMBER(K782),K782*$B$2+$B$3,"")</x:f>
        <x:v>2684.8763017717797</x:v>
      </x:c>
      <x:c r="M782" s="22" t="n">
        <x:f>IF(AND(ISNUMBER(G782),ISNUMBER(H782),H782&lt;&gt;0),G782/(H782/60)/$B$5,"")</x:f>
        <x:v>0.21586670276345277</x:v>
      </x:c>
      <x:c r="N782" s="22" t="n">
        <x:f>IF(AND(ISNUMBER(L782),ISNUMBER(H782),H782&lt;&gt;0),L782*$B$6/$B$4/(H782/60)^2/$B$5^4/$B$7,"")</x:f>
        <x:v>0.07248672339307442</x:v>
      </x:c>
      <x:c r="O782" s="22" t="n">
        <x:f>IF(ISNUMBER(N782),N782*$B$8,"")</x:f>
        <x:v>0.009365468682606267</x:v>
      </x:c>
      <x:c r="P782" s="20" t="str">
        <x:v>5000rpm!N71</x:v>
      </x:c>
      <x:c r="Q782" s="20" t="str">
        <x:v>5000rpm!M71</x:v>
      </x:c>
      <x:c r="R782" s="20" t="str">
        <x:v>5000rpm!M58</x:v>
      </x:c>
    </x:row>
    <x:row r="783">
      <x:c r="A783" s="21" t="n">
        <x:v>5000</x:v>
      </x:c>
      <x:c r="B783" s="21" t="n">
        <x:v>30</x:v>
      </x:c>
      <x:c r="C783" s="21" t="n">
        <x:v>15</x:v>
      </x:c>
      <x:c r="D783" s="21" t="n">
        <x:v>1</x:v>
      </x:c>
      <x:c r="E783" s="21" t="str">
        <x:v>5000rpm</x:v>
      </x:c>
      <x:c r="F783" s="21" t="n">
        <x:v>72</x:v>
      </x:c>
      <x:c r="G783" s="22" t="n">
        <x:f>IFERROR('5000rpm'!D72,"")</x:f>
        <x:v>7.2222688123583705</x:v>
      </x:c>
      <x:c r="H783" s="22" t="n">
        <x:f>IFERROR('5000rpm'!B72,"")</x:f>
        <x:v>4930.5607421875</x:v>
      </x:c>
      <x:c r="I783" s="22" t="n">
        <x:f>IFERROR('5000rpm'!C72,"")</x:f>
        <x:v>2970.16103896103</x:v>
      </x:c>
      <x:c r="J783" s="22" t="n">
        <x:f>IFERROR('5000rpm'!C58,"")</x:f>
        <x:v>89.7650933040614</x:v>
      </x:c>
      <x:c r="K783" s="22" t="n">
        <x:f>IF(AND(ISNUMBER(I783),ISNUMBER(J783)),I783-J783,"")</x:f>
        <x:v>2880.3959456569687</x:v>
      </x:c>
      <x:c r="L783" s="22" t="n">
        <x:f>IF(ISNUMBER(K783),K783*$B$2+$B$3,"")</x:f>
        <x:v>2666.3703106056514</x:v>
      </x:c>
      <x:c r="M783" s="22" t="n">
        <x:f>IF(AND(ISNUMBER(G783),ISNUMBER(H783),H783&lt;&gt;0),G783/(H783/60)/$B$5,"")</x:f>
        <x:v>0.19223053028716391</x:v>
      </x:c>
      <x:c r="N783" s="22" t="n">
        <x:f>IF(AND(ISNUMBER(L783),ISNUMBER(H783),H783&lt;&gt;0),L783*$B$6/$B$4/(H783/60)^2/$B$5^4/$B$7,"")</x:f>
        <x:v>0.07349274699166876</x:v>
      </x:c>
      <x:c r="O783" s="22" t="n">
        <x:f>IF(ISNUMBER(N783),N783*$B$8,"")</x:f>
        <x:v>0.009495449485511454</x:v>
      </x:c>
      <x:c r="P783" s="20" t="str">
        <x:v>5000rpm!D72</x:v>
      </x:c>
      <x:c r="Q783" s="20" t="str">
        <x:v>5000rpm!C72</x:v>
      </x:c>
      <x:c r="R783" s="20" t="str">
        <x:v>5000rpm!C58</x:v>
      </x:c>
    </x:row>
    <x:row r="784">
      <x:c r="A784" s="21" t="n">
        <x:v>5000</x:v>
      </x:c>
      <x:c r="B784" s="21" t="n">
        <x:v>30</x:v>
      </x:c>
      <x:c r="C784" s="21" t="n">
        <x:v>15</x:v>
      </x:c>
      <x:c r="D784" s="21" t="n">
        <x:v>2</x:v>
      </x:c>
      <x:c r="E784" s="21" t="str">
        <x:v>5000rpm</x:v>
      </x:c>
      <x:c r="F784" s="21" t="n">
        <x:v>72</x:v>
      </x:c>
      <x:c r="G784" s="22" t="n">
        <x:f>IFERROR('5000rpm'!N72,"")</x:f>
        <x:v>7.167076419194535</x:v>
      </x:c>
      <x:c r="H784" s="22" t="n">
        <x:f>IFERROR('5000rpm'!L72,"")</x:f>
        <x:v>4972.16168767755</x:v>
      </x:c>
      <x:c r="I784" s="22" t="n">
        <x:f>IFERROR('5000rpm'!M72,"")</x:f>
        <x:v>3025.96205357142</x:v>
      </x:c>
      <x:c r="J784" s="22" t="n">
        <x:f>IFERROR('5000rpm'!M58,"")</x:f>
        <x:v>89.5040983606557</x:v>
      </x:c>
      <x:c r="K784" s="22" t="n">
        <x:f>IF(AND(ISNUMBER(I784),ISNUMBER(J784)),I784-J784,"")</x:f>
        <x:v>2936.457955210764</x:v>
      </x:c>
      <x:c r="L784" s="22" t="n">
        <x:f>IF(ISNUMBER(K784),K784*$B$2+$B$3,"")</x:f>
        <x:v>2717.7067412501383</x:v>
      </x:c>
      <x:c r="M784" s="22" t="n">
        <x:f>IF(AND(ISNUMBER(G784),ISNUMBER(H784),H784&lt;&gt;0),G784/(H784/60)/$B$5,"")</x:f>
        <x:v>0.1891654513567069</x:v>
      </x:c>
      <x:c r="N784" s="22" t="n">
        <x:f>IF(AND(ISNUMBER(L784),ISNUMBER(H784),H784&lt;&gt;0),L784*$B$6/$B$4/(H784/60)^2/$B$5^4/$B$7,"")</x:f>
        <x:v>0.07365949695922963</x:v>
      </x:c>
      <x:c r="O784" s="22" t="n">
        <x:f>IF(ISNUMBER(N784),N784*$B$8,"")</x:f>
        <x:v>0.009516994004644267</x:v>
      </x:c>
      <x:c r="P784" s="20" t="str">
        <x:v>5000rpm!N72</x:v>
      </x:c>
      <x:c r="Q784" s="20" t="str">
        <x:v>5000rpm!M72</x:v>
      </x:c>
      <x:c r="R784" s="20" t="str">
        <x:v>5000rpm!M58</x:v>
      </x:c>
    </x:row>
    <x:row r="785">
      <x:c r="A785" s="21" t="n">
        <x:v>5000</x:v>
      </x:c>
      <x:c r="B785" s="21" t="n">
        <x:v>30</x:v>
      </x:c>
      <x:c r="C785" s="21" t="n">
        <x:v>16</x:v>
      </x:c>
      <x:c r="D785" s="21" t="n">
        <x:v>1</x:v>
      </x:c>
      <x:c r="E785" s="21" t="str">
        <x:v>5000rpm</x:v>
      </x:c>
      <x:c r="F785" s="21" t="n">
        <x:v>73</x:v>
      </x:c>
      <x:c r="G785" s="22" t="n">
        <x:f>IFERROR('5000rpm'!D73,"")</x:f>
        <x:v>6.20364142752981</x:v>
      </x:c>
      <x:c r="H785" s="22" t="n">
        <x:f>IFERROR('5000rpm'!B73,"")</x:f>
        <x:v>4929.21357865767</x:v>
      </x:c>
      <x:c r="I785" s="22" t="n">
        <x:f>IFERROR('5000rpm'!C73,"")</x:f>
        <x:v>3004.33333333333</x:v>
      </x:c>
      <x:c r="J785" s="22" t="n">
        <x:f>IFERROR('5000rpm'!C58,"")</x:f>
        <x:v>89.7650933040614</x:v>
      </x:c>
      <x:c r="K785" s="22" t="n">
        <x:f>IF(AND(ISNUMBER(I785),ISNUMBER(J785)),I785-J785,"")</x:f>
        <x:v>2914.5682400292685</x:v>
      </x:c>
      <x:c r="L785" s="22" t="n">
        <x:f>IF(ISNUMBER(K785),K785*$B$2+$B$3,"")</x:f>
        <x:v>2697.6621539407215</x:v>
      </x:c>
      <x:c r="M785" s="22" t="n">
        <x:f>IF(AND(ISNUMBER(G785),ISNUMBER(H785),H785&lt;&gt;0),G785/(H785/60)/$B$5,"")</x:f>
        <x:v>0.16516350095212196</x:v>
      </x:c>
      <x:c r="N785" s="22" t="n">
        <x:f>IF(AND(ISNUMBER(L785),ISNUMBER(H785),H785&lt;&gt;0),L785*$B$6/$B$4/(H785/60)^2/$B$5^4/$B$7,"")</x:f>
        <x:v>0.07439588757836267</x:v>
      </x:c>
      <x:c r="O785" s="22" t="n">
        <x:f>IF(ISNUMBER(N785),N785*$B$8,"")</x:f>
        <x:v>0.009612137542092595</x:v>
      </x:c>
      <x:c r="P785" s="20" t="str">
        <x:v>5000rpm!D73</x:v>
      </x:c>
      <x:c r="Q785" s="20" t="str">
        <x:v>5000rpm!C73</x:v>
      </x:c>
      <x:c r="R785" s="20" t="str">
        <x:v>5000rpm!C58</x:v>
      </x:c>
    </x:row>
    <x:row r="786">
      <x:c r="A786" s="21" t="n">
        <x:v>5000</x:v>
      </x:c>
      <x:c r="B786" s="21" t="n">
        <x:v>30</x:v>
      </x:c>
      <x:c r="C786" s="21" t="n">
        <x:v>16</x:v>
      </x:c>
      <x:c r="D786" s="21" t="n">
        <x:v>2</x:v>
      </x:c>
      <x:c r="E786" s="21" t="str">
        <x:v>5000rpm</x:v>
      </x:c>
      <x:c r="F786" s="21" t="n">
        <x:v>73</x:v>
      </x:c>
      <x:c r="G786" s="22" t="n">
        <x:f>IFERROR('5000rpm'!N73,"")</x:f>
        <x:v>6.136044915189435</x:v>
      </x:c>
      <x:c r="H786" s="22" t="n">
        <x:f>IFERROR('5000rpm'!L73,"")</x:f>
        <x:v>4971.0888671875</x:v>
      </x:c>
      <x:c r="I786" s="22" t="n">
        <x:f>IFERROR('5000rpm'!M73,"")</x:f>
        <x:v>3053.20716112531</x:v>
      </x:c>
      <x:c r="J786" s="22" t="n">
        <x:f>IFERROR('5000rpm'!M58,"")</x:f>
        <x:v>89.5040983606557</x:v>
      </x:c>
      <x:c r="K786" s="22" t="n">
        <x:f>IF(AND(ISNUMBER(I786),ISNUMBER(J786)),I786-J786,"")</x:f>
        <x:v>2963.703062764654</x:v>
      </x:c>
      <x:c r="L786" s="22" t="n">
        <x:f>IF(ISNUMBER(K786),K786*$B$2+$B$3,"")</x:f>
        <x:v>2742.655304198096</x:v>
      </x:c>
      <x:c r="M786" s="22" t="n">
        <x:f>IF(AND(ISNUMBER(G786),ISNUMBER(H786),H786&lt;&gt;0),G786/(H786/60)/$B$5,"")</x:f>
        <x:v>0.16198769720836373</x:v>
      </x:c>
      <x:c r="N786" s="22" t="n">
        <x:f>IF(AND(ISNUMBER(L786),ISNUMBER(H786),H786&lt;&gt;0),L786*$B$6/$B$4/(H786/60)^2/$B$5^4/$B$7,"")</x:f>
        <x:v>0.07436778007608</x:v>
      </x:c>
      <x:c r="O786" s="22" t="n">
        <x:f>IF(ISNUMBER(N786),N786*$B$8,"")</x:f>
        <x:v>0.009608505981441863</x:v>
      </x:c>
      <x:c r="P786" s="20" t="str">
        <x:v>5000rpm!N73</x:v>
      </x:c>
      <x:c r="Q786" s="20" t="str">
        <x:v>5000rpm!M73</x:v>
      </x:c>
      <x:c r="R786" s="20" t="str">
        <x:v>5000rpm!M58</x:v>
      </x:c>
    </x:row>
    <x:row r="787">
      <x:c r="A787" s="21" t="n">
        <x:v>5000</x:v>
      </x:c>
      <x:c r="B787" s="21" t="n">
        <x:v>30</x:v>
      </x:c>
      <x:c r="C787" s="21" t="n">
        <x:v>17</x:v>
      </x:c>
      <x:c r="D787" s="21" t="n">
        <x:v>1</x:v>
      </x:c>
      <x:c r="E787" s="21" t="str">
        <x:v>5000rpm</x:v>
      </x:c>
      <x:c r="F787" s="21" t="n">
        <x:v>74</x:v>
      </x:c>
      <x:c r="G787" s="22" t="n">
        <x:f>IFERROR('5000rpm'!D74,"")</x:f>
        <x:v>5.183259730403475</x:v>
      </x:c>
      <x:c r="H787" s="22" t="n">
        <x:f>IFERROR('5000rpm'!B74,"")</x:f>
        <x:v>4945.5195978338</x:v>
      </x:c>
      <x:c r="I787" s="22" t="n">
        <x:f>IFERROR('5000rpm'!C74,"")</x:f>
        <x:v>3017.71910112359</x:v>
      </x:c>
      <x:c r="J787" s="22" t="n">
        <x:f>IFERROR('5000rpm'!C58,"")</x:f>
        <x:v>89.7650933040614</x:v>
      </x:c>
      <x:c r="K787" s="22" t="n">
        <x:f>IF(AND(ISNUMBER(I787),ISNUMBER(J787)),I787-J787,"")</x:f>
        <x:v>2927.9540078195287</x:v>
      </x:c>
      <x:c r="L787" s="22" t="n">
        <x:f>IF(ISNUMBER(K787),K787*$B$2+$B$3,"")</x:f>
        <x:v>2709.919608592405</x:v>
      </x:c>
      <x:c r="M787" s="22" t="n">
        <x:f>IF(AND(ISNUMBER(G787),ISNUMBER(H787),H787&lt;&gt;0),G787/(H787/60)/$B$5,"")</x:f>
        <x:v>0.1375422337193551</x:v>
      </x:c>
      <x:c r="N787" s="22" t="n">
        <x:f>IF(AND(ISNUMBER(L787),ISNUMBER(H787),H787&lt;&gt;0),L787*$B$6/$B$4/(H787/60)^2/$B$5^4/$B$7,"")</x:f>
        <x:v>0.07424192015245118</x:v>
      </x:c>
      <x:c r="O787" s="22" t="n">
        <x:f>IF(ISNUMBER(N787),N787*$B$8,"")</x:f>
        <x:v>0.009592244559791598</x:v>
      </x:c>
      <x:c r="P787" s="20" t="str">
        <x:v>5000rpm!D74</x:v>
      </x:c>
      <x:c r="Q787" s="20" t="str">
        <x:v>5000rpm!C74</x:v>
      </x:c>
      <x:c r="R787" s="20" t="str">
        <x:v>5000rpm!C58</x:v>
      </x:c>
    </x:row>
    <x:row r="788">
      <x:c r="A788" s="21" t="n">
        <x:v>5000</x:v>
      </x:c>
      <x:c r="B788" s="21" t="n">
        <x:v>30</x:v>
      </x:c>
      <x:c r="C788" s="21" t="n">
        <x:v>17</x:v>
      </x:c>
      <x:c r="D788" s="21" t="n">
        <x:v>2</x:v>
      </x:c>
      <x:c r="E788" s="21" t="str">
        <x:v>5000rpm</x:v>
      </x:c>
      <x:c r="F788" s="21" t="n">
        <x:v>74</x:v>
      </x:c>
      <x:c r="G788" s="22" t="n">
        <x:f>IFERROR('5000rpm'!N74,"")</x:f>
        <x:v>5.115991217749455</x:v>
      </x:c>
      <x:c r="H788" s="22" t="n">
        <x:f>IFERROR('5000rpm'!L74,"")</x:f>
        <x:v>4958.14151664402</x:v>
      </x:c>
      <x:c r="I788" s="22" t="n">
        <x:f>IFERROR('5000rpm'!M74,"")</x:f>
        <x:v>3080.8679245283</x:v>
      </x:c>
      <x:c r="J788" s="22" t="n">
        <x:f>IFERROR('5000rpm'!M58,"")</x:f>
        <x:v>89.5040983606557</x:v>
      </x:c>
      <x:c r="K788" s="22" t="n">
        <x:f>IF(AND(ISNUMBER(I788),ISNUMBER(J788)),I788-J788,"")</x:f>
        <x:v>2991.363826167644</x:v>
      </x:c>
      <x:c r="L788" s="22" t="n">
        <x:f>IF(ISNUMBER(K788),K788*$B$2+$B$3,"")</x:f>
        <x:v>2767.984486532321</x:v>
      </x:c>
      <x:c r="M788" s="22" t="n">
        <x:f>IF(AND(ISNUMBER(G788),ISNUMBER(H788),H788&lt;&gt;0),G788/(H788/60)/$B$5,"")</x:f>
        <x:v>0.1354116096394937</x:v>
      </x:c>
      <x:c r="N788" s="22" t="n">
        <x:f>IF(AND(ISNUMBER(L788),ISNUMBER(H788),H788&lt;&gt;0),L788*$B$6/$B$4/(H788/60)^2/$B$5^4/$B$7,"")</x:f>
        <x:v>0.0754470837477529</x:v>
      </x:c>
      <x:c r="O788" s="22" t="n">
        <x:f>IF(ISNUMBER(N788),N788*$B$8,"")</x:f>
        <x:v>0.00974795475582308</x:v>
      </x:c>
      <x:c r="P788" s="20" t="str">
        <x:v>5000rpm!N74</x:v>
      </x:c>
      <x:c r="Q788" s="20" t="str">
        <x:v>5000rpm!M74</x:v>
      </x:c>
      <x:c r="R788" s="20" t="str">
        <x:v>5000rpm!M58</x:v>
      </x:c>
    </x:row>
    <x:row r="789">
      <x:c r="A789" s="21" t="n">
        <x:v>5000</x:v>
      </x:c>
      <x:c r="B789" s="21" t="n">
        <x:v>30</x:v>
      </x:c>
      <x:c r="C789" s="21" t="n">
        <x:v>18</x:v>
      </x:c>
      <x:c r="D789" s="21" t="n">
        <x:v>1</x:v>
      </x:c>
      <x:c r="E789" s="21" t="str">
        <x:v>5000rpm</x:v>
      </x:c>
      <x:c r="F789" s="21" t="n">
        <x:v>75</x:v>
      </x:c>
      <x:c r="G789" s="22" t="n">
        <x:f>IFERROR('5000rpm'!D75,"")</x:f>
        <x:v>4.159339135503525</x:v>
      </x:c>
      <x:c r="H789" s="22" t="n">
        <x:f>IFERROR('5000rpm'!B75,"")</x:f>
        <x:v>4892.33664550781</x:v>
      </x:c>
      <x:c r="I789" s="22" t="n">
        <x:f>IFERROR('5000rpm'!C75,"")</x:f>
        <x:v>3060.09382716049</x:v>
      </x:c>
      <x:c r="J789" s="22" t="n">
        <x:f>IFERROR('5000rpm'!C58,"")</x:f>
        <x:v>89.7650933040614</x:v>
      </x:c>
      <x:c r="K789" s="22" t="n">
        <x:f>IF(AND(ISNUMBER(I789),ISNUMBER(J789)),I789-J789,"")</x:f>
        <x:v>2970.3287338564287</x:v>
      </x:c>
      <x:c r="L789" s="22" t="n">
        <x:f>IF(ISNUMBER(K789),K789*$B$2+$B$3,"")</x:f>
        <x:v>2748.7224842222026</x:v>
      </x:c>
      <x:c r="M789" s="22" t="n">
        <x:f>IF(AND(ISNUMBER(G789),ISNUMBER(H789),H789&lt;&gt;0),G789/(H789/60)/$B$5,"")</x:f>
        <x:v>0.1115714372205303</x:v>
      </x:c>
      <x:c r="N789" s="22" t="n">
        <x:f>IF(AND(ISNUMBER(L789),ISNUMBER(H789),H789&lt;&gt;0),L789*$B$6/$B$4/(H789/60)^2/$B$5^4/$B$7,"")</x:f>
        <x:v>0.07695110676120945</x:v>
      </x:c>
      <x:c r="O789" s="22" t="n">
        <x:f>IF(ISNUMBER(N789),N789*$B$8,"")</x:f>
        <x:v>0.009942278347387052</x:v>
      </x:c>
      <x:c r="P789" s="20" t="str">
        <x:v>5000rpm!D75</x:v>
      </x:c>
      <x:c r="Q789" s="20" t="str">
        <x:v>5000rpm!C75</x:v>
      </x:c>
      <x:c r="R789" s="20" t="str">
        <x:v>5000rpm!C58</x:v>
      </x:c>
    </x:row>
    <x:row r="790">
      <x:c r="A790" s="21" t="n">
        <x:v>5000</x:v>
      </x:c>
      <x:c r="B790" s="21" t="n">
        <x:v>30</x:v>
      </x:c>
      <x:c r="C790" s="21" t="n">
        <x:v>18</x:v>
      </x:c>
      <x:c r="D790" s="21" t="n">
        <x:v>2</x:v>
      </x:c>
      <x:c r="E790" s="21" t="str">
        <x:v>5000rpm</x:v>
      </x:c>
      <x:c r="F790" s="21" t="n">
        <x:v>75</x:v>
      </x:c>
      <x:c r="G790" s="22" t="n">
        <x:f>IFERROR('5000rpm'!N75,"")</x:f>
        <x:v>4.10776249044819</x:v>
      </x:c>
      <x:c r="H790" s="22" t="n">
        <x:f>IFERROR('5000rpm'!L75,"")</x:f>
        <x:v>4964.35786707261</x:v>
      </x:c>
      <x:c r="I790" s="22" t="n">
        <x:f>IFERROR('5000rpm'!M75,"")</x:f>
        <x:v>3131.99124087591</x:v>
      </x:c>
      <x:c r="J790" s="22" t="n">
        <x:f>IFERROR('5000rpm'!M58,"")</x:f>
        <x:v>89.5040983606557</x:v>
      </x:c>
      <x:c r="K790" s="22" t="n">
        <x:f>IF(AND(ISNUMBER(I790),ISNUMBER(J790)),I790-J790,"")</x:f>
        <x:v>3042.487142515254</x:v>
      </x:c>
      <x:c r="L790" s="22" t="n">
        <x:f>IF(ISNUMBER(K790),K790*$B$2+$B$3,"")</x:f>
        <x:v>2814.798516298358</x:v>
      </x:c>
      <x:c r="M790" s="22" t="n">
        <x:f>IF(AND(ISNUMBER(G790),ISNUMBER(H790),H790&lt;&gt;0),G790/(H790/60)/$B$5,"")</x:f>
        <x:v>0.10858935974209266</x:v>
      </x:c>
      <x:c r="N790" s="22" t="n">
        <x:f>IF(AND(ISNUMBER(L790),ISNUMBER(H790),H790&lt;&gt;0),L790*$B$6/$B$4/(H790/60)^2/$B$5^4/$B$7,"")</x:f>
        <x:v>0.07653107151738375</x:v>
      </x:c>
      <x:c r="O790" s="22" t="n">
        <x:f>IF(ISNUMBER(N790),N790*$B$8,"")</x:f>
        <x:v>0.009888008727551866</x:v>
      </x:c>
      <x:c r="P790" s="20" t="str">
        <x:v>5000rpm!N75</x:v>
      </x:c>
      <x:c r="Q790" s="20" t="str">
        <x:v>5000rpm!M75</x:v>
      </x:c>
      <x:c r="R790" s="20" t="str">
        <x:v>5000rpm!M58</x:v>
      </x:c>
    </x:row>
    <x:row r="791">
      <x:c r="A791" s="21" t="n">
        <x:v>5000</x:v>
      </x:c>
      <x:c r="B791" s="21" t="n">
        <x:v>30</x:v>
      </x:c>
      <x:c r="C791" s="21" t="n">
        <x:v>19</x:v>
      </x:c>
      <x:c r="D791" s="21" t="n">
        <x:v>1</x:v>
      </x:c>
      <x:c r="E791" s="21" t="str">
        <x:v>5000rpm</x:v>
      </x:c>
      <x:c r="F791" s="21" t="n">
        <x:v>76</x:v>
      </x:c>
      <x:c r="G791" s="22" t="n">
        <x:f>IFERROR('5000rpm'!D76,"")</x:f>
        <x:v>3.1273867534602147</x:v>
      </x:c>
      <x:c r="H791" s="22" t="n">
        <x:f>IFERROR('5000rpm'!B76,"")</x:f>
        <x:v>4947.39029208096</x:v>
      </x:c>
      <x:c r="I791" s="22" t="n">
        <x:f>IFERROR('5000rpm'!C76,"")</x:f>
        <x:v>3097.27126436781</x:v>
      </x:c>
      <x:c r="J791" s="22" t="n">
        <x:f>IFERROR('5000rpm'!C58,"")</x:f>
        <x:v>89.7650933040614</x:v>
      </x:c>
      <x:c r="K791" s="22" t="n">
        <x:f>IF(AND(ISNUMBER(I791),ISNUMBER(J791)),I791-J791,"")</x:f>
        <x:v>3007.5061710637488</x:v>
      </x:c>
      <x:c r="L791" s="22" t="n">
        <x:f>IF(ISNUMBER(K791),K791*$B$2+$B$3,"")</x:f>
        <x:v>2782.766160892443</x:v>
      </x:c>
      <x:c r="M791" s="22" t="n">
        <x:f>IF(AND(ISNUMBER(G791),ISNUMBER(H791),H791&lt;&gt;0),G791/(H791/60)/$B$5,"")</x:f>
        <x:v>0.08295650532614127</x:v>
      </x:c>
      <x:c r="N791" s="22" t="n">
        <x:f>IF(AND(ISNUMBER(L791),ISNUMBER(H791),H791&lt;&gt;0),L791*$B$6/$B$4/(H791/60)^2/$B$5^4/$B$7,"")</x:f>
        <x:v>0.07618000751321188</x:v>
      </x:c>
      <x:c r="O791" s="22" t="n">
        <x:f>IF(ISNUMBER(N791),N791*$B$8,"")</x:f>
        <x:v>0.009842650366975505</x:v>
      </x:c>
      <x:c r="P791" s="20" t="str">
        <x:v>5000rpm!D76</x:v>
      </x:c>
      <x:c r="Q791" s="20" t="str">
        <x:v>5000rpm!C76</x:v>
      </x:c>
      <x:c r="R791" s="20" t="str">
        <x:v>5000rpm!C58</x:v>
      </x:c>
    </x:row>
    <x:row r="792">
      <x:c r="A792" s="21" t="n">
        <x:v>5000</x:v>
      </x:c>
      <x:c r="B792" s="21" t="n">
        <x:v>30</x:v>
      </x:c>
      <x:c r="C792" s="21" t="n">
        <x:v>19</x:v>
      </x:c>
      <x:c r="D792" s="21" t="n">
        <x:v>2</x:v>
      </x:c>
      <x:c r="E792" s="21" t="str">
        <x:v>5000rpm</x:v>
      </x:c>
      <x:c r="F792" s="21" t="n">
        <x:v>76</x:v>
      </x:c>
      <x:c r="G792" s="22" t="n">
        <x:f>IFERROR('5000rpm'!N76,"")</x:f>
        <x:v>3.0905499356133452</x:v>
      </x:c>
      <x:c r="H792" s="22" t="n">
        <x:f>IFERROR('5000rpm'!L76,"")</x:f>
        <x:v>4931.35682896205</x:v>
      </x:c>
      <x:c r="I792" s="22" t="n">
        <x:f>IFERROR('5000rpm'!M76,"")</x:f>
        <x:v>3149.63035714285</x:v>
      </x:c>
      <x:c r="J792" s="22" t="n">
        <x:f>IFERROR('5000rpm'!M58,"")</x:f>
        <x:v>89.5040983606557</x:v>
      </x:c>
      <x:c r="K792" s="22" t="n">
        <x:f>IF(AND(ISNUMBER(I792),ISNUMBER(J792)),I792-J792,"")</x:f>
        <x:v>3060.126258782194</x:v>
      </x:c>
      <x:c r="L792" s="22" t="n">
        <x:f>IF(ISNUMBER(K792),K792*$B$2+$B$3,"")</x:f>
        <x:v>2830.950796176925</x:v>
      </x:c>
      <x:c r="M792" s="22" t="n">
        <x:f>IF(AND(ISNUMBER(G792),ISNUMBER(H792),H792&lt;&gt;0),G792/(H792/60)/$B$5,"")</x:f>
        <x:v>0.08224592036609675</x:v>
      </x:c>
      <x:c r="N792" s="22" t="n">
        <x:f>IF(AND(ISNUMBER(L792),ISNUMBER(H792),H792&lt;&gt;0),L792*$B$6/$B$4/(H792/60)^2/$B$5^4/$B$7,"")</x:f>
        <x:v>0.07800386213083707</x:v>
      </x:c>
      <x:c r="O792" s="22" t="n">
        <x:f>IF(ISNUMBER(N792),N792*$B$8,"")</x:f>
        <x:v>0.010078297013746513</x:v>
      </x:c>
      <x:c r="P792" s="20" t="str">
        <x:v>5000rpm!N76</x:v>
      </x:c>
      <x:c r="Q792" s="20" t="str">
        <x:v>5000rpm!M76</x:v>
      </x:c>
      <x:c r="R792" s="20" t="str">
        <x:v>5000rpm!M58</x:v>
      </x:c>
    </x:row>
    <x:row r="793">
      <x:c r="A793" s="21" t="n">
        <x:v>5000</x:v>
      </x:c>
      <x:c r="B793" s="21" t="n">
        <x:v>30</x:v>
      </x:c>
      <x:c r="C793" s="21" t="n">
        <x:v>20</x:v>
      </x:c>
      <x:c r="D793" s="21" t="n">
        <x:v>1</x:v>
      </x:c>
      <x:c r="E793" s="21" t="str">
        <x:v>5000rpm</x:v>
      </x:c>
      <x:c r="F793" s="21" t="n">
        <x:v>77</x:v>
      </x:c>
      <x:c r="G793" s="22" t="n">
        <x:f>IFERROR('5000rpm'!D77,"")</x:f>
        <x:v>2.0864720784543302</x:v>
      </x:c>
      <x:c r="H793" s="22" t="n">
        <x:f>IFERROR('5000rpm'!B77,"")</x:f>
        <x:v>4985.79477945963</x:v>
      </x:c>
      <x:c r="I793" s="22" t="n">
        <x:f>IFERROR('5000rpm'!C77,"")</x:f>
        <x:v>3121.39139784946</x:v>
      </x:c>
      <x:c r="J793" s="22" t="n">
        <x:f>IFERROR('5000rpm'!C58,"")</x:f>
        <x:v>89.7650933040614</x:v>
      </x:c>
      <x:c r="K793" s="22" t="n">
        <x:f>IF(AND(ISNUMBER(I793),ISNUMBER(J793)),I793-J793,"")</x:f>
        <x:v>3031.626304545399</x:v>
      </x:c>
      <x:c r="L793" s="22" t="n">
        <x:f>IF(ISNUMBER(K793),K793*$B$2+$B$3,"")</x:f>
        <x:v>2804.853160082658</x:v>
      </x:c>
      <x:c r="M793" s="22" t="n">
        <x:f>IF(AND(ISNUMBER(G793),ISNUMBER(H793),H793&lt;&gt;0),G793/(H793/60)/$B$5,"")</x:f>
        <x:v>0.05491907419074183</x:v>
      </x:c>
      <x:c r="N793" s="22" t="n">
        <x:f>IF(AND(ISNUMBER(L793),ISNUMBER(H793),H793&lt;&gt;0),L793*$B$6/$B$4/(H793/60)^2/$B$5^4/$B$7,"")</x:f>
        <x:v>0.07560629832553098</x:v>
      </x:c>
      <x:c r="O793" s="22" t="n">
        <x:f>IF(ISNUMBER(N793),N793*$B$8,"")</x:f>
        <x:v>0.009768525683466051</x:v>
      </x:c>
      <x:c r="P793" s="20" t="str">
        <x:v>5000rpm!D77</x:v>
      </x:c>
      <x:c r="Q793" s="20" t="str">
        <x:v>5000rpm!C77</x:v>
      </x:c>
      <x:c r="R793" s="20" t="str">
        <x:v>5000rpm!C58</x:v>
      </x:c>
    </x:row>
    <x:row r="794">
      <x:c r="A794" s="21" t="n">
        <x:v>5000</x:v>
      </x:c>
      <x:c r="B794" s="21" t="n">
        <x:v>30</x:v>
      </x:c>
      <x:c r="C794" s="21" t="n">
        <x:v>20</x:v>
      </x:c>
      <x:c r="D794" s="21" t="n">
        <x:v>2</x:v>
      </x:c>
      <x:c r="E794" s="21" t="str">
        <x:v>5000rpm</x:v>
      </x:c>
      <x:c r="F794" s="21" t="n">
        <x:v>77</x:v>
      </x:c>
      <x:c r="G794" s="22" t="n">
        <x:f>IFERROR('5000rpm'!N77,"")</x:f>
        <x:v>2.07653442585822</x:v>
      </x:c>
      <x:c r="H794" s="22" t="n">
        <x:f>IFERROR('5000rpm'!L77,"")</x:f>
        <x:v>4987.34197013608</x:v>
      </x:c>
      <x:c r="I794" s="22" t="n">
        <x:f>IFERROR('5000rpm'!M77,"")</x:f>
        <x:v>3179.33388429752</x:v>
      </x:c>
      <x:c r="J794" s="22" t="n">
        <x:f>IFERROR('5000rpm'!M58,"")</x:f>
        <x:v>89.5040983606557</x:v>
      </x:c>
      <x:c r="K794" s="22" t="n">
        <x:f>IF(AND(ISNUMBER(I794),ISNUMBER(J794)),I794-J794,"")</x:f>
        <x:v>3089.829785936864</x:v>
      </x:c>
      <x:c r="L794" s="22" t="n">
        <x:f>IF(ISNUMBER(K794),K794*$B$2+$B$3,"")</x:f>
        <x:v>2858.1505536206737</x:v>
      </x:c>
      <x:c r="M794" s="22" t="n">
        <x:f>IF(AND(ISNUMBER(G794),ISNUMBER(H794),H794&lt;&gt;0),G794/(H794/60)/$B$5,"")</x:f>
        <x:v>0.05464054422991919</x:v>
      </x:c>
      <x:c r="N794" s="22" t="n">
        <x:f>IF(AND(ISNUMBER(L794),ISNUMBER(H794),H794&lt;&gt;0),L794*$B$6/$B$4/(H794/60)^2/$B$5^4/$B$7,"")</x:f>
        <x:v>0.07699516406028264</x:v>
      </x:c>
      <x:c r="O794" s="22" t="n">
        <x:f>IF(ISNUMBER(N794),N794*$B$8,"")</x:f>
        <x:v>0.009947970662274467</x:v>
      </x:c>
      <x:c r="P794" s="20" t="str">
        <x:v>5000rpm!N77</x:v>
      </x:c>
      <x:c r="Q794" s="20" t="str">
        <x:v>5000rpm!M77</x:v>
      </x:c>
      <x:c r="R794" s="20" t="str">
        <x:v>5000rpm!M58</x:v>
      </x:c>
    </x:row>
    <x:row r="795">
      <x:c r="A795" s="21" t="n">
        <x:v>5000</x:v>
      </x:c>
      <x:c r="B795" s="21" t="n">
        <x:v>30</x:v>
      </x:c>
      <x:c r="C795" s="21" t="n">
        <x:v>21</x:v>
      </x:c>
      <x:c r="D795" s="21" t="n">
        <x:v>1</x:v>
      </x:c>
      <x:c r="E795" s="21" t="str">
        <x:v>5000rpm</x:v>
      </x:c>
      <x:c r="F795" s="21" t="n">
        <x:v>78</x:v>
      </x:c>
      <x:c r="G795" s="22" t="n">
        <x:f>IFERROR('5000rpm'!D78,"")</x:f>
        <x:v>1.064669774449551</x:v>
      </x:c>
      <x:c r="H795" s="22" t="n">
        <x:f>IFERROR('5000rpm'!B78,"")</x:f>
        <x:v>4930.75886230468</x:v>
      </x:c>
      <x:c r="I795" s="22" t="n">
        <x:f>IFERROR('5000rpm'!C78,"")</x:f>
        <x:v>3156.75193798449</x:v>
      </x:c>
      <x:c r="J795" s="22" t="n">
        <x:f>IFERROR('5000rpm'!C58,"")</x:f>
        <x:v>89.7650933040614</x:v>
      </x:c>
      <x:c r="K795" s="22" t="n">
        <x:f>IF(AND(ISNUMBER(I795),ISNUMBER(J795)),I795-J795,"")</x:f>
        <x:v>3066.9868446804285</x:v>
      </x:c>
      <x:c r="L795" s="22" t="n">
        <x:f>IF(ISNUMBER(K795),K795*$B$2+$B$3,"")</x:f>
        <x:v>2837.233089568626</x:v>
      </x:c>
      <x:c r="M795" s="22" t="n">
        <x:f>IF(AND(ISNUMBER(G795),ISNUMBER(H795),H795&lt;&gt;0),G795/(H795/60)/$B$5,"")</x:f>
        <x:v>0.028336498851992502</x:v>
      </x:c>
      <x:c r="N795" s="22" t="n">
        <x:f>IF(AND(ISNUMBER(L795),ISNUMBER(H795),H795&lt;&gt;0),L795*$B$6/$B$4/(H795/60)^2/$B$5^4/$B$7,"")</x:f>
        <x:v>0.07819592671619388</x:v>
      </x:c>
      <x:c r="O795" s="22" t="n">
        <x:f>IF(ISNUMBER(N795),N795*$B$8,"")</x:f>
        <x:v>0.010103112245764144</x:v>
      </x:c>
      <x:c r="P795" s="20" t="str">
        <x:v>5000rpm!D78</x:v>
      </x:c>
      <x:c r="Q795" s="20" t="str">
        <x:v>5000rpm!C78</x:v>
      </x:c>
      <x:c r="R795" s="20" t="str">
        <x:v>5000rpm!C58</x:v>
      </x:c>
    </x:row>
    <x:row r="796">
      <x:c r="A796" s="21" t="n">
        <x:v>5000</x:v>
      </x:c>
      <x:c r="B796" s="21" t="n">
        <x:v>30</x:v>
      </x:c>
      <x:c r="C796" s="21" t="n">
        <x:v>21</x:v>
      </x:c>
      <x:c r="D796" s="21" t="n">
        <x:v>2</x:v>
      </x:c>
      <x:c r="E796" s="21" t="str">
        <x:v>5000rpm</x:v>
      </x:c>
      <x:c r="F796" s="21" t="n">
        <x:v>78</x:v>
      </x:c>
      <x:c r="G796" s="22" t="n">
        <x:f>IFERROR('5000rpm'!N78,"")</x:f>
        <x:v>1.052159189161929</x:v>
      </x:c>
      <x:c r="H796" s="22" t="n">
        <x:f>IFERROR('5000rpm'!L78,"")</x:f>
        <x:v>4993.27721228966</x:v>
      </x:c>
      <x:c r="I796" s="22" t="n">
        <x:f>IFERROR('5000rpm'!M78,"")</x:f>
        <x:v>3218.6129032258</x:v>
      </x:c>
      <x:c r="J796" s="22" t="n">
        <x:f>IFERROR('5000rpm'!M58,"")</x:f>
        <x:v>89.5040983606557</x:v>
      </x:c>
      <x:c r="K796" s="22" t="n">
        <x:f>IF(AND(ISNUMBER(I796),ISNUMBER(J796)),I796-J796,"")</x:f>
        <x:v>3129.108804865144</x:v>
      </x:c>
      <x:c r="L796" s="22" t="n">
        <x:f>IF(ISNUMBER(K796),K796*$B$2+$B$3,"")</x:f>
        <x:v>2894.1186654854514</x:v>
      </x:c>
      <x:c r="M796" s="22" t="n">
        <x:f>IF(AND(ISNUMBER(G796),ISNUMBER(H796),H796&lt;&gt;0),G796/(H796/60)/$B$5,"")</x:f>
        <x:v>0.02765290767523177</x:v>
      </x:c>
      <x:c r="N796" s="22" t="n">
        <x:f>IF(AND(ISNUMBER(L796),ISNUMBER(H796),H796&lt;&gt;0),L796*$B$6/$B$4/(H796/60)^2/$B$5^4/$B$7,"")</x:f>
        <x:v>0.07777886867671549</x:v>
      </x:c>
      <x:c r="O796" s="22" t="n">
        <x:f>IF(ISNUMBER(N796),N796*$B$8,"")</x:f>
        <x:v>0.010049227288288783</x:v>
      </x:c>
      <x:c r="P796" s="20" t="str">
        <x:v>5000rpm!N78</x:v>
      </x:c>
      <x:c r="Q796" s="20" t="str">
        <x:v>5000rpm!M78</x:v>
      </x:c>
      <x:c r="R796" s="20" t="str">
        <x:v>5000rpm!M58</x:v>
      </x:c>
    </x:row>
    <x:row r="797">
      <x:c r="A797" s="21" t="n">
        <x:v>5000</x:v>
      </x:c>
      <x:c r="B797" s="21" t="n">
        <x:v>30</x:v>
      </x:c>
      <x:c r="C797" s="21" t="n">
        <x:v>22</x:v>
      </x:c>
      <x:c r="D797" s="21" t="n">
        <x:v>1</x:v>
      </x:c>
      <x:c r="E797" s="21" t="str">
        <x:v>5000rpm</x:v>
      </x:c>
      <x:c r="F797" s="21" t="n">
        <x:v>79</x:v>
      </x:c>
      <x:c r="G797" s="22" t="n">
        <x:f>IFERROR('5000rpm'!D79,"")</x:f>
        <x:v>0.26272802241146553</x:v>
      </x:c>
      <x:c r="H797" s="22" t="n">
        <x:f>IFERROR('5000rpm'!B79,"")</x:f>
        <x:v>4928.37947591145</x:v>
      </x:c>
      <x:c r="I797" s="22" t="n">
        <x:f>IFERROR('5000rpm'!C79,"")</x:f>
        <x:v>3185.10833333333</x:v>
      </x:c>
      <x:c r="J797" s="22" t="n">
        <x:f>IFERROR('5000rpm'!C58,"")</x:f>
        <x:v>89.7650933040614</x:v>
      </x:c>
      <x:c r="K797" s="22" t="n">
        <x:f>IF(AND(ISNUMBER(I797),ISNUMBER(J797)),I797-J797,"")</x:f>
        <x:v>3095.3432400292686</x:v>
      </x:c>
      <x:c r="L797" s="22" t="n">
        <x:f>IF(ISNUMBER(K797),K797*$B$2+$B$3,"")</x:f>
        <x:v>2863.1992676407212</x:v>
      </x:c>
      <x:c r="M797" s="22" t="n">
        <x:f>IF(AND(ISNUMBER(G797),ISNUMBER(H797),H797&lt;&gt;0),G797/(H797/60)/$B$5,"")</x:f>
        <x:v>0.006995959476566292</x:v>
      </x:c>
      <x:c r="N797" s="22" t="n">
        <x:f>IF(AND(ISNUMBER(L797),ISNUMBER(H797),H797&lt;&gt;0),L797*$B$6/$B$4/(H797/60)^2/$B$5^4/$B$7,"")</x:f>
        <x:v>0.07898778517812373</x:v>
      </x:c>
      <x:c r="O797" s="22" t="n">
        <x:f>IF(ISNUMBER(N797),N797*$B$8,"")</x:f>
        <x:v>0.010205422369316635</x:v>
      </x:c>
      <x:c r="P797" s="20" t="str">
        <x:v>5000rpm!D79</x:v>
      </x:c>
      <x:c r="Q797" s="20" t="str">
        <x:v>5000rpm!C79</x:v>
      </x:c>
      <x:c r="R797" s="20" t="str">
        <x:v>5000rpm!C58</x:v>
      </x:c>
    </x:row>
    <x:row r="798">
      <x:c r="A798" s="21" t="n">
        <x:v>5000</x:v>
      </x:c>
      <x:c r="B798" s="21" t="n">
        <x:v>30</x:v>
      </x:c>
      <x:c r="C798" s="21" t="n">
        <x:v>22</x:v>
      </x:c>
      <x:c r="D798" s="21" t="n">
        <x:v>2</x:v>
      </x:c>
      <x:c r="E798" s="21" t="str">
        <x:v>5000rpm</x:v>
      </x:c>
      <x:c r="F798" s="21" t="n">
        <x:v>79</x:v>
      </x:c>
      <x:c r="G798" s="22" t="n">
        <x:f>IFERROR('5000rpm'!N79,"")</x:f>
        <x:v>0.2519548742100585</x:v>
      </x:c>
      <x:c r="H798" s="22" t="n">
        <x:f>IFERROR('5000rpm'!L79,"")</x:f>
        <x:v>4994.58549360795</x:v>
      </x:c>
      <x:c r="I798" s="22" t="n">
        <x:f>IFERROR('5000rpm'!M79,"")</x:f>
        <x:v>3248.29875518672</x:v>
      </x:c>
      <x:c r="J798" s="22" t="n">
        <x:f>IFERROR('5000rpm'!M58,"")</x:f>
        <x:v>89.5040983606557</x:v>
      </x:c>
      <x:c r="K798" s="22" t="n">
        <x:f>IF(AND(ISNUMBER(I798),ISNUMBER(J798)),I798-J798,"")</x:f>
        <x:v>3158.794656826064</x:v>
      </x:c>
      <x:c r="L798" s="22" t="n">
        <x:f>IF(ISNUMBER(K798),K798*$B$2+$B$3,"")</x:f>
        <x:v>2921.3022376128815</x:v>
      </x:c>
      <x:c r="M798" s="22" t="n">
        <x:f>IF(AND(ISNUMBER(G798),ISNUMBER(H798),H798&lt;&gt;0),G798/(H798/60)/$B$5,"")</x:f>
        <x:v>0.006620157801757783</x:v>
      </x:c>
      <x:c r="N798" s="22" t="n">
        <x:f>IF(AND(ISNUMBER(L798),ISNUMBER(H798),H798&lt;&gt;0),L798*$B$6/$B$4/(H798/60)^2/$B$5^4/$B$7,"")</x:f>
        <x:v>0.07846829770308793</x:v>
      </x:c>
      <x:c r="O798" s="22" t="n">
        <x:f>IF(ISNUMBER(N798),N798*$B$8,"")</x:f>
        <x:v>0.010138303268732227</x:v>
      </x:c>
      <x:c r="P798" s="20" t="str">
        <x:v>5000rpm!N79</x:v>
      </x:c>
      <x:c r="Q798" s="20" t="str">
        <x:v>5000rpm!M79</x:v>
      </x:c>
      <x:c r="R798" s="20" t="str">
        <x:v>5000rpm!M58</x:v>
      </x:c>
    </x:row>
    <x:row r="799">
      <x:c r="A799" s="21" t="n">
        <x:v>5000</x:v>
      </x:c>
      <x:c r="B799" s="21" t="n">
        <x:v>30</x:v>
      </x:c>
      <x:c r="C799" s="21" t="n">
        <x:v>23</x:v>
      </x:c>
      <x:c r="D799" s="21" t="n">
        <x:v>1</x:v>
      </x:c>
      <x:c r="E799" s="21" t="str">
        <x:v>5000rpm</x:v>
      </x:c>
      <x:c r="F799" s="21" t="n">
        <x:v>80</x:v>
      </x:c>
      <x:c r="G799" s="22" t="n">
        <x:f>IFERROR('5000rpm'!D80,"")</x:f>
        <x:v>0.25650945256153646</x:v>
      </x:c>
      <x:c r="H799" s="22" t="n">
        <x:f>IFERROR('5000rpm'!B80,"")</x:f>
        <x:v>0</x:v>
      </x:c>
      <x:c r="I799" s="22" t="n">
        <x:f>IFERROR('5000rpm'!C80,"")</x:f>
        <x:v>87.8444444444444</x:v>
      </x:c>
      <x:c r="J799" s="22" t="n">
        <x:f>IFERROR('5000rpm'!C58,"")</x:f>
        <x:v>89.7650933040614</x:v>
      </x:c>
      <x:c r="K799" s="22" t="n">
        <x:f>IF(AND(ISNUMBER(I799),ISNUMBER(J799)),I799-J799,"")</x:f>
        <x:v>-1.920648859616989</x:v>
      </x:c>
      <x:c r="L799" s="22" t="n">
        <x:f>IF(ISNUMBER(K799),K799*$B$2+$B$3,"")</x:f>
        <x:v>27.009946474057845</x:v>
      </x:c>
      <x:c r="M799" s="22" t="str">
        <x:f>IF(AND(ISNUMBER(G799),ISNUMBER(H799),H799&lt;&gt;0),G799/(H799/60)/$B$5,"")</x:f>
      </x:c>
      <x:c r="N799" s="22" t="str">
        <x:f>IF(AND(ISNUMBER(L799),ISNUMBER(H799),H799&lt;&gt;0),L799*$B$6/$B$4/(H799/60)^2/$B$5^4/$B$7,"")</x:f>
      </x:c>
      <x:c r="O799" s="22" t="str">
        <x:f>IF(ISNUMBER(N799),N799*$B$8,"")</x:f>
      </x:c>
      <x:c r="P799" s="20" t="str">
        <x:v>5000rpm!D80</x:v>
      </x:c>
      <x:c r="Q799" s="20" t="str">
        <x:v>5000rpm!C80</x:v>
      </x:c>
      <x:c r="R799" s="20" t="str">
        <x:v>5000rpm!C58</x:v>
      </x:c>
    </x:row>
    <x:row r="800">
      <x:c r="A800" s="21" t="n">
        <x:v>5000</x:v>
      </x:c>
      <x:c r="B800" s="21" t="n">
        <x:v>30</x:v>
      </x:c>
      <x:c r="C800" s="21" t="n">
        <x:v>23</x:v>
      </x:c>
      <x:c r="D800" s="21" t="n">
        <x:v>2</x:v>
      </x:c>
      <x:c r="E800" s="21" t="str">
        <x:v>5000rpm</x:v>
      </x:c>
      <x:c r="F800" s="21" t="n">
        <x:v>80</x:v>
      </x:c>
      <x:c r="G800" s="22" t="n">
        <x:f>IFERROR('5000rpm'!N80,"")</x:f>
        <x:v>0.1727606552963445</x:v>
      </x:c>
      <x:c r="H800" s="22" t="n">
        <x:f>IFERROR('5000rpm'!L80,"")</x:f>
        <x:v>0</x:v>
      </x:c>
      <x:c r="I800" s="22" t="n">
        <x:f>IFERROR('5000rpm'!M80,"")</x:f>
        <x:v>86.9861111111111</x:v>
      </x:c>
      <x:c r="J800" s="22" t="n">
        <x:f>IFERROR('5000rpm'!M58,"")</x:f>
        <x:v>89.5040983606557</x:v>
      </x:c>
      <x:c r="K800" s="22" t="n">
        <x:f>IF(AND(ISNUMBER(I800),ISNUMBER(J800)),I800-J800,"")</x:f>
        <x:v>-2.5179872495446034</x:v>
      </x:c>
      <x:c r="L800" s="22" t="n">
        <x:f>IF(ISNUMBER(K800),K800*$B$2+$B$3,"")</x:f>
        <x:v>26.46295893169401</x:v>
      </x:c>
      <x:c r="M800" s="22" t="str">
        <x:f>IF(AND(ISNUMBER(G800),ISNUMBER(H800),H800&lt;&gt;0),G800/(H800/60)/$B$5,"")</x:f>
      </x:c>
      <x:c r="N800" s="22" t="str">
        <x:f>IF(AND(ISNUMBER(L800),ISNUMBER(H800),H800&lt;&gt;0),L800*$B$6/$B$4/(H800/60)^2/$B$5^4/$B$7,"")</x:f>
      </x:c>
      <x:c r="O800" s="22" t="str">
        <x:f>IF(ISNUMBER(N800),N800*$B$8,"")</x:f>
      </x:c>
      <x:c r="P800" s="20" t="str">
        <x:v>5000rpm!N80</x:v>
      </x:c>
      <x:c r="Q800" s="20" t="str">
        <x:v>5000rpm!M80</x:v>
      </x:c>
      <x:c r="R800" s="20" t="str">
        <x:v>5000rpm!M58</x:v>
      </x:c>
    </x:row>
    <x:row r="801">
      <x:c r="A801" s="21" t="n">
        <x:v>5000</x:v>
      </x:c>
      <x:c r="B801" s="21" t="n">
        <x:v>45</x:v>
      </x:c>
      <x:c r="C801" s="21" t="n">
        <x:v>1</x:v>
      </x:c>
      <x:c r="D801" s="21" t="n">
        <x:v>1</x:v>
      </x:c>
      <x:c r="E801" s="21" t="str">
        <x:v>5000rpm</x:v>
      </x:c>
      <x:c r="F801" s="21" t="n">
        <x:v>86</x:v>
      </x:c>
      <x:c r="G801" s="22" t="n">
        <x:f>IFERROR('5000rpm'!D86,"")</x:f>
        <x:v>0.011789021662135949</x:v>
      </x:c>
      <x:c r="H801" s="22" t="n">
        <x:f>IFERROR('5000rpm'!B86,"")</x:f>
        <x:v>0</x:v>
      </x:c>
      <x:c r="I801" s="22" t="n">
        <x:f>IFERROR('5000rpm'!C86,"")</x:f>
        <x:v>156.971283783783</x:v>
      </x:c>
      <x:c r="J801" s="22" t="n">
        <x:f>IFERROR('5000rpm'!C86,"")</x:f>
        <x:v>156.971283783783</x:v>
      </x:c>
      <x:c r="K801" s="22" t="n">
        <x:f>IF(AND(ISNUMBER(I801),ISNUMBER(J801)),I801-J801,"")</x:f>
        <x:v>0</x:v>
      </x:c>
      <x:c r="L801" s="22" t="n">
        <x:f>IF(ISNUMBER(K801),K801*$B$2+$B$3,"")</x:f>
        <x:v>28.7687</x:v>
      </x:c>
      <x:c r="M801" s="22" t="str">
        <x:f>IF(AND(ISNUMBER(G801),ISNUMBER(H801),H801&lt;&gt;0),G801/(H801/60)/$B$5,"")</x:f>
      </x:c>
      <x:c r="N801" s="22" t="str">
        <x:f>IF(AND(ISNUMBER(L801),ISNUMBER(H801),H801&lt;&gt;0),L801*$B$6/$B$4/(H801/60)^2/$B$5^4/$B$7,"")</x:f>
      </x:c>
      <x:c r="O801" s="22" t="str">
        <x:f>IF(ISNUMBER(N801),N801*$B$8,"")</x:f>
      </x:c>
      <x:c r="P801" s="20" t="str">
        <x:v>5000rpm!D86</x:v>
      </x:c>
      <x:c r="Q801" s="20" t="str">
        <x:v>5000rpm!C86</x:v>
      </x:c>
      <x:c r="R801" s="20" t="str">
        <x:v>5000rpm!C86</x:v>
      </x:c>
    </x:row>
    <x:row r="802">
      <x:c r="A802" s="21" t="n">
        <x:v>5000</x:v>
      </x:c>
      <x:c r="B802" s="21" t="n">
        <x:v>45</x:v>
      </x:c>
      <x:c r="C802" s="21" t="n">
        <x:v>1</x:v>
      </x:c>
      <x:c r="D802" s="21" t="n">
        <x:v>2</x:v>
      </x:c>
      <x:c r="E802" s="21" t="str">
        <x:v>5000rpm</x:v>
      </x:c>
      <x:c r="F802" s="21" t="n">
        <x:v>86</x:v>
      </x:c>
      <x:c r="G802" s="22" t="n">
        <x:f>IFERROR('5000rpm'!N86,"")</x:f>
        <x:v>0.02051190106737375</x:v>
      </x:c>
      <x:c r="H802" s="22" t="n">
        <x:f>IFERROR('5000rpm'!L86,"")</x:f>
        <x:v>0</x:v>
      </x:c>
      <x:c r="I802" s="22" t="n">
        <x:f>IFERROR('5000rpm'!M86,"")</x:f>
        <x:v>156.98245614035</x:v>
      </x:c>
      <x:c r="J802" s="22" t="n">
        <x:f>IFERROR('5000rpm'!C86,"")</x:f>
        <x:v>156.971283783783</x:v>
      </x:c>
      <x:c r="K802" s="22" t="n">
        <x:f>IF(AND(ISNUMBER(I802),ISNUMBER(J802)),I802-J802,"")</x:f>
        <x:v>0.011172356566987673</x:v>
      </x:c>
      <x:c r="L802" s="22" t="n">
        <x:f>IF(ISNUMBER(K802),K802*$B$2+$B$3,"")</x:f>
        <x:v>28.77893061628724</x:v>
      </x:c>
      <x:c r="M802" s="22" t="str">
        <x:f>IF(AND(ISNUMBER(G802),ISNUMBER(H802),H802&lt;&gt;0),G802/(H802/60)/$B$5,"")</x:f>
      </x:c>
      <x:c r="N802" s="22" t="str">
        <x:f>IF(AND(ISNUMBER(L802),ISNUMBER(H802),H802&lt;&gt;0),L802*$B$6/$B$4/(H802/60)^2/$B$5^4/$B$7,"")</x:f>
      </x:c>
      <x:c r="O802" s="22" t="str">
        <x:f>IF(ISNUMBER(N802),N802*$B$8,"")</x:f>
      </x:c>
      <x:c r="P802" s="20" t="str">
        <x:v>5000rpm!N86</x:v>
      </x:c>
      <x:c r="Q802" s="20" t="str">
        <x:v>5000rpm!M86</x:v>
      </x:c>
      <x:c r="R802" s="20" t="str">
        <x:v>5000rpm!C86</x:v>
      </x:c>
    </x:row>
    <x:row r="803">
      <x:c r="A803" s="21" t="n">
        <x:v>5000</x:v>
      </x:c>
      <x:c r="B803" s="21" t="n">
        <x:v>45</x:v>
      </x:c>
      <x:c r="C803" s="21" t="n">
        <x:v>2</x:v>
      </x:c>
      <x:c r="D803" s="21" t="n">
        <x:v>1</x:v>
      </x:c>
      <x:c r="E803" s="21" t="str">
        <x:v>5000rpm</x:v>
      </x:c>
      <x:c r="F803" s="21" t="n">
        <x:v>87</x:v>
      </x:c>
      <x:c r="G803" s="22" t="n">
        <x:f>IFERROR('5000rpm'!D87,"")</x:f>
        <x:v>0.12734488221601784</x:v>
      </x:c>
      <x:c r="H803" s="22" t="n">
        <x:f>IFERROR('5000rpm'!B87,"")</x:f>
        <x:v>5066.6981670673</x:v>
      </x:c>
      <x:c r="I803" s="22" t="n">
        <x:f>IFERROR('5000rpm'!C87,"")</x:f>
        <x:v>3421.53974358974</x:v>
      </x:c>
      <x:c r="J803" s="22" t="n">
        <x:f>IFERROR('5000rpm'!C86,"")</x:f>
        <x:v>156.971283783783</x:v>
      </x:c>
      <x:c r="K803" s="22" t="n">
        <x:f>IF(AND(ISNUMBER(I803),ISNUMBER(J803)),I803-J803,"")</x:f>
        <x:v>3264.568459805957</x:v>
      </x:c>
      <x:c r="L803" s="22" t="n">
        <x:f>IF(ISNUMBER(K803),K803*$B$2+$B$3,"")</x:f>
        <x:v>3018.1601551919935</x:v>
      </x:c>
      <x:c r="M803" s="22" t="n">
        <x:f>IF(AND(ISNUMBER(G803),ISNUMBER(H803),H803&lt;&gt;0),G803/(H803/60)/$B$5,"")</x:f>
        <x:v>0.003298386098589235</x:v>
      </x:c>
      <x:c r="N803" s="22" t="n">
        <x:f>IF(AND(ISNUMBER(L803),ISNUMBER(H803),H803&lt;&gt;0),L803*$B$6/$B$4/(H803/60)^2/$B$5^4/$B$7,"")</x:f>
        <x:v>0.07877870863327015</x:v>
      </x:c>
      <x:c r="O803" s="22" t="n">
        <x:f>IF(ISNUMBER(N803),N803*$B$8,"")</x:f>
        <x:v>0.010178409148944188</x:v>
      </x:c>
      <x:c r="P803" s="20" t="str">
        <x:v>5000rpm!D87</x:v>
      </x:c>
      <x:c r="Q803" s="20" t="str">
        <x:v>5000rpm!C87</x:v>
      </x:c>
      <x:c r="R803" s="20" t="str">
        <x:v>5000rpm!C86</x:v>
      </x:c>
    </x:row>
    <x:row r="804">
      <x:c r="A804" s="21" t="n">
        <x:v>5000</x:v>
      </x:c>
      <x:c r="B804" s="21" t="n">
        <x:v>45</x:v>
      </x:c>
      <x:c r="C804" s="21" t="n">
        <x:v>2</x:v>
      </x:c>
      <x:c r="D804" s="21" t="n">
        <x:v>2</x:v>
      </x:c>
      <x:c r="E804" s="21" t="str">
        <x:v>5000rpm</x:v>
      </x:c>
      <x:c r="F804" s="21" t="n">
        <x:v>87</x:v>
      </x:c>
      <x:c r="G804" s="22" t="n">
        <x:f>IFERROR('5000rpm'!N87,"")</x:f>
        <x:v>0.10495746972759254</x:v>
      </x:c>
      <x:c r="H804" s="22" t="n">
        <x:f>IFERROR('5000rpm'!L87,"")</x:f>
        <x:v>5030.14147949218</x:v>
      </x:c>
      <x:c r="I804" s="22" t="n">
        <x:f>IFERROR('5000rpm'!M87,"")</x:f>
        <x:v>3431.55214723926</x:v>
      </x:c>
      <x:c r="J804" s="22" t="n">
        <x:f>IFERROR('5000rpm'!C86,"")</x:f>
        <x:v>156.971283783783</x:v>
      </x:c>
      <x:c r="K804" s="22" t="n">
        <x:f>IF(AND(ISNUMBER(I804),ISNUMBER(J804)),I804-J804,"")</x:f>
        <x:v>3274.5808634554774</x:v>
      </x:c>
      <x:c r="L804" s="22" t="n">
        <x:f>IF(ISNUMBER(K804),K804*$B$2+$B$3,"")</x:f>
        <x:v>3027.3285933130883</x:v>
      </x:c>
      <x:c r="M804" s="22" t="n">
        <x:f>IF(AND(ISNUMBER(G804),ISNUMBER(H804),H804&lt;&gt;0),G804/(H804/60)/$B$5,"")</x:f>
        <x:v>0.0027382820572011556</x:v>
      </x:c>
      <x:c r="N804" s="22" t="n">
        <x:f>IF(AND(ISNUMBER(L804),ISNUMBER(H804),H804&lt;&gt;0),L804*$B$6/$B$4/(H804/60)^2/$B$5^4/$B$7,"")</x:f>
        <x:v>0.08017072385410395</x:v>
      </x:c>
      <x:c r="O804" s="22" t="n">
        <x:f>IF(ISNUMBER(N804),N804*$B$8,"")</x:f>
        <x:v>0.010358261049349936</x:v>
      </x:c>
      <x:c r="P804" s="20" t="str">
        <x:v>5000rpm!N87</x:v>
      </x:c>
      <x:c r="Q804" s="20" t="str">
        <x:v>5000rpm!M87</x:v>
      </x:c>
      <x:c r="R804" s="20" t="str">
        <x:v>5000rpm!C86</x:v>
      </x:c>
    </x:row>
    <x:row r="805">
      <x:c r="A805" s="21" t="n">
        <x:v>5000</x:v>
      </x:c>
      <x:c r="B805" s="21" t="n">
        <x:v>45</x:v>
      </x:c>
      <x:c r="C805" s="21" t="n">
        <x:v>3</x:v>
      </x:c>
      <x:c r="D805" s="21" t="n">
        <x:v>1</x:v>
      </x:c>
      <x:c r="E805" s="21" t="str">
        <x:v>5000rpm</x:v>
      </x:c>
      <x:c r="F805" s="21" t="n">
        <x:v>88</x:v>
      </x:c>
      <x:c r="G805" s="22" t="n">
        <x:f>IFERROR('5000rpm'!D88,"")</x:f>
        <x:v>1.0250797690926015</x:v>
      </x:c>
      <x:c r="H805" s="22" t="n">
        <x:f>IFERROR('5000rpm'!B88,"")</x:f>
        <x:v>5008.94384765625</x:v>
      </x:c>
      <x:c r="I805" s="22" t="n">
        <x:f>IFERROR('5000rpm'!C88,"")</x:f>
        <x:v>3369.26470588235</x:v>
      </x:c>
      <x:c r="J805" s="22" t="n">
        <x:f>IFERROR('5000rpm'!C86,"")</x:f>
        <x:v>156.971283783783</x:v>
      </x:c>
      <x:c r="K805" s="22" t="n">
        <x:f>IF(AND(ISNUMBER(I805),ISNUMBER(J805)),I805-J805,"")</x:f>
        <x:v>3212.293422098567</x:v>
      </x:c>
      <x:c r="L805" s="22" t="n">
        <x:f>IF(ISNUMBER(K805),K805*$B$2+$B$3,"")</x:f>
        <x:v>2970.2914849630347</x:v>
      </x:c>
      <x:c r="M805" s="22" t="n">
        <x:f>IF(AND(ISNUMBER(G805),ISNUMBER(H805),H805&lt;&gt;0),G805/(H805/60)/$B$5,"")</x:f>
        <x:v>0.026856939940211117</x:v>
      </x:c>
      <x:c r="N805" s="22" t="n">
        <x:f>IF(AND(ISNUMBER(L805),ISNUMBER(H805),H805&lt;&gt;0),L805*$B$6/$B$4/(H805/60)^2/$B$5^4/$B$7,"")</x:f>
        <x:v>0.07932743039752453</x:v>
      </x:c>
      <x:c r="O805" s="22" t="n">
        <x:f>IF(ISNUMBER(N805),N805*$B$8,"")</x:f>
        <x:v>0.010249305393911994</x:v>
      </x:c>
      <x:c r="P805" s="20" t="str">
        <x:v>5000rpm!D88</x:v>
      </x:c>
      <x:c r="Q805" s="20" t="str">
        <x:v>5000rpm!C88</x:v>
      </x:c>
      <x:c r="R805" s="20" t="str">
        <x:v>5000rpm!C86</x:v>
      </x:c>
    </x:row>
    <x:row r="806">
      <x:c r="A806" s="21" t="n">
        <x:v>5000</x:v>
      </x:c>
      <x:c r="B806" s="21" t="n">
        <x:v>45</x:v>
      </x:c>
      <x:c r="C806" s="21" t="n">
        <x:v>3</x:v>
      </x:c>
      <x:c r="D806" s="21" t="n">
        <x:v>2</x:v>
      </x:c>
      <x:c r="E806" s="21" t="str">
        <x:v>5000rpm</x:v>
      </x:c>
      <x:c r="F806" s="21" t="n">
        <x:v>88</x:v>
      </x:c>
      <x:c r="G806" s="22" t="n">
        <x:f>IFERROR('5000rpm'!N88,"")</x:f>
        <x:v>0.922045654545609</x:v>
      </x:c>
      <x:c r="H806" s="22" t="n">
        <x:f>IFERROR('5000rpm'!L88,"")</x:f>
        <x:v>5020.01820591517</x:v>
      </x:c>
      <x:c r="I806" s="22" t="n">
        <x:f>IFERROR('5000rpm'!M88,"")</x:f>
        <x:v>3380.03846153846</x:v>
      </x:c>
      <x:c r="J806" s="22" t="n">
        <x:f>IFERROR('5000rpm'!C86,"")</x:f>
        <x:v>156.971283783783</x:v>
      </x:c>
      <x:c r="K806" s="22" t="n">
        <x:f>IF(AND(ISNUMBER(I806),ISNUMBER(J806)),I806-J806,"")</x:f>
        <x:v>3223.0671777546772</x:v>
      </x:c>
      <x:c r="L806" s="22" t="n">
        <x:f>IF(ISNUMBER(K806),K806*$B$2+$B$3,"")</x:f>
        <x:v>2980.15709920738</x:v>
      </x:c>
      <x:c r="M806" s="22" t="n">
        <x:f>IF(AND(ISNUMBER(G806),ISNUMBER(H806),H806&lt;&gt;0),G806/(H806/60)/$B$5,"")</x:f>
        <x:v>0.02410416890434553</x:v>
      </x:c>
      <x:c r="N806" s="22" t="n">
        <x:f>IF(AND(ISNUMBER(L806),ISNUMBER(H806),H806&lt;&gt;0),L806*$B$6/$B$4/(H806/60)^2/$B$5^4/$B$7,"")</x:f>
        <x:v>0.07924013683550363</x:v>
      </x:c>
      <x:c r="O806" s="22" t="n">
        <x:f>IF(ISNUMBER(N806),N806*$B$8,"")</x:f>
        <x:v>0.010238026844088923</x:v>
      </x:c>
      <x:c r="P806" s="20" t="str">
        <x:v>5000rpm!N88</x:v>
      </x:c>
      <x:c r="Q806" s="20" t="str">
        <x:v>5000rpm!M88</x:v>
      </x:c>
      <x:c r="R806" s="20" t="str">
        <x:v>5000rpm!C86</x:v>
      </x:c>
    </x:row>
    <x:row r="807">
      <x:c r="A807" s="21" t="n">
        <x:v>5000</x:v>
      </x:c>
      <x:c r="B807" s="21" t="n">
        <x:v>45</x:v>
      </x:c>
      <x:c r="C807" s="21" t="n">
        <x:v>4</x:v>
      </x:c>
      <x:c r="D807" s="21" t="n">
        <x:v>1</x:v>
      </x:c>
      <x:c r="E807" s="21" t="str">
        <x:v>5000rpm</x:v>
      </x:c>
      <x:c r="F807" s="21" t="n">
        <x:v>89</x:v>
      </x:c>
      <x:c r="G807" s="22" t="n">
        <x:f>IFERROR('5000rpm'!D89,"")</x:f>
        <x:v>2.0541306828197547</x:v>
      </x:c>
      <x:c r="H807" s="22" t="n">
        <x:f>IFERROR('5000rpm'!B89,"")</x:f>
        <x:v>5010.51988002232</x:v>
      </x:c>
      <x:c r="I807" s="22" t="n">
        <x:f>IFERROR('5000rpm'!C89,"")</x:f>
        <x:v>3296.08406304728</x:v>
      </x:c>
      <x:c r="J807" s="22" t="n">
        <x:f>IFERROR('5000rpm'!C86,"")</x:f>
        <x:v>156.971283783783</x:v>
      </x:c>
      <x:c r="K807" s="22" t="n">
        <x:f>IF(AND(ISNUMBER(I807),ISNUMBER(J807)),I807-J807,"")</x:f>
        <x:v>3139.112779263497</x:v>
      </x:c>
      <x:c r="L807" s="22" t="n">
        <x:f>IF(ISNUMBER(K807),K807*$B$2+$B$3,"")</x:f>
        <x:v>2903.2793848738183</x:v>
      </x:c>
      <x:c r="M807" s="22" t="n">
        <x:f>IF(AND(ISNUMBER(G807),ISNUMBER(H807),H807&lt;&gt;0),G807/(H807/60)/$B$5,"")</x:f>
        <x:v>0.05380099514731856</x:v>
      </x:c>
      <x:c r="N807" s="22" t="n">
        <x:f>IF(AND(ISNUMBER(L807),ISNUMBER(H807),H807&lt;&gt;0),L807*$B$6/$B$4/(H807/60)^2/$B$5^4/$B$7,"")</x:f>
        <x:v>0.0774889709992442</x:v>
      </x:c>
      <x:c r="O807" s="22" t="n">
        <x:f>IF(ISNUMBER(N807),N807*$B$8,"")</x:f>
        <x:v>0.010011771772403553</x:v>
      </x:c>
      <x:c r="P807" s="20" t="str">
        <x:v>5000rpm!D89</x:v>
      </x:c>
      <x:c r="Q807" s="20" t="str">
        <x:v>5000rpm!C89</x:v>
      </x:c>
      <x:c r="R807" s="20" t="str">
        <x:v>5000rpm!C86</x:v>
      </x:c>
    </x:row>
    <x:row r="808">
      <x:c r="A808" s="21" t="n">
        <x:v>5000</x:v>
      </x:c>
      <x:c r="B808" s="21" t="n">
        <x:v>45</x:v>
      </x:c>
      <x:c r="C808" s="21" t="n">
        <x:v>4</x:v>
      </x:c>
      <x:c r="D808" s="21" t="n">
        <x:v>2</x:v>
      </x:c>
      <x:c r="E808" s="21" t="str">
        <x:v>5000rpm</x:v>
      </x:c>
      <x:c r="F808" s="21" t="n">
        <x:v>89</x:v>
      </x:c>
      <x:c r="G808" s="22" t="n">
        <x:f>IFERROR('5000rpm'!N89,"")</x:f>
        <x:v>1.958894504470065</x:v>
      </x:c>
      <x:c r="H808" s="22" t="n">
        <x:f>IFERROR('5000rpm'!L89,"")</x:f>
        <x:v>4997.3904127038</x:v>
      </x:c>
      <x:c r="I808" s="22" t="n">
        <x:f>IFERROR('5000rpm'!M89,"")</x:f>
        <x:v>3313.13157894736</x:v>
      </x:c>
      <x:c r="J808" s="22" t="n">
        <x:f>IFERROR('5000rpm'!C86,"")</x:f>
        <x:v>156.971283783783</x:v>
      </x:c>
      <x:c r="K808" s="22" t="n">
        <x:f>IF(AND(ISNUMBER(I808),ISNUMBER(J808)),I808-J808,"")</x:f>
        <x:v>3156.1602951635773</x:v>
      </x:c>
      <x:c r="L808" s="22" t="n">
        <x:f>IF(ISNUMBER(K808),K808*$B$2+$B$3,"")</x:f>
        <x:v>2918.889931563649</x:v>
      </x:c>
      <x:c r="M808" s="22" t="n">
        <x:f>IF(AND(ISNUMBER(G808),ISNUMBER(H808),H808&lt;&gt;0),G808/(H808/60)/$B$5,"")</x:f>
        <x:v>0.05144140208897684</x:v>
      </x:c>
      <x:c r="N808" s="22" t="n">
        <x:f>IF(AND(ISNUMBER(L808),ISNUMBER(H808),H808&lt;&gt;0),L808*$B$6/$B$4/(H808/60)^2/$B$5^4/$B$7,"")</x:f>
        <x:v>0.07831551398551363</x:v>
      </x:c>
      <x:c r="O808" s="22" t="n">
        <x:f>IF(ISNUMBER(N808),N808*$B$8,"")</x:f>
        <x:v>0.010118563224553448</x:v>
      </x:c>
      <x:c r="P808" s="20" t="str">
        <x:v>5000rpm!N89</x:v>
      </x:c>
      <x:c r="Q808" s="20" t="str">
        <x:v>5000rpm!M89</x:v>
      </x:c>
      <x:c r="R808" s="20" t="str">
        <x:v>5000rpm!C86</x:v>
      </x:c>
    </x:row>
    <x:row r="809">
      <x:c r="A809" s="21" t="n">
        <x:v>5000</x:v>
      </x:c>
      <x:c r="B809" s="21" t="n">
        <x:v>45</x:v>
      </x:c>
      <x:c r="C809" s="21" t="n">
        <x:v>5</x:v>
      </x:c>
      <x:c r="D809" s="21" t="n">
        <x:v>1</x:v>
      </x:c>
      <x:c r="E809" s="21" t="str">
        <x:v>5000rpm</x:v>
      </x:c>
      <x:c r="F809" s="21" t="n">
        <x:v>90</x:v>
      </x:c>
      <x:c r="G809" s="22" t="n">
        <x:f>IFERROR('5000rpm'!D90,"")</x:f>
        <x:v>3.0817199178363897</x:v>
      </x:c>
      <x:c r="H809" s="22" t="n">
        <x:f>IFERROR('5000rpm'!B90,"")</x:f>
        <x:v>4992.68013332201</x:v>
      </x:c>
      <x:c r="I809" s="22" t="n">
        <x:f>IFERROR('5000rpm'!C90,"")</x:f>
        <x:v>3221.50980392156</x:v>
      </x:c>
      <x:c r="J809" s="22" t="n">
        <x:f>IFERROR('5000rpm'!C86,"")</x:f>
        <x:v>156.971283783783</x:v>
      </x:c>
      <x:c r="K809" s="22" t="n">
        <x:f>IF(AND(ISNUMBER(I809),ISNUMBER(J809)),I809-J809,"")</x:f>
        <x:v>3064.538520137777</x:v>
      </x:c>
      <x:c r="L809" s="22" t="n">
        <x:f>IF(ISNUMBER(K809),K809*$B$2+$B$3,"")</x:f>
        <x:v>2834.9911391983237</x:v>
      </x:c>
      <x:c r="M809" s="22" t="n">
        <x:f>IF(AND(ISNUMBER(G809),ISNUMBER(H809),H809&lt;&gt;0),G809/(H809/60)/$B$5,"")</x:f>
        <x:v>0.08100362435970294</x:v>
      </x:c>
      <x:c r="N809" s="22" t="n">
        <x:f>IF(AND(ISNUMBER(L809),ISNUMBER(H809),H809&lt;&gt;0),L809*$B$6/$B$4/(H809/60)^2/$B$5^4/$B$7,"")</x:f>
        <x:v>0.07620805236786572</x:v>
      </x:c>
      <x:c r="O809" s="22" t="n">
        <x:f>IF(ISNUMBER(N809),N809*$B$8,"")</x:f>
        <x:v>0.009846273833393548</x:v>
      </x:c>
      <x:c r="P809" s="20" t="str">
        <x:v>5000rpm!D90</x:v>
      </x:c>
      <x:c r="Q809" s="20" t="str">
        <x:v>5000rpm!C90</x:v>
      </x:c>
      <x:c r="R809" s="20" t="str">
        <x:v>5000rpm!C86</x:v>
      </x:c>
    </x:row>
    <x:row r="810">
      <x:c r="A810" s="21" t="n">
        <x:v>5000</x:v>
      </x:c>
      <x:c r="B810" s="21" t="n">
        <x:v>45</x:v>
      </x:c>
      <x:c r="C810" s="21" t="n">
        <x:v>5</x:v>
      </x:c>
      <x:c r="D810" s="21" t="n">
        <x:v>2</x:v>
      </x:c>
      <x:c r="E810" s="21" t="str">
        <x:v>5000rpm</x:v>
      </x:c>
      <x:c r="F810" s="21" t="n">
        <x:v>90</x:v>
      </x:c>
      <x:c r="G810" s="22" t="n">
        <x:f>IFERROR('5000rpm'!N90,"")</x:f>
        <x:v>2.993684536974195</x:v>
      </x:c>
      <x:c r="H810" s="22" t="n">
        <x:f>IFERROR('5000rpm'!L90,"")</x:f>
        <x:v>5001.18215215773</x:v>
      </x:c>
      <x:c r="I810" s="22" t="n">
        <x:f>IFERROR('5000rpm'!M90,"")</x:f>
        <x:v>3245.28705882352</x:v>
      </x:c>
      <x:c r="J810" s="22" t="n">
        <x:f>IFERROR('5000rpm'!C86,"")</x:f>
        <x:v>156.971283783783</x:v>
      </x:c>
      <x:c r="K810" s="22" t="n">
        <x:f>IF(AND(ISNUMBER(I810),ISNUMBER(J810)),I810-J810,"")</x:f>
        <x:v>3088.315775039737</x:v>
      </x:c>
      <x:c r="L810" s="22" t="n">
        <x:f>IF(ISNUMBER(K810),K810*$B$2+$B$3,"")</x:f>
        <x:v>2856.764161730088</x:v>
      </x:c>
      <x:c r="M810" s="22" t="n">
        <x:f>IF(AND(ISNUMBER(G810),ISNUMBER(H810),H810&lt;&gt;0),G810/(H810/60)/$B$5,"")</x:f>
        <x:v>0.07855582430846893</x:v>
      </x:c>
      <x:c r="N810" s="22" t="n">
        <x:f>IF(AND(ISNUMBER(L810),ISNUMBER(H810),H810&lt;&gt;0),L810*$B$6/$B$4/(H810/60)^2/$B$5^4/$B$7,"")</x:f>
        <x:v>0.07653246232339794</x:v>
      </x:c>
      <x:c r="O810" s="22" t="n">
        <x:f>IF(ISNUMBER(N810),N810*$B$8,"")</x:f>
        <x:v>0.009888188423219703</x:v>
      </x:c>
      <x:c r="P810" s="20" t="str">
        <x:v>5000rpm!N90</x:v>
      </x:c>
      <x:c r="Q810" s="20" t="str">
        <x:v>5000rpm!M90</x:v>
      </x:c>
      <x:c r="R810" s="20" t="str">
        <x:v>5000rpm!C86</x:v>
      </x:c>
    </x:row>
    <x:row r="811">
      <x:c r="A811" s="21" t="n">
        <x:v>5000</x:v>
      </x:c>
      <x:c r="B811" s="21" t="n">
        <x:v>45</x:v>
      </x:c>
      <x:c r="C811" s="21" t="n">
        <x:v>6</x:v>
      </x:c>
      <x:c r="D811" s="21" t="n">
        <x:v>1</x:v>
      </x:c>
      <x:c r="E811" s="21" t="str">
        <x:v>5000rpm</x:v>
      </x:c>
      <x:c r="F811" s="21" t="n">
        <x:v>91</x:v>
      </x:c>
      <x:c r="G811" s="22" t="n">
        <x:f>IFERROR('5000rpm'!D91,"")</x:f>
        <x:v>4.1187405407428646</x:v>
      </x:c>
      <x:c r="H811" s="22" t="n">
        <x:f>IFERROR('5000rpm'!B91,"")</x:f>
        <x:v>4994.07926432291</x:v>
      </x:c>
      <x:c r="I811" s="22" t="n">
        <x:f>IFERROR('5000rpm'!C91,"")</x:f>
        <x:v>3151.51666666666</x:v>
      </x:c>
      <x:c r="J811" s="22" t="n">
        <x:f>IFERROR('5000rpm'!C86,"")</x:f>
        <x:v>156.971283783783</x:v>
      </x:c>
      <x:c r="K811" s="22" t="n">
        <x:f>IF(AND(ISNUMBER(I811),ISNUMBER(J811)),I811-J811,"")</x:f>
        <x:v>2994.545382882877</x:v>
      </x:c>
      <x:c r="L811" s="22" t="n">
        <x:f>IF(ISNUMBER(K811),K811*$B$2+$B$3,"")</x:f>
        <x:v>2770.897863468914</x:v>
      </x:c>
      <x:c r="M811" s="22" t="n">
        <x:f>IF(AND(ISNUMBER(G811),ISNUMBER(H811),H811&lt;&gt;0),G811/(H811/60)/$B$5,"")</x:f>
        <x:v>0.10823158839157254</x:v>
      </x:c>
      <x:c r="N811" s="22" t="n">
        <x:f>IF(AND(ISNUMBER(L811),ISNUMBER(H811),H811&lt;&gt;0),L811*$B$6/$B$4/(H811/60)^2/$B$5^4/$B$7,"")</x:f>
        <x:v>0.0744434168369727</x:v>
      </x:c>
      <x:c r="O811" s="22" t="n">
        <x:f>IF(ISNUMBER(N811),N811*$B$8,"")</x:f>
        <x:v>0.009618278442966342</x:v>
      </x:c>
      <x:c r="P811" s="20" t="str">
        <x:v>5000rpm!D91</x:v>
      </x:c>
      <x:c r="Q811" s="20" t="str">
        <x:v>5000rpm!C91</x:v>
      </x:c>
      <x:c r="R811" s="20" t="str">
        <x:v>5000rpm!C86</x:v>
      </x:c>
    </x:row>
    <x:row r="812">
      <x:c r="A812" s="21" t="n">
        <x:v>5000</x:v>
      </x:c>
      <x:c r="B812" s="21" t="n">
        <x:v>45</x:v>
      </x:c>
      <x:c r="C812" s="21" t="n">
        <x:v>6</x:v>
      </x:c>
      <x:c r="D812" s="21" t="n">
        <x:v>2</x:v>
      </x:c>
      <x:c r="E812" s="21" t="str">
        <x:v>5000rpm</x:v>
      </x:c>
      <x:c r="F812" s="21" t="n">
        <x:v>91</x:v>
      </x:c>
      <x:c r="G812" s="22" t="n">
        <x:f>IFERROR('5000rpm'!N91,"")</x:f>
        <x:v>4.04396381313444</x:v>
      </x:c>
      <x:c r="H812" s="22" t="n">
        <x:f>IFERROR('5000rpm'!L91,"")</x:f>
        <x:v>5015.9138502038</x:v>
      </x:c>
      <x:c r="I812" s="22" t="n">
        <x:f>IFERROR('5000rpm'!M91,"")</x:f>
        <x:v>3183.40674157303</x:v>
      </x:c>
      <x:c r="J812" s="22" t="n">
        <x:f>IFERROR('5000rpm'!C86,"")</x:f>
        <x:v>156.971283783783</x:v>
      </x:c>
      <x:c r="K812" s="22" t="n">
        <x:f>IF(AND(ISNUMBER(I812),ISNUMBER(J812)),I812-J812,"")</x:f>
        <x:v>3026.4354577892473</x:v>
      </x:c>
      <x:c r="L812" s="22" t="n">
        <x:f>IF(ISNUMBER(K812),K812*$B$2+$B$3,"")</x:f>
        <x:v>2800.099860181276</x:v>
      </x:c>
      <x:c r="M812" s="22" t="n">
        <x:f>IF(AND(ISNUMBER(G812),ISNUMBER(H812),H812&lt;&gt;0),G812/(H812/60)/$B$5,"")</x:f>
        <x:v>0.10580403259184201</x:v>
      </x:c>
      <x:c r="N812" s="22" t="n">
        <x:f>IF(AND(ISNUMBER(L812),ISNUMBER(H812),H812&lt;&gt;0),L812*$B$6/$B$4/(H812/60)^2/$B$5^4/$B$7,"")</x:f>
        <x:v>0.0745744441624525</x:v>
      </x:c>
      <x:c r="O812" s="22" t="n">
        <x:f>IF(ISNUMBER(N812),N812*$B$8,"")</x:f>
        <x:v>0.009635207506054108</x:v>
      </x:c>
      <x:c r="P812" s="20" t="str">
        <x:v>5000rpm!N91</x:v>
      </x:c>
      <x:c r="Q812" s="20" t="str">
        <x:v>5000rpm!M91</x:v>
      </x:c>
      <x:c r="R812" s="20" t="str">
        <x:v>5000rpm!C86</x:v>
      </x:c>
    </x:row>
    <x:row r="813">
      <x:c r="A813" s="21" t="n">
        <x:v>5000</x:v>
      </x:c>
      <x:c r="B813" s="21" t="n">
        <x:v>45</x:v>
      </x:c>
      <x:c r="C813" s="21" t="n">
        <x:v>7</x:v>
      </x:c>
      <x:c r="D813" s="21" t="n">
        <x:v>1</x:v>
      </x:c>
      <x:c r="E813" s="21" t="str">
        <x:v>5000rpm</x:v>
      </x:c>
      <x:c r="F813" s="21" t="n">
        <x:v>92</x:v>
      </x:c>
      <x:c r="G813" s="22" t="n">
        <x:f>IFERROR('5000rpm'!D92,"")</x:f>
        <x:v>5.15151522056661</x:v>
      </x:c>
      <x:c r="H813" s="22" t="n">
        <x:f>IFERROR('5000rpm'!B92,"")</x:f>
        <x:v>4951.36038643973</x:v>
      </x:c>
      <x:c r="I813" s="22" t="n">
        <x:f>IFERROR('5000rpm'!C92,"")</x:f>
        <x:v>3077.56630824372</x:v>
      </x:c>
      <x:c r="J813" s="22" t="n">
        <x:f>IFERROR('5000rpm'!C86,"")</x:f>
        <x:v>156.971283783783</x:v>
      </x:c>
      <x:c r="K813" s="22" t="n">
        <x:f>IF(AND(ISNUMBER(I813),ISNUMBER(J813)),I813-J813,"")</x:f>
        <x:v>2920.595024459937</x:v>
      </x:c>
      <x:c r="L813" s="22" t="n">
        <x:f>IF(ISNUMBER(K813),K813*$B$2+$B$3,"")</x:f>
        <x:v>2703.18092865816</x:v>
      </x:c>
      <x:c r="M813" s="22" t="n">
        <x:f>IF(AND(ISNUMBER(G813),ISNUMBER(H813),H813&lt;&gt;0),G813/(H813/60)/$B$5,"")</x:f>
        <x:v>0.1365386102913436</x:v>
      </x:c>
      <x:c r="N813" s="22" t="n">
        <x:f>IF(AND(ISNUMBER(L813),ISNUMBER(H813),H813&lt;&gt;0),L813*$B$6/$B$4/(H813/60)^2/$B$5^4/$B$7,"")</x:f>
        <x:v>0.07388268704029388</x:v>
      </x:c>
      <x:c r="O813" s="22" t="n">
        <x:f>IF(ISNUMBER(N813),N813*$B$8,"")</x:f>
        <x:v>0.009545830729724812</x:v>
      </x:c>
      <x:c r="P813" s="20" t="str">
        <x:v>5000rpm!D92</x:v>
      </x:c>
      <x:c r="Q813" s="20" t="str">
        <x:v>5000rpm!C92</x:v>
      </x:c>
      <x:c r="R813" s="20" t="str">
        <x:v>5000rpm!C86</x:v>
      </x:c>
    </x:row>
    <x:row r="814">
      <x:c r="A814" s="21" t="n">
        <x:v>5000</x:v>
      </x:c>
      <x:c r="B814" s="21" t="n">
        <x:v>45</x:v>
      </x:c>
      <x:c r="C814" s="21" t="n">
        <x:v>7</x:v>
      </x:c>
      <x:c r="D814" s="21" t="n">
        <x:v>2</x:v>
      </x:c>
      <x:c r="E814" s="21" t="str">
        <x:v>5000rpm</x:v>
      </x:c>
      <x:c r="F814" s="21" t="n">
        <x:v>92</x:v>
      </x:c>
      <x:c r="G814" s="22" t="n">
        <x:f>IFERROR('5000rpm'!N92,"")</x:f>
        <x:v>5.08941801937146</x:v>
      </x:c>
      <x:c r="H814" s="22" t="n">
        <x:f>IFERROR('5000rpm'!L92,"")</x:f>
        <x:v>4979.22093822338</x:v>
      </x:c>
      <x:c r="I814" s="22" t="n">
        <x:f>IFERROR('5000rpm'!M92,"")</x:f>
        <x:v>3111.80038387715</x:v>
      </x:c>
      <x:c r="J814" s="22" t="n">
        <x:f>IFERROR('5000rpm'!C86,"")</x:f>
        <x:v>156.971283783783</x:v>
      </x:c>
      <x:c r="K814" s="22" t="n">
        <x:f>IF(AND(ISNUMBER(I814),ISNUMBER(J814)),I814-J814,"")</x:f>
        <x:v>2954.8291000933673</x:v>
      </x:c>
      <x:c r="L814" s="22" t="n">
        <x:f>IF(ISNUMBER(K814),K814*$B$2+$B$3,"")</x:f>
        <x:v>2734.529345588297</x:v>
      </x:c>
      <x:c r="M814" s="22" t="n">
        <x:f>IF(AND(ISNUMBER(G814),ISNUMBER(H814),H814&lt;&gt;0),G814/(H814/60)/$B$5,"")</x:f>
        <x:v>0.13413797770789715</x:v>
      </x:c>
      <x:c r="N814" s="22" t="n">
        <x:f>IF(AND(ISNUMBER(L814),ISNUMBER(H814),H814&lt;&gt;0),L814*$B$6/$B$4/(H814/60)^2/$B$5^4/$B$7,"")</x:f>
        <x:v>0.07390544503900023</x:v>
      </x:c>
      <x:c r="O814" s="22" t="n">
        <x:f>IF(ISNUMBER(N814),N814*$B$8,"")</x:f>
        <x:v>0.00954877112093283</x:v>
      </x:c>
      <x:c r="P814" s="20" t="str">
        <x:v>5000rpm!N92</x:v>
      </x:c>
      <x:c r="Q814" s="20" t="str">
        <x:v>5000rpm!M92</x:v>
      </x:c>
      <x:c r="R814" s="20" t="str">
        <x:v>5000rpm!C86</x:v>
      </x:c>
    </x:row>
    <x:row r="815">
      <x:c r="A815" s="21" t="n">
        <x:v>5000</x:v>
      </x:c>
      <x:c r="B815" s="21" t="n">
        <x:v>45</x:v>
      </x:c>
      <x:c r="C815" s="21" t="n">
        <x:v>8</x:v>
      </x:c>
      <x:c r="D815" s="21" t="n">
        <x:v>1</x:v>
      </x:c>
      <x:c r="E815" s="21" t="str">
        <x:v>5000rpm</x:v>
      </x:c>
      <x:c r="F815" s="21" t="n">
        <x:v>93</x:v>
      </x:c>
      <x:c r="G815" s="22" t="n">
        <x:f>IFERROR('5000rpm'!D93,"")</x:f>
        <x:v>6.1911078878195855</x:v>
      </x:c>
      <x:c r="H815" s="22" t="n">
        <x:f>IFERROR('5000rpm'!B93,"")</x:f>
        <x:v>4949.09595703125</x:v>
      </x:c>
      <x:c r="I815" s="22" t="n">
        <x:f>IFERROR('5000rpm'!C93,"")</x:f>
        <x:v>3004.00201207243</x:v>
      </x:c>
      <x:c r="J815" s="22" t="n">
        <x:f>IFERROR('5000rpm'!C86,"")</x:f>
        <x:v>156.971283783783</x:v>
      </x:c>
      <x:c r="K815" s="22" t="n">
        <x:f>IF(AND(ISNUMBER(I815),ISNUMBER(J815)),I815-J815,"")</x:f>
        <x:v>2847.030728288647</x:v>
      </x:c>
      <x:c r="L815" s="22" t="n">
        <x:f>IF(ISNUMBER(K815),K815*$B$2+$B$3,"")</x:f>
        <x:v>2635.8175141397405</x:v>
      </x:c>
      <x:c r="M815" s="22" t="n">
        <x:f>IF(AND(ISNUMBER(G815),ISNUMBER(H815),H815&lt;&gt;0),G815/(H815/60)/$B$5,"")</x:f>
        <x:v>0.16416762923201228</x:v>
      </x:c>
      <x:c r="N815" s="22" t="n">
        <x:f>IF(AND(ISNUMBER(L815),ISNUMBER(H815),H815&lt;&gt;0),L815*$B$6/$B$4/(H815/60)^2/$B$5^4/$B$7,"")</x:f>
        <x:v>0.07210746592018871</x:v>
      </x:c>
      <x:c r="O815" s="22" t="n">
        <x:f>IF(ISNUMBER(N815),N815*$B$8,"")</x:f>
        <x:v>0.009316467654298027</x:v>
      </x:c>
      <x:c r="P815" s="20" t="str">
        <x:v>5000rpm!D93</x:v>
      </x:c>
      <x:c r="Q815" s="20" t="str">
        <x:v>5000rpm!C93</x:v>
      </x:c>
      <x:c r="R815" s="20" t="str">
        <x:v>5000rpm!C86</x:v>
      </x:c>
    </x:row>
    <x:row r="816">
      <x:c r="A816" s="21" t="n">
        <x:v>5000</x:v>
      </x:c>
      <x:c r="B816" s="21" t="n">
        <x:v>45</x:v>
      </x:c>
      <x:c r="C816" s="21" t="n">
        <x:v>8</x:v>
      </x:c>
      <x:c r="D816" s="21" t="n">
        <x:v>2</x:v>
      </x:c>
      <x:c r="E816" s="21" t="str">
        <x:v>5000rpm</x:v>
      </x:c>
      <x:c r="F816" s="21" t="n">
        <x:v>93</x:v>
      </x:c>
      <x:c r="G816" s="22" t="n">
        <x:f>IFERROR('5000rpm'!N93,"")</x:f>
        <x:v>6.150869291039955</x:v>
      </x:c>
      <x:c r="H816" s="22" t="n">
        <x:f>IFERROR('5000rpm'!L93,"")</x:f>
        <x:v>4983.24626358695</x:v>
      </x:c>
      <x:c r="I816" s="22" t="n">
        <x:f>IFERROR('5000rpm'!M93,"")</x:f>
        <x:v>3033.66526315789</x:v>
      </x:c>
      <x:c r="J816" s="22" t="n">
        <x:f>IFERROR('5000rpm'!C86,"")</x:f>
        <x:v>156.971283783783</x:v>
      </x:c>
      <x:c r="K816" s="22" t="n">
        <x:f>IF(AND(ISNUMBER(I816),ISNUMBER(J816)),I816-J816,"")</x:f>
        <x:v>2876.693979374107</x:v>
      </x:c>
      <x:c r="L816" s="22" t="n">
        <x:f>IF(ISNUMBER(K816),K816*$B$2+$B$3,"")</x:f>
        <x:v>2662.9803904647047</x:v>
      </x:c>
      <x:c r="M816" s="22" t="n">
        <x:f>IF(AND(ISNUMBER(G816),ISNUMBER(H816),H816&lt;&gt;0),G816/(H816/60)/$B$5,"")</x:f>
        <x:v>0.1619829026433011</x:v>
      </x:c>
      <x:c r="N816" s="22" t="n">
        <x:f>IF(AND(ISNUMBER(L816),ISNUMBER(H816),H816&lt;&gt;0),L816*$B$6/$B$4/(H816/60)^2/$B$5^4/$B$7,"")</x:f>
        <x:v>0.0718554827499166</x:v>
      </x:c>
      <x:c r="O816" s="22" t="n">
        <x:f>IF(ISNUMBER(N816),N816*$B$8,"")</x:f>
        <x:v>0.009283910788995535</x:v>
      </x:c>
      <x:c r="P816" s="20" t="str">
        <x:v>5000rpm!N93</x:v>
      </x:c>
      <x:c r="Q816" s="20" t="str">
        <x:v>5000rpm!M93</x:v>
      </x:c>
      <x:c r="R816" s="20" t="str">
        <x:v>5000rpm!C86</x:v>
      </x:c>
    </x:row>
    <x:row r="817">
      <x:c r="A817" s="21" t="n">
        <x:v>5000</x:v>
      </x:c>
      <x:c r="B817" s="21" t="n">
        <x:v>45</x:v>
      </x:c>
      <x:c r="C817" s="21" t="n">
        <x:v>9</x:v>
      </x:c>
      <x:c r="D817" s="21" t="n">
        <x:v>1</x:v>
      </x:c>
      <x:c r="E817" s="21" t="str">
        <x:v>5000rpm</x:v>
      </x:c>
      <x:c r="F817" s="21" t="n">
        <x:v>94</x:v>
      </x:c>
      <x:c r="G817" s="22" t="n">
        <x:f>IFERROR('5000rpm'!D94,"")</x:f>
        <x:v>7.218111715818706</x:v>
      </x:c>
      <x:c r="H817" s="22" t="n">
        <x:f>IFERROR('5000rpm'!B94,"")</x:f>
        <x:v>4975.14004952566</x:v>
      </x:c>
      <x:c r="I817" s="22" t="n">
        <x:f>IFERROR('5000rpm'!C94,"")</x:f>
        <x:v>2937.29298245614</x:v>
      </x:c>
      <x:c r="J817" s="22" t="n">
        <x:f>IFERROR('5000rpm'!C86,"")</x:f>
        <x:v>156.971283783783</x:v>
      </x:c>
      <x:c r="K817" s="22" t="n">
        <x:f>IF(AND(ISNUMBER(I817),ISNUMBER(J817)),I817-J817,"")</x:f>
        <x:v>2780.3216986723573</x:v>
      </x:c>
      <x:c r="L817" s="22" t="n">
        <x:f>IF(ISNUMBER(K817),K817*$B$2+$B$3,"")</x:f>
        <x:v>2574.731522047867</x:v>
      </x:c>
      <x:c r="M817" s="22" t="n">
        <x:f>IF(AND(ISNUMBER(G817),ISNUMBER(H817),H817&lt;&gt;0),G817/(H817/60)/$B$5,"")</x:f>
        <x:v>0.19039841008035524</x:v>
      </x:c>
      <x:c r="N817" s="22" t="n">
        <x:f>IF(AND(ISNUMBER(L817),ISNUMBER(H817),H817&lt;&gt;0),L817*$B$6/$B$4/(H817/60)^2/$B$5^4/$B$7,"")</x:f>
        <x:v>0.06970083350040535</x:v>
      </x:c>
      <x:c r="O817" s="22" t="n">
        <x:f>IF(ISNUMBER(N817),N817*$B$8,"")</x:f>
        <x:v>0.009005524636004838</x:v>
      </x:c>
      <x:c r="P817" s="20" t="str">
        <x:v>5000rpm!D94</x:v>
      </x:c>
      <x:c r="Q817" s="20" t="str">
        <x:v>5000rpm!C94</x:v>
      </x:c>
      <x:c r="R817" s="20" t="str">
        <x:v>5000rpm!C86</x:v>
      </x:c>
    </x:row>
    <x:row r="818">
      <x:c r="A818" s="21" t="n">
        <x:v>5000</x:v>
      </x:c>
      <x:c r="B818" s="21" t="n">
        <x:v>45</x:v>
      </x:c>
      <x:c r="C818" s="21" t="n">
        <x:v>9</x:v>
      </x:c>
      <x:c r="D818" s="21" t="n">
        <x:v>2</x:v>
      </x:c>
      <x:c r="E818" s="21" t="str">
        <x:v>5000rpm</x:v>
      </x:c>
      <x:c r="F818" s="21" t="n">
        <x:v>94</x:v>
      </x:c>
      <x:c r="G818" s="22" t="n">
        <x:f>IFERROR('5000rpm'!N94,"")</x:f>
        <x:v>7.18729676622333</x:v>
      </x:c>
      <x:c r="H818" s="22" t="n">
        <x:f>IFERROR('5000rpm'!L94,"")</x:f>
        <x:v>4975.08813476562</x:v>
      </x:c>
      <x:c r="I818" s="22" t="n">
        <x:f>IFERROR('5000rpm'!M94,"")</x:f>
        <x:v>2969.25380710659</x:v>
      </x:c>
      <x:c r="J818" s="22" t="n">
        <x:f>IFERROR('5000rpm'!C86,"")</x:f>
        <x:v>156.971283783783</x:v>
      </x:c>
      <x:c r="K818" s="22" t="n">
        <x:f>IF(AND(ISNUMBER(I818),ISNUMBER(J818)),I818-J818,"")</x:f>
        <x:v>2812.2825233228073</x:v>
      </x:c>
      <x:c r="L818" s="22" t="n">
        <x:f>IF(ISNUMBER(K818),K818*$B$2+$B$3,"")</x:f>
        <x:v>2603.998304866881</x:v>
      </x:c>
      <x:c r="M818" s="22" t="n">
        <x:f>IF(AND(ISNUMBER(G818),ISNUMBER(H818),H818&lt;&gt;0),G818/(H818/60)/$B$5,"")</x:f>
        <x:v>0.18958755567079175</x:v>
      </x:c>
      <x:c r="N818" s="22" t="n">
        <x:f>IF(AND(ISNUMBER(L818),ISNUMBER(H818),H818&lt;&gt;0),L818*$B$6/$B$4/(H818/60)^2/$B$5^4/$B$7,"")</x:f>
        <x:v>0.07049458891165562</x:v>
      </x:c>
      <x:c r="O818" s="22" t="n">
        <x:f>IF(ISNUMBER(N818),N818*$B$8,"")</x:f>
        <x:v>0.009108079850225267</x:v>
      </x:c>
      <x:c r="P818" s="20" t="str">
        <x:v>5000rpm!N94</x:v>
      </x:c>
      <x:c r="Q818" s="20" t="str">
        <x:v>5000rpm!M94</x:v>
      </x:c>
      <x:c r="R818" s="20" t="str">
        <x:v>5000rpm!C86</x:v>
      </x:c>
    </x:row>
    <x:row r="819">
      <x:c r="A819" s="21" t="n">
        <x:v>5000</x:v>
      </x:c>
      <x:c r="B819" s="21" t="n">
        <x:v>45</x:v>
      </x:c>
      <x:c r="C819" s="21" t="n">
        <x:v>10</x:v>
      </x:c>
      <x:c r="D819" s="21" t="n">
        <x:v>1</x:v>
      </x:c>
      <x:c r="E819" s="21" t="str">
        <x:v>5000rpm</x:v>
      </x:c>
      <x:c r="F819" s="21" t="n">
        <x:v>95</x:v>
      </x:c>
      <x:c r="G819" s="22" t="n">
        <x:f>IFERROR('5000rpm'!D95,"")</x:f>
        <x:v>8.24653708801836</x:v>
      </x:c>
      <x:c r="H819" s="22" t="n">
        <x:f>IFERROR('5000rpm'!B95,"")</x:f>
        <x:v>4960.82051142939</x:v>
      </x:c>
      <x:c r="I819" s="22" t="n">
        <x:f>IFERROR('5000rpm'!C95,"")</x:f>
        <x:v>2868.05185185185</x:v>
      </x:c>
      <x:c r="J819" s="22" t="n">
        <x:f>IFERROR('5000rpm'!C86,"")</x:f>
        <x:v>156.971283783783</x:v>
      </x:c>
      <x:c r="K819" s="22" t="n">
        <x:f>IF(AND(ISNUMBER(I819),ISNUMBER(J819)),I819-J819,"")</x:f>
        <x:v>2711.0805680680674</x:v>
      </x:c>
      <x:c r="L819" s="22" t="n">
        <x:f>IF(ISNUMBER(K819),K819*$B$2+$B$3,"")</x:f>
        <x:v>2511.326864824474</x:v>
      </x:c>
      <x:c r="M819" s="22" t="n">
        <x:f>IF(AND(ISNUMBER(G819),ISNUMBER(H819),H819&lt;&gt;0),G819/(H819/60)/$B$5,"")</x:f>
        <x:v>0.21815397522842697</x:v>
      </x:c>
      <x:c r="N819" s="22" t="n">
        <x:f>IF(AND(ISNUMBER(L819),ISNUMBER(H819),H819&lt;&gt;0),L819*$B$6/$B$4/(H819/60)^2/$B$5^4/$B$7,"")</x:f>
        <x:v>0.06837744315606605</x:v>
      </x:c>
      <x:c r="O819" s="22" t="n">
        <x:f>IF(ISNUMBER(N819),N819*$B$8,"")</x:f>
        <x:v>0.008834539243858427</x:v>
      </x:c>
      <x:c r="P819" s="20" t="str">
        <x:v>5000rpm!D95</x:v>
      </x:c>
      <x:c r="Q819" s="20" t="str">
        <x:v>5000rpm!C95</x:v>
      </x:c>
      <x:c r="R819" s="20" t="str">
        <x:v>5000rpm!C86</x:v>
      </x:c>
    </x:row>
    <x:row r="820">
      <x:c r="A820" s="21" t="n">
        <x:v>5000</x:v>
      </x:c>
      <x:c r="B820" s="21" t="n">
        <x:v>45</x:v>
      </x:c>
      <x:c r="C820" s="21" t="n">
        <x:v>10</x:v>
      </x:c>
      <x:c r="D820" s="21" t="n">
        <x:v>2</x:v>
      </x:c>
      <x:c r="E820" s="21" t="str">
        <x:v>5000rpm</x:v>
      </x:c>
      <x:c r="F820" s="21" t="n">
        <x:v>95</x:v>
      </x:c>
      <x:c r="G820" s="22" t="n">
        <x:f>IFERROR('5000rpm'!N95,"")</x:f>
        <x:v>8.22876164463699</x:v>
      </x:c>
      <x:c r="H820" s="22" t="n">
        <x:f>IFERROR('5000rpm'!L95,"")</x:f>
        <x:v>4996.51261393229</x:v>
      </x:c>
      <x:c r="I820" s="22" t="n">
        <x:f>IFERROR('5000rpm'!M95,"")</x:f>
        <x:v>2898.73360655737</x:v>
      </x:c>
      <x:c r="J820" s="22" t="n">
        <x:f>IFERROR('5000rpm'!C86,"")</x:f>
        <x:v>156.971283783783</x:v>
      </x:c>
      <x:c r="K820" s="22" t="n">
        <x:f>IF(AND(ISNUMBER(I820),ISNUMBER(J820)),I820-J820,"")</x:f>
        <x:v>2741.762322773587</x:v>
      </x:c>
      <x:c r="L820" s="22" t="n">
        <x:f>IF(ISNUMBER(K820),K820*$B$2+$B$3,"")</x:f>
        <x:v>2539.4223930623557</x:v>
      </x:c>
      <x:c r="M820" s="22" t="n">
        <x:f>IF(AND(ISNUMBER(G820),ISNUMBER(H820),H820&lt;&gt;0),G820/(H820/60)/$B$5,"")</x:f>
        <x:v>0.2161287407941261</x:v>
      </x:c>
      <x:c r="N820" s="22" t="n">
        <x:f>IF(AND(ISNUMBER(L820),ISNUMBER(H820),H820&lt;&gt;0),L820*$B$6/$B$4/(H820/60)^2/$B$5^4/$B$7,"")</x:f>
        <x:v>0.06815812133484485</x:v>
      </x:c>
      <x:c r="O820" s="22" t="n">
        <x:f>IF(ISNUMBER(N820),N820*$B$8,"")</x:f>
        <x:v>0.008806202307769859</x:v>
      </x:c>
      <x:c r="P820" s="20" t="str">
        <x:v>5000rpm!N95</x:v>
      </x:c>
      <x:c r="Q820" s="20" t="str">
        <x:v>5000rpm!M95</x:v>
      </x:c>
      <x:c r="R820" s="20" t="str">
        <x:v>5000rpm!C86</x:v>
      </x:c>
    </x:row>
    <x:row r="821">
      <x:c r="A821" s="21" t="n">
        <x:v>5000</x:v>
      </x:c>
      <x:c r="B821" s="21" t="n">
        <x:v>45</x:v>
      </x:c>
      <x:c r="C821" s="21" t="n">
        <x:v>11</x:v>
      </x:c>
      <x:c r="D821" s="21" t="n">
        <x:v>1</x:v>
      </x:c>
      <x:c r="E821" s="21" t="str">
        <x:v>5000rpm</x:v>
      </x:c>
      <x:c r="F821" s="21" t="n">
        <x:v>96</x:v>
      </x:c>
      <x:c r="G821" s="22" t="n">
        <x:f>IFERROR('5000rpm'!D96,"")</x:f>
        <x:v>9.27164440684848</x:v>
      </x:c>
      <x:c r="H821" s="22" t="n">
        <x:f>IFERROR('5000rpm'!B96,"")</x:f>
        <x:v>4947.58454241071</x:v>
      </x:c>
      <x:c r="I821" s="22" t="n">
        <x:f>IFERROR('5000rpm'!C96,"")</x:f>
        <x:v>2805.3856812933</x:v>
      </x:c>
      <x:c r="J821" s="22" t="n">
        <x:f>IFERROR('5000rpm'!C86,"")</x:f>
        <x:v>156.971283783783</x:v>
      </x:c>
      <x:c r="K821" s="22" t="n">
        <x:f>IF(AND(ISNUMBER(I821),ISNUMBER(J821)),I821-J821,"")</x:f>
        <x:v>2648.414397509517</x:v>
      </x:c>
      <x:c r="L821" s="22" t="n">
        <x:f>IF(ISNUMBER(K821),K821*$B$2+$B$3,"")</x:f>
        <x:v>2453.942951114645</x:v>
      </x:c>
      <x:c r="M821" s="22" t="n">
        <x:f>IF(AND(ISNUMBER(G821),ISNUMBER(H821),H821&lt;&gt;0),G821/(H821/60)/$B$5,"")</x:f>
        <x:v>0.24592833615364346</x:v>
      </x:c>
      <x:c r="N821" s="22" t="n">
        <x:f>IF(AND(ISNUMBER(L821),ISNUMBER(H821),H821&lt;&gt;0),L821*$B$6/$B$4/(H821/60)^2/$B$5^4/$B$7,"")</x:f>
        <x:v>0.06717298640224298</x:v>
      </x:c>
      <x:c r="O821" s="22" t="n">
        <x:f>IF(ISNUMBER(N821),N821*$B$8,"")</x:f>
        <x:v>0.008678920373540427</x:v>
      </x:c>
      <x:c r="P821" s="20" t="str">
        <x:v>5000rpm!D96</x:v>
      </x:c>
      <x:c r="Q821" s="20" t="str">
        <x:v>5000rpm!C96</x:v>
      </x:c>
      <x:c r="R821" s="20" t="str">
        <x:v>5000rpm!C86</x:v>
      </x:c>
    </x:row>
    <x:row r="822">
      <x:c r="A822" s="21" t="n">
        <x:v>5000</x:v>
      </x:c>
      <x:c r="B822" s="21" t="n">
        <x:v>45</x:v>
      </x:c>
      <x:c r="C822" s="21" t="n">
        <x:v>11</x:v>
      </x:c>
      <x:c r="D822" s="21" t="n">
        <x:v>2</x:v>
      </x:c>
      <x:c r="E822" s="21" t="str">
        <x:v>5000rpm</x:v>
      </x:c>
      <x:c r="F822" s="21" t="n">
        <x:v>96</x:v>
      </x:c>
      <x:c r="G822" s="22" t="n">
        <x:f>IFERROR('5000rpm'!N96,"")</x:f>
        <x:v>9.260444959329089</x:v>
      </x:c>
      <x:c r="H822" s="22" t="n">
        <x:f>IFERROR('5000rpm'!L96,"")</x:f>
        <x:v>4992.6084391276</x:v>
      </x:c>
      <x:c r="I822" s="22" t="n">
        <x:f>IFERROR('5000rpm'!M96,"")</x:f>
        <x:v>2833.5</x:v>
      </x:c>
      <x:c r="J822" s="22" t="n">
        <x:f>IFERROR('5000rpm'!C86,"")</x:f>
        <x:v>156.971283783783</x:v>
      </x:c>
      <x:c r="K822" s="22" t="n">
        <x:f>IF(AND(ISNUMBER(I822),ISNUMBER(J822)),I822-J822,"")</x:f>
        <x:v>2676.528716216217</x:v>
      </x:c>
      <x:c r="L822" s="22" t="n">
        <x:f>IF(ISNUMBER(K822),K822*$B$2+$B$3,"")</x:f>
        <x:v>2479.6874576689197</x:v>
      </x:c>
      <x:c r="M822" s="22" t="n">
        <x:f>IF(AND(ISNUMBER(G822),ISNUMBER(H822),H822&lt;&gt;0),G822/(H822/60)/$B$5,"")</x:f>
        <x:v>0.2434161431930677</x:v>
      </x:c>
      <x:c r="N822" s="22" t="n">
        <x:f>IF(AND(ISNUMBER(L822),ISNUMBER(H822),H822&lt;&gt;0),L822*$B$6/$B$4/(H822/60)^2/$B$5^4/$B$7,"")</x:f>
        <x:v>0.06665896635856962</x:v>
      </x:c>
      <x:c r="O822" s="22" t="n">
        <x:f>IF(ISNUMBER(N822),N822*$B$8,"")</x:f>
        <x:v>0.008612507678968076</x:v>
      </x:c>
      <x:c r="P822" s="20" t="str">
        <x:v>5000rpm!N96</x:v>
      </x:c>
      <x:c r="Q822" s="20" t="str">
        <x:v>5000rpm!M96</x:v>
      </x:c>
      <x:c r="R822" s="20" t="str">
        <x:v>5000rpm!C86</x:v>
      </x:c>
    </x:row>
    <x:row r="823">
      <x:c r="A823" s="21" t="n">
        <x:v>5000</x:v>
      </x:c>
      <x:c r="B823" s="21" t="n">
        <x:v>45</x:v>
      </x:c>
      <x:c r="C823" s="21" t="n">
        <x:v>12</x:v>
      </x:c>
      <x:c r="D823" s="21" t="n">
        <x:v>1</x:v>
      </x:c>
      <x:c r="E823" s="21" t="str">
        <x:v>5000rpm</x:v>
      </x:c>
      <x:c r="F823" s="21" t="n">
        <x:v>97</x:v>
      </x:c>
      <x:c r="G823" s="22" t="n">
        <x:f>IFERROR('5000rpm'!D97,"")</x:f>
        <x:v>10.19216079003102</x:v>
      </x:c>
      <x:c r="H823" s="22" t="n">
        <x:f>IFERROR('5000rpm'!B97,"")</x:f>
        <x:v>5003.08678089488</x:v>
      </x:c>
      <x:c r="I823" s="22" t="n">
        <x:f>IFERROR('5000rpm'!C97,"")</x:f>
        <x:v>2743.26018099547</x:v>
      </x:c>
      <x:c r="J823" s="22" t="n">
        <x:f>IFERROR('5000rpm'!C86,"")</x:f>
        <x:v>156.971283783783</x:v>
      </x:c>
      <x:c r="K823" s="22" t="n">
        <x:f>IF(AND(ISNUMBER(I823),ISNUMBER(J823)),I823-J823,"")</x:f>
        <x:v>2586.288897211687</x:v>
      </x:c>
      <x:c r="L823" s="22" t="n">
        <x:f>IF(ISNUMBER(K823),K823*$B$2+$B$3,"")</x:f>
        <x:v>2397.0541334879194</x:v>
      </x:c>
      <x:c r="M823" s="22" t="n">
        <x:f>IF(AND(ISNUMBER(G823),ISNUMBER(H823),H823&lt;&gt;0),G823/(H823/60)/$B$5,"")</x:f>
        <x:v>0.26734573434955444</x:v>
      </x:c>
      <x:c r="N823" s="22" t="n">
        <x:f>IF(AND(ISNUMBER(L823),ISNUMBER(H823),H823&lt;&gt;0),L823*$B$6/$B$4/(H823/60)^2/$B$5^4/$B$7,"")</x:f>
        <x:v>0.06416798659979796</x:v>
      </x:c>
      <x:c r="O823" s="22" t="n">
        <x:f>IF(ISNUMBER(N823),N823*$B$8,"")</x:f>
        <x:v>0.008290666770347134</x:v>
      </x:c>
      <x:c r="P823" s="20" t="str">
        <x:v>5000rpm!D97</x:v>
      </x:c>
      <x:c r="Q823" s="20" t="str">
        <x:v>5000rpm!C97</x:v>
      </x:c>
      <x:c r="R823" s="20" t="str">
        <x:v>5000rpm!C86</x:v>
      </x:c>
    </x:row>
    <x:row r="824">
      <x:c r="A824" s="21" t="n">
        <x:v>5000</x:v>
      </x:c>
      <x:c r="B824" s="21" t="n">
        <x:v>45</x:v>
      </x:c>
      <x:c r="C824" s="21" t="n">
        <x:v>12</x:v>
      </x:c>
      <x:c r="D824" s="21" t="n">
        <x:v>2</x:v>
      </x:c>
      <x:c r="E824" s="21" t="str">
        <x:v>5000rpm</x:v>
      </x:c>
      <x:c r="F824" s="21" t="n">
        <x:v>97</x:v>
      </x:c>
      <x:c r="G824" s="22" t="n">
        <x:f>IFERROR('5000rpm'!N97,"")</x:f>
        <x:v>10.185520005853546</x:v>
      </x:c>
      <x:c r="H824" s="22" t="n">
        <x:f>IFERROR('5000rpm'!L97,"")</x:f>
        <x:v>4985.59674337635</x:v>
      </x:c>
      <x:c r="I824" s="22" t="n">
        <x:f>IFERROR('5000rpm'!M97,"")</x:f>
        <x:v>2779.59518599562</x:v>
      </x:c>
      <x:c r="J824" s="22" t="n">
        <x:f>IFERROR('5000rpm'!C86,"")</x:f>
        <x:v>156.971283783783</x:v>
      </x:c>
      <x:c r="K824" s="22" t="n">
        <x:f>IF(AND(ISNUMBER(I824),ISNUMBER(J824)),I824-J824,"")</x:f>
        <x:v>2622.623902211837</x:v>
      </x:c>
      <x:c r="L824" s="22" t="n">
        <x:f>IF(ISNUMBER(K824),K824*$B$2+$B$3,"")</x:f>
        <x:v>2430.3263882465967</x:v>
      </x:c>
      <x:c r="M824" s="22" t="n">
        <x:f>IF(AND(ISNUMBER(G824),ISNUMBER(H824),H824&lt;&gt;0),G824/(H824/60)/$B$5,"")</x:f>
        <x:v>0.26810881109512186</x:v>
      </x:c>
      <x:c r="N824" s="22" t="n">
        <x:f>IF(AND(ISNUMBER(L824),ISNUMBER(H824),H824&lt;&gt;0),L824*$B$6/$B$4/(H824/60)^2/$B$5^4/$B$7,"")</x:f>
        <x:v>0.0655159358735836</x:v>
      </x:c>
      <x:c r="O824" s="22" t="n">
        <x:f>IF(ISNUMBER(N824),N824*$B$8,"")</x:f>
        <x:v>0.008464825238525148</x:v>
      </x:c>
      <x:c r="P824" s="20" t="str">
        <x:v>5000rpm!N97</x:v>
      </x:c>
      <x:c r="Q824" s="20" t="str">
        <x:v>5000rpm!M97</x:v>
      </x:c>
      <x:c r="R824" s="20" t="str">
        <x:v>5000rpm!C86</x:v>
      </x:c>
    </x:row>
    <x:row r="825">
      <x:c r="A825" s="21" t="n">
        <x:v>5000</x:v>
      </x:c>
      <x:c r="B825" s="21" t="n">
        <x:v>45</x:v>
      </x:c>
      <x:c r="C825" s="21" t="n">
        <x:v>13</x:v>
      </x:c>
      <x:c r="D825" s="21" t="n">
        <x:v>1</x:v>
      </x:c>
      <x:c r="E825" s="21" t="str">
        <x:v>5000rpm</x:v>
      </x:c>
      <x:c r="F825" s="21" t="n">
        <x:v>98</x:v>
      </x:c>
      <x:c r="G825" s="22" t="n">
        <x:f>IFERROR('5000rpm'!D98,"")</x:f>
        <x:v>9.262087013488424</x:v>
      </x:c>
      <x:c r="H825" s="22" t="n">
        <x:f>IFERROR('5000rpm'!B98,"")</x:f>
        <x:v>4959.44394155649</x:v>
      </x:c>
      <x:c r="I825" s="22" t="n">
        <x:f>IFERROR('5000rpm'!C98,"")</x:f>
        <x:v>2802.10902255639</x:v>
      </x:c>
      <x:c r="J825" s="22" t="n">
        <x:f>IFERROR('5000rpm'!C86,"")</x:f>
        <x:v>156.971283783783</x:v>
      </x:c>
      <x:c r="K825" s="22" t="n">
        <x:f>IF(AND(ISNUMBER(I825),ISNUMBER(J825)),I825-J825,"")</x:f>
        <x:v>2645.137738772607</x:v>
      </x:c>
      <x:c r="L825" s="22" t="n">
        <x:f>IF(ISNUMBER(K825),K825*$B$2+$B$3,"")</x:f>
        <x:v>2450.9424884959863</x:v>
      </x:c>
      <x:c r="M825" s="22" t="n">
        <x:f>IF(AND(ISNUMBER(G825),ISNUMBER(H825),H825&lt;&gt;0),G825/(H825/60)/$B$5,"")</x:f>
        <x:v>0.24508735207438498</x:v>
      </x:c>
      <x:c r="N825" s="22" t="n">
        <x:f>IF(AND(ISNUMBER(L825),ISNUMBER(H825),H825&lt;&gt;0),L825*$B$6/$B$4/(H825/60)^2/$B$5^4/$B$7,"")</x:f>
        <x:v>0.06677037141228236</x:v>
      </x:c>
      <x:c r="O825" s="22" t="n">
        <x:f>IF(ISNUMBER(N825),N825*$B$8,"")</x:f>
        <x:v>0.008626901494728969</x:v>
      </x:c>
      <x:c r="P825" s="20" t="str">
        <x:v>5000rpm!D98</x:v>
      </x:c>
      <x:c r="Q825" s="20" t="str">
        <x:v>5000rpm!C98</x:v>
      </x:c>
      <x:c r="R825" s="20" t="str">
        <x:v>5000rpm!C86</x:v>
      </x:c>
    </x:row>
    <x:row r="826">
      <x:c r="A826" s="21" t="n">
        <x:v>5000</x:v>
      </x:c>
      <x:c r="B826" s="21" t="n">
        <x:v>45</x:v>
      </x:c>
      <x:c r="C826" s="21" t="n">
        <x:v>13</x:v>
      </x:c>
      <x:c r="D826" s="21" t="n">
        <x:v>2</x:v>
      </x:c>
      <x:c r="E826" s="21" t="str">
        <x:v>5000rpm</x:v>
      </x:c>
      <x:c r="F826" s="21" t="n">
        <x:v>98</x:v>
      </x:c>
      <x:c r="G826" s="22" t="n">
        <x:f>IFERROR('5000rpm'!N98,"")</x:f>
        <x:v>9.278201041736656</x:v>
      </x:c>
      <x:c r="H826" s="22" t="n">
        <x:f>IFERROR('5000rpm'!L98,"")</x:f>
        <x:v>5035.80101697198</x:v>
      </x:c>
      <x:c r="I826" s="22" t="n">
        <x:f>IFERROR('5000rpm'!M98,"")</x:f>
        <x:v>2844.85763888888</x:v>
      </x:c>
      <x:c r="J826" s="22" t="n">
        <x:f>IFERROR('5000rpm'!C86,"")</x:f>
        <x:v>156.971283783783</x:v>
      </x:c>
      <x:c r="K826" s="22" t="n">
        <x:f>IF(AND(ISNUMBER(I826),ISNUMBER(J826)),I826-J826,"")</x:f>
        <x:v>2687.886355105097</x:v>
      </x:c>
      <x:c r="L826" s="22" t="n">
        <x:f>IF(ISNUMBER(K826),K826*$B$2+$B$3,"")</x:f>
        <x:v>2490.0877384605783</x:v>
      </x:c>
      <x:c r="M826" s="22" t="n">
        <x:f>IF(AND(ISNUMBER(G826),ISNUMBER(H826),H826&lt;&gt;0),G826/(H826/60)/$B$5,"")</x:f>
        <x:v>0.24179106385728996</x:v>
      </x:c>
      <x:c r="N826" s="22" t="n">
        <x:f>IF(AND(ISNUMBER(L826),ISNUMBER(H826),H826&lt;&gt;0),L826*$B$6/$B$4/(H826/60)^2/$B$5^4/$B$7,"")</x:f>
        <x:v>0.06579519373096025</x:v>
      </x:c>
      <x:c r="O826" s="22" t="n">
        <x:f>IF(ISNUMBER(N826),N826*$B$8,"")</x:f>
        <x:v>0.008500906062643108</x:v>
      </x:c>
      <x:c r="P826" s="20" t="str">
        <x:v>5000rpm!N98</x:v>
      </x:c>
      <x:c r="Q826" s="20" t="str">
        <x:v>5000rpm!M98</x:v>
      </x:c>
      <x:c r="R826" s="20" t="str">
        <x:v>5000rpm!C86</x:v>
      </x:c>
    </x:row>
    <x:row r="827">
      <x:c r="A827" s="21" t="n">
        <x:v>5000</x:v>
      </x:c>
      <x:c r="B827" s="21" t="n">
        <x:v>45</x:v>
      </x:c>
      <x:c r="C827" s="21" t="n">
        <x:v>14</x:v>
      </x:c>
      <x:c r="D827" s="21" t="n">
        <x:v>1</x:v>
      </x:c>
      <x:c r="E827" s="21" t="str">
        <x:v>5000rpm</x:v>
      </x:c>
      <x:c r="F827" s="21" t="n">
        <x:v>99</x:v>
      </x:c>
      <x:c r="G827" s="22" t="n">
        <x:f>IFERROR('5000rpm'!D99,"")</x:f>
        <x:v>8.268648175483051</x:v>
      </x:c>
      <x:c r="H827" s="22" t="n">
        <x:f>IFERROR('5000rpm'!B99,"")</x:f>
        <x:v>4964.62029157366</x:v>
      </x:c>
      <x:c r="I827" s="22" t="n">
        <x:f>IFERROR('5000rpm'!C99,"")</x:f>
        <x:v>2864.4964539007</x:v>
      </x:c>
      <x:c r="J827" s="22" t="n">
        <x:f>IFERROR('5000rpm'!C86,"")</x:f>
        <x:v>156.971283783783</x:v>
      </x:c>
      <x:c r="K827" s="22" t="n">
        <x:f>IF(AND(ISNUMBER(I827),ISNUMBER(J827)),I827-J827,"")</x:f>
        <x:v>2707.5251701169173</x:v>
      </x:c>
      <x:c r="L827" s="22" t="n">
        <x:f>IF(ISNUMBER(K827),K827*$B$2+$B$3,"")</x:f>
        <x:v>2508.071158477422</x:v>
      </x:c>
      <x:c r="M827" s="22" t="n">
        <x:f>IF(AND(ISNUMBER(G827),ISNUMBER(H827),H827&lt;&gt;0),G827/(H827/60)/$B$5,"")</x:f>
        <x:v>0.21857148558165632</x:v>
      </x:c>
      <x:c r="N827" s="22" t="n">
        <x:f>IF(AND(ISNUMBER(L827),ISNUMBER(H827),H827&lt;&gt;0),L827*$B$6/$B$4/(H827/60)^2/$B$5^4/$B$7,"")</x:f>
        <x:v>0.0681843054031184</x:v>
      </x:c>
      <x:c r="O827" s="22" t="n">
        <x:f>IF(ISNUMBER(N827),N827*$B$8,"")</x:f>
        <x:v>0.008809585355863637</x:v>
      </x:c>
      <x:c r="P827" s="20" t="str">
        <x:v>5000rpm!D99</x:v>
      </x:c>
      <x:c r="Q827" s="20" t="str">
        <x:v>5000rpm!C99</x:v>
      </x:c>
      <x:c r="R827" s="20" t="str">
        <x:v>5000rpm!C86</x:v>
      </x:c>
    </x:row>
    <x:row r="828">
      <x:c r="A828" s="21" t="n">
        <x:v>5000</x:v>
      </x:c>
      <x:c r="B828" s="21" t="n">
        <x:v>45</x:v>
      </x:c>
      <x:c r="C828" s="21" t="n">
        <x:v>14</x:v>
      </x:c>
      <x:c r="D828" s="21" t="n">
        <x:v>2</x:v>
      </x:c>
      <x:c r="E828" s="21" t="str">
        <x:v>5000rpm</x:v>
      </x:c>
      <x:c r="F828" s="21" t="n">
        <x:v>99</x:v>
      </x:c>
      <x:c r="G828" s="22" t="n">
        <x:f>IFERROR('5000rpm'!N99,"")</x:f>
        <x:v>8.26057568920983</x:v>
      </x:c>
      <x:c r="H828" s="22" t="n">
        <x:f>IFERROR('5000rpm'!L99,"")</x:f>
        <x:v>5011.05230034722</x:v>
      </x:c>
      <x:c r="I828" s="22" t="n">
        <x:f>IFERROR('5000rpm'!M99,"")</x:f>
        <x:v>2904.26432532347</x:v>
      </x:c>
      <x:c r="J828" s="22" t="n">
        <x:f>IFERROR('5000rpm'!C86,"")</x:f>
        <x:v>156.971283783783</x:v>
      </x:c>
      <x:c r="K828" s="22" t="n">
        <x:f>IF(AND(ISNUMBER(I828),ISNUMBER(J828)),I828-J828,"")</x:f>
        <x:v>2747.2930415396872</x:v>
      </x:c>
      <x:c r="L828" s="22" t="n">
        <x:f>IF(ISNUMBER(K828),K828*$B$2+$B$3,"")</x:f>
        <x:v>2544.486916482224</x:v>
      </x:c>
      <x:c r="M828" s="22" t="n">
        <x:f>IF(AND(ISNUMBER(G828),ISNUMBER(H828),H828&lt;&gt;0),G828/(H828/60)/$B$5,"")</x:f>
        <x:v>0.21633481075467717</x:v>
      </x:c>
      <x:c r="N828" s="22" t="n">
        <x:f>IF(AND(ISNUMBER(L828),ISNUMBER(H828),H828&lt;&gt;0),L828*$B$6/$B$4/(H828/60)^2/$B$5^4/$B$7,"")</x:f>
        <x:v>0.06789831453699921</x:v>
      </x:c>
      <x:c r="O828" s="22" t="n">
        <x:f>IF(ISNUMBER(N828),N828*$B$8,"")</x:f>
        <x:v>0.008772634609923221</x:v>
      </x:c>
      <x:c r="P828" s="20" t="str">
        <x:v>5000rpm!N99</x:v>
      </x:c>
      <x:c r="Q828" s="20" t="str">
        <x:v>5000rpm!M99</x:v>
      </x:c>
      <x:c r="R828" s="20" t="str">
        <x:v>5000rpm!C86</x:v>
      </x:c>
    </x:row>
    <x:row r="829">
      <x:c r="A829" s="21" t="n">
        <x:v>5000</x:v>
      </x:c>
      <x:c r="B829" s="21" t="n">
        <x:v>45</x:v>
      </x:c>
      <x:c r="C829" s="21" t="n">
        <x:v>15</x:v>
      </x:c>
      <x:c r="D829" s="21" t="n">
        <x:v>1</x:v>
      </x:c>
      <x:c r="E829" s="21" t="str">
        <x:v>5000rpm</x:v>
      </x:c>
      <x:c r="F829" s="21" t="n">
        <x:v>100</x:v>
      </x:c>
      <x:c r="G829" s="22" t="n">
        <x:f>IFERROR('5000rpm'!D100,"")</x:f>
        <x:v>7.245333948650865</x:v>
      </x:c>
      <x:c r="H829" s="22" t="n">
        <x:f>IFERROR('5000rpm'!B100,"")</x:f>
        <x:v>4954.08735795454</x:v>
      </x:c>
      <x:c r="I829" s="22" t="n">
        <x:f>IFERROR('5000rpm'!C100,"")</x:f>
        <x:v>2926.56502242152</x:v>
      </x:c>
      <x:c r="J829" s="22" t="n">
        <x:f>IFERROR('5000rpm'!C86,"")</x:f>
        <x:v>156.971283783783</x:v>
      </x:c>
      <x:c r="K829" s="22" t="n">
        <x:f>IF(AND(ISNUMBER(I829),ISNUMBER(J829)),I829-J829,"")</x:f>
        <x:v>2769.5937386377373</x:v>
      </x:c>
      <x:c r="L829" s="22" t="n">
        <x:f>IF(ISNUMBER(K829),K829*$B$2+$B$3,"")</x:f>
        <x:v>2564.907843220485</x:v>
      </x:c>
      <x:c r="M829" s="22" t="n">
        <x:f>IF(AND(ISNUMBER(G829),ISNUMBER(H829),H829&lt;&gt;0),G829/(H829/60)/$B$5,"")</x:f>
        <x:v>0.1919286355195907</x:v>
      </x:c>
      <x:c r="N829" s="22" t="n">
        <x:f>IF(AND(ISNUMBER(L829),ISNUMBER(H829),H829&lt;&gt;0),L829*$B$6/$B$4/(H829/60)^2/$B$5^4/$B$7,"")</x:f>
        <x:v>0.07002628505712502</x:v>
      </x:c>
      <x:c r="O829" s="22" t="n">
        <x:f>IF(ISNUMBER(N829),N829*$B$8,"")</x:f>
        <x:v>0.0090475738033487</x:v>
      </x:c>
      <x:c r="P829" s="20" t="str">
        <x:v>5000rpm!D100</x:v>
      </x:c>
      <x:c r="Q829" s="20" t="str">
        <x:v>5000rpm!C100</x:v>
      </x:c>
      <x:c r="R829" s="20" t="str">
        <x:v>5000rpm!C86</x:v>
      </x:c>
    </x:row>
    <x:row r="830">
      <x:c r="A830" s="21" t="n">
        <x:v>5000</x:v>
      </x:c>
      <x:c r="B830" s="21" t="n">
        <x:v>45</x:v>
      </x:c>
      <x:c r="C830" s="21" t="n">
        <x:v>15</x:v>
      </x:c>
      <x:c r="D830" s="21" t="n">
        <x:v>2</x:v>
      </x:c>
      <x:c r="E830" s="21" t="str">
        <x:v>5000rpm</x:v>
      </x:c>
      <x:c r="F830" s="21" t="n">
        <x:v>100</x:v>
      </x:c>
      <x:c r="G830" s="22" t="n">
        <x:f>IFERROR('5000rpm'!N100,"")</x:f>
        <x:v>7.247749726246965</x:v>
      </x:c>
      <x:c r="H830" s="22" t="n">
        <x:f>IFERROR('5000rpm'!L100,"")</x:f>
        <x:v>4986.71681371228</x:v>
      </x:c>
      <x:c r="I830" s="22" t="n">
        <x:f>IFERROR('5000rpm'!M100,"")</x:f>
        <x:v>2964.03214890016</x:v>
      </x:c>
      <x:c r="J830" s="22" t="n">
        <x:f>IFERROR('5000rpm'!C86,"")</x:f>
        <x:v>156.971283783783</x:v>
      </x:c>
      <x:c r="K830" s="22" t="n">
        <x:f>IF(AND(ISNUMBER(I830),ISNUMBER(J830)),I830-J830,"")</x:f>
        <x:v>2807.060865116377</x:v>
      </x:c>
      <x:c r="L830" s="22" t="n">
        <x:f>IF(ISNUMBER(K830),K830*$B$2+$B$3,"")</x:f>
        <x:v>2599.2167906739874</x:v>
      </x:c>
      <x:c r="M830" s="22" t="n">
        <x:f>IF(AND(ISNUMBER(G830),ISNUMBER(H830),H830&lt;&gt;0),G830/(H830/60)/$B$5,"")</x:f>
        <x:v>0.19073636895165752</x:v>
      </x:c>
      <x:c r="N830" s="22" t="n">
        <x:f>IF(AND(ISNUMBER(L830),ISNUMBER(H830),H830&lt;&gt;0),L830*$B$6/$B$4/(H830/60)^2/$B$5^4/$B$7,"")</x:f>
        <x:v>0.07003735465376613</x:v>
      </x:c>
      <x:c r="O830" s="22" t="n">
        <x:f>IF(ISNUMBER(N830),N830*$B$8,"")</x:f>
        <x:v>0.009049004023336839</x:v>
      </x:c>
      <x:c r="P830" s="20" t="str">
        <x:v>5000rpm!N100</x:v>
      </x:c>
      <x:c r="Q830" s="20" t="str">
        <x:v>5000rpm!M100</x:v>
      </x:c>
      <x:c r="R830" s="20" t="str">
        <x:v>5000rpm!C86</x:v>
      </x:c>
    </x:row>
    <x:row r="831">
      <x:c r="A831" s="21" t="n">
        <x:v>5000</x:v>
      </x:c>
      <x:c r="B831" s="21" t="n">
        <x:v>45</x:v>
      </x:c>
      <x:c r="C831" s="21" t="n">
        <x:v>16</x:v>
      </x:c>
      <x:c r="D831" s="21" t="n">
        <x:v>1</x:v>
      </x:c>
      <x:c r="E831" s="21" t="str">
        <x:v>5000rpm</x:v>
      </x:c>
      <x:c r="F831" s="21" t="n">
        <x:v>101</x:v>
      </x:c>
      <x:c r="G831" s="22" t="n">
        <x:f>IFERROR('5000rpm'!D101,"")</x:f>
        <x:v>6.237937952215605</x:v>
      </x:c>
      <x:c r="H831" s="22" t="n">
        <x:f>IFERROR('5000rpm'!B101,"")</x:f>
        <x:v>4956.66323747306</x:v>
      </x:c>
      <x:c r="I831" s="22" t="n">
        <x:f>IFERROR('5000rpm'!C101,"")</x:f>
        <x:v>2983.25675675675</x:v>
      </x:c>
      <x:c r="J831" s="22" t="n">
        <x:f>IFERROR('5000rpm'!C86,"")</x:f>
        <x:v>156.971283783783</x:v>
      </x:c>
      <x:c r="K831" s="22" t="n">
        <x:f>IF(AND(ISNUMBER(I831),ISNUMBER(J831)),I831-J831,"")</x:f>
        <x:v>2826.285472972967</x:v>
      </x:c>
      <x:c r="L831" s="22" t="n">
        <x:f>IF(ISNUMBER(K831),K831*$B$2+$B$3,"")</x:f>
        <x:v>2616.82091788513</x:v>
      </x:c>
      <x:c r="M831" s="22" t="n">
        <x:f>IF(AND(ISNUMBER(G831),ISNUMBER(H831),H831&lt;&gt;0),G831/(H831/60)/$B$5,"")</x:f>
        <x:v>0.16515687845421562</x:v>
      </x:c>
      <x:c r="N831" s="22" t="n">
        <x:f>IF(AND(ISNUMBER(L831),ISNUMBER(H831),H831&lt;&gt;0),L831*$B$6/$B$4/(H831/60)^2/$B$5^4/$B$7,"")</x:f>
        <x:v>0.07136936269870152</x:v>
      </x:c>
      <x:c r="O831" s="22" t="n">
        <x:f>IF(ISNUMBER(N831),N831*$B$8,"")</x:f>
        <x:v>0.009221102844277802</x:v>
      </x:c>
      <x:c r="P831" s="20" t="str">
        <x:v>5000rpm!D101</x:v>
      </x:c>
      <x:c r="Q831" s="20" t="str">
        <x:v>5000rpm!C101</x:v>
      </x:c>
      <x:c r="R831" s="20" t="str">
        <x:v>5000rpm!C86</x:v>
      </x:c>
    </x:row>
    <x:row r="832">
      <x:c r="A832" s="21" t="n">
        <x:v>5000</x:v>
      </x:c>
      <x:c r="B832" s="21" t="n">
        <x:v>45</x:v>
      </x:c>
      <x:c r="C832" s="21" t="n">
        <x:v>16</x:v>
      </x:c>
      <x:c r="D832" s="21" t="n">
        <x:v>2</x:v>
      </x:c>
      <x:c r="E832" s="21" t="str">
        <x:v>5000rpm</x:v>
      </x:c>
      <x:c r="F832" s="21" t="n">
        <x:v>101</x:v>
      </x:c>
      <x:c r="G832" s="22" t="n">
        <x:f>IFERROR('5000rpm'!N101,"")</x:f>
        <x:v>6.23251962661743</x:v>
      </x:c>
      <x:c r="H832" s="22" t="n">
        <x:f>IFERROR('5000rpm'!L101,"")</x:f>
        <x:v>4970.64189801897</x:v>
      </x:c>
      <x:c r="I832" s="22" t="n">
        <x:f>IFERROR('5000rpm'!M101,"")</x:f>
        <x:v>3022.28623853211</x:v>
      </x:c>
      <x:c r="J832" s="22" t="n">
        <x:f>IFERROR('5000rpm'!C86,"")</x:f>
        <x:v>156.971283783783</x:v>
      </x:c>
      <x:c r="K832" s="22" t="n">
        <x:f>IF(AND(ISNUMBER(I832),ISNUMBER(J832)),I832-J832,"")</x:f>
        <x:v>2865.314954748327</x:v>
      </x:c>
      <x:c r="L832" s="22" t="n">
        <x:f>IF(ISNUMBER(K832),K832*$B$2+$B$3,"")</x:f>
        <x:v>2652.560526582681</x:v>
      </x:c>
      <x:c r="M832" s="22" t="n">
        <x:f>IF(AND(ISNUMBER(G832),ISNUMBER(H832),H832&lt;&gt;0),G832/(H832/60)/$B$5,"")</x:f>
        <x:v>0.16454936369975223</x:v>
      </x:c>
      <x:c r="N832" s="22" t="n">
        <x:f>IF(AND(ISNUMBER(L832),ISNUMBER(H832),H832&lt;&gt;0),L832*$B$6/$B$4/(H832/60)^2/$B$5^4/$B$7,"")</x:f>
        <x:v>0.07193777360031971</x:v>
      </x:c>
      <x:c r="O832" s="22" t="n">
        <x:f>IF(ISNUMBER(N832),N832*$B$8,"")</x:f>
        <x:v>0.009294542975777328</x:v>
      </x:c>
      <x:c r="P832" s="20" t="str">
        <x:v>5000rpm!N101</x:v>
      </x:c>
      <x:c r="Q832" s="20" t="str">
        <x:v>5000rpm!M101</x:v>
      </x:c>
      <x:c r="R832" s="20" t="str">
        <x:v>5000rpm!C86</x:v>
      </x:c>
    </x:row>
    <x:row r="833">
      <x:c r="A833" s="21" t="n">
        <x:v>5000</x:v>
      </x:c>
      <x:c r="B833" s="21" t="n">
        <x:v>45</x:v>
      </x:c>
      <x:c r="C833" s="21" t="n">
        <x:v>17</x:v>
      </x:c>
      <x:c r="D833" s="21" t="n">
        <x:v>1</x:v>
      </x:c>
      <x:c r="E833" s="21" t="str">
        <x:v>5000rpm</x:v>
      </x:c>
      <x:c r="F833" s="21" t="n">
        <x:v>102</x:v>
      </x:c>
      <x:c r="G833" s="22" t="n">
        <x:f>IFERROR('5000rpm'!D102,"")</x:f>
        <x:v>5.208127933929405</x:v>
      </x:c>
      <x:c r="H833" s="22" t="n">
        <x:f>IFERROR('5000rpm'!B102,"")</x:f>
        <x:v>4924.69444691051</x:v>
      </x:c>
      <x:c r="I833" s="22" t="n">
        <x:f>IFERROR('5000rpm'!C102,"")</x:f>
        <x:v>3040.814479638</x:v>
      </x:c>
      <x:c r="J833" s="22" t="n">
        <x:f>IFERROR('5000rpm'!C86,"")</x:f>
        <x:v>156.971283783783</x:v>
      </x:c>
      <x:c r="K833" s="22" t="n">
        <x:f>IF(AND(ISNUMBER(I833),ISNUMBER(J833)),I833-J833,"")</x:f>
        <x:v>2883.8431958542174</x:v>
      </x:c>
      <x:c r="L833" s="22" t="n">
        <x:f>IF(ISNUMBER(K833),K833*$B$2+$B$3,"")</x:f>
        <x:v>2669.5269851892735</x:v>
      </x:c>
      <x:c r="M833" s="22" t="n">
        <x:f>IF(AND(ISNUMBER(G833),ISNUMBER(H833),H833&lt;&gt;0),G833/(H833/60)/$B$5,"")</x:f>
        <x:v>0.13878655082600996</x:v>
      </x:c>
      <x:c r="N833" s="22" t="n">
        <x:f>IF(AND(ISNUMBER(L833),ISNUMBER(H833),H833&lt;&gt;0),L833*$B$6/$B$4/(H833/60)^2/$B$5^4/$B$7,"")</x:f>
        <x:v>0.07375515470838725</x:v>
      </x:c>
      <x:c r="O833" s="22" t="n">
        <x:f>IF(ISNUMBER(N833),N833*$B$8,"")</x:f>
        <x:v>0.009529353228679352</x:v>
      </x:c>
      <x:c r="P833" s="20" t="str">
        <x:v>5000rpm!D102</x:v>
      </x:c>
      <x:c r="Q833" s="20" t="str">
        <x:v>5000rpm!C102</x:v>
      </x:c>
      <x:c r="R833" s="20" t="str">
        <x:v>5000rpm!C86</x:v>
      </x:c>
    </x:row>
    <x:row r="834">
      <x:c r="A834" s="21" t="n">
        <x:v>5000</x:v>
      </x:c>
      <x:c r="B834" s="21" t="n">
        <x:v>45</x:v>
      </x:c>
      <x:c r="C834" s="21" t="n">
        <x:v>17</x:v>
      </x:c>
      <x:c r="D834" s="21" t="n">
        <x:v>2</x:v>
      </x:c>
      <x:c r="E834" s="21" t="str">
        <x:v>5000rpm</x:v>
      </x:c>
      <x:c r="F834" s="21" t="n">
        <x:v>102</x:v>
      </x:c>
      <x:c r="G834" s="22" t="n">
        <x:f>IFERROR('5000rpm'!N102,"")</x:f>
        <x:v>5.2095963850021345</x:v>
      </x:c>
      <x:c r="H834" s="22" t="n">
        <x:f>IFERROR('5000rpm'!L102,"")</x:f>
        <x:v>4979.5959375</x:v>
      </x:c>
      <x:c r="I834" s="22" t="n">
        <x:f>IFERROR('5000rpm'!M102,"")</x:f>
        <x:v>3080.93</x:v>
      </x:c>
      <x:c r="J834" s="22" t="n">
        <x:f>IFERROR('5000rpm'!C86,"")</x:f>
        <x:v>156.971283783783</x:v>
      </x:c>
      <x:c r="K834" s="22" t="n">
        <x:f>IF(AND(ISNUMBER(I834),ISNUMBER(J834)),I834-J834,"")</x:f>
        <x:v>2923.958716216217</x:v>
      </x:c>
      <x:c r="L834" s="22" t="n">
        <x:f>IF(ISNUMBER(K834),K834*$B$2+$B$3,"")</x:f>
        <x:v>2706.2610881089195</x:v>
      </x:c>
      <x:c r="M834" s="22" t="n">
        <x:f>IF(AND(ISNUMBER(G834),ISNUMBER(H834),H834&lt;&gt;0),G834/(H834/60)/$B$5,"")</x:f>
        <x:v>0.1372950887690867</x:v>
      </x:c>
      <x:c r="N834" s="22" t="n">
        <x:f>IF(AND(ISNUMBER(L834),ISNUMBER(H834),H834&lt;&gt;0),L834*$B$6/$B$4/(H834/60)^2/$B$5^4/$B$7,"")</x:f>
        <x:v>0.0731304301335578</x:v>
      </x:c>
      <x:c r="O834" s="22" t="n">
        <x:f>IF(ISNUMBER(N834),N834*$B$8,"")</x:f>
        <x:v>0.009448637227638826</x:v>
      </x:c>
      <x:c r="P834" s="20" t="str">
        <x:v>5000rpm!N102</x:v>
      </x:c>
      <x:c r="Q834" s="20" t="str">
        <x:v>5000rpm!M102</x:v>
      </x:c>
      <x:c r="R834" s="20" t="str">
        <x:v>5000rpm!C86</x:v>
      </x:c>
    </x:row>
    <x:row r="835">
      <x:c r="A835" s="21" t="n">
        <x:v>5000</x:v>
      </x:c>
      <x:c r="B835" s="21" t="n">
        <x:v>45</x:v>
      </x:c>
      <x:c r="C835" s="21" t="n">
        <x:v>18</x:v>
      </x:c>
      <x:c r="D835" s="21" t="n">
        <x:v>1</x:v>
      </x:c>
      <x:c r="E835" s="21" t="str">
        <x:v>5000rpm</x:v>
      </x:c>
      <x:c r="F835" s="21" t="n">
        <x:v>103</x:v>
      </x:c>
      <x:c r="G835" s="22" t="n">
        <x:f>IFERROR('5000rpm'!D103,"")</x:f>
        <x:v>4.182473875974345</x:v>
      </x:c>
      <x:c r="H835" s="22" t="n">
        <x:f>IFERROR('5000rpm'!B103,"")</x:f>
        <x:v>4928.79993785511</x:v>
      </x:c>
      <x:c r="I835" s="22" t="n">
        <x:f>IFERROR('5000rpm'!C103,"")</x:f>
        <x:v>3109.82275711159</x:v>
      </x:c>
      <x:c r="J835" s="22" t="n">
        <x:f>IFERROR('5000rpm'!C86,"")</x:f>
        <x:v>156.971283783783</x:v>
      </x:c>
      <x:c r="K835" s="22" t="n">
        <x:f>IF(AND(ISNUMBER(I835),ISNUMBER(J835)),I835-J835,"")</x:f>
        <x:v>2952.851473327807</x:v>
      </x:c>
      <x:c r="L835" s="22" t="n">
        <x:f>IF(ISNUMBER(K835),K835*$B$2+$B$3,"")</x:f>
        <x:v>2732.7184169380594</x:v>
      </x:c>
      <x:c r="M835" s="22" t="n">
        <x:f>IF(AND(ISNUMBER(G835),ISNUMBER(H835),H835&lt;&gt;0),G835/(H835/60)/$B$5,"")</x:f>
        <x:v>0.1113620136760372</x:v>
      </x:c>
      <x:c r="N835" s="22" t="n">
        <x:f>IF(AND(ISNUMBER(L835),ISNUMBER(H835),H835&lt;&gt;0),L835*$B$6/$B$4/(H835/60)^2/$B$5^4/$B$7,"")</x:f>
        <x:v>0.07537531597680233</x:v>
      </x:c>
      <x:c r="O835" s="22" t="n">
        <x:f>IF(ISNUMBER(N835),N835*$B$8,"")</x:f>
        <x:v>0.009738682177621232</x:v>
      </x:c>
      <x:c r="P835" s="20" t="str">
        <x:v>5000rpm!D103</x:v>
      </x:c>
      <x:c r="Q835" s="20" t="str">
        <x:v>5000rpm!C103</x:v>
      </x:c>
      <x:c r="R835" s="20" t="str">
        <x:v>5000rpm!C86</x:v>
      </x:c>
    </x:row>
    <x:row r="836">
      <x:c r="A836" s="21" t="n">
        <x:v>5000</x:v>
      </x:c>
      <x:c r="B836" s="21" t="n">
        <x:v>45</x:v>
      </x:c>
      <x:c r="C836" s="21" t="n">
        <x:v>18</x:v>
      </x:c>
      <x:c r="D836" s="21" t="n">
        <x:v>2</x:v>
      </x:c>
      <x:c r="E836" s="21" t="str">
        <x:v>5000rpm</x:v>
      </x:c>
      <x:c r="F836" s="21" t="n">
        <x:v>103</x:v>
      </x:c>
      <x:c r="G836" s="22" t="n">
        <x:f>IFERROR('5000rpm'!N103,"")</x:f>
        <x:v>4.18384702257114</x:v>
      </x:c>
      <x:c r="H836" s="22" t="n">
        <x:f>IFERROR('5000rpm'!L103,"")</x:f>
        <x:v>4938.53175571986</x:v>
      </x:c>
      <x:c r="I836" s="22" t="n">
        <x:f>IFERROR('5000rpm'!M103,"")</x:f>
        <x:v>3150.64157706093</x:v>
      </x:c>
      <x:c r="J836" s="22" t="n">
        <x:f>IFERROR('5000rpm'!C86,"")</x:f>
        <x:v>156.971283783783</x:v>
      </x:c>
      <x:c r="K836" s="22" t="n">
        <x:f>IF(AND(ISNUMBER(I836),ISNUMBER(J836)),I836-J836,"")</x:f>
        <x:v>2993.6702932771473</x:v>
      </x:c>
      <x:c r="L836" s="22" t="n">
        <x:f>IF(ISNUMBER(K836),K836*$B$2+$B$3,"")</x:f>
        <x:v>2770.09653691623</x:v>
      </x:c>
      <x:c r="M836" s="22" t="n">
        <x:f>IF(AND(ISNUMBER(G836),ISNUMBER(H836),H836&lt;&gt;0),G836/(H836/60)/$B$5,"")</x:f>
        <x:v>0.1111790540610379</x:v>
      </x:c>
      <x:c r="N836" s="22" t="n">
        <x:f>IF(AND(ISNUMBER(L836),ISNUMBER(H836),H836&lt;&gt;0),L836*$B$6/$B$4/(H836/60)^2/$B$5^4/$B$7,"")</x:f>
        <x:v>0.0761054653083083</x:v>
      </x:c>
      <x:c r="O836" s="22" t="n">
        <x:f>IF(ISNUMBER(N836),N836*$B$8,"")</x:f>
        <x:v>0.009833019324863542</x:v>
      </x:c>
      <x:c r="P836" s="20" t="str">
        <x:v>5000rpm!N103</x:v>
      </x:c>
      <x:c r="Q836" s="20" t="str">
        <x:v>5000rpm!M103</x:v>
      </x:c>
      <x:c r="R836" s="20" t="str">
        <x:v>5000rpm!C86</x:v>
      </x:c>
    </x:row>
    <x:row r="837">
      <x:c r="A837" s="21" t="n">
        <x:v>5000</x:v>
      </x:c>
      <x:c r="B837" s="21" t="n">
        <x:v>45</x:v>
      </x:c>
      <x:c r="C837" s="21" t="n">
        <x:v>19</x:v>
      </x:c>
      <x:c r="D837" s="21" t="n">
        <x:v>1</x:v>
      </x:c>
      <x:c r="E837" s="21" t="str">
        <x:v>5000rpm</x:v>
      </x:c>
      <x:c r="F837" s="21" t="n">
        <x:v>104</x:v>
      </x:c>
      <x:c r="G837" s="22" t="n">
        <x:f>IFERROR('5000rpm'!D104,"")</x:f>
        <x:v>3.149131359159945</x:v>
      </x:c>
      <x:c r="H837" s="22" t="n">
        <x:f>IFERROR('5000rpm'!B104,"")</x:f>
        <x:v>4925.10856119791</x:v>
      </x:c>
      <x:c r="I837" s="22" t="n">
        <x:f>IFERROR('5000rpm'!C104,"")</x:f>
        <x:v>3164.72233820459</x:v>
      </x:c>
      <x:c r="J837" s="22" t="n">
        <x:f>IFERROR('5000rpm'!C86,"")</x:f>
        <x:v>156.971283783783</x:v>
      </x:c>
      <x:c r="K837" s="22" t="n">
        <x:f>IF(AND(ISNUMBER(I837),ISNUMBER(J837)),I837-J837,"")</x:f>
        <x:v>3007.751054420807</x:v>
      </x:c>
      <x:c r="L837" s="22" t="n">
        <x:f>IF(ISNUMBER(K837),K837*$B$2+$B$3,"")</x:f>
        <x:v>2782.9904025415685</x:v>
      </x:c>
      <x:c r="M837" s="22" t="n">
        <x:f>IF(AND(ISNUMBER(G837),ISNUMBER(H837),H837&lt;&gt;0),G837/(H837/60)/$B$5,"")</x:f>
        <x:v>0.08391121267187578</x:v>
      </x:c>
      <x:c r="N837" s="22" t="n">
        <x:f>IF(AND(ISNUMBER(L837),ISNUMBER(H837),H837&lt;&gt;0),L837*$B$6/$B$4/(H837/60)^2/$B$5^4/$B$7,"")</x:f>
        <x:v>0.0768770545674479</x:v>
      </x:c>
      <x:c r="O837" s="22" t="n">
        <x:f>IF(ISNUMBER(N837),N837*$B$8,"")</x:f>
        <x:v>0.009932710615958618</x:v>
      </x:c>
      <x:c r="P837" s="20" t="str">
        <x:v>5000rpm!D104</x:v>
      </x:c>
      <x:c r="Q837" s="20" t="str">
        <x:v>5000rpm!C104</x:v>
      </x:c>
      <x:c r="R837" s="20" t="str">
        <x:v>5000rpm!C86</x:v>
      </x:c>
    </x:row>
    <x:row r="838">
      <x:c r="A838" s="21" t="n">
        <x:v>5000</x:v>
      </x:c>
      <x:c r="B838" s="21" t="n">
        <x:v>45</x:v>
      </x:c>
      <x:c r="C838" s="21" t="n">
        <x:v>19</x:v>
      </x:c>
      <x:c r="D838" s="21" t="n">
        <x:v>2</x:v>
      </x:c>
      <x:c r="E838" s="21" t="str">
        <x:v>5000rpm</x:v>
      </x:c>
      <x:c r="F838" s="21" t="n">
        <x:v>104</x:v>
      </x:c>
      <x:c r="G838" s="22" t="n">
        <x:f>IFERROR('5000rpm'!N104,"")</x:f>
        <x:v>3.150266918690745</x:v>
      </x:c>
      <x:c r="H838" s="22" t="n">
        <x:f>IFERROR('5000rpm'!L104,"")</x:f>
        <x:v>4962.02756911057</x:v>
      </x:c>
      <x:c r="I838" s="22" t="n">
        <x:f>IFERROR('5000rpm'!M104,"")</x:f>
        <x:v>3205.82524271844</x:v>
      </x:c>
      <x:c r="J838" s="22" t="n">
        <x:f>IFERROR('5000rpm'!C86,"")</x:f>
        <x:v>156.971283783783</x:v>
      </x:c>
      <x:c r="K838" s="22" t="n">
        <x:f>IF(AND(ISNUMBER(I838),ISNUMBER(J838)),I838-J838,"")</x:f>
        <x:v>3048.8539589346574</x:v>
      </x:c>
      <x:c r="L838" s="22" t="n">
        <x:f>IF(ISNUMBER(K838),K838*$B$2+$B$3,"")</x:f>
        <x:v>2820.6286610281372</x:v>
      </x:c>
      <x:c r="M838" s="22" t="n">
        <x:f>IF(AND(ISNUMBER(G838),ISNUMBER(H838),H838&lt;&gt;0),G838/(H838/60)/$B$5,"")</x:f>
        <x:v>0.08331692029380058</x:v>
      </x:c>
      <x:c r="N838" s="22" t="n">
        <x:f>IF(AND(ISNUMBER(L838),ISNUMBER(H838),H838&lt;&gt;0),L838*$B$6/$B$4/(H838/60)^2/$B$5^4/$B$7,"")</x:f>
        <x:v>0.07676163410311346</x:v>
      </x:c>
      <x:c r="O838" s="22" t="n">
        <x:f>IF(ISNUMBER(N838),N838*$B$8,"")</x:f>
        <x:v>0.00991779799895158</x:v>
      </x:c>
      <x:c r="P838" s="20" t="str">
        <x:v>5000rpm!N104</x:v>
      </x:c>
      <x:c r="Q838" s="20" t="str">
        <x:v>5000rpm!M104</x:v>
      </x:c>
      <x:c r="R838" s="20" t="str">
        <x:v>5000rpm!C86</x:v>
      </x:c>
    </x:row>
    <x:row r="839">
      <x:c r="A839" s="21" t="n">
        <x:v>5000</x:v>
      </x:c>
      <x:c r="B839" s="21" t="n">
        <x:v>45</x:v>
      </x:c>
      <x:c r="C839" s="21" t="n">
        <x:v>20</x:v>
      </x:c>
      <x:c r="D839" s="21" t="n">
        <x:v>1</x:v>
      </x:c>
      <x:c r="E839" s="21" t="str">
        <x:v>5000rpm</x:v>
      </x:c>
      <x:c r="F839" s="21" t="n">
        <x:v>105</x:v>
      </x:c>
      <x:c r="G839" s="22" t="n">
        <x:f>IFERROR('5000rpm'!D105,"")</x:f>
        <x:v>2.123519637595815</x:v>
      </x:c>
      <x:c r="H839" s="22" t="n">
        <x:f>IFERROR('5000rpm'!B105,"")</x:f>
        <x:v>4955.77453031994</x:v>
      </x:c>
      <x:c r="I839" s="22" t="n">
        <x:f>IFERROR('5000rpm'!C105,"")</x:f>
        <x:v>3221.98130841121</x:v>
      </x:c>
      <x:c r="J839" s="22" t="n">
        <x:f>IFERROR('5000rpm'!C86,"")</x:f>
        <x:v>156.971283783783</x:v>
      </x:c>
      <x:c r="K839" s="22" t="n">
        <x:f>IF(AND(ISNUMBER(I839),ISNUMBER(J839)),I839-J839,"")</x:f>
        <x:v>3065.0100246274274</x:v>
      </x:c>
      <x:c r="L839" s="22" t="n">
        <x:f>IF(ISNUMBER(K839),K839*$B$2+$B$3,"")</x:f>
        <x:v>2835.4228996315323</x:v>
      </x:c>
      <x:c r="M839" s="22" t="n">
        <x:f>IF(AND(ISNUMBER(G839),ISNUMBER(H839),H839&lt;&gt;0),G839/(H839/60)/$B$5,"")</x:f>
        <x:v>0.05623280802824081</x:v>
      </x:c>
      <x:c r="N839" s="22" t="n">
        <x:f>IF(AND(ISNUMBER(L839),ISNUMBER(H839),H839&lt;&gt;0),L839*$B$6/$B$4/(H839/60)^2/$B$5^4/$B$7,"")</x:f>
        <x:v>0.07735909964353148</x:v>
      </x:c>
      <x:c r="O839" s="22" t="n">
        <x:f>IF(ISNUMBER(N839),N839*$B$8,"")</x:f>
        <x:v>0.009994992063544325</x:v>
      </x:c>
      <x:c r="P839" s="20" t="str">
        <x:v>5000rpm!D105</x:v>
      </x:c>
      <x:c r="Q839" s="20" t="str">
        <x:v>5000rpm!C105</x:v>
      </x:c>
      <x:c r="R839" s="20" t="str">
        <x:v>5000rpm!C86</x:v>
      </x:c>
    </x:row>
    <x:row r="840">
      <x:c r="A840" s="21" t="n">
        <x:v>5000</x:v>
      </x:c>
      <x:c r="B840" s="21" t="n">
        <x:v>45</x:v>
      </x:c>
      <x:c r="C840" s="21" t="n">
        <x:v>20</x:v>
      </x:c>
      <x:c r="D840" s="21" t="n">
        <x:v>2</x:v>
      </x:c>
      <x:c r="E840" s="21" t="str">
        <x:v>5000rpm</x:v>
      </x:c>
      <x:c r="F840" s="21" t="n">
        <x:v>105</x:v>
      </x:c>
      <x:c r="G840" s="22" t="n">
        <x:f>IFERROR('5000rpm'!N105,"")</x:f>
        <x:v>2.124421637427345</x:v>
      </x:c>
      <x:c r="H840" s="22" t="n">
        <x:f>IFERROR('5000rpm'!L105,"")</x:f>
        <x:v>4950.32322095788</x:v>
      </x:c>
      <x:c r="I840" s="22" t="n">
        <x:f>IFERROR('5000rpm'!M105,"")</x:f>
        <x:v>3262.0503144654</x:v>
      </x:c>
      <x:c r="J840" s="22" t="n">
        <x:f>IFERROR('5000rpm'!C86,"")</x:f>
        <x:v>156.971283783783</x:v>
      </x:c>
      <x:c r="K840" s="22" t="n">
        <x:f>IF(AND(ISNUMBER(I840),ISNUMBER(J840)),I840-J840,"")</x:f>
        <x:v>3105.079030681617</x:v>
      </x:c>
      <x:c r="L840" s="22" t="n">
        <x:f>IF(ISNUMBER(K840),K840*$B$2+$B$3,"")</x:f>
        <x:v>2872.114409027402</x:v>
      </x:c>
      <x:c r="M840" s="22" t="n">
        <x:f>IF(AND(ISNUMBER(G840),ISNUMBER(H840),H840&lt;&gt;0),G840/(H840/60)/$B$5,"")</x:f>
        <x:v>0.05631864386060897</x:v>
      </x:c>
      <x:c r="N840" s="22" t="n">
        <x:f>IF(AND(ISNUMBER(L840),ISNUMBER(H840),H840&lt;&gt;0),L840*$B$6/$B$4/(H840/60)^2/$B$5^4/$B$7,"")</x:f>
        <x:v>0.07853283327497518</x:v>
      </x:c>
      <x:c r="O840" s="22" t="n">
        <x:f>IF(ISNUMBER(N840),N840*$B$8,"")</x:f>
        <x:v>0.010146641428454893</x:v>
      </x:c>
      <x:c r="P840" s="20" t="str">
        <x:v>5000rpm!N105</x:v>
      </x:c>
      <x:c r="Q840" s="20" t="str">
        <x:v>5000rpm!M105</x:v>
      </x:c>
      <x:c r="R840" s="20" t="str">
        <x:v>5000rpm!C86</x:v>
      </x:c>
    </x:row>
    <x:row r="841">
      <x:c r="A841" s="21" t="n">
        <x:v>5000</x:v>
      </x:c>
      <x:c r="B841" s="21" t="n">
        <x:v>45</x:v>
      </x:c>
      <x:c r="C841" s="21" t="n">
        <x:v>21</x:v>
      </x:c>
      <x:c r="D841" s="21" t="n">
        <x:v>1</x:v>
      </x:c>
      <x:c r="E841" s="21" t="str">
        <x:v>5000rpm</x:v>
      </x:c>
      <x:c r="F841" s="21" t="n">
        <x:v>106</x:v>
      </x:c>
      <x:c r="G841" s="22" t="n">
        <x:f>IFERROR('5000rpm'!D106,"")</x:f>
        <x:v>1.0917623352020145</x:v>
      </x:c>
      <x:c r="H841" s="22" t="n">
        <x:f>IFERROR('5000rpm'!B106,"")</x:f>
        <x:v>4935.06764914772</x:v>
      </x:c>
      <x:c r="I841" s="22" t="n">
        <x:f>IFERROR('5000rpm'!C106,"")</x:f>
        <x:v>3274.07022900763</x:v>
      </x:c>
      <x:c r="J841" s="22" t="n">
        <x:f>IFERROR('5000rpm'!C86,"")</x:f>
        <x:v>156.971283783783</x:v>
      </x:c>
      <x:c r="K841" s="22" t="n">
        <x:f>IF(AND(ISNUMBER(I841),ISNUMBER(J841)),I841-J841,"")</x:f>
        <x:v>3117.0989452238473</x:v>
      </x:c>
      <x:c r="L841" s="22" t="n">
        <x:f>IF(ISNUMBER(K841),K841*$B$2+$B$3,"")</x:f>
        <x:v>2883.1211409330385</x:v>
      </x:c>
      <x:c r="M841" s="22" t="n">
        <x:f>IF(AND(ISNUMBER(G841),ISNUMBER(H841),H841&lt;&gt;0),G841/(H841/60)/$B$5,"")</x:f>
        <x:v>0.029032205269340527</x:v>
      </x:c>
      <x:c r="N841" s="22" t="n">
        <x:f>IF(AND(ISNUMBER(L841),ISNUMBER(H841),H841&lt;&gt;0),L841*$B$6/$B$4/(H841/60)^2/$B$5^4/$B$7,"")</x:f>
        <x:v>0.0793219373327181</x:v>
      </x:c>
      <x:c r="O841" s="22" t="n">
        <x:f>IF(ISNUMBER(N841),N841*$B$8,"")</x:f>
        <x:v>0.010248595675993897</x:v>
      </x:c>
      <x:c r="P841" s="20" t="str">
        <x:v>5000rpm!D106</x:v>
      </x:c>
      <x:c r="Q841" s="20" t="str">
        <x:v>5000rpm!C106</x:v>
      </x:c>
      <x:c r="R841" s="20" t="str">
        <x:v>5000rpm!C86</x:v>
      </x:c>
    </x:row>
    <x:row r="842">
      <x:c r="A842" s="21" t="n">
        <x:v>5000</x:v>
      </x:c>
      <x:c r="B842" s="21" t="n">
        <x:v>45</x:v>
      </x:c>
      <x:c r="C842" s="21" t="n">
        <x:v>21</x:v>
      </x:c>
      <x:c r="D842" s="21" t="n">
        <x:v>2</x:v>
      </x:c>
      <x:c r="E842" s="21" t="str">
        <x:v>5000rpm</x:v>
      </x:c>
      <x:c r="F842" s="21" t="n">
        <x:v>106</x:v>
      </x:c>
      <x:c r="G842" s="22" t="n">
        <x:f>IFERROR('5000rpm'!N106,"")</x:f>
        <x:v>1.093359386819904</x:v>
      </x:c>
      <x:c r="H842" s="22" t="n">
        <x:f>IFERROR('5000rpm'!L106,"")</x:f>
        <x:v>4999.33238932291</x:v>
      </x:c>
      <x:c r="I842" s="22" t="n">
        <x:f>IFERROR('5000rpm'!M106,"")</x:f>
        <x:v>3313.68644067796</x:v>
      </x:c>
      <x:c r="J842" s="22" t="n">
        <x:f>IFERROR('5000rpm'!C86,"")</x:f>
        <x:v>156.971283783783</x:v>
      </x:c>
      <x:c r="K842" s="22" t="n">
        <x:f>IF(AND(ISNUMBER(I842),ISNUMBER(J842)),I842-J842,"")</x:f>
        <x:v>3156.715156894177</x:v>
      </x:c>
      <x:c r="L842" s="22" t="n">
        <x:f>IF(ISNUMBER(K842),K842*$B$2+$B$3,"")</x:f>
        <x:v>2919.3980228892533</x:v>
      </x:c>
      <x:c r="M842" s="22" t="n">
        <x:f>IF(AND(ISNUMBER(G842),ISNUMBER(H842),H842&lt;&gt;0),G842/(H842/60)/$B$5,"")</x:f>
        <x:v>0.028700928976252007</x:v>
      </x:c>
      <x:c r="N842" s="22" t="n">
        <x:f>IF(AND(ISNUMBER(L842),ISNUMBER(H842),H842&lt;&gt;0),L842*$B$6/$B$4/(H842/60)^2/$B$5^4/$B$7,"")</x:f>
        <x:v>0.07826830471675325</x:v>
      </x:c>
      <x:c r="O842" s="22" t="n">
        <x:f>IF(ISNUMBER(N842),N842*$B$8,"")</x:f>
        <x:v>0.010112463667180624</x:v>
      </x:c>
      <x:c r="P842" s="20" t="str">
        <x:v>5000rpm!N106</x:v>
      </x:c>
      <x:c r="Q842" s="20" t="str">
        <x:v>5000rpm!M106</x:v>
      </x:c>
      <x:c r="R842" s="20" t="str">
        <x:v>5000rpm!C86</x:v>
      </x:c>
    </x:row>
    <x:row r="843">
      <x:c r="A843" s="21" t="n">
        <x:v>5000</x:v>
      </x:c>
      <x:c r="B843" s="21" t="n">
        <x:v>45</x:v>
      </x:c>
      <x:c r="C843" s="21" t="n">
        <x:v>22</x:v>
      </x:c>
      <x:c r="D843" s="21" t="n">
        <x:v>1</x:v>
      </x:c>
      <x:c r="E843" s="21" t="str">
        <x:v>5000rpm</x:v>
      </x:c>
      <x:c r="F843" s="21" t="n">
        <x:v>107</x:v>
      </x:c>
      <x:c r="G843" s="22" t="n">
        <x:f>IFERROR('5000rpm'!D107,"")</x:f>
        <x:v>0.2334284555166945</x:v>
      </x:c>
      <x:c r="H843" s="22" t="n">
        <x:f>IFERROR('5000rpm'!B107,"")</x:f>
        <x:v>0</x:v>
      </x:c>
      <x:c r="I843" s="22" t="n">
        <x:f>IFERROR('5000rpm'!C107,"")</x:f>
        <x:v>157.5</x:v>
      </x:c>
      <x:c r="J843" s="22" t="n">
        <x:f>IFERROR('5000rpm'!C86,"")</x:f>
        <x:v>156.971283783783</x:v>
      </x:c>
      <x:c r="K843" s="22" t="n">
        <x:f>IF(AND(ISNUMBER(I843),ISNUMBER(J843)),I843-J843,"")</x:f>
        <x:v>0.528716216216992</x:v>
      </x:c>
      <x:c r="L843" s="22" t="n">
        <x:f>IF(ISNUMBER(K843),K843*$B$2+$B$3,"")</x:f>
        <x:v>29.252849668919627</x:v>
      </x:c>
      <x:c r="M843" s="22" t="str">
        <x:f>IF(AND(ISNUMBER(G843),ISNUMBER(H843),H843&lt;&gt;0),G843/(H843/60)/$B$5,"")</x:f>
      </x:c>
      <x:c r="N843" s="22" t="str">
        <x:f>IF(AND(ISNUMBER(L843),ISNUMBER(H843),H843&lt;&gt;0),L843*$B$6/$B$4/(H843/60)^2/$B$5^4/$B$7,"")</x:f>
      </x:c>
      <x:c r="O843" s="22" t="str">
        <x:f>IF(ISNUMBER(N843),N843*$B$8,"")</x:f>
      </x:c>
      <x:c r="P843" s="20" t="str">
        <x:v>5000rpm!D107</x:v>
      </x:c>
      <x:c r="Q843" s="20" t="str">
        <x:v>5000rpm!C107</x:v>
      </x:c>
      <x:c r="R843" s="20" t="str">
        <x:v>5000rpm!C86</x:v>
      </x:c>
    </x:row>
    <x:row r="844">
      <x:c r="A844" s="21" t="n">
        <x:v>5000</x:v>
      </x:c>
      <x:c r="B844" s="21" t="n">
        <x:v>45</x:v>
      </x:c>
      <x:c r="C844" s="21" t="n">
        <x:v>22</x:v>
      </x:c>
      <x:c r="D844" s="21" t="n">
        <x:v>2</x:v>
      </x:c>
      <x:c r="E844" s="21" t="str">
        <x:v>5000rpm</x:v>
      </x:c>
      <x:c r="F844" s="21" t="n">
        <x:v>107</x:v>
      </x:c>
      <x:c r="G844" s="22" t="n">
        <x:f>IFERROR('5000rpm'!N107,"")</x:f>
        <x:v>0.09899357444515859</x:v>
      </x:c>
      <x:c r="H844" s="22" t="n">
        <x:f>IFERROR('5000rpm'!L107,"")</x:f>
        <x:v>0</x:v>
      </x:c>
      <x:c r="I844" s="22" t="n">
        <x:f>IFERROR('5000rpm'!M107,"")</x:f>
        <x:v>156.63190184049</x:v>
      </x:c>
      <x:c r="J844" s="22" t="n">
        <x:f>IFERROR('5000rpm'!C86,"")</x:f>
        <x:v>156.971283783783</x:v>
      </x:c>
      <x:c r="K844" s="22" t="n">
        <x:f>IF(AND(ISNUMBER(I844),ISNUMBER(J844)),I844-J844,"")</x:f>
        <x:v>-0.33938194329300586</x:v>
      </x:c>
      <x:c r="L844" s="22" t="n">
        <x:f>IF(ISNUMBER(K844),K844*$B$2+$B$3,"")</x:f>
        <x:v>28.45792523947105</x:v>
      </x:c>
      <x:c r="M844" s="22" t="str">
        <x:f>IF(AND(ISNUMBER(G844),ISNUMBER(H844),H844&lt;&gt;0),G844/(H844/60)/$B$5,"")</x:f>
      </x:c>
      <x:c r="N844" s="22" t="str">
        <x:f>IF(AND(ISNUMBER(L844),ISNUMBER(H844),H844&lt;&gt;0),L844*$B$6/$B$4/(H844/60)^2/$B$5^4/$B$7,"")</x:f>
      </x:c>
      <x:c r="O844" s="22" t="str">
        <x:f>IF(ISNUMBER(N844),N844*$B$8,"")</x:f>
      </x:c>
      <x:c r="P844" s="20" t="str">
        <x:v>5000rpm!N107</x:v>
      </x:c>
      <x:c r="Q844" s="20" t="str">
        <x:v>5000rpm!M107</x:v>
      </x:c>
      <x:c r="R844" s="20" t="str">
        <x:v>5000rpm!C86</x:v>
      </x:c>
    </x:row>
    <x:row r="845">
      <x:c r="A845" s="21" t="n">
        <x:v>5000</x:v>
      </x:c>
      <x:c r="B845" s="21" t="n">
        <x:v>60</x:v>
      </x:c>
      <x:c r="C845" s="21" t="n">
        <x:v>1</x:v>
      </x:c>
      <x:c r="D845" s="21" t="n">
        <x:v>1</x:v>
      </x:c>
      <x:c r="E845" s="21" t="str">
        <x:v>5000rpm</x:v>
      </x:c>
      <x:c r="F845" s="21" t="n">
        <x:v>113</x:v>
      </x:c>
      <x:c r="G845" s="22" t="n">
        <x:f>IFERROR('5000rpm'!E113,"")</x:f>
        <x:v>0.038154580800998095</x:v>
      </x:c>
      <x:c r="H845" s="22" t="n">
        <x:f>IFERROR('5000rpm'!B113,"")</x:f>
        <x:v>0</x:v>
      </x:c>
      <x:c r="I845" s="22" t="n">
        <x:f>IFERROR('5000rpm'!D113,"")</x:f>
        <x:v>-66.332482825962</x:v>
      </x:c>
      <x:c r="J845" s="22" t="n">
        <x:f>IFERROR('5000rpm'!D113,"")</x:f>
        <x:v>-66.332482825962</x:v>
      </x:c>
      <x:c r="K845" s="22" t="n">
        <x:f>IF(AND(ISNUMBER(I845),ISNUMBER(J845)),I845-J845,"")</x:f>
        <x:v>0</x:v>
      </x:c>
      <x:c r="L845" s="22" t="n">
        <x:f>IF(ISNUMBER(K845),K845*$B$2+$B$3,"")</x:f>
        <x:v>28.7687</x:v>
      </x:c>
      <x:c r="M845" s="22" t="str">
        <x:f>IF(AND(ISNUMBER(G845),ISNUMBER(H845),H845&lt;&gt;0),G845/(H845/60)/$B$5,"")</x:f>
      </x:c>
      <x:c r="N845" s="22" t="str">
        <x:f>IF(AND(ISNUMBER(L845),ISNUMBER(H845),H845&lt;&gt;0),L845*$B$6/$B$4/(H845/60)^2/$B$5^4/$B$7,"")</x:f>
      </x:c>
      <x:c r="O845" s="22" t="str">
        <x:f>IF(ISNUMBER(N845),N845*$B$8,"")</x:f>
      </x:c>
      <x:c r="P845" s="20" t="str">
        <x:v>5000rpm!E113</x:v>
      </x:c>
      <x:c r="Q845" s="20" t="str">
        <x:v>5000rpm!D113</x:v>
      </x:c>
      <x:c r="R845" s="20" t="str">
        <x:v>5000rpm!D113</x:v>
      </x:c>
    </x:row>
    <x:row r="846">
      <x:c r="A846" s="21" t="n">
        <x:v>5000</x:v>
      </x:c>
      <x:c r="B846" s="21" t="n">
        <x:v>60</x:v>
      </x:c>
      <x:c r="C846" s="21" t="n">
        <x:v>1</x:v>
      </x:c>
      <x:c r="D846" s="21" t="n">
        <x:v>2</x:v>
      </x:c>
      <x:c r="E846" s="21" t="str">
        <x:v>5000rpm</x:v>
      </x:c>
      <x:c r="F846" s="21" t="n">
        <x:v>113</x:v>
      </x:c>
      <x:c r="G846" s="22" t="n">
        <x:f>IFERROR('5000rpm'!P113,"")</x:f>
        <x:v>0.10275000000000001</x:v>
      </x:c>
      <x:c r="H846" s="22" t="n">
        <x:f>IFERROR('5000rpm'!M113,"")</x:f>
        <x:v>0</x:v>
      </x:c>
      <x:c r="I846" s="22" t="n">
        <x:f>IFERROR('5000rpm'!O113,"")</x:f>
        <x:v>-58.27124</x:v>
      </x:c>
      <x:c r="J846" s="22" t="n">
        <x:f>IFERROR('5000rpm'!O113,"")</x:f>
        <x:v>-58.27124</x:v>
      </x:c>
      <x:c r="K846" s="22" t="n">
        <x:f>IF(AND(ISNUMBER(I846),ISNUMBER(J846)),I846-J846,"")</x:f>
        <x:v>0</x:v>
      </x:c>
      <x:c r="L846" s="22" t="n">
        <x:f>IF(ISNUMBER(K846),K846*$B$2+$B$3,"")</x:f>
        <x:v>28.7687</x:v>
      </x:c>
      <x:c r="M846" s="22" t="str">
        <x:f>IF(AND(ISNUMBER(G846),ISNUMBER(H846),H846&lt;&gt;0),G846/(H846/60)/$B$5,"")</x:f>
      </x:c>
      <x:c r="N846" s="22" t="str">
        <x:f>IF(AND(ISNUMBER(L846),ISNUMBER(H846),H846&lt;&gt;0),L846*$B$6/$B$4/(H846/60)^2/$B$5^4/$B$7,"")</x:f>
      </x:c>
      <x:c r="O846" s="22" t="str">
        <x:f>IF(ISNUMBER(N846),N846*$B$8,"")</x:f>
      </x:c>
      <x:c r="P846" s="20" t="str">
        <x:v>5000rpm!P113</x:v>
      </x:c>
      <x:c r="Q846" s="20" t="str">
        <x:v>5000rpm!O113</x:v>
      </x:c>
      <x:c r="R846" s="20" t="str">
        <x:v>5000rpm!O113</x:v>
      </x:c>
    </x:row>
    <x:row r="847">
      <x:c r="A847" s="21" t="n">
        <x:v>5000</x:v>
      </x:c>
      <x:c r="B847" s="21" t="n">
        <x:v>60</x:v>
      </x:c>
      <x:c r="C847" s="21" t="n">
        <x:v>2</x:v>
      </x:c>
      <x:c r="D847" s="21" t="n">
        <x:v>1</x:v>
      </x:c>
      <x:c r="E847" s="21" t="str">
        <x:v>5000rpm</x:v>
      </x:c>
      <x:c r="F847" s="21" t="n">
        <x:v>114</x:v>
      </x:c>
      <x:c r="G847" s="22" t="n">
        <x:f>IFERROR('5000rpm'!E114,"")</x:f>
        <x:v>0.248208</x:v>
      </x:c>
      <x:c r="H847" s="22" t="n">
        <x:f>IFERROR('5000rpm'!B114,"")</x:f>
        <x:v>5032.3</x:v>
      </x:c>
      <x:c r="I847" s="22" t="n">
        <x:f>IFERROR('5000rpm'!D114,"")</x:f>
        <x:v>3059.9411631999997</x:v>
      </x:c>
      <x:c r="J847" s="22" t="n">
        <x:f>IFERROR('5000rpm'!D113,"")</x:f>
        <x:v>-66.332482825962</x:v>
      </x:c>
      <x:c r="K847" s="22" t="n">
        <x:f>IF(AND(ISNUMBER(I847),ISNUMBER(J847)),I847-J847,"")</x:f>
        <x:v>3126.2736460259616</x:v>
      </x:c>
      <x:c r="L847" s="22" t="n">
        <x:f>IF(ISNUMBER(K847),K847*$B$2+$B$3,"")</x:f>
        <x:v>2891.522487855141</x:v>
      </x:c>
      <x:c r="M847" s="22" t="n">
        <x:f>IF(AND(ISNUMBER(G847),ISNUMBER(H847),H847&lt;&gt;0),G847/(H847/60)/$B$5,"")</x:f>
        <x:v>0.0064728311798693825</x:v>
      </x:c>
      <x:c r="N847" s="22" t="n">
        <x:f>IF(AND(ISNUMBER(L847),ISNUMBER(H847),H847&lt;&gt;0),L847*$B$6/$B$4/(H847/60)^2/$B$5^4/$B$7,"")</x:f>
        <x:v>0.07650858495192571</x:v>
      </x:c>
      <x:c r="O847" s="22" t="n">
        <x:f>IF(ISNUMBER(N847),N847*$B$8,"")</x:f>
        <x:v>0.00988510340620861</x:v>
      </x:c>
      <x:c r="P847" s="20" t="str">
        <x:v>5000rpm!E114</x:v>
      </x:c>
      <x:c r="Q847" s="20" t="str">
        <x:v>5000rpm!D114</x:v>
      </x:c>
      <x:c r="R847" s="20" t="str">
        <x:v>5000rpm!D113</x:v>
      </x:c>
    </x:row>
    <x:row r="848">
      <x:c r="A848" s="21" t="n">
        <x:v>5000</x:v>
      </x:c>
      <x:c r="B848" s="21" t="n">
        <x:v>60</x:v>
      </x:c>
      <x:c r="C848" s="21" t="n">
        <x:v>2</x:v>
      </x:c>
      <x:c r="D848" s="21" t="n">
        <x:v>2</x:v>
      </x:c>
      <x:c r="E848" s="21" t="str">
        <x:v>5000rpm</x:v>
      </x:c>
      <x:c r="F848" s="21" t="n">
        <x:v>114</x:v>
      </x:c>
      <x:c r="G848" s="22" t="n">
        <x:f>IFERROR('5000rpm'!P114,"")</x:f>
        <x:v>0.3149964</x:v>
      </x:c>
      <x:c r="H848" s="22" t="n">
        <x:f>IFERROR('5000rpm'!M114,"")</x:f>
        <x:v>5071.37</x:v>
      </x:c>
      <x:c r="I848" s="22" t="n">
        <x:f>IFERROR('5000rpm'!O114,"")</x:f>
        <x:v>3124.0054959999998</x:v>
      </x:c>
      <x:c r="J848" s="22" t="n">
        <x:f>IFERROR('5000rpm'!O113,"")</x:f>
        <x:v>-58.27124</x:v>
      </x:c>
      <x:c r="K848" s="22" t="n">
        <x:f>IF(AND(ISNUMBER(I848),ISNUMBER(J848)),I848-J848,"")</x:f>
        <x:v>3182.276736</x:v>
      </x:c>
      <x:c r="L848" s="22" t="n">
        <x:f>IF(ISNUMBER(K848),K848*$B$2+$B$3,"")</x:f>
        <x:v>2942.8049653690878</x:v>
      </x:c>
      <x:c r="M848" s="22" t="n">
        <x:f>IF(AND(ISNUMBER(G848),ISNUMBER(H848),H848&lt;&gt;0),G848/(H848/60)/$B$5,"")</x:f>
        <x:v>0.008151270807734493</x:v>
      </x:c>
      <x:c r="N848" s="22" t="n">
        <x:f>IF(AND(ISNUMBER(L848),ISNUMBER(H848),H848&lt;&gt;0),L848*$B$6/$B$4/(H848/60)^2/$B$5^4/$B$7,"")</x:f>
        <x:v>0.07667036457534757</x:v>
      </x:c>
      <x:c r="O848" s="22" t="n">
        <x:f>IF(ISNUMBER(N848),N848*$B$8,"")</x:f>
        <x:v>0.009906005744260572</x:v>
      </x:c>
      <x:c r="P848" s="20" t="str">
        <x:v>5000rpm!P114</x:v>
      </x:c>
      <x:c r="Q848" s="20" t="str">
        <x:v>5000rpm!O114</x:v>
      </x:c>
      <x:c r="R848" s="20" t="str">
        <x:v>5000rpm!O113</x:v>
      </x:c>
    </x:row>
    <x:row r="849">
      <x:c r="A849" s="21" t="n">
        <x:v>5000</x:v>
      </x:c>
      <x:c r="B849" s="21" t="n">
        <x:v>60</x:v>
      </x:c>
      <x:c r="C849" s="21" t="n">
        <x:v>3</x:v>
      </x:c>
      <x:c r="D849" s="21" t="n">
        <x:v>1</x:v>
      </x:c>
      <x:c r="E849" s="21" t="str">
        <x:v>5000rpm</x:v>
      </x:c>
      <x:c r="F849" s="21" t="n">
        <x:v>115</x:v>
      </x:c>
      <x:c r="G849" s="22" t="n">
        <x:f>IFERROR('5000rpm'!E115,"")</x:f>
        <x:v>1.086101207977686</x:v>
      </x:c>
      <x:c r="H849" s="22" t="n">
        <x:f>IFERROR('5000rpm'!B115,"")</x:f>
        <x:v>4948.47204589843</x:v>
      </x:c>
      <x:c r="I849" s="22" t="n">
        <x:f>IFERROR('5000rpm'!D115,"")</x:f>
        <x:v>2956.461646153845</x:v>
      </x:c>
      <x:c r="J849" s="22" t="n">
        <x:f>IFERROR('5000rpm'!D113,"")</x:f>
        <x:v>-66.332482825962</x:v>
      </x:c>
      <x:c r="K849" s="22" t="n">
        <x:f>IF(AND(ISNUMBER(I849),ISNUMBER(J849)),I849-J849,"")</x:f>
        <x:v>3022.794128979807</x:v>
      </x:c>
      <x:c r="L849" s="22" t="n">
        <x:f>IF(ISNUMBER(K849),K849*$B$2+$B$3,"")</x:f>
        <x:v>2796.765466259841</x:v>
      </x:c>
      <x:c r="M849" s="22" t="n">
        <x:f>IF(AND(ISNUMBER(G849),ISNUMBER(H849),H849&lt;&gt;0),G849/(H849/60)/$B$5,"")</x:f>
        <x:v>0.028803429746429462</x:v>
      </x:c>
      <x:c r="N849" s="22" t="n">
        <x:f>IF(AND(ISNUMBER(L849),ISNUMBER(H849),H849&lt;&gt;0),L849*$B$6/$B$4/(H849/60)^2/$B$5^4/$B$7,"")</x:f>
        <x:v>0.07652977712702452</x:v>
      </x:c>
      <x:c r="O849" s="22" t="n">
        <x:f>IF(ISNUMBER(N849),N849*$B$8,"")</x:f>
        <x:v>0.009887841489031417</x:v>
      </x:c>
      <x:c r="P849" s="20" t="str">
        <x:v>5000rpm!E115</x:v>
      </x:c>
      <x:c r="Q849" s="20" t="str">
        <x:v>5000rpm!D115</x:v>
      </x:c>
      <x:c r="R849" s="20" t="str">
        <x:v>5000rpm!D113</x:v>
      </x:c>
    </x:row>
    <x:row r="850">
      <x:c r="A850" s="21" t="n">
        <x:v>5000</x:v>
      </x:c>
      <x:c r="B850" s="21" t="n">
        <x:v>60</x:v>
      </x:c>
      <x:c r="C850" s="21" t="n">
        <x:v>3</x:v>
      </x:c>
      <x:c r="D850" s="21" t="n">
        <x:v>2</x:v>
      </x:c>
      <x:c r="E850" s="21" t="str">
        <x:v>5000rpm</x:v>
      </x:c>
      <x:c r="F850" s="21" t="n">
        <x:v>115</x:v>
      </x:c>
      <x:c r="G850" s="22" t="n">
        <x:f>IFERROR('5000rpm'!P115,"")</x:f>
        <x:v>1.043659967811483</x:v>
      </x:c>
      <x:c r="H850" s="22" t="n">
        <x:f>IFERROR('5000rpm'!M115,"")</x:f>
        <x:v>5033.42484714673</x:v>
      </x:c>
      <x:c r="I850" s="22" t="n">
        <x:f>IFERROR('5000rpm'!O115,"")</x:f>
        <x:v>3049.016469010982</x:v>
      </x:c>
      <x:c r="J850" s="22" t="n">
        <x:f>IFERROR('5000rpm'!O113,"")</x:f>
        <x:v>-58.27124</x:v>
      </x:c>
      <x:c r="K850" s="22" t="n">
        <x:f>IF(AND(ISNUMBER(I850),ISNUMBER(J850)),I850-J850,"")</x:f>
        <x:v>3107.287709010982</x:v>
      </x:c>
      <x:c r="L850" s="22" t="n">
        <x:f>IF(ISNUMBER(K850),K850*$B$2+$B$3,"")</x:f>
        <x:v>2874.1369134430283</x:v>
      </x:c>
      <x:c r="M850" s="22" t="n">
        <x:f>IF(AND(ISNUMBER(G850),ISNUMBER(H850),H850&lt;&gt;0),G850/(H850/60)/$B$5,"")</x:f>
        <x:v>0.027210747061536172</x:v>
      </x:c>
      <x:c r="N850" s="22" t="n">
        <x:f>IF(AND(ISNUMBER(L850),ISNUMBER(H850),H850&lt;&gt;0),L850*$B$6/$B$4/(H850/60)^2/$B$5^4/$B$7,"")</x:f>
        <x:v>0.07601458308081503</x:v>
      </x:c>
      <x:c r="O850" s="22" t="n">
        <x:f>IF(ISNUMBER(N850),N850*$B$8,"")</x:f>
        <x:v>0.009821277110350989</x:v>
      </x:c>
      <x:c r="P850" s="20" t="str">
        <x:v>5000rpm!P115</x:v>
      </x:c>
      <x:c r="Q850" s="20" t="str">
        <x:v>5000rpm!O115</x:v>
      </x:c>
      <x:c r="R850" s="20" t="str">
        <x:v>5000rpm!O113</x:v>
      </x:c>
    </x:row>
    <x:row r="851">
      <x:c r="A851" s="21" t="n">
        <x:v>5000</x:v>
      </x:c>
      <x:c r="B851" s="21" t="n">
        <x:v>60</x:v>
      </x:c>
      <x:c r="C851" s="21" t="n">
        <x:v>4</x:v>
      </x:c>
      <x:c r="D851" s="21" t="n">
        <x:v>1</x:v>
      </x:c>
      <x:c r="E851" s="21" t="str">
        <x:v>5000rpm</x:v>
      </x:c>
      <x:c r="F851" s="21" t="n">
        <x:v>116</x:v>
      </x:c>
      <x:c r="G851" s="22" t="n">
        <x:f>IFERROR('5000rpm'!E116,"")</x:f>
        <x:v>2.08416815333187</x:v>
      </x:c>
      <x:c r="H851" s="22" t="n">
        <x:f>IFERROR('5000rpm'!B116,"")</x:f>
        <x:v>4970.60166529605</x:v>
      </x:c>
      <x:c r="I851" s="22" t="n">
        <x:f>IFERROR('5000rpm'!D116,"")</x:f>
        <x:v>2852.9731983999927</x:v>
      </x:c>
      <x:c r="J851" s="22" t="n">
        <x:f>IFERROR('5000rpm'!D113,"")</x:f>
        <x:v>-66.332482825962</x:v>
      </x:c>
      <x:c r="K851" s="22" t="n">
        <x:f>IF(AND(ISNUMBER(I851),ISNUMBER(J851)),I851-J851,"")</x:f>
        <x:v>2919.3056812259547</x:v>
      </x:c>
      <x:c r="L851" s="22" t="n">
        <x:f>IF(ISNUMBER(K851),K851*$B$2+$B$3,"")</x:f>
        <x:v>2702.0002667440567</x:v>
      </x:c>
      <x:c r="M851" s="22" t="n">
        <x:f>IF(AND(ISNUMBER(G851),ISNUMBER(H851),H851&lt;&gt;0),G851/(H851/60)/$B$5,"")</x:f>
        <x:v>0.05502611141108017</x:v>
      </x:c>
      <x:c r="N851" s="22" t="n">
        <x:f>IF(AND(ISNUMBER(L851),ISNUMBER(H851),H851&lt;&gt;0),L851*$B$6/$B$4/(H851/60)^2/$B$5^4/$B$7,"")</x:f>
        <x:v>0.07327977180209055</x:v>
      </x:c>
      <x:c r="O851" s="22" t="n">
        <x:f>IF(ISNUMBER(N851),N851*$B$8,"")</x:f>
        <x:v>0.009467932550343195</x:v>
      </x:c>
      <x:c r="P851" s="20" t="str">
        <x:v>5000rpm!E116</x:v>
      </x:c>
      <x:c r="Q851" s="20" t="str">
        <x:v>5000rpm!D116</x:v>
      </x:c>
      <x:c r="R851" s="20" t="str">
        <x:v>5000rpm!D113</x:v>
      </x:c>
    </x:row>
    <x:row r="852">
      <x:c r="A852" s="21" t="n">
        <x:v>5000</x:v>
      </x:c>
      <x:c r="B852" s="21" t="n">
        <x:v>60</x:v>
      </x:c>
      <x:c r="C852" s="21" t="n">
        <x:v>4</x:v>
      </x:c>
      <x:c r="D852" s="21" t="n">
        <x:v>2</x:v>
      </x:c>
      <x:c r="E852" s="21" t="str">
        <x:v>5000rpm</x:v>
      </x:c>
      <x:c r="F852" s="21" t="n">
        <x:v>116</x:v>
      </x:c>
      <x:c r="G852" s="22" t="n">
        <x:f>IFERROR('5000rpm'!P116,"")</x:f>
        <x:v>2.1004638530073603</x:v>
      </x:c>
      <x:c r="H852" s="22" t="n">
        <x:f>IFERROR('5000rpm'!M116,"")</x:f>
        <x:v>5016.43072265625</x:v>
      </x:c>
      <x:c r="I852" s="22" t="n">
        <x:f>IFERROR('5000rpm'!O116,"")</x:f>
        <x:v>2942.756636363635</x:v>
      </x:c>
      <x:c r="J852" s="22" t="n">
        <x:f>IFERROR('5000rpm'!O113,"")</x:f>
        <x:v>-58.27124</x:v>
      </x:c>
      <x:c r="K852" s="22" t="n">
        <x:f>IF(AND(ISNUMBER(I852),ISNUMBER(J852)),I852-J852,"")</x:f>
        <x:v>3001.027876363635</x:v>
      </x:c>
      <x:c r="L852" s="22" t="n">
        <x:f>IF(ISNUMBER(K852),K852*$B$2+$B$3,"")</x:f>
        <x:v>2776.8339346091916</x:v>
      </x:c>
      <x:c r="M852" s="22" t="n">
        <x:f>IF(AND(ISNUMBER(G852),ISNUMBER(H852),H852&lt;&gt;0),G852/(H852/60)/$B$5,"")</x:f>
        <x:v>0.054949712159728784</x:v>
      </x:c>
      <x:c r="N852" s="22" t="n">
        <x:f>IF(AND(ISNUMBER(L852),ISNUMBER(H852),H852&lt;&gt;0),L852*$B$6/$B$4/(H852/60)^2/$B$5^4/$B$7,"")</x:f>
        <x:v>0.07393956866495072</x:v>
      </x:c>
      <x:c r="O852" s="22" t="n">
        <x:f>IF(ISNUMBER(N852),N852*$B$8,"")</x:f>
        <x:v>0.009553179980034424</x:v>
      </x:c>
      <x:c r="P852" s="20" t="str">
        <x:v>5000rpm!P116</x:v>
      </x:c>
      <x:c r="Q852" s="20" t="str">
        <x:v>5000rpm!O116</x:v>
      </x:c>
      <x:c r="R852" s="20" t="str">
        <x:v>5000rpm!O113</x:v>
      </x:c>
    </x:row>
    <x:row r="853">
      <x:c r="A853" s="21" t="n">
        <x:v>5000</x:v>
      </x:c>
      <x:c r="B853" s="21" t="n">
        <x:v>60</x:v>
      </x:c>
      <x:c r="C853" s="21" t="n">
        <x:v>5</x:v>
      </x:c>
      <x:c r="D853" s="21" t="n">
        <x:v>1</x:v>
      </x:c>
      <x:c r="E853" s="21" t="str">
        <x:v>5000rpm</x:v>
      </x:c>
      <x:c r="F853" s="21" t="n">
        <x:v>117</x:v>
      </x:c>
      <x:c r="G853" s="22" t="n">
        <x:f>IFERROR('5000rpm'!E117,"")</x:f>
        <x:v>3.1254598664753255</x:v>
      </x:c>
      <x:c r="H853" s="22" t="n">
        <x:f>IFERROR('5000rpm'!B117,"")</x:f>
        <x:v>4941.70556640625</x:v>
      </x:c>
      <x:c r="I853" s="22" t="n">
        <x:f>IFERROR('5000rpm'!D117,"")</x:f>
        <x:v>2748.3721755725146</x:v>
      </x:c>
      <x:c r="J853" s="22" t="n">
        <x:f>IFERROR('5000rpm'!D113,"")</x:f>
        <x:v>-66.332482825962</x:v>
      </x:c>
      <x:c r="K853" s="22" t="n">
        <x:f>IF(AND(ISNUMBER(I853),ISNUMBER(J853)),I853-J853,"")</x:f>
        <x:v>2814.7046583984766</x:v>
      </x:c>
      <x:c r="L853" s="22" t="n">
        <x:f>IF(ISNUMBER(K853),K853*$B$2+$B$3,"")</x:f>
        <x:v>2606.2162733327523</x:v>
      </x:c>
      <x:c r="M853" s="22" t="n">
        <x:f>IF(AND(ISNUMBER(G853),ISNUMBER(H853),H853&lt;&gt;0),G853/(H853/60)/$B$5,"")</x:f>
        <x:v>0.08300076386502919</x:v>
      </x:c>
      <x:c r="N853" s="22" t="n">
        <x:f>IF(AND(ISNUMBER(L853),ISNUMBER(H853),H853&lt;&gt;0),L853*$B$6/$B$4/(H853/60)^2/$B$5^4/$B$7,"")</x:f>
        <x:v>0.07151108425964066</x:v>
      </x:c>
      <x:c r="O853" s="22" t="n">
        <x:f>IF(ISNUMBER(N853),N853*$B$8,"")</x:f>
        <x:v>0.0092394136297361</x:v>
      </x:c>
      <x:c r="P853" s="20" t="str">
        <x:v>5000rpm!E117</x:v>
      </x:c>
      <x:c r="Q853" s="20" t="str">
        <x:v>5000rpm!D117</x:v>
      </x:c>
      <x:c r="R853" s="20" t="str">
        <x:v>5000rpm!D113</x:v>
      </x:c>
    </x:row>
    <x:row r="854">
      <x:c r="A854" s="21" t="n">
        <x:v>5000</x:v>
      </x:c>
      <x:c r="B854" s="21" t="n">
        <x:v>60</x:v>
      </x:c>
      <x:c r="C854" s="21" t="n">
        <x:v>5</x:v>
      </x:c>
      <x:c r="D854" s="21" t="n">
        <x:v>2</x:v>
      </x:c>
      <x:c r="E854" s="21" t="str">
        <x:v>5000rpm</x:v>
      </x:c>
      <x:c r="F854" s="21" t="n">
        <x:v>117</x:v>
      </x:c>
      <x:c r="G854" s="22" t="n">
        <x:f>IFERROR('5000rpm'!P117,"")</x:f>
        <x:v>3.1366166979074395</x:v>
      </x:c>
      <x:c r="H854" s="22" t="n">
        <x:f>IFERROR('5000rpm'!M117,"")</x:f>
        <x:v>4993.65632324218</x:v>
      </x:c>
      <x:c r="I854" s="22" t="n">
        <x:f>IFERROR('5000rpm'!O117,"")</x:f>
        <x:v>2848.0407419354806</x:v>
      </x:c>
      <x:c r="J854" s="22" t="n">
        <x:f>IFERROR('5000rpm'!O113,"")</x:f>
        <x:v>-58.27124</x:v>
      </x:c>
      <x:c r="K854" s="22" t="n">
        <x:f>IF(AND(ISNUMBER(I854),ISNUMBER(J854)),I854-J854,"")</x:f>
        <x:v>2906.3119819354806</x:v>
      </x:c>
      <x:c r="L854" s="22" t="n">
        <x:f>IF(ISNUMBER(K854),K854*$B$2+$B$3,"")</x:f>
        <x:v>2690.1018323541753</x:v>
      </x:c>
      <x:c r="M854" s="22" t="n">
        <x:f>IF(AND(ISNUMBER(G854),ISNUMBER(H854),H854&lt;&gt;0),G854/(H854/60)/$B$5,"")</x:f>
        <x:v>0.08243048004695437</x:v>
      </x:c>
      <x:c r="N854" s="22" t="n">
        <x:f>IF(AND(ISNUMBER(L854),ISNUMBER(H854),H854&lt;&gt;0),L854*$B$6/$B$4/(H854/60)^2/$B$5^4/$B$7,"")</x:f>
        <x:v>0.07228497971391144</x:v>
      </x:c>
      <x:c r="O854" s="22" t="n">
        <x:f>IF(ISNUMBER(N854),N854*$B$8,"")</x:f>
        <x:v>0.009339402887096806</x:v>
      </x:c>
      <x:c r="P854" s="20" t="str">
        <x:v>5000rpm!P117</x:v>
      </x:c>
      <x:c r="Q854" s="20" t="str">
        <x:v>5000rpm!O117</x:v>
      </x:c>
      <x:c r="R854" s="20" t="str">
        <x:v>5000rpm!O113</x:v>
      </x:c>
    </x:row>
    <x:row r="855">
      <x:c r="A855" s="21" t="n">
        <x:v>5000</x:v>
      </x:c>
      <x:c r="B855" s="21" t="n">
        <x:v>60</x:v>
      </x:c>
      <x:c r="C855" s="21" t="n">
        <x:v>6</x:v>
      </x:c>
      <x:c r="D855" s="21" t="n">
        <x:v>1</x:v>
      </x:c>
      <x:c r="E855" s="21" t="str">
        <x:v>5000rpm</x:v>
      </x:c>
      <x:c r="F855" s="21" t="n">
        <x:v>118</x:v>
      </x:c>
      <x:c r="G855" s="22" t="n">
        <x:f>IFERROR('5000rpm'!E118,"")</x:f>
        <x:v>4.2504646096167</x:v>
      </x:c>
      <x:c r="H855" s="22" t="n">
        <x:f>IFERROR('5000rpm'!B118,"")</x:f>
        <x:v>4893.76492442255</x:v>
      </x:c>
      <x:c r="I855" s="22" t="n">
        <x:f>IFERROR('5000rpm'!D118,"")</x:f>
        <x:v>2622.1445921568616</x:v>
      </x:c>
      <x:c r="J855" s="22" t="n">
        <x:f>IFERROR('5000rpm'!D113,"")</x:f>
        <x:v>-66.332482825962</x:v>
      </x:c>
      <x:c r="K855" s="22" t="n">
        <x:f>IF(AND(ISNUMBER(I855),ISNUMBER(J855)),I855-J855,"")</x:f>
        <x:v>2688.4770749828235</x:v>
      </x:c>
      <x:c r="L855" s="22" t="n">
        <x:f>IF(ISNUMBER(K855),K855*$B$2+$B$3,"")</x:f>
        <x:v>2490.6286653783714</x:v>
      </x:c>
      <x:c r="M855" s="22" t="n">
        <x:f>IF(AND(ISNUMBER(G855),ISNUMBER(H855),H855&lt;&gt;0),G855/(H855/60)/$B$5,"")</x:f>
        <x:v>0.11398253965145112</x:v>
      </x:c>
      <x:c r="N855" s="22" t="n">
        <x:f>IF(AND(ISNUMBER(L855),ISNUMBER(H855),H855&lt;&gt;0),L855*$B$6/$B$4/(H855/60)^2/$B$5^4/$B$7,"")</x:f>
        <x:v>0.06968501809373917</x:v>
      </x:c>
      <x:c r="O855" s="22" t="n">
        <x:f>IF(ISNUMBER(N855),N855*$B$8,"")</x:f>
        <x:v>0.009003481245313394</x:v>
      </x:c>
      <x:c r="P855" s="20" t="str">
        <x:v>5000rpm!E118</x:v>
      </x:c>
      <x:c r="Q855" s="20" t="str">
        <x:v>5000rpm!D118</x:v>
      </x:c>
      <x:c r="R855" s="20" t="str">
        <x:v>5000rpm!D113</x:v>
      </x:c>
    </x:row>
    <x:row r="856">
      <x:c r="A856" s="21" t="n">
        <x:v>5000</x:v>
      </x:c>
      <x:c r="B856" s="21" t="n">
        <x:v>60</x:v>
      </x:c>
      <x:c r="C856" s="21" t="n">
        <x:v>6</x:v>
      </x:c>
      <x:c r="D856" s="21" t="n">
        <x:v>2</x:v>
      </x:c>
      <x:c r="E856" s="21" t="str">
        <x:v>5000rpm</x:v>
      </x:c>
      <x:c r="F856" s="21" t="n">
        <x:v>118</x:v>
      </x:c>
      <x:c r="G856" s="22" t="n">
        <x:f>IFERROR('5000rpm'!P118,"")</x:f>
        <x:v>4.269558144791775</x:v>
      </x:c>
      <x:c r="H856" s="22" t="n">
        <x:f>IFERROR('5000rpm'!M118,"")</x:f>
        <x:v>4982.33371803977</x:v>
      </x:c>
      <x:c r="I856" s="22" t="n">
        <x:f>IFERROR('5000rpm'!O118,"")</x:f>
        <x:v>2714.2385409395965</x:v>
      </x:c>
      <x:c r="J856" s="22" t="n">
        <x:f>IFERROR('5000rpm'!O113,"")</x:f>
        <x:v>-58.27124</x:v>
      </x:c>
      <x:c r="K856" s="22" t="n">
        <x:f>IF(AND(ISNUMBER(I856),ISNUMBER(J856)),I856-J856,"")</x:f>
        <x:v>2772.5097809395966</x:v>
      </x:c>
      <x:c r="L856" s="22" t="n">
        <x:f>IF(ISNUMBER(K856),K856*$B$2+$B$3,"")</x:f>
        <x:v>2567.578086484636</x:v>
      </x:c>
      <x:c r="M856" s="22" t="n">
        <x:f>IF(AND(ISNUMBER(G856),ISNUMBER(H856),H856&lt;&gt;0),G856/(H856/60)/$B$5,"")</x:f>
        <x:v>0.1124592408958284</x:v>
      </x:c>
      <x:c r="N856" s="22" t="n">
        <x:f>IF(AND(ISNUMBER(L856),ISNUMBER(H856),H856&lt;&gt;0),L856*$B$6/$B$4/(H856/60)^2/$B$5^4/$B$7,"")</x:f>
        <x:v>0.06930661315270423</x:v>
      </x:c>
      <x:c r="O856" s="22" t="n">
        <x:f>IF(ISNUMBER(N856),N856*$B$8,"")</x:f>
        <x:v>0.008954590366284576</x:v>
      </x:c>
      <x:c r="P856" s="20" t="str">
        <x:v>5000rpm!P118</x:v>
      </x:c>
      <x:c r="Q856" s="20" t="str">
        <x:v>5000rpm!O118</x:v>
      </x:c>
      <x:c r="R856" s="20" t="str">
        <x:v>5000rpm!O113</x:v>
      </x:c>
    </x:row>
    <x:row r="857">
      <x:c r="A857" s="21" t="n">
        <x:v>5000</x:v>
      </x:c>
      <x:c r="B857" s="21" t="n">
        <x:v>60</x:v>
      </x:c>
      <x:c r="C857" s="21" t="n">
        <x:v>7</x:v>
      </x:c>
      <x:c r="D857" s="21" t="n">
        <x:v>1</x:v>
      </x:c>
      <x:c r="E857" s="21" t="str">
        <x:v>5000rpm</x:v>
      </x:c>
      <x:c r="F857" s="21" t="n">
        <x:v>119</x:v>
      </x:c>
      <x:c r="G857" s="22" t="n">
        <x:f>IFERROR('5000rpm'!E119,"")</x:f>
        <x:v>5.1773066316332095</x:v>
      </x:c>
      <x:c r="H857" s="22" t="n">
        <x:f>IFERROR('5000rpm'!B119,"")</x:f>
        <x:v>4908.60258556547</x:v>
      </x:c>
      <x:c r="I857" s="22" t="n">
        <x:f>IFERROR('5000rpm'!D119,"")</x:f>
        <x:v>2515.5896966507153</x:v>
      </x:c>
      <x:c r="J857" s="22" t="n">
        <x:f>IFERROR('5000rpm'!D113,"")</x:f>
        <x:v>-66.332482825962</x:v>
      </x:c>
      <x:c r="K857" s="22" t="n">
        <x:f>IF(AND(ISNUMBER(I857),ISNUMBER(J857)),I857-J857,"")</x:f>
        <x:v>2581.9221794766772</x:v>
      </x:c>
      <x:c r="L857" s="22" t="n">
        <x:f>IF(ISNUMBER(K857),K857*$B$2+$B$3,"")</x:f>
        <x:v>2393.0554951242293</x:v>
      </x:c>
      <x:c r="M857" s="22" t="n">
        <x:f>IF(AND(ISNUMBER(G857),ISNUMBER(H857),H857&lt;&gt;0),G857/(H857/60)/$B$5,"")</x:f>
        <x:v>0.13841751373988226</x:v>
      </x:c>
      <x:c r="N857" s="22" t="n">
        <x:f>IF(AND(ISNUMBER(L857),ISNUMBER(H857),H857&lt;&gt;0),L857*$B$6/$B$4/(H857/60)^2/$B$5^4/$B$7,"")</x:f>
        <x:v>0.06655085955544035</x:v>
      </x:c>
      <x:c r="O857" s="22" t="n">
        <x:f>IF(ISNUMBER(N857),N857*$B$8,"")</x:f>
        <x:v>0.008598540005555754</x:v>
      </x:c>
      <x:c r="P857" s="20" t="str">
        <x:v>5000rpm!E119</x:v>
      </x:c>
      <x:c r="Q857" s="20" t="str">
        <x:v>5000rpm!D119</x:v>
      </x:c>
      <x:c r="R857" s="20" t="str">
        <x:v>5000rpm!D113</x:v>
      </x:c>
    </x:row>
    <x:row r="858">
      <x:c r="A858" s="21" t="n">
        <x:v>5000</x:v>
      </x:c>
      <x:c r="B858" s="21" t="n">
        <x:v>60</x:v>
      </x:c>
      <x:c r="C858" s="21" t="n">
        <x:v>7</x:v>
      </x:c>
      <x:c r="D858" s="21" t="n">
        <x:v>2</x:v>
      </x:c>
      <x:c r="E858" s="21" t="str">
        <x:v>5000rpm</x:v>
      </x:c>
      <x:c r="F858" s="21" t="n">
        <x:v>119</x:v>
      </x:c>
      <x:c r="G858" s="22" t="n">
        <x:f>IFERROR('5000rpm'!P119,"")</x:f>
        <x:v>5.19740020464627</x:v>
      </x:c>
      <x:c r="H858" s="22" t="n">
        <x:f>IFERROR('5000rpm'!M119,"")</x:f>
        <x:v>4996.49643961588</x:v>
      </x:c>
      <x:c r="I858" s="22" t="n">
        <x:f>IFERROR('5000rpm'!O119,"")</x:f>
        <x:v>2596.1025126338295</x:v>
      </x:c>
      <x:c r="J858" s="22" t="n">
        <x:f>IFERROR('5000rpm'!O113,"")</x:f>
        <x:v>-58.27124</x:v>
      </x:c>
      <x:c r="K858" s="22" t="n">
        <x:f>IF(AND(ISNUMBER(I858),ISNUMBER(J858)),I858-J858,"")</x:f>
        <x:v>2654.3737526338296</x:v>
      </x:c>
      <x:c r="L858" s="22" t="n">
        <x:f>IF(ISNUMBER(K858),K858*$B$2+$B$3,"")</x:f>
        <x:v>2459.399980276819</x:v>
      </x:c>
      <x:c r="M858" s="22" t="n">
        <x:f>IF(AND(ISNUMBER(G858),ISNUMBER(H858),H858&lt;&gt;0),G858/(H858/60)/$B$5,"")</x:f>
        <x:v>0.1365103579904783</x:v>
      </x:c>
      <x:c r="N858" s="22" t="n">
        <x:f>IF(AND(ISNUMBER(L858),ISNUMBER(H858),H858&lt;&gt;0),L858*$B$6/$B$4/(H858/60)^2/$B$5^4/$B$7,"")</x:f>
        <x:v>0.06601074637864714</x:v>
      </x:c>
      <x:c r="O858" s="22" t="n">
        <x:f>IF(ISNUMBER(N858),N858*$B$8,"")</x:f>
        <x:v>0.008528756011942338</x:v>
      </x:c>
      <x:c r="P858" s="20" t="str">
        <x:v>5000rpm!P119</x:v>
      </x:c>
      <x:c r="Q858" s="20" t="str">
        <x:v>5000rpm!O119</x:v>
      </x:c>
      <x:c r="R858" s="20" t="str">
        <x:v>5000rpm!O113</x:v>
      </x:c>
    </x:row>
    <x:row r="859">
      <x:c r="A859" s="21" t="n">
        <x:v>5000</x:v>
      </x:c>
      <x:c r="B859" s="21" t="n">
        <x:v>60</x:v>
      </x:c>
      <x:c r="C859" s="21" t="n">
        <x:v>8</x:v>
      </x:c>
      <x:c r="D859" s="21" t="n">
        <x:v>1</x:v>
      </x:c>
      <x:c r="E859" s="21" t="str">
        <x:v>5000rpm</x:v>
      </x:c>
      <x:c r="F859" s="21" t="n">
        <x:v>120</x:v>
      </x:c>
      <x:c r="G859" s="22" t="n">
        <x:f>IFERROR('5000rpm'!E120,"")</x:f>
        <x:v>6.201913693594545</x:v>
      </x:c>
      <x:c r="H859" s="22" t="n">
        <x:f>IFERROR('5000rpm'!B120,"")</x:f>
        <x:v>4899.49134657118</x:v>
      </x:c>
      <x:c r="I859" s="22" t="n">
        <x:f>IFERROR('5000rpm'!D120,"")</x:f>
        <x:v>2371.4260143236006</x:v>
      </x:c>
      <x:c r="J859" s="22" t="n">
        <x:f>IFERROR('5000rpm'!D113,"")</x:f>
        <x:v>-66.332482825962</x:v>
      </x:c>
      <x:c r="K859" s="22" t="n">
        <x:f>IF(AND(ISNUMBER(I859),ISNUMBER(J859)),I859-J859,"")</x:f>
        <x:v>2437.7584971495626</x:v>
      </x:c>
      <x:c r="L859" s="22" t="n">
        <x:f>IF(ISNUMBER(K859),K859*$B$2+$B$3,"")</x:f>
        <x:v>2261.043657907832</x:v>
      </x:c>
      <x:c r="M859" s="22" t="n">
        <x:f>IF(AND(ISNUMBER(G859),ISNUMBER(H859),H859&lt;&gt;0),G859/(H859/60)/$B$5,"")</x:f>
        <x:v>0.1661191697837205</x:v>
      </x:c>
      <x:c r="N859" s="22" t="n">
        <x:f>IF(AND(ISNUMBER(L859),ISNUMBER(H859),H859&lt;&gt;0),L859*$B$6/$B$4/(H859/60)^2/$B$5^4/$B$7,"")</x:f>
        <x:v>0.0631136941419947</x:v>
      </x:c>
      <x:c r="O859" s="22" t="n">
        <x:f>IF(ISNUMBER(N859),N859*$B$8,"")</x:f>
        <x:v>0.008154449508293214</x:v>
      </x:c>
      <x:c r="P859" s="20" t="str">
        <x:v>5000rpm!E120</x:v>
      </x:c>
      <x:c r="Q859" s="20" t="str">
        <x:v>5000rpm!D120</x:v>
      </x:c>
      <x:c r="R859" s="20" t="str">
        <x:v>5000rpm!D113</x:v>
      </x:c>
    </x:row>
    <x:row r="860">
      <x:c r="A860" s="21" t="n">
        <x:v>5000</x:v>
      </x:c>
      <x:c r="B860" s="21" t="n">
        <x:v>60</x:v>
      </x:c>
      <x:c r="C860" s="21" t="n">
        <x:v>8</x:v>
      </x:c>
      <x:c r="D860" s="21" t="n">
        <x:v>2</x:v>
      </x:c>
      <x:c r="E860" s="21" t="str">
        <x:v>5000rpm</x:v>
      </x:c>
      <x:c r="F860" s="21" t="n">
        <x:v>120</x:v>
      </x:c>
      <x:c r="G860" s="22" t="n">
        <x:f>IFERROR('5000rpm'!P120,"")</x:f>
        <x:v>6.324877827775245</x:v>
      </x:c>
      <x:c r="H860" s="22" t="n">
        <x:f>IFERROR('5000rpm'!M120,"")</x:f>
        <x:v>5010.02206420898</x:v>
      </x:c>
      <x:c r="I860" s="22" t="n">
        <x:f>IFERROR('5000rpm'!O120,"")</x:f>
        <x:v>2461.0049421052568</x:v>
      </x:c>
      <x:c r="J860" s="22" t="n">
        <x:f>IFERROR('5000rpm'!O113,"")</x:f>
        <x:v>-58.27124</x:v>
      </x:c>
      <x:c r="K860" s="22" t="n">
        <x:f>IF(AND(ISNUMBER(I860),ISNUMBER(J860)),I860-J860,"")</x:f>
        <x:v>2519.276182105257</x:v>
      </x:c>
      <x:c r="L860" s="22" t="n">
        <x:f>IF(ISNUMBER(K860),K860*$B$2+$B$3,"")</x:f>
        <x:v>2335.6900541632403</x:v>
      </x:c>
      <x:c r="M860" s="22" t="n">
        <x:f>IF(AND(ISNUMBER(G860),ISNUMBER(H860),H860&lt;&gt;0),G860/(H860/60)/$B$5,"")</x:f>
        <x:v>0.16567521054800205</x:v>
      </x:c>
      <x:c r="N860" s="22" t="n">
        <x:f>IF(AND(ISNUMBER(L860),ISNUMBER(H860),H860&lt;&gt;0),L860*$B$6/$B$4/(H860/60)^2/$B$5^4/$B$7,"")</x:f>
        <x:v>0.06235231422205648</x:v>
      </x:c>
      <x:c r="O860" s="22" t="n">
        <x:f>IF(ISNUMBER(N860),N860*$B$8,"")</x:f>
        <x:v>0.008056077289741148</x:v>
      </x:c>
      <x:c r="P860" s="20" t="str">
        <x:v>5000rpm!P120</x:v>
      </x:c>
      <x:c r="Q860" s="20" t="str">
        <x:v>5000rpm!O120</x:v>
      </x:c>
      <x:c r="R860" s="20" t="str">
        <x:v>5000rpm!O113</x:v>
      </x:c>
    </x:row>
    <x:row r="861">
      <x:c r="A861" s="21" t="n">
        <x:v>5000</x:v>
      </x:c>
      <x:c r="B861" s="21" t="n">
        <x:v>60</x:v>
      </x:c>
      <x:c r="C861" s="21" t="n">
        <x:v>9</x:v>
      </x:c>
      <x:c r="D861" s="21" t="n">
        <x:v>1</x:v>
      </x:c>
      <x:c r="E861" s="21" t="str">
        <x:v>5000rpm</x:v>
      </x:c>
      <x:c r="F861" s="21" t="n">
        <x:v>121</x:v>
      </x:c>
      <x:c r="G861" s="22" t="n">
        <x:f>IFERROR('5000rpm'!E121,"")</x:f>
        <x:v>7.220578312256175</x:v>
      </x:c>
      <x:c r="H861" s="22" t="n">
        <x:f>IFERROR('5000rpm'!B121,"")</x:f>
        <x:v>4940.5134919819</x:v>
      </x:c>
      <x:c r="I861" s="22" t="n">
        <x:f>IFERROR('5000rpm'!D121,"")</x:f>
        <x:v>2247.9383767441777</x:v>
      </x:c>
      <x:c r="J861" s="22" t="n">
        <x:f>IFERROR('5000rpm'!D113,"")</x:f>
        <x:v>-66.332482825962</x:v>
      </x:c>
      <x:c r="K861" s="22" t="n">
        <x:f>IF(AND(ISNUMBER(I861),ISNUMBER(J861)),I861-J861,"")</x:f>
        <x:v>2314.2708595701397</x:v>
      </x:c>
      <x:c r="L861" s="22" t="n">
        <x:f>IF(ISNUMBER(K861),K861*$B$2+$B$3,"")</x:f>
        <x:v>2147.9650402752536</x:v>
      </x:c>
      <x:c r="M861" s="22" t="n">
        <x:f>IF(AND(ISNUMBER(G861),ISNUMBER(H861),H861&lt;&gt;0),G861/(H861/60)/$B$5,"")</x:f>
        <x:v>0.19179837424075896</x:v>
      </x:c>
      <x:c r="N861" s="22" t="n">
        <x:f>IF(AND(ISNUMBER(L861),ISNUMBER(H861),H861&lt;&gt;0),L861*$B$6/$B$4/(H861/60)^2/$B$5^4/$B$7,"")</x:f>
        <x:v>0.05896572897999913</x:v>
      </x:c>
      <x:c r="O861" s="22" t="n">
        <x:f>IF(ISNUMBER(N861),N861*$B$8,"")</x:f>
        <x:v>0.007618521879028584</x:v>
      </x:c>
      <x:c r="P861" s="20" t="str">
        <x:v>5000rpm!E121</x:v>
      </x:c>
      <x:c r="Q861" s="20" t="str">
        <x:v>5000rpm!D121</x:v>
      </x:c>
      <x:c r="R861" s="20" t="str">
        <x:v>5000rpm!D113</x:v>
      </x:c>
    </x:row>
    <x:row r="862">
      <x:c r="A862" s="21" t="n">
        <x:v>5000</x:v>
      </x:c>
      <x:c r="B862" s="21" t="n">
        <x:v>60</x:v>
      </x:c>
      <x:c r="C862" s="21" t="n">
        <x:v>9</x:v>
      </x:c>
      <x:c r="D862" s="21" t="n">
        <x:v>2</x:v>
      </x:c>
      <x:c r="E862" s="21" t="str">
        <x:v>5000rpm</x:v>
      </x:c>
      <x:c r="F862" s="21" t="n">
        <x:v>121</x:v>
      </x:c>
      <x:c r="G862" s="22" t="n">
        <x:f>IFERROR('5000rpm'!P121,"")</x:f>
        <x:v>7.240627265745585</x:v>
      </x:c>
      <x:c r="H862" s="22" t="n">
        <x:f>IFERROR('5000rpm'!M121,"")</x:f>
        <x:v>4974.41606702302</x:v>
      </x:c>
      <x:c r="I862" s="22" t="n">
        <x:f>IFERROR('5000rpm'!O121,"")</x:f>
        <x:v>2360.856740540539</x:v>
      </x:c>
      <x:c r="J862" s="22" t="n">
        <x:f>IFERROR('5000rpm'!O113,"")</x:f>
        <x:v>-58.27124</x:v>
      </x:c>
      <x:c r="K862" s="22" t="n">
        <x:f>IF(AND(ISNUMBER(I862),ISNUMBER(J862)),I862-J862,"")</x:f>
        <x:v>2419.127980540539</x:v>
      </x:c>
      <x:c r="L862" s="22" t="n">
        <x:f>IF(ISNUMBER(K862),K862*$B$2+$B$3,"")</x:f>
        <x:v>2243.9835448048157</x:v>
      </x:c>
      <x:c r="M862" s="22" t="n">
        <x:f>IF(AND(ISNUMBER(G862),ISNUMBER(H862),H862&lt;&gt;0),G862/(H862/60)/$B$5,"")</x:f>
        <x:v>0.19102011957431198</x:v>
      </x:c>
      <x:c r="N862" s="22" t="n">
        <x:f>IF(AND(ISNUMBER(L862),ISNUMBER(H862),H862&lt;&gt;0),L862*$B$6/$B$4/(H862/60)^2/$B$5^4/$B$7,"")</x:f>
        <x:v>0.060764803198278435</x:v>
      </x:c>
      <x:c r="O862" s="22" t="n">
        <x:f>IF(ISNUMBER(N862),N862*$B$8,"")</x:f>
        <x:v>0.007850966835294727</x:v>
      </x:c>
      <x:c r="P862" s="20" t="str">
        <x:v>5000rpm!P121</x:v>
      </x:c>
      <x:c r="Q862" s="20" t="str">
        <x:v>5000rpm!O121</x:v>
      </x:c>
      <x:c r="R862" s="20" t="str">
        <x:v>5000rpm!O113</x:v>
      </x:c>
    </x:row>
    <x:row r="863">
      <x:c r="A863" s="21" t="n">
        <x:v>5000</x:v>
      </x:c>
      <x:c r="B863" s="21" t="n">
        <x:v>60</x:v>
      </x:c>
      <x:c r="C863" s="21" t="n">
        <x:v>10</x:v>
      </x:c>
      <x:c r="D863" s="21" t="n">
        <x:v>1</x:v>
      </x:c>
      <x:c r="E863" s="21" t="str">
        <x:v>5000rpm</x:v>
      </x:c>
      <x:c r="F863" s="21" t="n">
        <x:v>122</x:v>
      </x:c>
      <x:c r="G863" s="22" t="n">
        <x:f>IFERROR('5000rpm'!E122,"")</x:f>
        <x:v>8.28503758416456</x:v>
      </x:c>
      <x:c r="H863" s="22" t="n">
        <x:f>IFERROR('5000rpm'!B122,"")</x:f>
        <x:v>4914.70905761718</x:v>
      </x:c>
      <x:c r="I863" s="22" t="n">
        <x:f>IFERROR('5000rpm'!D122,"")</x:f>
        <x:v>2086.5158235294034</x:v>
      </x:c>
      <x:c r="J863" s="22" t="n">
        <x:f>IFERROR('5000rpm'!D113,"")</x:f>
        <x:v>-66.332482825962</x:v>
      </x:c>
      <x:c r="K863" s="22" t="n">
        <x:f>IF(AND(ISNUMBER(I863),ISNUMBER(J863)),I863-J863,"")</x:f>
        <x:v>2152.8483063553654</x:v>
      </x:c>
      <x:c r="L863" s="22" t="n">
        <x:f>IF(ISNUMBER(K863),K863*$B$2+$B$3,"")</x:f>
        <x:v>2000.149116916059</x:v>
      </x:c>
      <x:c r="M863" s="22" t="n">
        <x:f>IF(AND(ISNUMBER(G863),ISNUMBER(H863),H863&lt;&gt;0),G863/(H863/60)/$B$5,"")</x:f>
        <x:v>0.2212288175690216</x:v>
      </x:c>
      <x:c r="N863" s="22" t="n">
        <x:f>IF(AND(ISNUMBER(L863),ISNUMBER(H863),H863&lt;&gt;0),L863*$B$6/$B$4/(H863/60)^2/$B$5^4/$B$7,"")</x:f>
        <x:v>0.055485996553385306</x:v>
      </x:c>
      <x:c r="O863" s="22" t="n">
        <x:f>IF(ISNUMBER(N863),N863*$B$8,"")</x:f>
        <x:v>0.00716893161560091</x:v>
      </x:c>
      <x:c r="P863" s="20" t="str">
        <x:v>5000rpm!E122</x:v>
      </x:c>
      <x:c r="Q863" s="20" t="str">
        <x:v>5000rpm!D122</x:v>
      </x:c>
      <x:c r="R863" s="20" t="str">
        <x:v>5000rpm!D113</x:v>
      </x:c>
    </x:row>
    <x:row r="864">
      <x:c r="A864" s="21" t="n">
        <x:v>5000</x:v>
      </x:c>
      <x:c r="B864" s="21" t="n">
        <x:v>60</x:v>
      </x:c>
      <x:c r="C864" s="21" t="n">
        <x:v>10</x:v>
      </x:c>
      <x:c r="D864" s="21" t="n">
        <x:v>2</x:v>
      </x:c>
      <x:c r="E864" s="21" t="str">
        <x:v>5000rpm</x:v>
      </x:c>
      <x:c r="F864" s="21" t="n">
        <x:v>122</x:v>
      </x:c>
      <x:c r="G864" s="22" t="n">
        <x:f>IFERROR('5000rpm'!P122,"")</x:f>
        <x:v>8.264315474847825</x:v>
      </x:c>
      <x:c r="H864" s="22" t="n">
        <x:f>IFERROR('5000rpm'!M122,"")</x:f>
        <x:v>4986.55966186523</x:v>
      </x:c>
      <x:c r="I864" s="22" t="n">
        <x:f>IFERROR('5000rpm'!O122,"")</x:f>
        <x:v>2218.4051121495227</x:v>
      </x:c>
      <x:c r="J864" s="22" t="n">
        <x:f>IFERROR('5000rpm'!O113,"")</x:f>
        <x:v>-58.27124</x:v>
      </x:c>
      <x:c r="K864" s="22" t="n">
        <x:f>IF(AND(ISNUMBER(I864),ISNUMBER(J864)),I864-J864,"")</x:f>
        <x:v>2276.6763521495227</x:v>
      </x:c>
      <x:c r="L864" s="22" t="n">
        <x:f>IF(ISNUMBER(K864),K864*$B$2+$B$3,"")</x:f>
        <x:v>2113.539449074135</x:v>
      </x:c>
      <x:c r="M864" s="22" t="n">
        <x:f>IF(AND(ISNUMBER(G864),ISNUMBER(H864),H864&lt;&gt;0),G864/(H864/60)/$B$5,"")</x:f>
        <x:v>0.2174958107667608</x:v>
      </x:c>
      <x:c r="N864" s="22" t="n">
        <x:f>IF(AND(ISNUMBER(L864),ISNUMBER(H864),H864&lt;&gt;0),L864*$B$6/$B$4/(H864/60)^2/$B$5^4/$B$7,"")</x:f>
        <x:v>0.05695409586312898</x:v>
      </x:c>
      <x:c r="O864" s="22" t="n">
        <x:f>IF(ISNUMBER(N864),N864*$B$8,"")</x:f>
        <x:v>0.007358613773446576</x:v>
      </x:c>
      <x:c r="P864" s="20" t="str">
        <x:v>5000rpm!P122</x:v>
      </x:c>
      <x:c r="Q864" s="20" t="str">
        <x:v>5000rpm!O122</x:v>
      </x:c>
      <x:c r="R864" s="20" t="str">
        <x:v>5000rpm!O113</x:v>
      </x:c>
    </x:row>
    <x:row r="865">
      <x:c r="A865" s="21" t="n">
        <x:v>5000</x:v>
      </x:c>
      <x:c r="B865" s="21" t="n">
        <x:v>60</x:v>
      </x:c>
      <x:c r="C865" s="21" t="n">
        <x:v>11</x:v>
      </x:c>
      <x:c r="D865" s="21" t="n">
        <x:v>1</x:v>
      </x:c>
      <x:c r="E865" s="21" t="str">
        <x:v>5000rpm</x:v>
      </x:c>
      <x:c r="F865" s="21" t="n">
        <x:v>123</x:v>
      </x:c>
      <x:c r="G865" s="22" t="n">
        <x:f>IFERROR('5000rpm'!E123,"")</x:f>
        <x:v>9.26405440449714</x:v>
      </x:c>
      <x:c r="H865" s="22" t="n">
        <x:f>IFERROR('5000rpm'!B123,"")</x:f>
        <x:v>4962.06274414062</x:v>
      </x:c>
      <x:c r="I865" s="22" t="n">
        <x:f>IFERROR('5000rpm'!D123,"")</x:f>
        <x:v>1968.4135112781876</x:v>
      </x:c>
      <x:c r="J865" s="22" t="n">
        <x:f>IFERROR('5000rpm'!D113,"")</x:f>
        <x:v>-66.332482825962</x:v>
      </x:c>
      <x:c r="K865" s="22" t="n">
        <x:f>IF(AND(ISNUMBER(I865),ISNUMBER(J865)),I865-J865,"")</x:f>
        <x:v>2034.7459941041495</x:v>
      </x:c>
      <x:c r="L865" s="22" t="n">
        <x:f>IF(ISNUMBER(K865),K865*$B$2+$B$3,"")</x:f>
        <x:v>1892.0018847691226</x:v>
      </x:c>
      <x:c r="M865" s="22" t="n">
        <x:f>IF(AND(ISNUMBER(G865),ISNUMBER(H865),H865&lt;&gt;0),G865/(H865/60)/$B$5,"")</x:f>
        <x:v>0.24501003592295503</x:v>
      </x:c>
      <x:c r="N865" s="22" t="n">
        <x:f>IF(AND(ISNUMBER(L865),ISNUMBER(H865),H865&lt;&gt;0),L865*$B$6/$B$4/(H865/60)^2/$B$5^4/$B$7,"")</x:f>
        <x:v>0.051488910738137175</x:v>
      </x:c>
      <x:c r="O865" s="22" t="n">
        <x:f>IF(ISNUMBER(N865),N865*$B$8,"")</x:f>
        <x:v>0.006652497980969651</x:v>
      </x:c>
      <x:c r="P865" s="20" t="str">
        <x:v>5000rpm!E123</x:v>
      </x:c>
      <x:c r="Q865" s="20" t="str">
        <x:v>5000rpm!D123</x:v>
      </x:c>
      <x:c r="R865" s="20" t="str">
        <x:v>5000rpm!D113</x:v>
      </x:c>
    </x:row>
    <x:row r="866">
      <x:c r="A866" s="21" t="n">
        <x:v>5000</x:v>
      </x:c>
      <x:c r="B866" s="21" t="n">
        <x:v>60</x:v>
      </x:c>
      <x:c r="C866" s="21" t="n">
        <x:v>11</x:v>
      </x:c>
      <x:c r="D866" s="21" t="n">
        <x:v>2</x:v>
      </x:c>
      <x:c r="E866" s="21" t="str">
        <x:v>5000rpm</x:v>
      </x:c>
      <x:c r="F866" s="21" t="n">
        <x:v>123</x:v>
      </x:c>
      <x:c r="G866" s="22" t="n">
        <x:f>IFERROR('5000rpm'!P123,"")</x:f>
        <x:v>9.287696970360615</x:v>
      </x:c>
      <x:c r="H866" s="22" t="n">
        <x:f>IFERROR('5000rpm'!M123,"")</x:f>
        <x:v>5057.67056274414</x:v>
      </x:c>
      <x:c r="I866" s="22" t="n">
        <x:f>IFERROR('5000rpm'!O123,"")</x:f>
        <x:v>2089.2715241790975</x:v>
      </x:c>
      <x:c r="J866" s="22" t="n">
        <x:f>IFERROR('5000rpm'!O113,"")</x:f>
        <x:v>-58.27124</x:v>
      </x:c>
      <x:c r="K866" s="22" t="n">
        <x:f>IF(AND(ISNUMBER(I866),ISNUMBER(J866)),I866-J866,"")</x:f>
        <x:v>2147.5427641790975</x:v>
      </x:c>
      <x:c r="L866" s="22" t="n">
        <x:f>IF(ISNUMBER(K866),K866*$B$2+$B$3,"")</x:f>
        <x:v>1995.290789500913</x:v>
      </x:c>
      <x:c r="M866" s="22" t="n">
        <x:f>IF(AND(ISNUMBER(G866),ISNUMBER(H866),H866&lt;&gt;0),G866/(H866/60)/$B$5,"")</x:f>
        <x:v>0.2409919457990062</x:v>
      </x:c>
      <x:c r="N866" s="22" t="n">
        <x:f>IF(AND(ISNUMBER(L866),ISNUMBER(H866),H866&lt;&gt;0),L866*$B$6/$B$4/(H866/60)^2/$B$5^4/$B$7,"")</x:f>
        <x:v>0.05226630099208419</x:v>
      </x:c>
      <x:c r="O866" s="22" t="n">
        <x:f>IF(ISNUMBER(N866),N866*$B$8,"")</x:f>
        <x:v>0.006752938775320685</x:v>
      </x:c>
      <x:c r="P866" s="20" t="str">
        <x:v>5000rpm!P123</x:v>
      </x:c>
      <x:c r="Q866" s="20" t="str">
        <x:v>5000rpm!O123</x:v>
      </x:c>
      <x:c r="R866" s="20" t="str">
        <x:v>5000rpm!O113</x:v>
      </x:c>
    </x:row>
    <x:row r="867">
      <x:c r="A867" s="21" t="n">
        <x:v>5000</x:v>
      </x:c>
      <x:c r="B867" s="21" t="n">
        <x:v>60</x:v>
      </x:c>
      <x:c r="C867" s="21" t="n">
        <x:v>12</x:v>
      </x:c>
      <x:c r="D867" s="21" t="n">
        <x:v>1</x:v>
      </x:c>
      <x:c r="E867" s="21" t="str">
        <x:v>5000rpm</x:v>
      </x:c>
      <x:c r="F867" s="21" t="n">
        <x:v>124</x:v>
      </x:c>
      <x:c r="G867" s="22" t="n">
        <x:f>IFERROR('5000rpm'!E124,"")</x:f>
        <x:v>10.206809730529784</x:v>
      </x:c>
      <x:c r="H867" s="22" t="n">
        <x:f>IFERROR('5000rpm'!B124,"")</x:f>
        <x:v>4937.61383463541</x:v>
      </x:c>
      <x:c r="I867" s="22" t="n">
        <x:f>IFERROR('5000rpm'!D124,"")</x:f>
        <x:v>1843.8748119205275</x:v>
      </x:c>
      <x:c r="J867" s="22" t="n">
        <x:f>IFERROR('5000rpm'!D113,"")</x:f>
        <x:v>-66.332482825962</x:v>
      </x:c>
      <x:c r="K867" s="22" t="n">
        <x:f>IF(AND(ISNUMBER(I867),ISNUMBER(J867)),I867-J867,"")</x:f>
        <x:v>1910.2072947464894</x:v>
      </x:c>
      <x:c r="L867" s="22" t="n">
        <x:f>IF(ISNUMBER(K867),K867*$B$2+$B$3,"")</x:f>
        <x:v>1777.9608014577184</x:v>
      </x:c>
      <x:c r="M867" s="22" t="n">
        <x:f>IF(AND(ISNUMBER(G867),ISNUMBER(H867),H867&lt;&gt;0),G867/(H867/60)/$B$5,"")</x:f>
        <x:v>0.27128009347213694</x:v>
      </x:c>
      <x:c r="N867" s="22" t="n">
        <x:f>IF(AND(ISNUMBER(L867),ISNUMBER(H867),H867&lt;&gt;0),L867*$B$6/$B$4/(H867/60)^2/$B$5^4/$B$7,"")</x:f>
        <x:v>0.048865751496730794</x:v>
      </x:c>
      <x:c r="O867" s="22" t="n">
        <x:f>IF(ISNUMBER(N867),N867*$B$8,"")</x:f>
        <x:v>0.006313579147631574</x:v>
      </x:c>
      <x:c r="P867" s="20" t="str">
        <x:v>5000rpm!E124</x:v>
      </x:c>
      <x:c r="Q867" s="20" t="str">
        <x:v>5000rpm!D124</x:v>
      </x:c>
      <x:c r="R867" s="20" t="str">
        <x:v>5000rpm!D113</x:v>
      </x:c>
    </x:row>
    <x:row r="868">
      <x:c r="A868" s="21" t="n">
        <x:v>5000</x:v>
      </x:c>
      <x:c r="B868" s="21" t="n">
        <x:v>60</x:v>
      </x:c>
      <x:c r="C868" s="21" t="n">
        <x:v>12</x:v>
      </x:c>
      <x:c r="D868" s="21" t="n">
        <x:v>2</x:v>
      </x:c>
      <x:c r="E868" s="21" t="str">
        <x:v>5000rpm</x:v>
      </x:c>
      <x:c r="F868" s="21" t="n">
        <x:v>124</x:v>
      </x:c>
      <x:c r="G868" s="22" t="n">
        <x:f>IFERROR('5000rpm'!P124,"")</x:f>
        <x:v>10.228735722264929</x:v>
      </x:c>
      <x:c r="H868" s="22" t="n">
        <x:f>IFERROR('5000rpm'!M124,"")</x:f>
        <x:v>5019.42086588541</x:v>
      </x:c>
      <x:c r="I868" s="22" t="n">
        <x:f>IFERROR('5000rpm'!O124,"")</x:f>
        <x:v>1970.8323941747474</x:v>
      </x:c>
      <x:c r="J868" s="22" t="n">
        <x:f>IFERROR('5000rpm'!O113,"")</x:f>
        <x:v>-58.27124</x:v>
      </x:c>
      <x:c r="K868" s="22" t="n">
        <x:f>IF(AND(ISNUMBER(I868),ISNUMBER(J868)),I868-J868,"")</x:f>
        <x:v>2029.1036341747474</x:v>
      </x:c>
      <x:c r="L868" s="22" t="n">
        <x:f>IF(ISNUMBER(K868),K868*$B$2+$B$3,"")</x:f>
        <x:v>1886.8351306428897</x:v>
      </x:c>
      <x:c r="M868" s="22" t="n">
        <x:f>IF(AND(ISNUMBER(G868),ISNUMBER(H868),H868&lt;&gt;0),G868/(H868/60)/$B$5,"")</x:f>
        <x:v>0.26743200165768904</x:v>
      </x:c>
      <x:c r="N868" s="22" t="n">
        <x:f>IF(AND(ISNUMBER(L868),ISNUMBER(H868),H868&lt;&gt;0),L868*$B$6/$B$4/(H868/60)^2/$B$5^4/$B$7,"")</x:f>
        <x:v>0.05018146926934726</x:v>
      </x:c>
      <x:c r="O868" s="22" t="n">
        <x:f>IF(ISNUMBER(N868),N868*$B$8,"")</x:f>
        <x:v>0.00648357322403323</x:v>
      </x:c>
      <x:c r="P868" s="20" t="str">
        <x:v>5000rpm!P124</x:v>
      </x:c>
      <x:c r="Q868" s="20" t="str">
        <x:v>5000rpm!O124</x:v>
      </x:c>
      <x:c r="R868" s="20" t="str">
        <x:v>5000rpm!O113</x:v>
      </x:c>
    </x:row>
    <x:row r="869">
      <x:c r="A869" s="21" t="n">
        <x:v>5000</x:v>
      </x:c>
      <x:c r="B869" s="21" t="n">
        <x:v>60</x:v>
      </x:c>
      <x:c r="C869" s="21" t="n">
        <x:v>13</x:v>
      </x:c>
      <x:c r="D869" s="21" t="n">
        <x:v>1</x:v>
      </x:c>
      <x:c r="E869" s="21" t="str">
        <x:v>5000rpm</x:v>
      </x:c>
      <x:c r="F869" s="21" t="n">
        <x:v>125</x:v>
      </x:c>
      <x:c r="G869" s="22" t="n">
        <x:f>IFERROR('5000rpm'!E125,"")</x:f>
        <x:v>9.269443822758525</x:v>
      </x:c>
      <x:c r="H869" s="22" t="n">
        <x:f>IFERROR('5000rpm'!B125,"")</x:f>
        <x:v>4928.44541864809</x:v>
      </x:c>
      <x:c r="I869" s="22" t="n">
        <x:f>IFERROR('5000rpm'!D125,"")</x:f>
        <x:v>1965.4333</x:v>
      </x:c>
      <x:c r="J869" s="22" t="n">
        <x:f>IFERROR('5000rpm'!D113,"")</x:f>
        <x:v>-66.332482825962</x:v>
      </x:c>
      <x:c r="K869" s="22" t="n">
        <x:f>IF(AND(ISNUMBER(I869),ISNUMBER(J869)),I869-J869,"")</x:f>
        <x:v>2031.7657828259619</x:v>
      </x:c>
      <x:c r="L869" s="22" t="n">
        <x:f>IF(ISNUMBER(K869),K869*$B$2+$B$3,"")</x:f>
        <x:v>1889.272881459996</x:v>
      </x:c>
      <x:c r="M869" s="22" t="n">
        <x:f>IF(AND(ISNUMBER(G869),ISNUMBER(H869),H869&lt;&gt;0),G869/(H869/60)/$B$5,"")</x:f>
        <x:v>0.24682477751072468</x:v>
      </x:c>
      <x:c r="N869" s="22" t="n">
        <x:f>IF(AND(ISNUMBER(L869),ISNUMBER(H869),H869&lt;&gt;0),L869*$B$6/$B$4/(H869/60)^2/$B$5^4/$B$7,"")</x:f>
        <x:v>0.05211844276004713</x:v>
      </x:c>
      <x:c r="O869" s="22" t="n">
        <x:f>IF(ISNUMBER(N869),N869*$B$8,"")</x:f>
        <x:v>0.006733835116377524</x:v>
      </x:c>
      <x:c r="P869" s="20" t="str">
        <x:v>5000rpm!E125</x:v>
      </x:c>
      <x:c r="Q869" s="20" t="str">
        <x:v>5000rpm!D125</x:v>
      </x:c>
      <x:c r="R869" s="20" t="str">
        <x:v>5000rpm!D113</x:v>
      </x:c>
    </x:row>
    <x:row r="870">
      <x:c r="A870" s="21" t="n">
        <x:v>5000</x:v>
      </x:c>
      <x:c r="B870" s="21" t="n">
        <x:v>60</x:v>
      </x:c>
      <x:c r="C870" s="21" t="n">
        <x:v>13</x:v>
      </x:c>
      <x:c r="D870" s="21" t="n">
        <x:v>2</x:v>
      </x:c>
      <x:c r="E870" s="21" t="str">
        <x:v>5000rpm</x:v>
      </x:c>
      <x:c r="F870" s="21" t="n">
        <x:v>125</x:v>
      </x:c>
      <x:c r="G870" s="22" t="n">
        <x:f>IFERROR('5000rpm'!P125,"")</x:f>
        <x:v>9.290560111834125</x:v>
      </x:c>
      <x:c r="H870" s="22" t="n">
        <x:f>IFERROR('5000rpm'!M125,"")</x:f>
        <x:v>5013.70933702256</x:v>
      </x:c>
      <x:c r="I870" s="22" t="n">
        <x:f>IFERROR('5000rpm'!O125,"")</x:f>
        <x:v>2086.163810434782</x:v>
      </x:c>
      <x:c r="J870" s="22" t="n">
        <x:f>IFERROR('5000rpm'!O113,"")</x:f>
        <x:v>-58.27124</x:v>
      </x:c>
      <x:c r="K870" s="22" t="n">
        <x:f>IF(AND(ISNUMBER(I870),ISNUMBER(J870)),I870-J870,"")</x:f>
        <x:v>2144.435050434782</x:v>
      </x:c>
      <x:c r="L870" s="22" t="n">
        <x:f>IF(ISNUMBER(K870),K870*$B$2+$B$3,"")</x:f>
        <x:v>1992.4450311635335</x:v>
      </x:c>
      <x:c r="M870" s="22" t="n">
        <x:f>IF(AND(ISNUMBER(G870),ISNUMBER(H870),H870&lt;&gt;0),G870/(H870/60)/$B$5,"")</x:f>
        <x:v>0.24317995490360297</x:v>
      </x:c>
      <x:c r="N870" s="22" t="n">
        <x:f>IF(AND(ISNUMBER(L870),ISNUMBER(H870),H870&lt;&gt;0),L870*$B$6/$B$4/(H870/60)^2/$B$5^4/$B$7,"")</x:f>
        <x:v>0.053111025345312354</x:v>
      </x:c>
      <x:c r="O870" s="22" t="n">
        <x:f>IF(ISNUMBER(N870),N870*$B$8,"")</x:f>
        <x:v>0.0068620793062382284</x:v>
      </x:c>
      <x:c r="P870" s="20" t="str">
        <x:v>5000rpm!P125</x:v>
      </x:c>
      <x:c r="Q870" s="20" t="str">
        <x:v>5000rpm!O125</x:v>
      </x:c>
      <x:c r="R870" s="20" t="str">
        <x:v>5000rpm!O113</x:v>
      </x:c>
    </x:row>
    <x:row r="871">
      <x:c r="A871" s="21" t="n">
        <x:v>5000</x:v>
      </x:c>
      <x:c r="B871" s="21" t="n">
        <x:v>60</x:v>
      </x:c>
      <x:c r="C871" s="21" t="n">
        <x:v>14</x:v>
      </x:c>
      <x:c r="D871" s="21" t="n">
        <x:v>1</x:v>
      </x:c>
      <x:c r="E871" s="21" t="str">
        <x:v>5000rpm</x:v>
      </x:c>
      <x:c r="F871" s="21" t="n">
        <x:v>126</x:v>
      </x:c>
      <x:c r="G871" s="22" t="n">
        <x:f>IFERROR('5000rpm'!E126,"")</x:f>
        <x:v>8.265667120615635</x:v>
      </x:c>
      <x:c r="H871" s="22" t="n">
        <x:f>IFERROR('5000rpm'!B126,"")</x:f>
        <x:v>4915.57581097146</x:v>
      </x:c>
      <x:c r="I871" s="22" t="n">
        <x:f>IFERROR('5000rpm'!D126,"")</x:f>
        <x:v>2104.086495948823</x:v>
      </x:c>
      <x:c r="J871" s="22" t="n">
        <x:f>IFERROR('5000rpm'!D113,"")</x:f>
        <x:v>-66.332482825962</x:v>
      </x:c>
      <x:c r="K871" s="22" t="n">
        <x:f>IF(AND(ISNUMBER(I871),ISNUMBER(J871)),I871-J871,"")</x:f>
        <x:v>2170.418978774785</x:v>
      </x:c>
      <x:c r="L871" s="22" t="n">
        <x:f>IF(ISNUMBER(K871),K871*$B$2+$B$3,"")</x:f>
        <x:v>2016.238722215901</x:v>
      </x:c>
      <x:c r="M871" s="22" t="n">
        <x:f>IF(AND(ISNUMBER(G871),ISNUMBER(H871),H871&lt;&gt;0),G871/(H871/60)/$B$5,"")</x:f>
        <x:v>0.22067266575514097</x:v>
      </x:c>
      <x:c r="N871" s="22" t="n">
        <x:f>IF(AND(ISNUMBER(L871),ISNUMBER(H871),H871&lt;&gt;0),L871*$B$6/$B$4/(H871/60)^2/$B$5^4/$B$7,"")</x:f>
        <x:v>0.055912614038516335</x:v>
      </x:c>
      <x:c r="O871" s="22" t="n">
        <x:f>IF(ISNUMBER(N871),N871*$B$8,"")</x:f>
        <x:v>0.0072240516777229155</x:v>
      </x:c>
      <x:c r="P871" s="20" t="str">
        <x:v>5000rpm!E126</x:v>
      </x:c>
      <x:c r="Q871" s="20" t="str">
        <x:v>5000rpm!D126</x:v>
      </x:c>
      <x:c r="R871" s="20" t="str">
        <x:v>5000rpm!D113</x:v>
      </x:c>
    </x:row>
    <x:row r="872">
      <x:c r="A872" s="21" t="n">
        <x:v>5000</x:v>
      </x:c>
      <x:c r="B872" s="21" t="n">
        <x:v>60</x:v>
      </x:c>
      <x:c r="C872" s="21" t="n">
        <x:v>14</x:v>
      </x:c>
      <x:c r="D872" s="21" t="n">
        <x:v>2</x:v>
      </x:c>
      <x:c r="E872" s="21" t="str">
        <x:v>5000rpm</x:v>
      </x:c>
      <x:c r="F872" s="21" t="n">
        <x:v>126</x:v>
      </x:c>
      <x:c r="G872" s="22" t="n">
        <x:f>IFERROR('5000rpm'!P126,"")</x:f>
        <x:v>8.277626052345195</x:v>
      </x:c>
      <x:c r="H872" s="22" t="n">
        <x:f>IFERROR('5000rpm'!M126,"")</x:f>
        <x:v>4996.846484375</x:v>
      </x:c>
      <x:c r="I872" s="22" t="n">
        <x:f>IFERROR('5000rpm'!O126,"")</x:f>
        <x:v>2206.2258267352126</x:v>
      </x:c>
      <x:c r="J872" s="22" t="n">
        <x:f>IFERROR('5000rpm'!O113,"")</x:f>
        <x:v>-58.27124</x:v>
      </x:c>
      <x:c r="K872" s="22" t="n">
        <x:f>IF(AND(ISNUMBER(I872),ISNUMBER(J872)),I872-J872,"")</x:f>
        <x:v>2264.4970667352127</x:v>
      </x:c>
      <x:c r="L872" s="22" t="n">
        <x:f>IF(ISNUMBER(K872),K872*$B$2+$B$3,"")</x:f>
        <x:v>2102.386779985968</x:v>
      </x:c>
      <x:c r="M872" s="22" t="n">
        <x:f>IF(AND(ISNUMBER(G872),ISNUMBER(H872),H872&lt;&gt;0),G872/(H872/60)/$B$5,"")</x:f>
        <x:v>0.21739763967898598</x:v>
      </x:c>
      <x:c r="N872" s="22" t="n">
        <x:f>IF(AND(ISNUMBER(L872),ISNUMBER(H872),H872&lt;&gt;0),L872*$B$6/$B$4/(H872/60)^2/$B$5^4/$B$7,"")</x:f>
        <x:v>0.05642054092559532</x:v>
      </x:c>
      <x:c r="O872" s="22" t="n">
        <x:f>IF(ISNUMBER(N872),N872*$B$8,"")</x:f>
        <x:v>0.00728967712099473</x:v>
      </x:c>
      <x:c r="P872" s="20" t="str">
        <x:v>5000rpm!P126</x:v>
      </x:c>
      <x:c r="Q872" s="20" t="str">
        <x:v>5000rpm!O126</x:v>
      </x:c>
      <x:c r="R872" s="20" t="str">
        <x:v>5000rpm!O113</x:v>
      </x:c>
    </x:row>
    <x:row r="873">
      <x:c r="A873" s="21" t="n">
        <x:v>5000</x:v>
      </x:c>
      <x:c r="B873" s="21" t="n">
        <x:v>60</x:v>
      </x:c>
      <x:c r="C873" s="21" t="n">
        <x:v>15</x:v>
      </x:c>
      <x:c r="D873" s="21" t="n">
        <x:v>1</x:v>
      </x:c>
      <x:c r="E873" s="21" t="str">
        <x:v>5000rpm</x:v>
      </x:c>
      <x:c r="F873" s="21" t="n">
        <x:v>127</x:v>
      </x:c>
      <x:c r="G873" s="22" t="n">
        <x:f>IFERROR('5000rpm'!E127,"")</x:f>
        <x:v>7.2402091800392405</x:v>
      </x:c>
      <x:c r="H873" s="22" t="n">
        <x:f>IFERROR('5000rpm'!B127,"")</x:f>
        <x:v>4901.45673403532</x:v>
      </x:c>
      <x:c r="I873" s="22" t="n">
        <x:f>IFERROR('5000rpm'!D127,"")</x:f>
        <x:v>2217.1525175704937</x:v>
      </x:c>
      <x:c r="J873" s="22" t="n">
        <x:f>IFERROR('5000rpm'!D113,"")</x:f>
        <x:v>-66.332482825962</x:v>
      </x:c>
      <x:c r="K873" s="22" t="n">
        <x:f>IF(AND(ISNUMBER(I873),ISNUMBER(J873)),I873-J873,"")</x:f>
        <x:v>2283.4850003964557</x:v>
      </x:c>
      <x:c r="L873" s="22" t="n">
        <x:f>IF(ISNUMBER(K873),K873*$B$2+$B$3,"")</x:f>
        <x:v>2119.7741827430377</x:v>
      </x:c>
      <x:c r="M873" s="22" t="n">
        <x:f>IF(AND(ISNUMBER(G873),ISNUMBER(H873),H873&lt;&gt;0),G873/(H873/60)/$B$5,"")</x:f>
        <x:v>0.19385230485596142</x:v>
      </x:c>
      <x:c r="N873" s="22" t="n">
        <x:f>IF(AND(ISNUMBER(L873),ISNUMBER(H873),H873&lt;&gt;0),L873*$B$6/$B$4/(H873/60)^2/$B$5^4/$B$7,"")</x:f>
        <x:v>0.05912292261328237</x:v>
      </x:c>
      <x:c r="O873" s="22" t="n">
        <x:f>IF(ISNUMBER(N873),N873*$B$8,"")</x:f>
        <x:v>0.007638831695512301</x:v>
      </x:c>
      <x:c r="P873" s="20" t="str">
        <x:v>5000rpm!E127</x:v>
      </x:c>
      <x:c r="Q873" s="20" t="str">
        <x:v>5000rpm!D127</x:v>
      </x:c>
      <x:c r="R873" s="20" t="str">
        <x:v>5000rpm!D113</x:v>
      </x:c>
    </x:row>
    <x:row r="874">
      <x:c r="A874" s="21" t="n">
        <x:v>5000</x:v>
      </x:c>
      <x:c r="B874" s="21" t="n">
        <x:v>60</x:v>
      </x:c>
      <x:c r="C874" s="21" t="n">
        <x:v>15</x:v>
      </x:c>
      <x:c r="D874" s="21" t="n">
        <x:v>2</x:v>
      </x:c>
      <x:c r="E874" s="21" t="str">
        <x:v>5000rpm</x:v>
      </x:c>
      <x:c r="F874" s="21" t="n">
        <x:v>127</x:v>
      </x:c>
      <x:c r="G874" s="22" t="n">
        <x:f>IFERROR('5000rpm'!P127,"")</x:f>
        <x:v>7.257831410422829</x:v>
      </x:c>
      <x:c r="H874" s="22" t="n">
        <x:f>IFERROR('5000rpm'!M127,"")</x:f>
        <x:v>5034.20060649671</x:v>
      </x:c>
      <x:c r="I874" s="22" t="n">
        <x:f>IFERROR('5000rpm'!O127,"")</x:f>
        <x:v>2333.2865813953467</x:v>
      </x:c>
      <x:c r="J874" s="22" t="n">
        <x:f>IFERROR('5000rpm'!O113,"")</x:f>
        <x:v>-58.27124</x:v>
      </x:c>
      <x:c r="K874" s="22" t="n">
        <x:f>IF(AND(ISNUMBER(I874),ISNUMBER(J874)),I874-J874,"")</x:f>
        <x:v>2391.5578213953468</x:v>
      </x:c>
      <x:c r="L874" s="22" t="n">
        <x:f>IF(ISNUMBER(K874),K874*$B$2+$B$3,"")</x:f>
        <x:v>2218.73732951429</x:v>
      </x:c>
      <x:c r="M874" s="22" t="n">
        <x:f>IF(AND(ISNUMBER(G874),ISNUMBER(H874),H874&lt;&gt;0),G874/(H874/60)/$B$5,"")</x:f>
        <x:v>0.18920011103145257</x:v>
      </x:c>
      <x:c r="N874" s="22" t="n">
        <x:f>IF(AND(ISNUMBER(L874),ISNUMBER(H874),H874&lt;&gt;0),L874*$B$6/$B$4/(H874/60)^2/$B$5^4/$B$7,"")</x:f>
        <x:v>0.058662625680586174</x:v>
      </x:c>
      <x:c r="O874" s="22" t="n">
        <x:f>IF(ISNUMBER(N874),N874*$B$8,"")</x:f>
        <x:v>0.007579360163263709</x:v>
      </x:c>
      <x:c r="P874" s="20" t="str">
        <x:v>5000rpm!P127</x:v>
      </x:c>
      <x:c r="Q874" s="20" t="str">
        <x:v>5000rpm!O127</x:v>
      </x:c>
      <x:c r="R874" s="20" t="str">
        <x:v>5000rpm!O113</x:v>
      </x:c>
    </x:row>
    <x:row r="875">
      <x:c r="A875" s="21" t="n">
        <x:v>5000</x:v>
      </x:c>
      <x:c r="B875" s="21" t="n">
        <x:v>60</x:v>
      </x:c>
      <x:c r="C875" s="21" t="n">
        <x:v>16</x:v>
      </x:c>
      <x:c r="D875" s="21" t="n">
        <x:v>1</x:v>
      </x:c>
      <x:c r="E875" s="21" t="str">
        <x:v>5000rpm</x:v>
      </x:c>
      <x:c r="F875" s="21" t="n">
        <x:v>128</x:v>
      </x:c>
      <x:c r="G875" s="22" t="n">
        <x:f>IFERROR('5000rpm'!E128,"")</x:f>
        <x:v>6.22516111646379</x:v>
      </x:c>
      <x:c r="H875" s="22" t="n">
        <x:f>IFERROR('5000rpm'!B128,"")</x:f>
        <x:v>4895.54652622767</x:v>
      </x:c>
      <x:c r="I875" s="22" t="n">
        <x:f>IFERROR('5000rpm'!D128,"")</x:f>
        <x:v>2330.7042323040337</x:v>
      </x:c>
      <x:c r="J875" s="22" t="n">
        <x:f>IFERROR('5000rpm'!D113,"")</x:f>
        <x:v>-66.332482825962</x:v>
      </x:c>
      <x:c r="K875" s="22" t="n">
        <x:f>IF(AND(ISNUMBER(I875),ISNUMBER(J875)),I875-J875,"")</x:f>
        <x:v>2397.0367151299956</x:v>
      </x:c>
      <x:c r="L875" s="22" t="n">
        <x:f>IF(ISNUMBER(K875),K875*$B$2+$B$3,"")</x:f>
        <x:v>2223.754396338258</x:v>
      </x:c>
      <x:c r="M875" s="22" t="n">
        <x:f>IF(AND(ISNUMBER(G875),ISNUMBER(H875),H875&lt;&gt;0),G875/(H875/60)/$B$5,"")</x:f>
        <x:v>0.16687621563279587</x:v>
      </x:c>
      <x:c r="N875" s="22" t="n">
        <x:f>IF(AND(ISNUMBER(L875),ISNUMBER(H875),H875&lt;&gt;0),L875*$B$6/$B$4/(H875/60)^2/$B$5^4/$B$7,"")</x:f>
        <x:v>0.06217289606186645</x:v>
      </x:c>
      <x:c r="O875" s="22" t="n">
        <x:f>IF(ISNUMBER(N875),N875*$B$8,"")</x:f>
        <x:v>0.008032896007960226</x:v>
      </x:c>
      <x:c r="P875" s="20" t="str">
        <x:v>5000rpm!E128</x:v>
      </x:c>
      <x:c r="Q875" s="20" t="str">
        <x:v>5000rpm!D128</x:v>
      </x:c>
      <x:c r="R875" s="20" t="str">
        <x:v>5000rpm!D113</x:v>
      </x:c>
    </x:row>
    <x:row r="876">
      <x:c r="A876" s="21" t="n">
        <x:v>5000</x:v>
      </x:c>
      <x:c r="B876" s="21" t="n">
        <x:v>60</x:v>
      </x:c>
      <x:c r="C876" s="21" t="n">
        <x:v>16</x:v>
      </x:c>
      <x:c r="D876" s="21" t="n">
        <x:v>2</x:v>
      </x:c>
      <x:c r="E876" s="21" t="str">
        <x:v>5000rpm</x:v>
      </x:c>
      <x:c r="F876" s="21" t="n">
        <x:v>128</x:v>
      </x:c>
      <x:c r="G876" s="22" t="n">
        <x:f>IFERROR('5000rpm'!P128,"")</x:f>
        <x:v>6.142697465621806</x:v>
      </x:c>
      <x:c r="H876" s="22" t="n">
        <x:f>IFERROR('5000rpm'!M128,"")</x:f>
        <x:v>4970.59837805706</x:v>
      </x:c>
      <x:c r="I876" s="22" t="n">
        <x:f>IFERROR('5000rpm'!O128,"")</x:f>
        <x:v>2462.2021355932106</x:v>
      </x:c>
      <x:c r="J876" s="22" t="n">
        <x:f>IFERROR('5000rpm'!O113,"")</x:f>
        <x:v>-58.27124</x:v>
      </x:c>
      <x:c r="K876" s="22" t="n">
        <x:f>IF(AND(ISNUMBER(I876),ISNUMBER(J876)),I876-J876,"")</x:f>
        <x:v>2520.4733755932107</x:v>
      </x:c>
      <x:c r="L876" s="22" t="n">
        <x:f>IF(ISNUMBER(K876),K876*$B$2+$B$3,"")</x:f>
        <x:v>2336.7863338177076</x:v>
      </x:c>
      <x:c r="M876" s="22" t="n">
        <x:f>IF(AND(ISNUMBER(G876),ISNUMBER(H876),H876&lt;&gt;0),G876/(H876/60)/$B$5,"")</x:f>
        <x:v>0.16217932228984988</x:v>
      </x:c>
      <x:c r="N876" s="22" t="n">
        <x:f>IF(AND(ISNUMBER(L876),ISNUMBER(H876),H876&lt;&gt;0),L876*$B$6/$B$4/(H876/60)^2/$B$5^4/$B$7,"")</x:f>
        <x:v>0.06337504769838923</x:v>
      </x:c>
      <x:c r="O876" s="22" t="n">
        <x:f>IF(ISNUMBER(N876),N876*$B$8,"")</x:f>
        <x:v>0.008188217051271084</x:v>
      </x:c>
      <x:c r="P876" s="20" t="str">
        <x:v>5000rpm!P128</x:v>
      </x:c>
      <x:c r="Q876" s="20" t="str">
        <x:v>5000rpm!O128</x:v>
      </x:c>
      <x:c r="R876" s="20" t="str">
        <x:v>5000rpm!O113</x:v>
      </x:c>
    </x:row>
    <x:row r="877">
      <x:c r="A877" s="21" t="n">
        <x:v>5000</x:v>
      </x:c>
      <x:c r="B877" s="21" t="n">
        <x:v>60</x:v>
      </x:c>
      <x:c r="C877" s="21" t="n">
        <x:v>17</x:v>
      </x:c>
      <x:c r="D877" s="21" t="n">
        <x:v>1</x:v>
      </x:c>
      <x:c r="E877" s="21" t="str">
        <x:v>5000rpm</x:v>
      </x:c>
      <x:c r="F877" s="21" t="n">
        <x:v>129</x:v>
      </x:c>
      <x:c r="G877" s="22" t="n">
        <x:f>IFERROR('5000rpm'!E129,"")</x:f>
        <x:v>5.20345877364462</x:v>
      </x:c>
      <x:c r="H877" s="22" t="n">
        <x:f>IFERROR('5000rpm'!B129,"")</x:f>
        <x:v>4862.07236735026</x:v>
      </x:c>
      <x:c r="I877" s="22" t="n">
        <x:f>IFERROR('5000rpm'!D129,"")</x:f>
        <x:v>2444.2431775933524</x:v>
      </x:c>
      <x:c r="J877" s="22" t="n">
        <x:f>IFERROR('5000rpm'!D113,"")</x:f>
        <x:v>-66.332482825962</x:v>
      </x:c>
      <x:c r="K877" s="22" t="n">
        <x:f>IF(AND(ISNUMBER(I877),ISNUMBER(J877)),I877-J877,"")</x:f>
        <x:v>2510.5756604193143</x:v>
      </x:c>
      <x:c r="L877" s="22" t="n">
        <x:f>IF(ISNUMBER(K877),K877*$B$2+$B$3,"")</x:f>
        <x:v>2327.7229168512495</x:v>
      </x:c>
      <x:c r="M877" s="22" t="n">
        <x:f>IF(AND(ISNUMBER(G877),ISNUMBER(H877),H877&lt;&gt;0),G877/(H877/60)/$B$5,"")</x:f>
        <x:v>0.14044805463011323</x:v>
      </x:c>
      <x:c r="N877" s="22" t="n">
        <x:f>IF(AND(ISNUMBER(L877),ISNUMBER(H877),H877&lt;&gt;0),L877*$B$6/$B$4/(H877/60)^2/$B$5^4/$B$7,"")</x:f>
        <x:v>0.065978902586048</x:v>
      </x:c>
      <x:c r="O877" s="22" t="n">
        <x:f>IF(ISNUMBER(N877),N877*$B$8,"")</x:f>
        <x:v>0.008524641713097494</x:v>
      </x:c>
      <x:c r="P877" s="20" t="str">
        <x:v>5000rpm!E129</x:v>
      </x:c>
      <x:c r="Q877" s="20" t="str">
        <x:v>5000rpm!D129</x:v>
      </x:c>
      <x:c r="R877" s="20" t="str">
        <x:v>5000rpm!D113</x:v>
      </x:c>
    </x:row>
    <x:row r="878">
      <x:c r="A878" s="21" t="n">
        <x:v>5000</x:v>
      </x:c>
      <x:c r="B878" s="21" t="n">
        <x:v>60</x:v>
      </x:c>
      <x:c r="C878" s="21" t="n">
        <x:v>17</x:v>
      </x:c>
      <x:c r="D878" s="21" t="n">
        <x:v>2</x:v>
      </x:c>
      <x:c r="E878" s="21" t="str">
        <x:v>5000rpm</x:v>
      </x:c>
      <x:c r="F878" s="21" t="n">
        <x:v>129</x:v>
      </x:c>
      <x:c r="G878" s="22" t="n">
        <x:f>IFERROR('5000rpm'!P129,"")</x:f>
        <x:v>5.21953874205549</x:v>
      </x:c>
      <x:c r="H878" s="22" t="n">
        <x:f>IFERROR('5000rpm'!M129,"")</x:f>
        <x:v>4979.77443089978</x:v>
      </x:c>
      <x:c r="I878" s="22" t="n">
        <x:f>IFERROR('5000rpm'!O129,"")</x:f>
        <x:v>2564.2995405217343</x:v>
      </x:c>
      <x:c r="J878" s="22" t="n">
        <x:f>IFERROR('5000rpm'!O113,"")</x:f>
        <x:v>-58.27124</x:v>
      </x:c>
      <x:c r="K878" s="22" t="n">
        <x:f>IF(AND(ISNUMBER(I878),ISNUMBER(J878)),I878-J878,"")</x:f>
        <x:v>2622.5707805217344</x:v>
      </x:c>
      <x:c r="L878" s="22" t="n">
        <x:f>IF(ISNUMBER(K878),K878*$B$2+$B$3,"")</x:f>
        <x:v>2430.2777442899965</x:v>
      </x:c>
      <x:c r="M878" s="22" t="n">
        <x:f>IF(AND(ISNUMBER(G878),ISNUMBER(H878),H878&lt;&gt;0),G878/(H878/60)/$B$5,"")</x:f>
        <x:v>0.13755218173934916</x:v>
      </x:c>
      <x:c r="N878" s="22" t="n">
        <x:f>IF(AND(ISNUMBER(L878),ISNUMBER(H878),H878&lt;&gt;0),L878*$B$6/$B$4/(H878/60)^2/$B$5^4/$B$7,"")</x:f>
        <x:v>0.06566791245613982</x:v>
      </x:c>
      <x:c r="O878" s="22" t="n">
        <x:f>IF(ISNUMBER(N878),N878*$B$8,"")</x:f>
        <x:v>0.008484460998810537</x:v>
      </x:c>
      <x:c r="P878" s="20" t="str">
        <x:v>5000rpm!P129</x:v>
      </x:c>
      <x:c r="Q878" s="20" t="str">
        <x:v>5000rpm!O129</x:v>
      </x:c>
      <x:c r="R878" s="20" t="str">
        <x:v>5000rpm!O113</x:v>
      </x:c>
    </x:row>
    <x:row r="879">
      <x:c r="A879" s="21" t="n">
        <x:v>5000</x:v>
      </x:c>
      <x:c r="B879" s="21" t="n">
        <x:v>60</x:v>
      </x:c>
      <x:c r="C879" s="21" t="n">
        <x:v>18</x:v>
      </x:c>
      <x:c r="D879" s="21" t="n">
        <x:v>1</x:v>
      </x:c>
      <x:c r="E879" s="21" t="str">
        <x:v>5000rpm</x:v>
      </x:c>
      <x:c r="F879" s="21" t="n">
        <x:v>130</x:v>
      </x:c>
      <x:c r="G879" s="22" t="n">
        <x:f>IFERROR('5000rpm'!E130,"")</x:f>
        <x:v>4.180558139031075</x:v>
      </x:c>
      <x:c r="H879" s="22" t="n">
        <x:f>IFERROR('5000rpm'!B130,"")</x:f>
        <x:v>4848.24538352272</x:v>
      </x:c>
      <x:c r="I879" s="22" t="n">
        <x:f>IFERROR('5000rpm'!D130,"")</x:f>
        <x:v>2556.235339310336</x:v>
      </x:c>
      <x:c r="J879" s="22" t="n">
        <x:f>IFERROR('5000rpm'!D113,"")</x:f>
        <x:v>-66.332482825962</x:v>
      </x:c>
      <x:c r="K879" s="22" t="n">
        <x:f>IF(AND(ISNUMBER(I879),ISNUMBER(J879)),I879-J879,"")</x:f>
        <x:v>2622.5678221362978</x:v>
      </x:c>
      <x:c r="L879" s="22" t="n">
        <x:f>IF(ISNUMBER(K879),K879*$B$2+$B$3,"")</x:f>
        <x:v>2430.275035272785</x:v>
      </x:c>
      <x:c r="M879" s="22" t="n">
        <x:f>IF(AND(ISNUMBER(G879),ISNUMBER(H879),H879&lt;&gt;0),G879/(H879/60)/$B$5,"")</x:f>
        <x:v>0.11316045984445744</x:v>
      </x:c>
      <x:c r="N879" s="22" t="n">
        <x:f>IF(AND(ISNUMBER(L879),ISNUMBER(H879),H879&lt;&gt;0),L879*$B$6/$B$4/(H879/60)^2/$B$5^4/$B$7,"")</x:f>
        <x:v>0.06927920304742922</x:v>
      </x:c>
      <x:c r="O879" s="22" t="n">
        <x:f>IF(ISNUMBER(N879),N879*$B$8,"")</x:f>
        <x:v>0.0089510489110977</x:v>
      </x:c>
      <x:c r="P879" s="20" t="str">
        <x:v>5000rpm!E130</x:v>
      </x:c>
      <x:c r="Q879" s="20" t="str">
        <x:v>5000rpm!D130</x:v>
      </x:c>
      <x:c r="R879" s="20" t="str">
        <x:v>5000rpm!D113</x:v>
      </x:c>
    </x:row>
    <x:row r="880">
      <x:c r="A880" s="21" t="n">
        <x:v>5000</x:v>
      </x:c>
      <x:c r="B880" s="21" t="n">
        <x:v>60</x:v>
      </x:c>
      <x:c r="C880" s="21" t="n">
        <x:v>18</x:v>
      </x:c>
      <x:c r="D880" s="21" t="n">
        <x:v>2</x:v>
      </x:c>
      <x:c r="E880" s="21" t="str">
        <x:v>5000rpm</x:v>
      </x:c>
      <x:c r="F880" s="21" t="n">
        <x:v>130</x:v>
      </x:c>
      <x:c r="G880" s="22" t="n">
        <x:f>IFERROR('5000rpm'!P130,"")</x:f>
        <x:v>4.197038264043854</x:v>
      </x:c>
      <x:c r="H880" s="22" t="n">
        <x:f>IFERROR('5000rpm'!M130,"")</x:f>
        <x:v>4993.29093424479</x:v>
      </x:c>
      <x:c r="I880" s="22" t="n">
        <x:f>IFERROR('5000rpm'!O130,"")</x:f>
        <x:v>2685.529207008085</x:v>
      </x:c>
      <x:c r="J880" s="22" t="n">
        <x:f>IFERROR('5000rpm'!O113,"")</x:f>
        <x:v>-58.27124</x:v>
      </x:c>
      <x:c r="K880" s="22" t="n">
        <x:f>IF(AND(ISNUMBER(I880),ISNUMBER(J880)),I880-J880,"")</x:f>
        <x:v>2743.800447008085</x:v>
      </x:c>
      <x:c r="L880" s="22" t="n">
        <x:f>IF(ISNUMBER(K880),K880*$B$2+$B$3,"")</x:f>
        <x:v>2541.2887197288796</x:v>
      </x:c>
      <x:c r="M880" s="22" t="n">
        <x:f>IF(AND(ISNUMBER(G880),ISNUMBER(H880),H880&lt;&gt;0),G880/(H880/60)/$B$5,"")</x:f>
        <x:v>0.11030649532664825</x:v>
      </x:c>
      <x:c r="N880" s="22" t="n">
        <x:f>IF(AND(ISNUMBER(L880),ISNUMBER(H880),H880&lt;&gt;0),L880*$B$6/$B$4/(H880/60)^2/$B$5^4/$B$7,"")</x:f>
        <x:v>0.06829625806213734</x:v>
      </x:c>
      <x:c r="O880" s="22" t="n">
        <x:f>IF(ISNUMBER(N880),N880*$B$8,"")</x:f>
        <x:v>0.008824049923620283</x:v>
      </x:c>
      <x:c r="P880" s="20" t="str">
        <x:v>5000rpm!P130</x:v>
      </x:c>
      <x:c r="Q880" s="20" t="str">
        <x:v>5000rpm!O130</x:v>
      </x:c>
      <x:c r="R880" s="20" t="str">
        <x:v>5000rpm!O113</x:v>
      </x:c>
    </x:row>
    <x:row r="881">
      <x:c r="A881" s="21" t="n">
        <x:v>5000</x:v>
      </x:c>
      <x:c r="B881" s="21" t="n">
        <x:v>60</x:v>
      </x:c>
      <x:c r="C881" s="21" t="n">
        <x:v>19</x:v>
      </x:c>
      <x:c r="D881" s="21" t="n">
        <x:v>1</x:v>
      </x:c>
      <x:c r="E881" s="21" t="str">
        <x:v>5000rpm</x:v>
      </x:c>
      <x:c r="F881" s="21" t="n">
        <x:v>131</x:v>
      </x:c>
      <x:c r="G881" s="22" t="n">
        <x:f>IFERROR('5000rpm'!E131,"")</x:f>
        <x:v>3.1528827609687</x:v>
      </x:c>
      <x:c r="H881" s="22" t="n">
        <x:f>IFERROR('5000rpm'!B131,"")</x:f>
        <x:v>4847.90712890625</x:v>
      </x:c>
      <x:c r="I881" s="22" t="n">
        <x:f>IFERROR('5000rpm'!D131,"")</x:f>
        <x:v>2668.286322589923</x:v>
      </x:c>
      <x:c r="J881" s="22" t="n">
        <x:f>IFERROR('5000rpm'!D113,"")</x:f>
        <x:v>-66.332482825962</x:v>
      </x:c>
      <x:c r="K881" s="22" t="n">
        <x:f>IF(AND(ISNUMBER(I881),ISNUMBER(J881)),I881-J881,"")</x:f>
        <x:v>2734.618805415885</x:v>
      </x:c>
      <x:c r="L881" s="22" t="n">
        <x:f>IF(ISNUMBER(K881),K881*$B$2+$B$3,"")</x:f>
        <x:v>2532.8810170697693</x:v>
      </x:c>
      <x:c r="M881" s="22" t="n">
        <x:f>IF(AND(ISNUMBER(G881),ISNUMBER(H881),H881&lt;&gt;0),G881/(H881/60)/$B$5,"")</x:f>
        <x:v>0.08534902399270176</x:v>
      </x:c>
      <x:c r="N881" s="22" t="n">
        <x:f>IF(AND(ISNUMBER(L881),ISNUMBER(H881),H881&lt;&gt;0),L881*$B$6/$B$4/(H881/60)^2/$B$5^4/$B$7,"")</x:f>
        <x:v>0.07221424063933947</x:v>
      </x:c>
      <x:c r="O881" s="22" t="n">
        <x:f>IF(ISNUMBER(N881),N881*$B$8,"")</x:f>
        <x:v>0.009330263219078597</x:v>
      </x:c>
      <x:c r="P881" s="20" t="str">
        <x:v>5000rpm!E131</x:v>
      </x:c>
      <x:c r="Q881" s="20" t="str">
        <x:v>5000rpm!D131</x:v>
      </x:c>
      <x:c r="R881" s="20" t="str">
        <x:v>5000rpm!D113</x:v>
      </x:c>
    </x:row>
    <x:row r="882">
      <x:c r="A882" s="21" t="n">
        <x:v>5000</x:v>
      </x:c>
      <x:c r="B882" s="21" t="n">
        <x:v>60</x:v>
      </x:c>
      <x:c r="C882" s="21" t="n">
        <x:v>19</x:v>
      </x:c>
      <x:c r="D882" s="21" t="n">
        <x:v>2</x:v>
      </x:c>
      <x:c r="E882" s="21" t="str">
        <x:v>5000rpm</x:v>
      </x:c>
      <x:c r="F882" s="21" t="n">
        <x:v>131</x:v>
      </x:c>
      <x:c r="G882" s="22" t="n">
        <x:f>IFERROR('5000rpm'!P131,"")</x:f>
        <x:v>2.95323838585212</x:v>
      </x:c>
      <x:c r="H882" s="22" t="n">
        <x:f>IFERROR('5000rpm'!M131,"")</x:f>
        <x:v>4955.84519740513</x:v>
      </x:c>
      <x:c r="I882" s="22" t="n">
        <x:f>IFERROR('5000rpm'!O131,"")</x:f>
        <x:v>2811.008608510631</x:v>
      </x:c>
      <x:c r="J882" s="22" t="n">
        <x:f>IFERROR('5000rpm'!O113,"")</x:f>
        <x:v>-58.27124</x:v>
      </x:c>
      <x:c r="K882" s="22" t="n">
        <x:f>IF(AND(ISNUMBER(I882),ISNUMBER(J882)),I882-J882,"")</x:f>
        <x:v>2869.279848510631</x:v>
      </x:c>
      <x:c r="L882" s="22" t="n">
        <x:f>IF(ISNUMBER(K882),K882*$B$2+$B$3,"")</x:f>
        <x:v>2656.191211519973</x:v>
      </x:c>
      <x:c r="M882" s="22" t="n">
        <x:f>IF(AND(ISNUMBER(G882),ISNUMBER(H882),H882&lt;&gt;0),G882/(H882/60)/$B$5,"")</x:f>
        <x:v>0.07820342992844884</x:v>
      </x:c>
      <x:c r="N882" s="22" t="n">
        <x:f>IF(AND(ISNUMBER(L882),ISNUMBER(H882),H882&lt;&gt;0),L882*$B$6/$B$4/(H882/60)^2/$B$5^4/$B$7,"")</x:f>
        <x:v>0.07246703856348233</x:v>
      </x:c>
      <x:c r="O882" s="22" t="n">
        <x:f>IF(ISNUMBER(N882),N882*$B$8,"")</x:f>
        <x:v>0.009362925352649586</x:v>
      </x:c>
      <x:c r="P882" s="20" t="str">
        <x:v>5000rpm!P131</x:v>
      </x:c>
      <x:c r="Q882" s="20" t="str">
        <x:v>5000rpm!O131</x:v>
      </x:c>
      <x:c r="R882" s="20" t="str">
        <x:v>5000rpm!O113</x:v>
      </x:c>
    </x:row>
    <x:row r="883">
      <x:c r="A883" s="21" t="n">
        <x:v>5000</x:v>
      </x:c>
      <x:c r="B883" s="21" t="n">
        <x:v>60</x:v>
      </x:c>
      <x:c r="C883" s="21" t="n">
        <x:v>20</x:v>
      </x:c>
      <x:c r="D883" s="21" t="n">
        <x:v>1</x:v>
      </x:c>
      <x:c r="E883" s="21" t="str">
        <x:v>5000rpm</x:v>
      </x:c>
      <x:c r="F883" s="21" t="n">
        <x:v>132</x:v>
      </x:c>
      <x:c r="G883" s="22" t="n">
        <x:f>IFERROR('5000rpm'!E132,"")</x:f>
        <x:v>2.1279758427986097</x:v>
      </x:c>
      <x:c r="H883" s="22" t="n">
        <x:f>IFERROR('5000rpm'!B132,"")</x:f>
        <x:v>4844.50711763822</x:v>
      </x:c>
      <x:c r="I883" s="22" t="n">
        <x:f>IFERROR('5000rpm'!D132,"")</x:f>
        <x:v>2759.5189154285704</x:v>
      </x:c>
      <x:c r="J883" s="22" t="n">
        <x:f>IFERROR('5000rpm'!D113,"")</x:f>
        <x:v>-66.332482825962</x:v>
      </x:c>
      <x:c r="K883" s="22" t="n">
        <x:f>IF(AND(ISNUMBER(I883),ISNUMBER(J883)),I883-J883,"")</x:f>
        <x:v>2825.8513982545323</x:v>
      </x:c>
      <x:c r="L883" s="22" t="n">
        <x:f>IF(ISNUMBER(K883),K883*$B$2+$B$3,"")</x:f>
        <x:v>2616.423432192861</x:v>
      </x:c>
      <x:c r="M883" s="22" t="n">
        <x:f>IF(AND(ISNUMBER(G883),ISNUMBER(H883),H883&lt;&gt;0),G883/(H883/60)/$B$5,"")</x:f>
        <x:v>0.057645063748664516</x:v>
      </x:c>
      <x:c r="N883" s="22" t="n">
        <x:f>IF(AND(ISNUMBER(L883),ISNUMBER(H883),H883&lt;&gt;0),L883*$B$6/$B$4/(H883/60)^2/$B$5^4/$B$7,"")</x:f>
        <x:v>0.07470083837283883</x:v>
      </x:c>
      <x:c r="O883" s="22" t="n">
        <x:f>IF(ISNUMBER(N883),N883*$B$8,"")</x:f>
        <x:v>0.009651537958909825</x:v>
      </x:c>
      <x:c r="P883" s="20" t="str">
        <x:v>5000rpm!E132</x:v>
      </x:c>
      <x:c r="Q883" s="20" t="str">
        <x:v>5000rpm!D132</x:v>
      </x:c>
      <x:c r="R883" s="20" t="str">
        <x:v>5000rpm!D113</x:v>
      </x:c>
    </x:row>
    <x:row r="884">
      <x:c r="A884" s="21" t="n">
        <x:v>5000</x:v>
      </x:c>
      <x:c r="B884" s="21" t="n">
        <x:v>60</x:v>
      </x:c>
      <x:c r="C884" s="21" t="n">
        <x:v>20</x:v>
      </x:c>
      <x:c r="D884" s="21" t="n">
        <x:v>2</x:v>
      </x:c>
      <x:c r="E884" s="21" t="str">
        <x:v>5000rpm</x:v>
      </x:c>
      <x:c r="F884" s="21" t="n">
        <x:v>132</x:v>
      </x:c>
      <x:c r="G884" s="22" t="n">
        <x:f>IFERROR('5000rpm'!P132,"")</x:f>
        <x:v>2.1399706438183648</x:v>
      </x:c>
      <x:c r="H884" s="22" t="n">
        <x:f>IFERROR('5000rpm'!M132,"")</x:f>
        <x:v>4943.73797607421</x:v>
      </x:c>
      <x:c r="I884" s="22" t="n">
        <x:f>IFERROR('5000rpm'!O132,"")</x:f>
        <x:v>2872.4349674321465</x:v>
      </x:c>
      <x:c r="J884" s="22" t="n">
        <x:f>IFERROR('5000rpm'!O113,"")</x:f>
        <x:v>-58.27124</x:v>
      </x:c>
      <x:c r="K884" s="22" t="n">
        <x:f>IF(AND(ISNUMBER(I884),ISNUMBER(J884)),I884-J884,"")</x:f>
        <x:v>2930.7062074321466</x:v>
      </x:c>
      <x:c r="L884" s="22" t="n">
        <x:f>IF(ISNUMBER(K884),K884*$B$2+$B$3,"")</x:f>
        <x:v>2712.439819795276</x:v>
      </x:c>
      <x:c r="M884" s="22" t="n">
        <x:f>IF(AND(ISNUMBER(G884),ISNUMBER(H884),H884&lt;&gt;0),G884/(H884/60)/$B$5,"")</x:f>
        <x:v>0.056806417301035535</x:v>
      </x:c>
      <x:c r="N884" s="22" t="n">
        <x:f>IF(AND(ISNUMBER(L884),ISNUMBER(H884),H884&lt;&gt;0),L884*$B$6/$B$4/(H884/60)^2/$B$5^4/$B$7,"")</x:f>
        <x:v>0.07436453469958283</x:v>
      </x:c>
      <x:c r="O884" s="22" t="n">
        <x:f>IF(ISNUMBER(N884),N884*$B$8,"")</x:f>
        <x:v>0.009608086670559474</x:v>
      </x:c>
      <x:c r="P884" s="20" t="str">
        <x:v>5000rpm!P132</x:v>
      </x:c>
      <x:c r="Q884" s="20" t="str">
        <x:v>5000rpm!O132</x:v>
      </x:c>
      <x:c r="R884" s="20" t="str">
        <x:v>5000rpm!O113</x:v>
      </x:c>
    </x:row>
    <x:row r="885">
      <x:c r="A885" s="21" t="n">
        <x:v>5000</x:v>
      </x:c>
      <x:c r="B885" s="21" t="n">
        <x:v>60</x:v>
      </x:c>
      <x:c r="C885" s="21" t="n">
        <x:v>21</x:v>
      </x:c>
      <x:c r="D885" s="21" t="n">
        <x:v>1</x:v>
      </x:c>
      <x:c r="E885" s="21" t="str">
        <x:v>5000rpm</x:v>
      </x:c>
      <x:c r="F885" s="21" t="n">
        <x:v>133</x:v>
      </x:c>
      <x:c r="G885" s="22" t="n">
        <x:f>IFERROR('5000rpm'!E133,"")</x:f>
        <x:v>1.0968651563713425</x:v>
      </x:c>
      <x:c r="H885" s="22" t="n">
        <x:f>IFERROR('5000rpm'!B133,"")</x:f>
        <x:v>4849.20862347146</x:v>
      </x:c>
      <x:c r="I885" s="22" t="n">
        <x:f>IFERROR('5000rpm'!D133,"")</x:f>
        <x:v>2838.3328857142765</x:v>
      </x:c>
      <x:c r="J885" s="22" t="n">
        <x:f>IFERROR('5000rpm'!D113,"")</x:f>
        <x:v>-66.332482825962</x:v>
      </x:c>
      <x:c r="K885" s="22" t="n">
        <x:f>IF(AND(ISNUMBER(I885),ISNUMBER(J885)),I885-J885,"")</x:f>
        <x:v>2904.6653685402384</x:v>
      </x:c>
      <x:c r="L885" s="22" t="n">
        <x:f>IF(ISNUMBER(K885),K885*$B$2+$B$3,"")</x:f>
        <x:v>2688.594015295245</x:v>
      </x:c>
      <x:c r="M885" s="22" t="n">
        <x:f>IF(AND(ISNUMBER(G885),ISNUMBER(H885),H885&lt;&gt;0),G885/(H885/60)/$B$5,"")</x:f>
        <x:v>0.029684340220418964</x:v>
      </x:c>
      <x:c r="N885" s="22" t="n">
        <x:f>IF(AND(ISNUMBER(L885),ISNUMBER(H885),H885&lt;&gt;0),L885*$B$6/$B$4/(H885/60)^2/$B$5^4/$B$7,"")</x:f>
        <x:v>0.07661258789565627</x:v>
      </x:c>
      <x:c r="O885" s="22" t="n">
        <x:f>IF(ISNUMBER(N885),N885*$B$8,"")</x:f>
        <x:v>0.009898540850568254</x:v>
      </x:c>
      <x:c r="P885" s="20" t="str">
        <x:v>5000rpm!E133</x:v>
      </x:c>
      <x:c r="Q885" s="20" t="str">
        <x:v>5000rpm!D133</x:v>
      </x:c>
      <x:c r="R885" s="20" t="str">
        <x:v>5000rpm!D113</x:v>
      </x:c>
    </x:row>
    <x:row r="886">
      <x:c r="A886" s="21" t="n">
        <x:v>5000</x:v>
      </x:c>
      <x:c r="B886" s="21" t="n">
        <x:v>60</x:v>
      </x:c>
      <x:c r="C886" s="21" t="n">
        <x:v>21</x:v>
      </x:c>
      <x:c r="D886" s="21" t="n">
        <x:v>2</x:v>
      </x:c>
      <x:c r="E886" s="21" t="str">
        <x:v>5000rpm</x:v>
      </x:c>
      <x:c r="F886" s="21" t="n">
        <x:v>133</x:v>
      </x:c>
      <x:c r="G886" s="22" t="n">
        <x:f>IFERROR('5000rpm'!P133,"")</x:f>
        <x:v>1.1078914740750945</x:v>
      </x:c>
      <x:c r="H886" s="22" t="n">
        <x:f>IFERROR('5000rpm'!M133,"")</x:f>
        <x:v>4972.02891956676</x:v>
      </x:c>
      <x:c r="I886" s="22" t="n">
        <x:f>IFERROR('5000rpm'!O133,"")</x:f>
        <x:v>2917.5155846153784</x:v>
      </x:c>
      <x:c r="J886" s="22" t="n">
        <x:f>IFERROR('5000rpm'!O113,"")</x:f>
        <x:v>-58.27124</x:v>
      </x:c>
      <x:c r="K886" s="22" t="n">
        <x:f>IF(AND(ISNUMBER(I886),ISNUMBER(J886)),I886-J886,"")</x:f>
        <x:v>2975.7868246153785</x:v>
      </x:c>
      <x:c r="L886" s="22" t="n">
        <x:f>IF(ISNUMBER(K886),K886*$B$2+$B$3,"")</x:f>
        <x:v>2753.720501594899</x:v>
      </x:c>
      <x:c r="M886" s="22" t="n">
        <x:f>IF(AND(ISNUMBER(G886),ISNUMBER(H886),H886&lt;&gt;0),G886/(H886/60)/$B$5,"")</x:f>
        <x:v>0.029242103023062772</x:v>
      </x:c>
      <x:c r="N886" s="22" t="n">
        <x:f>IF(AND(ISNUMBER(L886),ISNUMBER(H886),H886&lt;&gt;0),L886*$B$6/$B$4/(H886/60)^2/$B$5^4/$B$7,"")</x:f>
        <x:v>0.07463958370850585</x:v>
      </x:c>
      <x:c r="O886" s="22" t="n">
        <x:f>IF(ISNUMBER(N886),N886*$B$8,"")</x:f>
        <x:v>0.009643623700772326</x:v>
      </x:c>
      <x:c r="P886" s="20" t="str">
        <x:v>5000rpm!P133</x:v>
      </x:c>
      <x:c r="Q886" s="20" t="str">
        <x:v>5000rpm!O133</x:v>
      </x:c>
      <x:c r="R886" s="20" t="str">
        <x:v>5000rpm!O113</x:v>
      </x:c>
    </x:row>
    <x:row r="887">
      <x:c r="A887" s="21" t="n">
        <x:v>5000</x:v>
      </x:c>
      <x:c r="B887" s="21" t="n">
        <x:v>60</x:v>
      </x:c>
      <x:c r="C887" s="21" t="n">
        <x:v>22</x:v>
      </x:c>
      <x:c r="D887" s="21" t="n">
        <x:v>1</x:v>
      </x:c>
      <x:c r="E887" s="21" t="str">
        <x:v>5000rpm</x:v>
      </x:c>
      <x:c r="F887" s="21" t="n">
        <x:v>134</x:v>
      </x:c>
      <x:c r="G887" s="22" t="n">
        <x:f>IFERROR('5000rpm'!E134,"")</x:f>
        <x:v>0.303795</x:v>
      </x:c>
      <x:c r="H887" s="22" t="n">
        <x:f>IFERROR('5000rpm'!B134,"")</x:f>
        <x:v>4849.756</x:v>
      </x:c>
      <x:c r="I887" s="22" t="n">
        <x:f>IFERROR('5000rpm'!D134,"")</x:f>
        <x:v>2883.9219279999998</x:v>
      </x:c>
      <x:c r="J887" s="22" t="n">
        <x:f>IFERROR('5000rpm'!D113,"")</x:f>
        <x:v>-66.332482825962</x:v>
      </x:c>
      <x:c r="K887" s="22" t="n">
        <x:f>IF(AND(ISNUMBER(I887),ISNUMBER(J887)),I887-J887,"")</x:f>
        <x:v>2950.2544108259617</x:v>
      </x:c>
      <x:c r="L887" s="22" t="n">
        <x:f>IF(ISNUMBER(K887),K887*$B$2+$B$3,"")</x:f>
        <x:v>2730.3402660286197</x:v>
      </x:c>
      <x:c r="M887" s="22" t="n">
        <x:f>IF(AND(ISNUMBER(G887),ISNUMBER(H887),H887&lt;&gt;0),G887/(H887/60)/$B$5,"")</x:f>
        <x:v>0.008220642489275846</x:v>
      </x:c>
      <x:c r="N887" s="22" t="n">
        <x:f>IF(AND(ISNUMBER(L887),ISNUMBER(H887),H887&lt;&gt;0),L887*$B$6/$B$4/(H887/60)^2/$B$5^4/$B$7,"")</x:f>
        <x:v>0.07778460283801962</x:v>
      </x:c>
      <x:c r="O887" s="22" t="n">
        <x:f>IF(ISNUMBER(N887),N887*$B$8,"")</x:f>
        <x:v>0.010049968156486448</x:v>
      </x:c>
      <x:c r="P887" s="20" t="str">
        <x:v>5000rpm!E134</x:v>
      </x:c>
      <x:c r="Q887" s="20" t="str">
        <x:v>5000rpm!D134</x:v>
      </x:c>
      <x:c r="R887" s="20" t="str">
        <x:v>5000rpm!D113</x:v>
      </x:c>
    </x:row>
    <x:row r="888">
      <x:c r="A888" s="21" t="n">
        <x:v>5000</x:v>
      </x:c>
      <x:c r="B888" s="21" t="n">
        <x:v>60</x:v>
      </x:c>
      <x:c r="C888" s="21" t="n">
        <x:v>22</x:v>
      </x:c>
      <x:c r="D888" s="21" t="n">
        <x:v>2</x:v>
      </x:c>
      <x:c r="E888" s="21" t="str">
        <x:v>5000rpm</x:v>
      </x:c>
      <x:c r="F888" s="21" t="n">
        <x:v>134</x:v>
      </x:c>
      <x:c r="G888" s="22" t="n">
        <x:f>IFERROR('5000rpm'!P134,"")</x:f>
        <x:v>0.31572</x:v>
      </x:c>
      <x:c r="H888" s="22" t="n">
        <x:f>IFERROR('5000rpm'!M134,"")</x:f>
        <x:v>4943.288</x:v>
      </x:c>
      <x:c r="I888" s="22" t="n">
        <x:f>IFERROR('5000rpm'!O134,"")</x:f>
        <x:v>3007.6481679999997</x:v>
      </x:c>
      <x:c r="J888" s="22" t="n">
        <x:f>IFERROR('5000rpm'!O113,"")</x:f>
        <x:v>-58.27124</x:v>
      </x:c>
      <x:c r="K888" s="22" t="n">
        <x:f>IF(AND(ISNUMBER(I888),ISNUMBER(J888)),I888-J888,"")</x:f>
        <x:v>3065.9194079999997</x:v>
      </x:c>
      <x:c r="L888" s="22" t="n">
        <x:f>IF(ISNUMBER(K888),K888*$B$2+$B$3,"")</x:f>
        <x:v>2836.2556292608638</x:v>
      </x:c>
      <x:c r="M888" s="22" t="n">
        <x:f>IF(AND(ISNUMBER(G888),ISNUMBER(H888),H888&lt;&gt;0),G888/(H888/60)/$B$5,"")</x:f>
        <x:v>0.008381682569605845</x:v>
      </x:c>
      <x:c r="N888" s="22" t="n">
        <x:f>IF(AND(ISNUMBER(L888),ISNUMBER(H888),H888&lt;&gt;0),L888*$B$6/$B$4/(H888/60)^2/$B$5^4/$B$7,"")</x:f>
        <x:v>0.07777323902624336</x:v>
      </x:c>
      <x:c r="O888" s="22" t="n">
        <x:f>IF(ISNUMBER(N888),N888*$B$8,"")</x:f>
        <x:v>0.010048499923155933</x:v>
      </x:c>
      <x:c r="P888" s="20" t="str">
        <x:v>5000rpm!P134</x:v>
      </x:c>
      <x:c r="Q888" s="20" t="str">
        <x:v>5000rpm!O134</x:v>
      </x:c>
      <x:c r="R888" s="20" t="str">
        <x:v>5000rpm!O113</x:v>
      </x:c>
    </x:row>
    <x:row r="889">
      <x:c r="A889" s="21" t="n">
        <x:v>5000</x:v>
      </x:c>
      <x:c r="B889" s="21" t="n">
        <x:v>60</x:v>
      </x:c>
      <x:c r="C889" s="21" t="n">
        <x:v>23</x:v>
      </x:c>
      <x:c r="D889" s="21" t="n">
        <x:v>1</x:v>
      </x:c>
      <x:c r="E889" s="21" t="str">
        <x:v>5000rpm</x:v>
      </x:c>
      <x:c r="F889" s="21" t="n">
        <x:v>135</x:v>
      </x:c>
      <x:c r="G889" s="22" t="n">
        <x:f>IFERROR('5000rpm'!E135,"")</x:f>
        <x:v>0.16151610065133448</x:v>
      </x:c>
      <x:c r="H889" s="22" t="n">
        <x:f>IFERROR('5000rpm'!B135,"")</x:f>
        <x:v>0</x:v>
      </x:c>
      <x:c r="I889" s="22" t="n">
        <x:f>IFERROR('5000rpm'!D135,"")</x:f>
        <x:v>-55.78037931034478</x:v>
      </x:c>
      <x:c r="J889" s="22" t="n">
        <x:f>IFERROR('5000rpm'!D113,"")</x:f>
        <x:v>-66.332482825962</x:v>
      </x:c>
      <x:c r="K889" s="22" t="n">
        <x:f>IF(AND(ISNUMBER(I889),ISNUMBER(J889)),I889-J889,"")</x:f>
        <x:v>10.552103515617226</x:v>
      </x:c>
      <x:c r="L889" s="22" t="n">
        <x:f>IF(ISNUMBER(K889),K889*$B$2+$B$3,"")</x:f>
        <x:v>38.43134560607882</x:v>
      </x:c>
      <x:c r="M889" s="22" t="str">
        <x:f>IF(AND(ISNUMBER(G889),ISNUMBER(H889),H889&lt;&gt;0),G889/(H889/60)/$B$5,"")</x:f>
      </x:c>
      <x:c r="N889" s="22" t="str">
        <x:f>IF(AND(ISNUMBER(L889),ISNUMBER(H889),H889&lt;&gt;0),L889*$B$6/$B$4/(H889/60)^2/$B$5^4/$B$7,"")</x:f>
      </x:c>
      <x:c r="O889" s="22" t="str">
        <x:f>IF(ISNUMBER(N889),N889*$B$8,"")</x:f>
      </x:c>
      <x:c r="P889" s="20" t="str">
        <x:v>5000rpm!E135</x:v>
      </x:c>
      <x:c r="Q889" s="20" t="str">
        <x:v>5000rpm!D135</x:v>
      </x:c>
      <x:c r="R889" s="20" t="str">
        <x:v>5000rpm!D113</x:v>
      </x:c>
    </x:row>
    <x:row r="890">
      <x:c r="A890" s="21" t="n">
        <x:v>5000</x:v>
      </x:c>
      <x:c r="B890" s="21" t="n">
        <x:v>60</x:v>
      </x:c>
      <x:c r="C890" s="21" t="n">
        <x:v>23</x:v>
      </x:c>
      <x:c r="D890" s="21" t="n">
        <x:v>2</x:v>
      </x:c>
      <x:c r="E890" s="21" t="str">
        <x:v>5000rpm</x:v>
      </x:c>
      <x:c r="F890" s="21" t="n">
        <x:v>135</x:v>
      </x:c>
      <x:c r="G890" s="22" t="n">
        <x:f>IFERROR('5000rpm'!P135,"")</x:f>
        <x:v>-0.0006561474214708351</x:v>
      </x:c>
      <x:c r="H890" s="22" t="n">
        <x:f>IFERROR('5000rpm'!M135,"")</x:f>
        <x:v>0</x:v>
      </x:c>
      <x:c r="I890" s="22" t="n">
        <x:f>IFERROR('5000rpm'!O135,"")</x:f>
        <x:v>-46.21450825316453</x:v>
      </x:c>
      <x:c r="J890" s="22" t="n">
        <x:f>IFERROR('5000rpm'!O113,"")</x:f>
        <x:v>-58.27124</x:v>
      </x:c>
      <x:c r="K890" s="22" t="n">
        <x:f>IF(AND(ISNUMBER(I890),ISNUMBER(J890)),I890-J890,"")</x:f>
        <x:v>12.056731746835467</x:v>
      </x:c>
      <x:c r="L890" s="22" t="n">
        <x:f>IF(ISNUMBER(K890),K890*$B$2+$B$3,"")</x:f>
        <x:v>39.80914571443121</x:v>
      </x:c>
      <x:c r="M890" s="22" t="str">
        <x:f>IF(AND(ISNUMBER(G890),ISNUMBER(H890),H890&lt;&gt;0),G890/(H890/60)/$B$5,"")</x:f>
      </x:c>
      <x:c r="N890" s="22" t="str">
        <x:f>IF(AND(ISNUMBER(L890),ISNUMBER(H890),H890&lt;&gt;0),L890*$B$6/$B$4/(H890/60)^2/$B$5^4/$B$7,"")</x:f>
      </x:c>
      <x:c r="O890" s="22" t="str">
        <x:f>IF(ISNUMBER(N890),N890*$B$8,"")</x:f>
      </x:c>
      <x:c r="P890" s="20" t="str">
        <x:v>5000rpm!P135</x:v>
      </x:c>
      <x:c r="Q890" s="20" t="str">
        <x:v>5000rpm!O135</x:v>
      </x:c>
      <x:c r="R890" s="20" t="str">
        <x:v>5000rpm!O113</x:v>
      </x:c>
    </x:row>
    <x:row r="891">
      <x:c r="A891" s="21" t="n">
        <x:v>5000</x:v>
      </x:c>
      <x:c r="B891" s="21" t="n">
        <x:v>75</x:v>
      </x:c>
      <x:c r="C891" s="21" t="n">
        <x:v>1</x:v>
      </x:c>
      <x:c r="D891" s="21" t="n">
        <x:v>1</x:v>
      </x:c>
      <x:c r="E891" s="21" t="str">
        <x:v>5000rpm</x:v>
      </x:c>
      <x:c r="F891" s="21" t="n">
        <x:v>140</x:v>
      </x:c>
      <x:c r="G891" s="22" t="n">
        <x:f>IFERROR('5000rpm'!E140,"")</x:f>
        <x:v>0.210552273356184</x:v>
      </x:c>
      <x:c r="H891" s="22" t="n">
        <x:f>IFERROR('5000rpm'!B140,"")</x:f>
        <x:v>0</x:v>
      </x:c>
      <x:c r="I891" s="22" t="n">
        <x:f>IFERROR('5000rpm'!D140,"")</x:f>
        <x:v>40.244392857142834</x:v>
      </x:c>
      <x:c r="J891" s="22" t="n">
        <x:f>IFERROR('5000rpm'!D140,"")</x:f>
        <x:v>40.244392857142834</x:v>
      </x:c>
      <x:c r="K891" s="22" t="n">
        <x:f>IF(AND(ISNUMBER(I891),ISNUMBER(J891)),I891-J891,"")</x:f>
        <x:v>0</x:v>
      </x:c>
      <x:c r="L891" s="22" t="n">
        <x:f>IF(ISNUMBER(K891),K891*$B$2+$B$3,"")</x:f>
        <x:v>28.7687</x:v>
      </x:c>
      <x:c r="M891" s="22" t="str">
        <x:f>IF(AND(ISNUMBER(G891),ISNUMBER(H891),H891&lt;&gt;0),G891/(H891/60)/$B$5,"")</x:f>
      </x:c>
      <x:c r="N891" s="22" t="str">
        <x:f>IF(AND(ISNUMBER(L891),ISNUMBER(H891),H891&lt;&gt;0),L891*$B$6/$B$4/(H891/60)^2/$B$5^4/$B$7,"")</x:f>
      </x:c>
      <x:c r="O891" s="22" t="str">
        <x:f>IF(ISNUMBER(N891),N891*$B$8,"")</x:f>
      </x:c>
      <x:c r="P891" s="20" t="str">
        <x:v>5000rpm!E140</x:v>
      </x:c>
      <x:c r="Q891" s="20" t="str">
        <x:v>5000rpm!D140</x:v>
      </x:c>
      <x:c r="R891" s="20" t="str">
        <x:v>5000rpm!D140</x:v>
      </x:c>
    </x:row>
    <x:row r="892">
      <x:c r="A892" s="21" t="n">
        <x:v>5000</x:v>
      </x:c>
      <x:c r="B892" s="21" t="n">
        <x:v>75</x:v>
      </x:c>
      <x:c r="C892" s="21" t="n">
        <x:v>1</x:v>
      </x:c>
      <x:c r="D892" s="21" t="n">
        <x:v>2</x:v>
      </x:c>
      <x:c r="E892" s="21" t="str">
        <x:v>5000rpm</x:v>
      </x:c>
      <x:c r="F892" s="21" t="n">
        <x:v>140</x:v>
      </x:c>
      <x:c r="G892" s="22" t="n">
        <x:f>IFERROR('5000rpm'!P140,"")</x:f>
        <x:v>0.01061217749800281</x:v>
      </x:c>
      <x:c r="H892" s="22" t="n">
        <x:f>IFERROR('5000rpm'!M140,"")</x:f>
        <x:v>0</x:v>
      </x:c>
      <x:c r="I892" s="22" t="n">
        <x:f>IFERROR('5000rpm'!O140,"")</x:f>
        <x:v>38.73213942307682</x:v>
      </x:c>
      <x:c r="J892" s="22" t="n">
        <x:f>IFERROR('5000rpm'!O140,"")</x:f>
        <x:v>38.73213942307682</x:v>
      </x:c>
      <x:c r="K892" s="22" t="n">
        <x:f>IF(AND(ISNUMBER(I892),ISNUMBER(J892)),I892-J892,"")</x:f>
        <x:v>0</x:v>
      </x:c>
      <x:c r="L892" s="22" t="n">
        <x:f>IF(ISNUMBER(K892),K892*$B$2+$B$3,"")</x:f>
        <x:v>28.7687</x:v>
      </x:c>
      <x:c r="M892" s="22" t="str">
        <x:f>IF(AND(ISNUMBER(G892),ISNUMBER(H892),H892&lt;&gt;0),G892/(H892/60)/$B$5,"")</x:f>
      </x:c>
      <x:c r="N892" s="22" t="str">
        <x:f>IF(AND(ISNUMBER(L892),ISNUMBER(H892),H892&lt;&gt;0),L892*$B$6/$B$4/(H892/60)^2/$B$5^4/$B$7,"")</x:f>
      </x:c>
      <x:c r="O892" s="22" t="str">
        <x:f>IF(ISNUMBER(N892),N892*$B$8,"")</x:f>
      </x:c>
      <x:c r="P892" s="20" t="str">
        <x:v>5000rpm!P140</x:v>
      </x:c>
      <x:c r="Q892" s="20" t="str">
        <x:v>5000rpm!O140</x:v>
      </x:c>
      <x:c r="R892" s="20" t="str">
        <x:v>5000rpm!O140</x:v>
      </x:c>
    </x:row>
    <x:row r="893">
      <x:c r="A893" s="21" t="n">
        <x:v>5000</x:v>
      </x:c>
      <x:c r="B893" s="21" t="n">
        <x:v>75</x:v>
      </x:c>
      <x:c r="C893" s="21" t="n">
        <x:v>2</x:v>
      </x:c>
      <x:c r="D893" s="21" t="n">
        <x:v>1</x:v>
      </x:c>
      <x:c r="E893" s="21" t="str">
        <x:v>5000rpm</x:v>
      </x:c>
      <x:c r="F893" s="21" t="n">
        <x:v>141</x:v>
      </x:c>
      <x:c r="G893" s="22" t="n">
        <x:f>IFERROR('5000rpm'!E141,"")</x:f>
        <x:v>0.33418200000000003</x:v>
      </x:c>
      <x:c r="H893" s="22" t="n">
        <x:f>IFERROR('5000rpm'!B141,"")</x:f>
        <x:v>5046.1</x:v>
      </x:c>
      <x:c r="I893" s="22" t="n">
        <x:f>IFERROR('5000rpm'!D141,"")</x:f>
        <x:v>3178.6969919999997</x:v>
      </x:c>
      <x:c r="J893" s="22" t="n">
        <x:f>IFERROR('5000rpm'!D140,"")</x:f>
        <x:v>40.244392857142834</x:v>
      </x:c>
      <x:c r="K893" s="22" t="n">
        <x:f>IF(AND(ISNUMBER(I893),ISNUMBER(J893)),I893-J893,"")</x:f>
        <x:v>3138.452599142857</x:v>
      </x:c>
      <x:c r="L893" s="22" t="n">
        <x:f>IF(ISNUMBER(K893),K893*$B$2+$B$3,"")</x:f>
        <x:v>2902.674852655907</x:v>
      </x:c>
      <x:c r="M893" s="22" t="n">
        <x:f>IF(AND(ISNUMBER(G893),ISNUMBER(H893),H893&lt;&gt;0),G893/(H893/60)/$B$5,"")</x:f>
        <x:v>0.008691049624821352</x:v>
      </x:c>
      <x:c r="N893" s="22" t="n">
        <x:f>IF(AND(ISNUMBER(L893),ISNUMBER(H893),H893&lt;&gt;0),L893*$B$6/$B$4/(H893/60)^2/$B$5^4/$B$7,"")</x:f>
        <x:v>0.07638416359542526</x:v>
      </x:c>
      <x:c r="O893" s="22" t="n">
        <x:f>IF(ISNUMBER(N893),N893*$B$8,"")</x:f>
        <x:v>0.009869027851083383</x:v>
      </x:c>
      <x:c r="P893" s="20" t="str">
        <x:v>5000rpm!E141</x:v>
      </x:c>
      <x:c r="Q893" s="20" t="str">
        <x:v>5000rpm!D141</x:v>
      </x:c>
      <x:c r="R893" s="20" t="str">
        <x:v>5000rpm!D140</x:v>
      </x:c>
    </x:row>
    <x:row r="894">
      <x:c r="A894" s="21" t="n">
        <x:v>5000</x:v>
      </x:c>
      <x:c r="B894" s="21" t="n">
        <x:v>75</x:v>
      </x:c>
      <x:c r="C894" s="21" t="n">
        <x:v>2</x:v>
      </x:c>
      <x:c r="D894" s="21" t="n">
        <x:v>2</x:v>
      </x:c>
      <x:c r="E894" s="21" t="str">
        <x:v>5000rpm</x:v>
      </x:c>
      <x:c r="F894" s="21" t="n">
        <x:v>141</x:v>
      </x:c>
      <x:c r="G894" s="22" t="n">
        <x:f>IFERROR('5000rpm'!P141,"")</x:f>
        <x:v>0.2255568863557905</x:v>
      </x:c>
      <x:c r="H894" s="22" t="n">
        <x:f>IFERROR('5000rpm'!M141,"")</x:f>
        <x:v>4998.04613844014</x:v>
      </x:c>
      <x:c r="I894" s="22" t="n">
        <x:f>IFERROR('5000rpm'!O141,"")</x:f>
        <x:v>3143.2390051020334</x:v>
      </x:c>
      <x:c r="J894" s="22" t="n">
        <x:f>IFERROR('5000rpm'!O140,"")</x:f>
        <x:v>38.73213942307682</x:v>
      </x:c>
      <x:c r="K894" s="22" t="n">
        <x:f>IF(AND(ISNUMBER(I894),ISNUMBER(J894)),I894-J894,"")</x:f>
        <x:v>3104.5068656789567</x:v>
      </x:c>
      <x:c r="L894" s="22" t="n">
        <x:f>IF(ISNUMBER(K894),K894*$B$2+$B$3,"")</x:f>
        <x:v>2871.590472957146</x:v>
      </x:c>
      <x:c r="M894" s="22" t="n">
        <x:f>IF(AND(ISNUMBER(G894),ISNUMBER(H894),H894&lt;&gt;0),G894/(H894/60)/$B$5,"")</x:f>
        <x:v>0.005922442577386638</x:v>
      </x:c>
      <x:c r="N894" s="22" t="n">
        <x:f>IF(AND(ISNUMBER(L894),ISNUMBER(H894),H894&lt;&gt;0),L894*$B$6/$B$4/(H894/60)^2/$B$5^4/$B$7,"")</x:f>
        <x:v>0.07702622690208637</x:v>
      </x:c>
      <x:c r="O894" s="22" t="n">
        <x:f>IF(ISNUMBER(N894),N894*$B$8,"")</x:f>
        <x:v>0.009951984060293963</x:v>
      </x:c>
      <x:c r="P894" s="20" t="str">
        <x:v>5000rpm!P141</x:v>
      </x:c>
      <x:c r="Q894" s="20" t="str">
        <x:v>5000rpm!O141</x:v>
      </x:c>
      <x:c r="R894" s="20" t="str">
        <x:v>5000rpm!O140</x:v>
      </x:c>
    </x:row>
    <x:row r="895">
      <x:c r="A895" s="21" t="n">
        <x:v>5000</x:v>
      </x:c>
      <x:c r="B895" s="21" t="n">
        <x:v>75</x:v>
      </x:c>
      <x:c r="C895" s="21" t="n">
        <x:v>3</x:v>
      </x:c>
      <x:c r="D895" s="21" t="n">
        <x:v>1</x:v>
      </x:c>
      <x:c r="E895" s="21" t="str">
        <x:v>5000rpm</x:v>
      </x:c>
      <x:c r="F895" s="21" t="n">
        <x:v>142</x:v>
      </x:c>
      <x:c r="G895" s="22" t="n">
        <x:f>IFERROR('5000rpm'!E142,"")</x:f>
        <x:v>1.1166502976666746</x:v>
      </x:c>
      <x:c r="H895" s="22" t="n">
        <x:f>IFERROR('5000rpm'!B142,"")</x:f>
        <x:v>5010.78518992456</x:v>
      </x:c>
      <x:c r="I895" s="22" t="n">
        <x:f>IFERROR('5000rpm'!D142,"")</x:f>
        <x:v>3100.8970104166638</x:v>
      </x:c>
      <x:c r="J895" s="22" t="n">
        <x:f>IFERROR('5000rpm'!D140,"")</x:f>
        <x:v>40.244392857142834</x:v>
      </x:c>
      <x:c r="K895" s="22" t="n">
        <x:f>IF(AND(ISNUMBER(I895),ISNUMBER(J895)),I895-J895,"")</x:f>
        <x:v>3060.652617559521</x:v>
      </x:c>
      <x:c r="L895" s="22" t="n">
        <x:f>IF(ISNUMBER(K895),K895*$B$2+$B$3,"")</x:f>
        <x:v>2831.4327871201936</x:v>
      </x:c>
      <x:c r="M895" s="22" t="n">
        <x:f>IF(AND(ISNUMBER(G895),ISNUMBER(H895),H895&lt;&gt;0),G895/(H895/60)/$B$5,"")</x:f>
        <x:v>0.029245323489257475</x:v>
      </x:c>
      <x:c r="N895" s="22" t="n">
        <x:f>IF(AND(ISNUMBER(L895),ISNUMBER(H895),H895&lt;&gt;0),L895*$B$6/$B$4/(H895/60)^2/$B$5^4/$B$7,"")</x:f>
        <x:v>0.0755633718526498</x:v>
      </x:c>
      <x:c r="O895" s="22" t="n">
        <x:f>IF(ISNUMBER(N895),N895*$B$8,"")</x:f>
        <x:v>0.009762979474193446</x:v>
      </x:c>
      <x:c r="P895" s="20" t="str">
        <x:v>5000rpm!E142</x:v>
      </x:c>
      <x:c r="Q895" s="20" t="str">
        <x:v>5000rpm!D142</x:v>
      </x:c>
      <x:c r="R895" s="20" t="str">
        <x:v>5000rpm!D140</x:v>
      </x:c>
    </x:row>
    <x:row r="896">
      <x:c r="A896" s="21" t="n">
        <x:v>5000</x:v>
      </x:c>
      <x:c r="B896" s="21" t="n">
        <x:v>75</x:v>
      </x:c>
      <x:c r="C896" s="21" t="n">
        <x:v>3</x:v>
      </x:c>
      <x:c r="D896" s="21" t="n">
        <x:v>2</x:v>
      </x:c>
      <x:c r="E896" s="21" t="str">
        <x:v>5000rpm</x:v>
      </x:c>
      <x:c r="F896" s="21" t="n">
        <x:v>142</x:v>
      </x:c>
      <x:c r="G896" s="22" t="n">
        <x:f>IFERROR('5000rpm'!P142,"")</x:f>
        <x:v>1.0931591665703235</x:v>
      </x:c>
      <x:c r="H896" s="22" t="n">
        <x:f>IFERROR('5000rpm'!M142,"")</x:f>
        <x:v>4962.84164533943</x:v>
      </x:c>
      <x:c r="I896" s="22" t="n">
        <x:f>IFERROR('5000rpm'!O142,"")</x:f>
        <x:v>3018.774765624996</x:v>
      </x:c>
      <x:c r="J896" s="22" t="n">
        <x:f>IFERROR('5000rpm'!O140,"")</x:f>
        <x:v>38.73213942307682</x:v>
      </x:c>
      <x:c r="K896" s="22" t="n">
        <x:f>IF(AND(ISNUMBER(I896),ISNUMBER(J896)),I896-J896,"")</x:f>
        <x:v>2980.042626201919</x:v>
      </x:c>
      <x:c r="L896" s="22" t="n">
        <x:f>IF(ISNUMBER(K896),K896*$B$2+$B$3,"")</x:f>
        <x:v>2757.617573154107</x:v>
      </x:c>
      <x:c r="M896" s="22" t="n">
        <x:f>IF(AND(ISNUMBER(G896),ISNUMBER(H896),H896&lt;&gt;0),G896/(H896/60)/$B$5,"")</x:f>
        <x:v>0.02890666647525417</x:v>
      </x:c>
      <x:c r="N896" s="22" t="n">
        <x:f>IF(AND(ISNUMBER(L896),ISNUMBER(H896),H896&lt;&gt;0),L896*$B$6/$B$4/(H896/60)^2/$B$5^4/$B$7,"")</x:f>
        <x:v>0.07502220850956982</x:v>
      </x:c>
      <x:c r="O896" s="22" t="n">
        <x:f>IF(ISNUMBER(N896),N896*$B$8,"")</x:f>
        <x:v>0.009693059796429749</x:v>
      </x:c>
      <x:c r="P896" s="20" t="str">
        <x:v>5000rpm!P142</x:v>
      </x:c>
      <x:c r="Q896" s="20" t="str">
        <x:v>5000rpm!O142</x:v>
      </x:c>
      <x:c r="R896" s="20" t="str">
        <x:v>5000rpm!O140</x:v>
      </x:c>
    </x:row>
    <x:row r="897">
      <x:c r="A897" s="21" t="n">
        <x:v>5000</x:v>
      </x:c>
      <x:c r="B897" s="21" t="n">
        <x:v>75</x:v>
      </x:c>
      <x:c r="C897" s="21" t="n">
        <x:v>4</x:v>
      </x:c>
      <x:c r="D897" s="21" t="n">
        <x:v>1</x:v>
      </x:c>
      <x:c r="E897" s="21" t="str">
        <x:v>5000rpm</x:v>
      </x:c>
      <x:c r="F897" s="21" t="n">
        <x:v>143</x:v>
      </x:c>
      <x:c r="G897" s="22" t="n">
        <x:f>IFERROR('5000rpm'!E143,"")</x:f>
        <x:v>2.03104315485273</x:v>
      </x:c>
      <x:c r="H897" s="22" t="n">
        <x:f>IFERROR('5000rpm'!B143,"")</x:f>
        <x:v>4997.95933314732</x:v>
      </x:c>
      <x:c r="I897" s="22" t="n">
        <x:f>IFERROR('5000rpm'!D143,"")</x:f>
        <x:v>2988.7062441651683</x:v>
      </x:c>
      <x:c r="J897" s="22" t="n">
        <x:f>IFERROR('5000rpm'!D140,"")</x:f>
        <x:v>40.244392857142834</x:v>
      </x:c>
      <x:c r="K897" s="22" t="n">
        <x:f>IF(AND(ISNUMBER(I897),ISNUMBER(J897)),I897-J897,"")</x:f>
        <x:v>2948.4618513080254</x:v>
      </x:c>
      <x:c r="L897" s="22" t="n">
        <x:f>IF(ISNUMBER(K897),K897*$B$2+$B$3,"")</x:f>
        <x:v>2728.698804937569</x:v>
      </x:c>
      <x:c r="M897" s="22" t="n">
        <x:f>IF(AND(ISNUMBER(G897),ISNUMBER(H897),H897&lt;&gt;0),G897/(H897/60)/$B$5,"")</x:f>
        <x:v>0.05332998503401581</x:v>
      </x:c>
      <x:c r="N897" s="22" t="n">
        <x:f>IF(AND(ISNUMBER(L897),ISNUMBER(H897),H897&lt;&gt;0),L897*$B$6/$B$4/(H897/60)^2/$B$5^4/$B$7,"")</x:f>
        <x:v>0.07319590876951736</x:v>
      </x:c>
      <x:c r="O897" s="22" t="n">
        <x:f>IF(ISNUMBER(N897),N897*$B$8,"")</x:f>
        <x:v>0.009457097233633766</x:v>
      </x:c>
      <x:c r="P897" s="20" t="str">
        <x:v>5000rpm!E143</x:v>
      </x:c>
      <x:c r="Q897" s="20" t="str">
        <x:v>5000rpm!D143</x:v>
      </x:c>
      <x:c r="R897" s="20" t="str">
        <x:v>5000rpm!D140</x:v>
      </x:c>
    </x:row>
    <x:row r="898">
      <x:c r="A898" s="21" t="n">
        <x:v>5000</x:v>
      </x:c>
      <x:c r="B898" s="21" t="n">
        <x:v>75</x:v>
      </x:c>
      <x:c r="C898" s="21" t="n">
        <x:v>4</x:v>
      </x:c>
      <x:c r="D898" s="21" t="n">
        <x:v>2</x:v>
      </x:c>
      <x:c r="E898" s="21" t="str">
        <x:v>5000rpm</x:v>
      </x:c>
      <x:c r="F898" s="21" t="n">
        <x:v>143</x:v>
      </x:c>
      <x:c r="G898" s="22" t="n">
        <x:f>IFERROR('5000rpm'!P143,"")</x:f>
        <x:v>2.128682857606455</x:v>
      </x:c>
      <x:c r="H898" s="22" t="n">
        <x:f>IFERROR('5000rpm'!M143,"")</x:f>
        <x:v>4966.68839237607</x:v>
      </x:c>
      <x:c r="I898" s="22" t="n">
        <x:f>IFERROR('5000rpm'!O143,"")</x:f>
        <x:v>2862.378475609754</x:v>
      </x:c>
      <x:c r="J898" s="22" t="n">
        <x:f>IFERROR('5000rpm'!O140,"")</x:f>
        <x:v>38.73213942307682</x:v>
      </x:c>
      <x:c r="K898" s="22" t="n">
        <x:f>IF(AND(ISNUMBER(I898),ISNUMBER(J898)),I898-J898,"")</x:f>
        <x:v>2823.646336186677</x:v>
      </x:c>
      <x:c r="L898" s="22" t="n">
        <x:f>IF(ISNUMBER(K898),K898*$B$2+$B$3,"")</x:f>
        <x:v>2614.40423921683</x:v>
      </x:c>
      <x:c r="M898" s="22" t="n">
        <x:f>IF(AND(ISNUMBER(G898),ISNUMBER(H898),H898&lt;&gt;0),G898/(H898/60)/$B$5,"")</x:f>
        <x:v>0.05624566786824094</x:v>
      </x:c>
      <x:c r="N898" s="22" t="n">
        <x:f>IF(AND(ISNUMBER(L898),ISNUMBER(H898),H898&lt;&gt;0),L898*$B$6/$B$4/(H898/60)^2/$B$5^4/$B$7,"")</x:f>
        <x:v>0.07101589338306977</x:v>
      </x:c>
      <x:c r="O898" s="22" t="n">
        <x:f>IF(ISNUMBER(N898),N898*$B$8,"")</x:f>
        <x:v>0.00917543371135452</x:v>
      </x:c>
      <x:c r="P898" s="20" t="str">
        <x:v>5000rpm!P143</x:v>
      </x:c>
      <x:c r="Q898" s="20" t="str">
        <x:v>5000rpm!O143</x:v>
      </x:c>
      <x:c r="R898" s="20" t="str">
        <x:v>5000rpm!O140</x:v>
      </x:c>
    </x:row>
    <x:row r="899">
      <x:c r="A899" s="21" t="n">
        <x:v>5000</x:v>
      </x:c>
      <x:c r="B899" s="21" t="n">
        <x:v>75</x:v>
      </x:c>
      <x:c r="C899" s="21" t="n">
        <x:v>5</x:v>
      </x:c>
      <x:c r="D899" s="21" t="n">
        <x:v>1</x:v>
      </x:c>
      <x:c r="E899" s="21" t="str">
        <x:v>5000rpm</x:v>
      </x:c>
      <x:c r="F899" s="21" t="n">
        <x:v>144</x:v>
      </x:c>
      <x:c r="G899" s="22" t="n">
        <x:f>IFERROR('5000rpm'!E144,"")</x:f>
        <x:v>3.26975666871294</x:v>
      </x:c>
      <x:c r="H899" s="22" t="n">
        <x:f>IFERROR('5000rpm'!B144,"")</x:f>
        <x:v>4963.75177734375</x:v>
      </x:c>
      <x:c r="I899" s="22" t="n">
        <x:f>IFERROR('5000rpm'!D144,"")</x:f>
        <x:v>2834.3459882812494</x:v>
      </x:c>
      <x:c r="J899" s="22" t="n">
        <x:f>IFERROR('5000rpm'!D140,"")</x:f>
        <x:v>40.244392857142834</x:v>
      </x:c>
      <x:c r="K899" s="22" t="n">
        <x:f>IF(AND(ISNUMBER(I899),ISNUMBER(J899)),I899-J899,"")</x:f>
        <x:v>2794.1015954241066</x:v>
      </x:c>
      <x:c r="L899" s="22" t="n">
        <x:f>IF(ISNUMBER(K899),K899*$B$2+$B$3,"")</x:f>
        <x:v>2587.3498837426177</x:v>
      </x:c>
      <x:c r="M899" s="22" t="n">
        <x:f>IF(AND(ISNUMBER(G899),ISNUMBER(H899),H899&lt;&gt;0),G899/(H899/60)/$B$5,"")</x:f>
        <x:v>0.08644709572032024</x:v>
      </x:c>
      <x:c r="N899" s="22" t="n">
        <x:f>IF(AND(ISNUMBER(L899),ISNUMBER(H899),H899&lt;&gt;0),L899*$B$6/$B$4/(H899/60)^2/$B$5^4/$B$7,"")</x:f>
        <x:v>0.07036419009654658</x:v>
      </x:c>
      <x:c r="O899" s="22" t="n">
        <x:f>IF(ISNUMBER(N899),N899*$B$8,"")</x:f>
        <x:v>0.009091231992272988</x:v>
      </x:c>
      <x:c r="P899" s="20" t="str">
        <x:v>5000rpm!E144</x:v>
      </x:c>
      <x:c r="Q899" s="20" t="str">
        <x:v>5000rpm!D144</x:v>
      </x:c>
      <x:c r="R899" s="20" t="str">
        <x:v>5000rpm!D140</x:v>
      </x:c>
    </x:row>
    <x:row r="900">
      <x:c r="A900" s="21" t="n">
        <x:v>5000</x:v>
      </x:c>
      <x:c r="B900" s="21" t="n">
        <x:v>75</x:v>
      </x:c>
      <x:c r="C900" s="21" t="n">
        <x:v>5</x:v>
      </x:c>
      <x:c r="D900" s="21" t="n">
        <x:v>2</x:v>
      </x:c>
      <x:c r="E900" s="21" t="str">
        <x:v>5000rpm</x:v>
      </x:c>
      <x:c r="F900" s="21" t="n">
        <x:v>144</x:v>
      </x:c>
      <x:c r="G900" s="22" t="n">
        <x:f>IFERROR('5000rpm'!P144,"")</x:f>
        <x:v>3.15827679188913</x:v>
      </x:c>
      <x:c r="H900" s="22" t="n">
        <x:f>IFERROR('5000rpm'!M144,"")</x:f>
        <x:v>4941.7461344401</x:v>
      </x:c>
      <x:c r="I900" s="22" t="n">
        <x:f>IFERROR('5000rpm'!O144,"")</x:f>
        <x:v>2639.5372780082953</x:v>
      </x:c>
      <x:c r="J900" s="22" t="n">
        <x:f>IFERROR('5000rpm'!O140,"")</x:f>
        <x:v>38.73213942307682</x:v>
      </x:c>
      <x:c r="K900" s="22" t="n">
        <x:f>IF(AND(ISNUMBER(I900),ISNUMBER(J900)),I900-J900,"")</x:f>
        <x:v>2600.8051385852186</x:v>
      </x:c>
      <x:c r="L900" s="22" t="n">
        <x:f>IF(ISNUMBER(K900),K900*$B$2+$B$3,"")</x:f>
        <x:v>2410.346771843593</x:v>
      </x:c>
      <x:c r="M900" s="22" t="n">
        <x:f>IF(AND(ISNUMBER(G900),ISNUMBER(H900),H900&lt;&gt;0),G900/(H900/60)/$B$5,"")</x:f>
        <x:v>0.08387157265008241</x:v>
      </x:c>
      <x:c r="N900" s="22" t="n">
        <x:f>IF(AND(ISNUMBER(L900),ISNUMBER(H900),H900&lt;&gt;0),L900*$B$6/$B$4/(H900/60)^2/$B$5^4/$B$7,"")</x:f>
        <x:v>0.06613560158903983</x:v>
      </x:c>
      <x:c r="O900" s="22" t="n">
        <x:f>IF(ISNUMBER(N900),N900*$B$8,"")</x:f>
        <x:v>0.008544887622091855</x:v>
      </x:c>
      <x:c r="P900" s="20" t="str">
        <x:v>5000rpm!P144</x:v>
      </x:c>
      <x:c r="Q900" s="20" t="str">
        <x:v>5000rpm!O144</x:v>
      </x:c>
      <x:c r="R900" s="20" t="str">
        <x:v>5000rpm!O140</x:v>
      </x:c>
    </x:row>
    <x:row r="901">
      <x:c r="A901" s="21" t="n">
        <x:v>5000</x:v>
      </x:c>
      <x:c r="B901" s="21" t="n">
        <x:v>75</x:v>
      </x:c>
      <x:c r="C901" s="21" t="n">
        <x:v>6</x:v>
      </x:c>
      <x:c r="D901" s="21" t="n">
        <x:v>1</x:v>
      </x:c>
      <x:c r="E901" s="21" t="str">
        <x:v>5000rpm</x:v>
      </x:c>
      <x:c r="F901" s="21" t="n">
        <x:v>145</x:v>
      </x:c>
      <x:c r="G901" s="22" t="n">
        <x:f>IFERROR('5000rpm'!E145,"")</x:f>
        <x:v>4.29387525932208</x:v>
      </x:c>
      <x:c r="H901" s="22" t="n">
        <x:f>IFERROR('5000rpm'!B145,"")</x:f>
        <x:v>4956.84763405539</x:v>
      </x:c>
      <x:c r="I901" s="22" t="n">
        <x:f>IFERROR('5000rpm'!D145,"")</x:f>
        <x:v>2667.7478243243204</x:v>
      </x:c>
      <x:c r="J901" s="22" t="n">
        <x:f>IFERROR('5000rpm'!D140,"")</x:f>
        <x:v>40.244392857142834</x:v>
      </x:c>
      <x:c r="K901" s="22" t="n">
        <x:f>IF(AND(ISNUMBER(I901),ISNUMBER(J901)),I901-J901,"")</x:f>
        <x:v>2627.5034314671775</x:v>
      </x:c>
      <x:c r="L901" s="22" t="n">
        <x:f>IF(ISNUMBER(K901),K901*$B$2+$B$3,"")</x:f>
        <x:v>2434.794612221946</x:v>
      </x:c>
      <x:c r="M901" s="22" t="n">
        <x:f>IF(AND(ISNUMBER(G901),ISNUMBER(H901),H901&lt;&gt;0),G901/(H901/60)/$B$5,"")</x:f>
        <x:v>0.1136812611160949</x:v>
      </x:c>
      <x:c r="N901" s="22" t="n">
        <x:f>IF(AND(ISNUMBER(L901),ISNUMBER(H901),H901&lt;&gt;0),L901*$B$6/$B$4/(H901/60)^2/$B$5^4/$B$7,"")</x:f>
        <x:v>0.06639996272998364</x:v>
      </x:c>
      <x:c r="O901" s="22" t="n">
        <x:f>IF(ISNUMBER(N901),N901*$B$8,"")</x:f>
        <x:v>0.008579043752628772</x:v>
      </x:c>
      <x:c r="P901" s="20" t="str">
        <x:v>5000rpm!E145</x:v>
      </x:c>
      <x:c r="Q901" s="20" t="str">
        <x:v>5000rpm!D145</x:v>
      </x:c>
      <x:c r="R901" s="20" t="str">
        <x:v>5000rpm!D140</x:v>
      </x:c>
    </x:row>
    <x:row r="902">
      <x:c r="A902" s="21" t="n">
        <x:v>5000</x:v>
      </x:c>
      <x:c r="B902" s="21" t="n">
        <x:v>75</x:v>
      </x:c>
      <x:c r="C902" s="21" t="n">
        <x:v>6</x:v>
      </x:c>
      <x:c r="D902" s="21" t="n">
        <x:v>2</x:v>
      </x:c>
      <x:c r="E902" s="21" t="str">
        <x:v>5000rpm</x:v>
      </x:c>
      <x:c r="F902" s="21" t="n">
        <x:v>145</x:v>
      </x:c>
      <x:c r="G902" s="22" t="n">
        <x:f>IFERROR('5000rpm'!P145,"")</x:f>
        <x:v>4.18961715013131</x:v>
      </x:c>
      <x:c r="H902" s="22" t="n">
        <x:f>IFERROR('5000rpm'!M145,"")</x:f>
        <x:v>4950.53810402199</x:v>
      </x:c>
      <x:c r="I902" s="22" t="n">
        <x:f>IFERROR('5000rpm'!O145,"")</x:f>
        <x:v>2504.9872846153835</x:v>
      </x:c>
      <x:c r="J902" s="22" t="n">
        <x:f>IFERROR('5000rpm'!O140,"")</x:f>
        <x:v>38.73213942307682</x:v>
      </x:c>
      <x:c r="K902" s="22" t="n">
        <x:f>IF(AND(ISNUMBER(I902),ISNUMBER(J902)),I902-J902,"")</x:f>
        <x:v>2466.255145192307</x:v>
      </x:c>
      <x:c r="L902" s="22" t="n">
        <x:f>IF(ISNUMBER(K902),K902*$B$2+$B$3,"")</x:f>
        <x:v>2287.138266493757</x:v>
      </x:c>
      <x:c r="M902" s="22" t="n">
        <x:f>IF(AND(ISNUMBER(G902),ISNUMBER(H902),H902&lt;&gt;0),G902/(H902/60)/$B$5,"")</x:f>
        <x:v>0.11106237586426974</x:v>
      </x:c>
      <x:c r="N902" s="22" t="n">
        <x:f>IF(AND(ISNUMBER(L902),ISNUMBER(H902),H902&lt;&gt;0),L902*$B$6/$B$4/(H902/60)^2/$B$5^4/$B$7,"")</x:f>
        <x:v>0.06253227766849062</x:v>
      </x:c>
      <x:c r="O902" s="22" t="n">
        <x:f>IF(ISNUMBER(N902),N902*$B$8,"")</x:f>
        <x:v>0.008079329023889113</x:v>
      </x:c>
      <x:c r="P902" s="20" t="str">
        <x:v>5000rpm!P145</x:v>
      </x:c>
      <x:c r="Q902" s="20" t="str">
        <x:v>5000rpm!O145</x:v>
      </x:c>
      <x:c r="R902" s="20" t="str">
        <x:v>5000rpm!O140</x:v>
      </x:c>
    </x:row>
    <x:row r="903">
      <x:c r="A903" s="21" t="n">
        <x:v>5000</x:v>
      </x:c>
      <x:c r="B903" s="21" t="n">
        <x:v>75</x:v>
      </x:c>
      <x:c r="C903" s="21" t="n">
        <x:v>7</x:v>
      </x:c>
      <x:c r="D903" s="21" t="n">
        <x:v>1</x:v>
      </x:c>
      <x:c r="E903" s="21" t="str">
        <x:v>5000rpm</x:v>
      </x:c>
      <x:c r="F903" s="21" t="n">
        <x:v>146</x:v>
      </x:c>
      <x:c r="G903" s="22" t="n">
        <x:f>IFERROR('5000rpm'!E146,"")</x:f>
        <x:v>5.317425779112555</x:v>
      </x:c>
      <x:c r="H903" s="22" t="n">
        <x:f>IFERROR('5000rpm'!B146,"")</x:f>
        <x:v>4971.72696659482</x:v>
      </x:c>
      <x:c r="I903" s="22" t="n">
        <x:f>IFERROR('5000rpm'!D146,"")</x:f>
        <x:v>2523.422821052625</x:v>
      </x:c>
      <x:c r="J903" s="22" t="n">
        <x:f>IFERROR('5000rpm'!D140,"")</x:f>
        <x:v>40.244392857142834</x:v>
      </x:c>
      <x:c r="K903" s="22" t="n">
        <x:f>IF(AND(ISNUMBER(I903),ISNUMBER(J903)),I903-J903,"")</x:f>
        <x:v>2483.178428195482</x:v>
      </x:c>
      <x:c r="L903" s="22" t="n">
        <x:f>IF(ISNUMBER(K903),K903*$B$2+$B$3,"")</x:f>
        <x:v>2302.6350521260283</x:v>
      </x:c>
      <x:c r="M903" s="22" t="n">
        <x:f>IF(AND(ISNUMBER(G903),ISNUMBER(H903),H903&lt;&gt;0),G903/(H903/60)/$B$5,"")</x:f>
        <x:v>0.1403586540620703</x:v>
      </x:c>
      <x:c r="N903" s="22" t="n">
        <x:f>IF(AND(ISNUMBER(L903),ISNUMBER(H903),H903&lt;&gt;0),L903*$B$6/$B$4/(H903/60)^2/$B$5^4/$B$7,"")</x:f>
        <x:v>0.06242049572332277</x:v>
      </x:c>
      <x:c r="O903" s="22" t="n">
        <x:f>IF(ISNUMBER(N903),N903*$B$8,"")</x:f>
        <x:v>0.008064886512795414</x:v>
      </x:c>
      <x:c r="P903" s="20" t="str">
        <x:v>5000rpm!E146</x:v>
      </x:c>
      <x:c r="Q903" s="20" t="str">
        <x:v>5000rpm!D146</x:v>
      </x:c>
      <x:c r="R903" s="20" t="str">
        <x:v>5000rpm!D140</x:v>
      </x:c>
    </x:row>
    <x:row r="904">
      <x:c r="A904" s="21" t="n">
        <x:v>5000</x:v>
      </x:c>
      <x:c r="B904" s="21" t="n">
        <x:v>75</x:v>
      </x:c>
      <x:c r="C904" s="21" t="n">
        <x:v>7</x:v>
      </x:c>
      <x:c r="D904" s="21" t="n">
        <x:v>2</x:v>
      </x:c>
      <x:c r="E904" s="21" t="str">
        <x:v>5000rpm</x:v>
      </x:c>
      <x:c r="F904" s="21" t="n">
        <x:v>146</x:v>
      </x:c>
      <x:c r="G904" s="22" t="n">
        <x:f>IFERROR('5000rpm'!P146,"")</x:f>
        <x:v>5.21341661973432</x:v>
      </x:c>
      <x:c r="H904" s="22" t="n">
        <x:f>IFERROR('5000rpm'!M146,"")</x:f>
        <x:v>4931.63780628551</x:v>
      </x:c>
      <x:c r="I904" s="22" t="n">
        <x:f>IFERROR('5000rpm'!O146,"")</x:f>
        <x:v>2548.7127136363547</x:v>
      </x:c>
      <x:c r="J904" s="22" t="n">
        <x:f>IFERROR('5000rpm'!O140,"")</x:f>
        <x:v>38.73213942307682</x:v>
      </x:c>
      <x:c r="K904" s="22" t="n">
        <x:f>IF(AND(ISNUMBER(I904),ISNUMBER(J904)),I904-J904,"")</x:f>
        <x:v>2509.980574213278</x:v>
      </x:c>
      <x:c r="L904" s="22" t="n">
        <x:f>IF(ISNUMBER(K904),K904*$B$2+$B$3,"")</x:f>
        <x:v>2327.1779916516925</x:v>
      </x:c>
      <x:c r="M904" s="22" t="n">
        <x:f>IF(AND(ISNUMBER(G904),ISNUMBER(H904),H904&lt;&gt;0),G904/(H904/60)/$B$5,"")</x:f>
        <x:v>0.1387318850832784</x:v>
      </x:c>
      <x:c r="N904" s="22" t="n">
        <x:f>IF(AND(ISNUMBER(L904),ISNUMBER(H904),H904&lt;&gt;0),L904*$B$6/$B$4/(H904/60)^2/$B$5^4/$B$7,"")</x:f>
        <x:v>0.06411562752555557</x:v>
      </x:c>
      <x:c r="O904" s="22" t="n">
        <x:f>IF(ISNUMBER(N904),N904*$B$8,"")</x:f>
        <x:v>0.008283901845032351</x:v>
      </x:c>
      <x:c r="P904" s="20" t="str">
        <x:v>5000rpm!P146</x:v>
      </x:c>
      <x:c r="Q904" s="20" t="str">
        <x:v>5000rpm!O146</x:v>
      </x:c>
      <x:c r="R904" s="20" t="str">
        <x:v>5000rpm!O140</x:v>
      </x:c>
    </x:row>
    <x:row r="905">
      <x:c r="A905" s="21" t="n">
        <x:v>5000</x:v>
      </x:c>
      <x:c r="B905" s="21" t="n">
        <x:v>75</x:v>
      </x:c>
      <x:c r="C905" s="21" t="n">
        <x:v>8</x:v>
      </x:c>
      <x:c r="D905" s="21" t="n">
        <x:v>1</x:v>
      </x:c>
      <x:c r="E905" s="21" t="str">
        <x:v>5000rpm</x:v>
      </x:c>
      <x:c r="F905" s="21" t="n">
        <x:v>147</x:v>
      </x:c>
      <x:c r="G905" s="22" t="n">
        <x:f>IFERROR('5000rpm'!E147,"")</x:f>
        <x:v>6.24075138806346</x:v>
      </x:c>
      <x:c r="H905" s="22" t="n">
        <x:f>IFERROR('5000rpm'!B147,"")</x:f>
        <x:v>4991.27935546875</x:v>
      </x:c>
      <x:c r="I905" s="22" t="n">
        <x:f>IFERROR('5000rpm'!D147,"")</x:f>
        <x:v>2389.7243605577587</x:v>
      </x:c>
      <x:c r="J905" s="22" t="n">
        <x:f>IFERROR('5000rpm'!D140,"")</x:f>
        <x:v>40.244392857142834</x:v>
      </x:c>
      <x:c r="K905" s="22" t="n">
        <x:f>IF(AND(ISNUMBER(I905),ISNUMBER(J905)),I905-J905,"")</x:f>
        <x:v>2349.479967700616</x:v>
      </x:c>
      <x:c r="L905" s="22" t="n">
        <x:f>IF(ISNUMBER(K905),K905*$B$2+$B$3,"")</x:f>
        <x:v>2180.2063022631955</x:v>
      </x:c>
      <x:c r="M905" s="22" t="n">
        <x:f>IF(AND(ISNUMBER(G905),ISNUMBER(H905),H905&lt;&gt;0),G905/(H905/60)/$B$5,"")</x:f>
        <x:v>0.16408543518113106</x:v>
      </x:c>
      <x:c r="N905" s="22" t="n">
        <x:f>IF(AND(ISNUMBER(L905),ISNUMBER(H905),H905&lt;&gt;0),L905*$B$6/$B$4/(H905/60)^2/$B$5^4/$B$7,"")</x:f>
        <x:v>0.058639529692919884</x:v>
      </x:c>
      <x:c r="O905" s="22" t="n">
        <x:f>IF(ISNUMBER(N905),N905*$B$8,"")</x:f>
        <x:v>0.007576376103024022</x:v>
      </x:c>
      <x:c r="P905" s="20" t="str">
        <x:v>5000rpm!E147</x:v>
      </x:c>
      <x:c r="Q905" s="20" t="str">
        <x:v>5000rpm!D147</x:v>
      </x:c>
      <x:c r="R905" s="20" t="str">
        <x:v>5000rpm!D140</x:v>
      </x:c>
    </x:row>
    <x:row r="906">
      <x:c r="A906" s="21" t="n">
        <x:v>5000</x:v>
      </x:c>
      <x:c r="B906" s="21" t="n">
        <x:v>75</x:v>
      </x:c>
      <x:c r="C906" s="21" t="n">
        <x:v>8</x:v>
      </x:c>
      <x:c r="D906" s="21" t="n">
        <x:v>2</x:v>
      </x:c>
      <x:c r="E906" s="21" t="str">
        <x:v>5000rpm</x:v>
      </x:c>
      <x:c r="F906" s="21" t="n">
        <x:v>147</x:v>
      </x:c>
      <x:c r="G906" s="22" t="n">
        <x:f>IFERROR('5000rpm'!P147,"")</x:f>
        <x:v>6.23374222197183</x:v>
      </x:c>
      <x:c r="H906" s="22" t="n">
        <x:f>IFERROR('5000rpm'!M147,"")</x:f>
        <x:v>4966.99606933593</x:v>
      </x:c>
      <x:c r="I906" s="22" t="n">
        <x:f>IFERROR('5000rpm'!O147,"")</x:f>
        <x:v>2416.4196911764684</x:v>
      </x:c>
      <x:c r="J906" s="22" t="n">
        <x:f>IFERROR('5000rpm'!O140,"")</x:f>
        <x:v>38.73213942307682</x:v>
      </x:c>
      <x:c r="K906" s="22" t="n">
        <x:f>IF(AND(ISNUMBER(I906),ISNUMBER(J906)),I906-J906,"")</x:f>
        <x:v>2377.6875517533917</x:v>
      </x:c>
      <x:c r="L906" s="22" t="n">
        <x:f>IF(ISNUMBER(K906),K906*$B$2+$B$3,"")</x:f>
        <x:v>2206.036212640995</x:v>
      </x:c>
      <x:c r="M906" s="22" t="n">
        <x:f>IF(AND(ISNUMBER(G906),ISNUMBER(H906),H906&lt;&gt;0),G906/(H906/60)/$B$5,"")</x:f>
        <x:v>0.16470244704507914</x:v>
      </x:c>
      <x:c r="N906" s="22" t="n">
        <x:f>IF(AND(ISNUMBER(L906),ISNUMBER(H906),H906&lt;&gt;0),L906*$B$6/$B$4/(H906/60)^2/$B$5^4/$B$7,"")</x:f>
        <x:v>0.05991583929444801</x:v>
      </x:c>
      <x:c r="O906" s="22" t="n">
        <x:f>IF(ISNUMBER(N906),N906*$B$8,"")</x:f>
        <x:v>0.007741278543676532</x:v>
      </x:c>
      <x:c r="P906" s="20" t="str">
        <x:v>5000rpm!P147</x:v>
      </x:c>
      <x:c r="Q906" s="20" t="str">
        <x:v>5000rpm!O147</x:v>
      </x:c>
      <x:c r="R906" s="20" t="str">
        <x:v>5000rpm!O140</x:v>
      </x:c>
    </x:row>
    <x:row r="907">
      <x:c r="A907" s="21" t="n">
        <x:v>5000</x:v>
      </x:c>
      <x:c r="B907" s="21" t="n">
        <x:v>75</x:v>
      </x:c>
      <x:c r="C907" s="21" t="n">
        <x:v>9</x:v>
      </x:c>
      <x:c r="D907" s="21" t="n">
        <x:v>1</x:v>
      </x:c>
      <x:c r="E907" s="21" t="str">
        <x:v>5000rpm</x:v>
      </x:c>
      <x:c r="F907" s="21" t="n">
        <x:v>148</x:v>
      </x:c>
      <x:c r="G907" s="22" t="n">
        <x:f>IFERROR('5000rpm'!E148,"")</x:f>
        <x:v>7.358843658408329</x:v>
      </x:c>
      <x:c r="H907" s="22" t="n">
        <x:f>IFERROR('5000rpm'!B148,"")</x:f>
        <x:v>4979.95580078125</x:v>
      </x:c>
      <x:c r="I907" s="22" t="n">
        <x:f>IFERROR('5000rpm'!D148,"")</x:f>
        <x:v>2242.562240816317</x:v>
      </x:c>
      <x:c r="J907" s="22" t="n">
        <x:f>IFERROR('5000rpm'!D140,"")</x:f>
        <x:v>40.244392857142834</x:v>
      </x:c>
      <x:c r="K907" s="22" t="n">
        <x:f>IF(AND(ISNUMBER(I907),ISNUMBER(J907)),I907-J907,"")</x:f>
        <x:v>2202.3178479591743</x:v>
      </x:c>
      <x:c r="L907" s="22" t="n">
        <x:f>IF(ISNUMBER(K907),K907*$B$2+$B$3,"")</x:f>
        <x:v>2045.4487719189997</x:v>
      </x:c>
      <x:c r="M907" s="22" t="n">
        <x:f>IF(AND(ISNUMBER(G907),ISNUMBER(H907),H907&lt;&gt;0),G907/(H907/60)/$B$5,"")</x:f>
        <x:v>0.19392290872848963</x:v>
      </x:c>
      <x:c r="N907" s="22" t="n">
        <x:f>IF(AND(ISNUMBER(L907),ISNUMBER(H907),H907&lt;&gt;0),L907*$B$6/$B$4/(H907/60)^2/$B$5^4/$B$7,"")</x:f>
        <x:v>0.0552655216026796</x:v>
      </x:c>
      <x:c r="O907" s="22" t="n">
        <x:f>IF(ISNUMBER(N907),N907*$B$8,"")</x:f>
        <x:v>0.007140445692255522</x:v>
      </x:c>
      <x:c r="P907" s="20" t="str">
        <x:v>5000rpm!E148</x:v>
      </x:c>
      <x:c r="Q907" s="20" t="str">
        <x:v>5000rpm!D148</x:v>
      </x:c>
      <x:c r="R907" s="20" t="str">
        <x:v>5000rpm!D140</x:v>
      </x:c>
    </x:row>
    <x:row r="908">
      <x:c r="A908" s="21" t="n">
        <x:v>5000</x:v>
      </x:c>
      <x:c r="B908" s="21" t="n">
        <x:v>75</x:v>
      </x:c>
      <x:c r="C908" s="21" t="n">
        <x:v>9</x:v>
      </x:c>
      <x:c r="D908" s="21" t="n">
        <x:v>2</x:v>
      </x:c>
      <x:c r="E908" s="21" t="str">
        <x:v>5000rpm</x:v>
      </x:c>
      <x:c r="F908" s="21" t="n">
        <x:v>148</x:v>
      </x:c>
      <x:c r="G908" s="22" t="n">
        <x:f>IFERROR('5000rpm'!P148,"")</x:f>
        <x:v>7.35869458466094</x:v>
      </x:c>
      <x:c r="H908" s="22" t="n">
        <x:f>IFERROR('5000rpm'!M148,"")</x:f>
        <x:v>4989.96482155539</x:v>
      </x:c>
      <x:c r="I908" s="22" t="n">
        <x:f>IFERROR('5000rpm'!O148,"")</x:f>
        <x:v>2249.497018099542</x:v>
      </x:c>
      <x:c r="J908" s="22" t="n">
        <x:f>IFERROR('5000rpm'!O140,"")</x:f>
        <x:v>38.73213942307682</x:v>
      </x:c>
      <x:c r="K908" s="22" t="n">
        <x:f>IF(AND(ISNUMBER(I908),ISNUMBER(J908)),I908-J908,"")</x:f>
        <x:v>2210.7648786764653</x:v>
      </x:c>
      <x:c r="L908" s="22" t="n">
        <x:f>IF(ISNUMBER(K908),K908*$B$2+$B$3,"")</x:f>
        <x:v>2053.1837855230688</x:v>
      </x:c>
      <x:c r="M908" s="22" t="n">
        <x:f>IF(AND(ISNUMBER(G908),ISNUMBER(H908),H908&lt;&gt;0),G908/(H908/60)/$B$5,"")</x:f>
        <x:v>0.19353001178911935</x:v>
      </x:c>
      <x:c r="N908" s="22" t="n">
        <x:f>IF(AND(ISNUMBER(L908),ISNUMBER(H908),H908&lt;&gt;0),L908*$B$6/$B$4/(H908/60)^2/$B$5^4/$B$7,"")</x:f>
        <x:v>0.05525219052045221</x:v>
      </x:c>
      <x:c r="O908" s="22" t="n">
        <x:f>IF(ISNUMBER(N908),N908*$B$8,"")</x:f>
        <x:v>0.00713872328258846</x:v>
      </x:c>
      <x:c r="P908" s="20" t="str">
        <x:v>5000rpm!P148</x:v>
      </x:c>
      <x:c r="Q908" s="20" t="str">
        <x:v>5000rpm!O148</x:v>
      </x:c>
      <x:c r="R908" s="20" t="str">
        <x:v>5000rpm!O140</x:v>
      </x:c>
    </x:row>
    <x:row r="909">
      <x:c r="A909" s="21" t="n">
        <x:v>5000</x:v>
      </x:c>
      <x:c r="B909" s="21" t="n">
        <x:v>75</x:v>
      </x:c>
      <x:c r="C909" s="21" t="n">
        <x:v>10</x:v>
      </x:c>
      <x:c r="D909" s="21" t="n">
        <x:v>1</x:v>
      </x:c>
      <x:c r="E909" s="21" t="str">
        <x:v>5000rpm</x:v>
      </x:c>
      <x:c r="F909" s="21" t="n">
        <x:v>149</x:v>
      </x:c>
      <x:c r="G909" s="22" t="n">
        <x:f>IFERROR('5000rpm'!E149,"")</x:f>
        <x:v>8.27586636290085</x:v>
      </x:c>
      <x:c r="H909" s="22" t="n">
        <x:f>IFERROR('5000rpm'!B149,"")</x:f>
        <x:v>5015.201171875</x:v>
      </x:c>
      <x:c r="I909" s="22" t="n">
        <x:f>IFERROR('5000rpm'!D149,"")</x:f>
        <x:v>2100.728423841049</x:v>
      </x:c>
      <x:c r="J909" s="22" t="n">
        <x:f>IFERROR('5000rpm'!D140,"")</x:f>
        <x:v>40.244392857142834</x:v>
      </x:c>
      <x:c r="K909" s="22" t="n">
        <x:f>IF(AND(ISNUMBER(I909),ISNUMBER(J909)),I909-J909,"")</x:f>
        <x:v>2060.484030983906</x:v>
      </x:c>
      <x:c r="L909" s="22" t="n">
        <x:f>IF(ISNUMBER(K909),K909*$B$2+$B$3,"")</x:f>
        <x:v>1915.5704110442107</x:v>
      </x:c>
      <x:c r="M909" s="22" t="n">
        <x:f>IF(AND(ISNUMBER(G909),ISNUMBER(H909),H909&lt;&gt;0),G909/(H909/60)/$B$5,"")</x:f>
        <x:v>0.2165559593618551</x:v>
      </x:c>
      <x:c r="N909" s="22" t="n">
        <x:f>IF(AND(ISNUMBER(L909),ISNUMBER(H909),H909&lt;&gt;0),L909*$B$6/$B$4/(H909/60)^2/$B$5^4/$B$7,"")</x:f>
        <x:v>0.05103146617094561</x:v>
      </x:c>
      <x:c r="O909" s="22" t="n">
        <x:f>IF(ISNUMBER(N909),N909*$B$8,"")</x:f>
        <x:v>0.006593394981585486</x:v>
      </x:c>
      <x:c r="P909" s="20" t="str">
        <x:v>5000rpm!E149</x:v>
      </x:c>
      <x:c r="Q909" s="20" t="str">
        <x:v>5000rpm!D149</x:v>
      </x:c>
      <x:c r="R909" s="20" t="str">
        <x:v>5000rpm!D140</x:v>
      </x:c>
    </x:row>
    <x:row r="910">
      <x:c r="A910" s="21" t="n">
        <x:v>5000</x:v>
      </x:c>
      <x:c r="B910" s="21" t="n">
        <x:v>75</x:v>
      </x:c>
      <x:c r="C910" s="21" t="n">
        <x:v>10</x:v>
      </x:c>
      <x:c r="D910" s="21" t="n">
        <x:v>2</x:v>
      </x:c>
      <x:c r="E910" s="21" t="str">
        <x:v>5000rpm</x:v>
      </x:c>
      <x:c r="F910" s="21" t="n">
        <x:v>149</x:v>
      </x:c>
      <x:c r="G910" s="22" t="n">
        <x:f>IFERROR('5000rpm'!P149,"")</x:f>
        <x:v>8.26363167871128</x:v>
      </x:c>
      <x:c r="H910" s="22" t="n">
        <x:f>IFERROR('5000rpm'!M149,"")</x:f>
        <x:v>4965.34408291903</x:v>
      </x:c>
      <x:c r="I910" s="22" t="n">
        <x:f>IFERROR('5000rpm'!O149,"")</x:f>
        <x:v>2097.3176999999996</x:v>
      </x:c>
      <x:c r="J910" s="22" t="n">
        <x:f>IFERROR('5000rpm'!O140,"")</x:f>
        <x:v>38.73213942307682</x:v>
      </x:c>
      <x:c r="K910" s="22" t="n">
        <x:f>IF(AND(ISNUMBER(I910),ISNUMBER(J910)),I910-J910,"")</x:f>
        <x:v>2058.585560576923</x:v>
      </x:c>
      <x:c r="L910" s="22" t="n">
        <x:f>IF(ISNUMBER(K910),K910*$B$2+$B$3,"")</x:f>
        <x:v>1913.831966504773</x:v>
      </x:c>
      <x:c r="M910" s="22" t="n">
        <x:f>IF(AND(ISNUMBER(G910),ISNUMBER(H910),H910&lt;&gt;0),G910/(H910/60)/$B$5,"")</x:f>
        <x:v>0.2184070391614981</x:v>
      </x:c>
      <x:c r="N910" s="22" t="n">
        <x:f>IF(AND(ISNUMBER(L910),ISNUMBER(H910),H910&lt;&gt;0),L910*$B$6/$B$4/(H910/60)^2/$B$5^4/$B$7,"")</x:f>
        <x:v>0.052014179091077986</x:v>
      </x:c>
      <x:c r="O910" s="22" t="n">
        <x:f>IF(ISNUMBER(N910),N910*$B$8,"")</x:f>
        <x:v>0.006720363985655157</x:v>
      </x:c>
      <x:c r="P910" s="20" t="str">
        <x:v>5000rpm!P149</x:v>
      </x:c>
      <x:c r="Q910" s="20" t="str">
        <x:v>5000rpm!O149</x:v>
      </x:c>
      <x:c r="R910" s="20" t="str">
        <x:v>5000rpm!O140</x:v>
      </x:c>
    </x:row>
    <x:row r="911">
      <x:c r="A911" s="21" t="n">
        <x:v>5000</x:v>
      </x:c>
      <x:c r="B911" s="21" t="n">
        <x:v>75</x:v>
      </x:c>
      <x:c r="C911" s="21" t="n">
        <x:v>11</x:v>
      </x:c>
      <x:c r="D911" s="21" t="n">
        <x:v>1</x:v>
      </x:c>
      <x:c r="E911" s="21" t="str">
        <x:v>5000rpm</x:v>
      </x:c>
      <x:c r="F911" s="21" t="n">
        <x:v>150</x:v>
      </x:c>
      <x:c r="G911" s="22" t="n">
        <x:f>IFERROR('5000rpm'!E150,"")</x:f>
        <x:v>9.292309462256686</x:v>
      </x:c>
      <x:c r="H911" s="22" t="n">
        <x:f>IFERROR('5000rpm'!B150,"")</x:f>
        <x:v>4999.98006538722</x:v>
      </x:c>
      <x:c r="I911" s="22" t="n">
        <x:f>IFERROR('5000rpm'!D150,"")</x:f>
        <x:v>1930.8660903225732</x:v>
      </x:c>
      <x:c r="J911" s="22" t="n">
        <x:f>IFERROR('5000rpm'!D140,"")</x:f>
        <x:v>40.244392857142834</x:v>
      </x:c>
      <x:c r="K911" s="22" t="n">
        <x:f>IF(AND(ISNUMBER(I911),ISNUMBER(J911)),I911-J911,"")</x:f>
        <x:v>1890.6216974654303</x:v>
      </x:c>
      <x:c r="L911" s="22" t="n">
        <x:f>IF(ISNUMBER(K911),K911*$B$2+$B$3,"")</x:f>
        <x:v>1760.0261133426743</x:v>
      </x:c>
      <x:c r="M911" s="22" t="n">
        <x:f>IF(AND(ISNUMBER(G911),ISNUMBER(H911),H911&lt;&gt;0),G911/(H911/60)/$B$5,"")</x:f>
        <x:v>0.24389360918956915</x:v>
      </x:c>
      <x:c r="N911" s="22" t="n">
        <x:f>IF(AND(ISNUMBER(L911),ISNUMBER(H911),H911&lt;&gt;0),L911*$B$6/$B$4/(H911/60)^2/$B$5^4/$B$7,"")</x:f>
        <x:v>0.0471736204461052</x:v>
      </x:c>
      <x:c r="O911" s="22" t="n">
        <x:f>IF(ISNUMBER(N911),N911*$B$8,"")</x:f>
        <x:v>0.006094951520120221</x:v>
      </x:c>
      <x:c r="P911" s="20" t="str">
        <x:v>5000rpm!E150</x:v>
      </x:c>
      <x:c r="Q911" s="20" t="str">
        <x:v>5000rpm!D150</x:v>
      </x:c>
      <x:c r="R911" s="20" t="str">
        <x:v>5000rpm!D140</x:v>
      </x:c>
    </x:row>
    <x:row r="912">
      <x:c r="A912" s="21" t="n">
        <x:v>5000</x:v>
      </x:c>
      <x:c r="B912" s="21" t="n">
        <x:v>75</x:v>
      </x:c>
      <x:c r="C912" s="21" t="n">
        <x:v>11</x:v>
      </x:c>
      <x:c r="D912" s="21" t="n">
        <x:v>2</x:v>
      </x:c>
      <x:c r="E912" s="21" t="str">
        <x:v>5000rpm</x:v>
      </x:c>
      <x:c r="F912" s="21" t="n">
        <x:v>150</x:v>
      </x:c>
      <x:c r="G912" s="22" t="n">
        <x:f>IFERROR('5000rpm'!P150,"")</x:f>
        <x:v>9.288313670236544</x:v>
      </x:c>
      <x:c r="H912" s="22" t="n">
        <x:f>IFERROR('5000rpm'!M150,"")</x:f>
        <x:v>5009.89634874131</x:v>
      </x:c>
      <x:c r="I912" s="22" t="n">
        <x:f>IFERROR('5000rpm'!O150,"")</x:f>
        <x:v>1951.900270491802</x:v>
      </x:c>
      <x:c r="J912" s="22" t="n">
        <x:f>IFERROR('5000rpm'!O140,"")</x:f>
        <x:v>38.73213942307682</x:v>
      </x:c>
      <x:c r="K912" s="22" t="n">
        <x:f>IF(AND(ISNUMBER(I912),ISNUMBER(J912)),I912-J912,"")</x:f>
        <x:v>1913.1681310687252</x:v>
      </x:c>
      <x:c r="L912" s="22" t="n">
        <x:f>IF(ISNUMBER(K912),K912*$B$2+$B$3,"")</x:f>
        <x:v>1780.6720629646802</x:v>
      </x:c>
      <x:c r="M912" s="22" t="n">
        <x:f>IF(AND(ISNUMBER(G912),ISNUMBER(H912),H912&lt;&gt;0),G912/(H912/60)/$B$5,"")</x:f>
        <x:v>0.2433061917886904</x:v>
      </x:c>
      <x:c r="N912" s="22" t="n">
        <x:f>IF(AND(ISNUMBER(L912),ISNUMBER(H912),H912&lt;&gt;0),L912*$B$6/$B$4/(H912/60)^2/$B$5^4/$B$7,"")</x:f>
        <x:v>0.04753824081487176</x:v>
      </x:c>
      <x:c r="O912" s="22" t="n">
        <x:f>IF(ISNUMBER(N912),N912*$B$8,"")</x:f>
        <x:v>0.006142061397417417</x:v>
      </x:c>
      <x:c r="P912" s="20" t="str">
        <x:v>5000rpm!P150</x:v>
      </x:c>
      <x:c r="Q912" s="20" t="str">
        <x:v>5000rpm!O150</x:v>
      </x:c>
      <x:c r="R912" s="20" t="str">
        <x:v>5000rpm!O140</x:v>
      </x:c>
    </x:row>
    <x:row r="913">
      <x:c r="A913" s="21" t="n">
        <x:v>5000</x:v>
      </x:c>
      <x:c r="B913" s="21" t="n">
        <x:v>75</x:v>
      </x:c>
      <x:c r="C913" s="21" t="n">
        <x:v>12</x:v>
      </x:c>
      <x:c r="D913" s="21" t="n">
        <x:v>1</x:v>
      </x:c>
      <x:c r="E913" s="21" t="str">
        <x:v>5000rpm</x:v>
      </x:c>
      <x:c r="F913" s="21" t="n">
        <x:v>151</x:v>
      </x:c>
      <x:c r="G913" s="22" t="n">
        <x:f>IFERROR('5000rpm'!E151,"")</x:f>
        <x:v>10.229763648339674</x:v>
      </x:c>
      <x:c r="H913" s="22" t="n">
        <x:f>IFERROR('5000rpm'!B151,"")</x:f>
        <x:v>5067.81525213068</x:v>
      </x:c>
      <x:c r="I913" s="22" t="n">
        <x:f>IFERROR('5000rpm'!D151,"")</x:f>
        <x:v>1797.777979999993</x:v>
      </x:c>
      <x:c r="J913" s="22" t="n">
        <x:f>IFERROR('5000rpm'!D140,"")</x:f>
        <x:v>40.244392857142834</x:v>
      </x:c>
      <x:c r="K913" s="22" t="n">
        <x:f>IF(AND(ISNUMBER(I913),ISNUMBER(J913)),I913-J913,"")</x:f>
        <x:v>1757.5335871428501</x:v>
      </x:c>
      <x:c r="L913" s="22" t="n">
        <x:f>IF(ISNUMBER(K913),K913*$B$2+$B$3,"")</x:f>
        <x:v>1638.156266015405</x:v>
      </x:c>
      <x:c r="M913" s="22" t="n">
        <x:f>IF(AND(ISNUMBER(G913),ISNUMBER(H913),H913&lt;&gt;0),G913/(H913/60)/$B$5,"")</x:f>
        <x:v>0.2649048161723505</x:v>
      </x:c>
      <x:c r="N913" s="22" t="n">
        <x:f>IF(AND(ISNUMBER(L913),ISNUMBER(H913),H913&lt;&gt;0),L913*$B$6/$B$4/(H913/60)^2/$B$5^4/$B$7,"")</x:f>
        <x:v>0.042739596875856656</x:v>
      </x:c>
      <x:c r="O913" s="22" t="n">
        <x:f>IF(ISNUMBER(N913),N913*$B$8,"")</x:f>
        <x:v>0.005522064418300022</x:v>
      </x:c>
      <x:c r="P913" s="20" t="str">
        <x:v>5000rpm!E151</x:v>
      </x:c>
      <x:c r="Q913" s="20" t="str">
        <x:v>5000rpm!D151</x:v>
      </x:c>
      <x:c r="R913" s="20" t="str">
        <x:v>5000rpm!D140</x:v>
      </x:c>
    </x:row>
    <x:row r="914">
      <x:c r="A914" s="21" t="n">
        <x:v>5000</x:v>
      </x:c>
      <x:c r="B914" s="21" t="n">
        <x:v>75</x:v>
      </x:c>
      <x:c r="C914" s="21" t="n">
        <x:v>12</x:v>
      </x:c>
      <x:c r="D914" s="21" t="n">
        <x:v>2</x:v>
      </x:c>
      <x:c r="E914" s="21" t="str">
        <x:v>5000rpm</x:v>
      </x:c>
      <x:c r="F914" s="21" t="n">
        <x:v>151</x:v>
      </x:c>
      <x:c r="G914" s="22" t="n">
        <x:f>IFERROR('5000rpm'!P151,"")</x:f>
        <x:v>10.226339532904426</x:v>
      </x:c>
      <x:c r="H914" s="22" t="n">
        <x:f>IFERROR('5000rpm'!M151,"")</x:f>
        <x:v>5061.10422585227</x:v>
      </x:c>
      <x:c r="I914" s="22" t="n">
        <x:f>IFERROR('5000rpm'!O151,"")</x:f>
        <x:v>1816.2168878718517</x:v>
      </x:c>
      <x:c r="J914" s="22" t="n">
        <x:f>IFERROR('5000rpm'!O140,"")</x:f>
        <x:v>38.73213942307682</x:v>
      </x:c>
      <x:c r="K914" s="22" t="n">
        <x:f>IF(AND(ISNUMBER(I914),ISNUMBER(J914)),I914-J914,"")</x:f>
        <x:v>1777.4847484487748</x:v>
      </x:c>
      <x:c r="L914" s="22" t="n">
        <x:f>IF(ISNUMBER(K914),K914*$B$2+$B$3,"")</x:f>
        <x:v>1656.4257040325306</x:v>
      </x:c>
      <x:c r="M914" s="22" t="n">
        <x:f>IF(AND(ISNUMBER(G914),ISNUMBER(H914),H914&lt;&gt;0),G914/(H914/60)/$B$5,"")</x:f>
        <x:v>0.26516729332008854</x:v>
      </x:c>
      <x:c r="N914" s="22" t="n">
        <x:f>IF(AND(ISNUMBER(L914),ISNUMBER(H914),H914&lt;&gt;0),L914*$B$6/$B$4/(H914/60)^2/$B$5^4/$B$7,"")</x:f>
        <x:v>0.04333093313808427</x:v>
      </x:c>
      <x:c r="O914" s="22" t="n">
        <x:f>IF(ISNUMBER(N914),N914*$B$8,"")</x:f>
        <x:v>0.005598466564590321</x:v>
      </x:c>
      <x:c r="P914" s="20" t="str">
        <x:v>5000rpm!P151</x:v>
      </x:c>
      <x:c r="Q914" s="20" t="str">
        <x:v>5000rpm!O151</x:v>
      </x:c>
      <x:c r="R914" s="20" t="str">
        <x:v>5000rpm!O140</x:v>
      </x:c>
    </x:row>
    <x:row r="915">
      <x:c r="A915" s="21" t="n">
        <x:v>5000</x:v>
      </x:c>
      <x:c r="B915" s="21" t="n">
        <x:v>75</x:v>
      </x:c>
      <x:c r="C915" s="21" t="n">
        <x:v>13</x:v>
      </x:c>
      <x:c r="D915" s="21" t="n">
        <x:v>1</x:v>
      </x:c>
      <x:c r="E915" s="21" t="str">
        <x:v>5000rpm</x:v>
      </x:c>
      <x:c r="F915" s="21" t="n">
        <x:v>152</x:v>
      </x:c>
      <x:c r="G915" s="22" t="n">
        <x:f>IFERROR('5000rpm'!E152,"")</x:f>
        <x:v>9.299374750060755</x:v>
      </x:c>
      <x:c r="H915" s="22" t="n">
        <x:f>IFERROR('5000rpm'!B152,"")</x:f>
        <x:v>5017.50831886574</x:v>
      </x:c>
      <x:c r="I915" s="22" t="n">
        <x:f>IFERROR('5000rpm'!D152,"")</x:f>
        <x:v>1909.7331295620424</x:v>
      </x:c>
      <x:c r="J915" s="22" t="n">
        <x:f>IFERROR('5000rpm'!D140,"")</x:f>
        <x:v>40.244392857142834</x:v>
      </x:c>
      <x:c r="K915" s="22" t="n">
        <x:f>IF(AND(ISNUMBER(I915),ISNUMBER(J915)),I915-J915,"")</x:f>
        <x:v>1869.4887367048996</x:v>
      </x:c>
      <x:c r="L915" s="22" t="n">
        <x:f>IF(ISNUMBER(K915),K915*$B$2+$B$3,"")</x:f>
        <x:v>1740.67449211057</x:v>
      </x:c>
      <x:c r="M915" s="22" t="n">
        <x:f>IF(AND(ISNUMBER(G915),ISNUMBER(H915),H915&lt;&gt;0),G915/(H915/60)/$B$5,"")</x:f>
        <x:v>0.2432263804244101</x:v>
      </x:c>
      <x:c r="N915" s="22" t="n">
        <x:f>IF(AND(ISNUMBER(L915),ISNUMBER(H915),H915&lt;&gt;0),L915*$B$6/$B$4/(H915/60)^2/$B$5^4/$B$7,"")</x:f>
        <x:v>0.046329541842888095</x:v>
      </x:c>
      <x:c r="O915" s="22" t="n">
        <x:f>IF(ISNUMBER(N915),N915*$B$8,"")</x:f>
        <x:v>0.0059858944217434555</x:v>
      </x:c>
      <x:c r="P915" s="20" t="str">
        <x:v>5000rpm!E152</x:v>
      </x:c>
      <x:c r="Q915" s="20" t="str">
        <x:v>5000rpm!D152</x:v>
      </x:c>
      <x:c r="R915" s="20" t="str">
        <x:v>5000rpm!D140</x:v>
      </x:c>
    </x:row>
    <x:row r="916">
      <x:c r="A916" s="21" t="n">
        <x:v>5000</x:v>
      </x:c>
      <x:c r="B916" s="21" t="n">
        <x:v>75</x:v>
      </x:c>
      <x:c r="C916" s="21" t="n">
        <x:v>13</x:v>
      </x:c>
      <x:c r="D916" s="21" t="n">
        <x:v>2</x:v>
      </x:c>
      <x:c r="E916" s="21" t="str">
        <x:v>5000rpm</x:v>
      </x:c>
      <x:c r="F916" s="21" t="n">
        <x:v>152</x:v>
      </x:c>
      <x:c r="G916" s="22" t="n">
        <x:f>IFERROR('5000rpm'!P152,"")</x:f>
        <x:v>9.296776339411725</x:v>
      </x:c>
      <x:c r="H916" s="22" t="n">
        <x:f>IFERROR('5000rpm'!M152,"")</x:f>
        <x:v>4992.58669433593</x:v>
      </x:c>
      <x:c r="I916" s="22" t="n">
        <x:f>IFERROR('5000rpm'!O152,"")</x:f>
        <x:v>1915.2482271540464</x:v>
      </x:c>
      <x:c r="J916" s="22" t="n">
        <x:f>IFERROR('5000rpm'!O140,"")</x:f>
        <x:v>38.73213942307682</x:v>
      </x:c>
      <x:c r="K916" s="22" t="n">
        <x:f>IF(AND(ISNUMBER(I916),ISNUMBER(J916)),I916-J916,"")</x:f>
        <x:v>1876.5160877309695</x:v>
      </x:c>
      <x:c r="L916" s="22" t="n">
        <x:f>IF(ISNUMBER(K916),K916*$B$2+$B$3,"")</x:f>
        <x:v>1747.1094936639506</x:v>
      </x:c>
      <x:c r="M916" s="22" t="n">
        <x:f>IF(AND(ISNUMBER(G916),ISNUMBER(H916),H916&lt;&gt;0),G916/(H916/60)/$B$5,"")</x:f>
        <x:v>0.2443721988360029</x:v>
      </x:c>
      <x:c r="N916" s="22" t="n">
        <x:f>IF(AND(ISNUMBER(L916),ISNUMBER(H916),H916&lt;&gt;0),L916*$B$6/$B$4/(H916/60)^2/$B$5^4/$B$7,"")</x:f>
        <x:v>0.04696621224294258</x:v>
      </x:c>
      <x:c r="O916" s="22" t="n">
        <x:f>IF(ISNUMBER(N916),N916*$B$8,"")</x:f>
        <x:v>0.006068153853729622</x:v>
      </x:c>
      <x:c r="P916" s="20" t="str">
        <x:v>5000rpm!P152</x:v>
      </x:c>
      <x:c r="Q916" s="20" t="str">
        <x:v>5000rpm!O152</x:v>
      </x:c>
      <x:c r="R916" s="20" t="str">
        <x:v>5000rpm!O140</x:v>
      </x:c>
    </x:row>
    <x:row r="917">
      <x:c r="A917" s="21" t="n">
        <x:v>5000</x:v>
      </x:c>
      <x:c r="B917" s="21" t="n">
        <x:v>75</x:v>
      </x:c>
      <x:c r="C917" s="21" t="n">
        <x:v>14</x:v>
      </x:c>
      <x:c r="D917" s="21" t="n">
        <x:v>1</x:v>
      </x:c>
      <x:c r="E917" s="21" t="str">
        <x:v>5000rpm</x:v>
      </x:c>
      <x:c r="F917" s="21" t="n">
        <x:v>153</x:v>
      </x:c>
      <x:c r="G917" s="22" t="n">
        <x:f>IFERROR('5000rpm'!E153,"")</x:f>
        <x:v>8.28703632831573</x:v>
      </x:c>
      <x:c r="H917" s="22" t="n">
        <x:f>IFERROR('5000rpm'!B153,"")</x:f>
        <x:v>4990.17232421875</x:v>
      </x:c>
      <x:c r="I917" s="22" t="n">
        <x:f>IFERROR('5000rpm'!D153,"")</x:f>
        <x:v>2082.1851017964004</x:v>
      </x:c>
      <x:c r="J917" s="22" t="n">
        <x:f>IFERROR('5000rpm'!D140,"")</x:f>
        <x:v>40.244392857142834</x:v>
      </x:c>
      <x:c r="K917" s="22" t="n">
        <x:f>IF(AND(ISNUMBER(I917),ISNUMBER(J917)),I917-J917,"")</x:f>
        <x:v>2041.9407089392575</x:v>
      </x:c>
      <x:c r="L917" s="22" t="n">
        <x:f>IF(ISNUMBER(K917),K917*$B$2+$B$3,"")</x:f>
        <x:v>1898.5901427013496</x:v>
      </x:c>
      <x:c r="M917" s="22" t="n">
        <x:f>IF(AND(ISNUMBER(G917),ISNUMBER(H917),H917&lt;&gt;0),G917/(H917/60)/$B$5,"")</x:f>
        <x:v>0.21793587580459264</x:v>
      </x:c>
      <x:c r="N917" s="22" t="n">
        <x:f>IF(AND(ISNUMBER(L917),ISNUMBER(H917),H917&lt;&gt;0),L917*$B$6/$B$4/(H917/60)^2/$B$5^4/$B$7,"")</x:f>
        <x:v>0.051087750225585336</x:v>
      </x:c>
      <x:c r="O917" s="22" t="n">
        <x:f>IF(ISNUMBER(N917),N917*$B$8,"")</x:f>
        <x:v>0.006600667024331853</x:v>
      </x:c>
      <x:c r="P917" s="20" t="str">
        <x:v>5000rpm!E153</x:v>
      </x:c>
      <x:c r="Q917" s="20" t="str">
        <x:v>5000rpm!D153</x:v>
      </x:c>
      <x:c r="R917" s="20" t="str">
        <x:v>5000rpm!D140</x:v>
      </x:c>
    </x:row>
    <x:row r="918">
      <x:c r="A918" s="21" t="n">
        <x:v>5000</x:v>
      </x:c>
      <x:c r="B918" s="21" t="n">
        <x:v>75</x:v>
      </x:c>
      <x:c r="C918" s="21" t="n">
        <x:v>14</x:v>
      </x:c>
      <x:c r="D918" s="21" t="n">
        <x:v>2</x:v>
      </x:c>
      <x:c r="E918" s="21" t="str">
        <x:v>5000rpm</x:v>
      </x:c>
      <x:c r="F918" s="21" t="n">
        <x:v>153</x:v>
      </x:c>
      <x:c r="G918" s="22" t="n">
        <x:f>IFERROR('5000rpm'!P153,"")</x:f>
        <x:v>8.269256554666109</x:v>
      </x:c>
      <x:c r="H918" s="22" t="n">
        <x:f>IFERROR('5000rpm'!M153,"")</x:f>
        <x:v>4991.838671875</x:v>
      </x:c>
      <x:c r="I918" s="22" t="n">
        <x:f>IFERROR('5000rpm'!O153,"")</x:f>
        <x:v>2133.355954918023</x:v>
      </x:c>
      <x:c r="J918" s="22" t="n">
        <x:f>IFERROR('5000rpm'!O140,"")</x:f>
        <x:v>38.73213942307682</x:v>
      </x:c>
      <x:c r="K918" s="22" t="n">
        <x:f>IF(AND(ISNUMBER(I918),ISNUMBER(J918)),I918-J918,"")</x:f>
        <x:v>2094.6238154949465</x:v>
      </x:c>
      <x:c r="L918" s="22" t="n">
        <x:f>IF(ISNUMBER(K918),K918*$B$2+$B$3,"")</x:f>
        <x:v>1946.8324848392465</x:v>
      </x:c>
      <x:c r="M918" s="22" t="n">
        <x:f>IF(AND(ISNUMBER(G918),ISNUMBER(H918),H918&lt;&gt;0),G918/(H918/60)/$B$5,"")</x:f>
        <x:v>0.21739570198455085</x:v>
      </x:c>
      <x:c r="N918" s="22" t="n">
        <x:f>IF(AND(ISNUMBER(L918),ISNUMBER(H918),H918&lt;&gt;0),L918*$B$6/$B$4/(H918/60)^2/$B$5^4/$B$7,"")</x:f>
        <x:v>0.05235089905685525</x:v>
      </x:c>
      <x:c r="O918" s="22" t="n">
        <x:f>IF(ISNUMBER(N918),N918*$B$8,"")</x:f>
        <x:v>0.006763869060056086</x:v>
      </x:c>
      <x:c r="P918" s="20" t="str">
        <x:v>5000rpm!P153</x:v>
      </x:c>
      <x:c r="Q918" s="20" t="str">
        <x:v>5000rpm!O153</x:v>
      </x:c>
      <x:c r="R918" s="20" t="str">
        <x:v>5000rpm!O140</x:v>
      </x:c>
    </x:row>
    <x:row r="919">
      <x:c r="A919" s="21" t="n">
        <x:v>5000</x:v>
      </x:c>
      <x:c r="B919" s="21" t="n">
        <x:v>75</x:v>
      </x:c>
      <x:c r="C919" s="21" t="n">
        <x:v>15</x:v>
      </x:c>
      <x:c r="D919" s="21" t="n">
        <x:v>1</x:v>
      </x:c>
      <x:c r="E919" s="21" t="str">
        <x:v>5000rpm</x:v>
      </x:c>
      <x:c r="F919" s="21" t="n">
        <x:v>154</x:v>
      </x:c>
      <x:c r="G919" s="22" t="n">
        <x:f>IFERROR('5000rpm'!E154,"")</x:f>
        <x:v>7.172567041481235</x:v>
      </x:c>
      <x:c r="H919" s="22" t="n">
        <x:f>IFERROR('5000rpm'!B154,"")</x:f>
        <x:v>4951.10555917245</x:v>
      </x:c>
      <x:c r="I919" s="22" t="n">
        <x:f>IFERROR('5000rpm'!D154,"")</x:f>
        <x:v>2250.0730753676403</x:v>
      </x:c>
      <x:c r="J919" s="22" t="n">
        <x:f>IFERROR('5000rpm'!D140,"")</x:f>
        <x:v>40.244392857142834</x:v>
      </x:c>
      <x:c r="K919" s="22" t="n">
        <x:f>IF(AND(ISNUMBER(I919),ISNUMBER(J919)),I919-J919,"")</x:f>
        <x:v>2209.8286825104974</x:v>
      </x:c>
      <x:c r="L919" s="22" t="n">
        <x:f>IF(ISNUMBER(K919),K919*$B$2+$B$3,"")</x:f>
        <x:v>2052.3265032043223</x:v>
      </x:c>
      <x:c r="M919" s="22" t="n">
        <x:f>IF(AND(ISNUMBER(G919),ISNUMBER(H919),H919&lt;&gt;0),G919/(H919/60)/$B$5,"")</x:f>
        <x:v>0.19011547072150192</x:v>
      </x:c>
      <x:c r="N919" s="22" t="n">
        <x:f>IF(AND(ISNUMBER(L919),ISNUMBER(H919),H919&lt;&gt;0),L919*$B$6/$B$4/(H919/60)^2/$B$5^4/$B$7,"")</x:f>
        <x:v>0.05609946566834096</x:v>
      </x:c>
      <x:c r="O919" s="22" t="n">
        <x:f>IF(ISNUMBER(N919),N919*$B$8,"")</x:f>
        <x:v>0.007248193382651789</x:v>
      </x:c>
      <x:c r="P919" s="20" t="str">
        <x:v>5000rpm!E154</x:v>
      </x:c>
      <x:c r="Q919" s="20" t="str">
        <x:v>5000rpm!D154</x:v>
      </x:c>
      <x:c r="R919" s="20" t="str">
        <x:v>5000rpm!D140</x:v>
      </x:c>
    </x:row>
    <x:row r="920">
      <x:c r="A920" s="21" t="n">
        <x:v>5000</x:v>
      </x:c>
      <x:c r="B920" s="21" t="n">
        <x:v>75</x:v>
      </x:c>
      <x:c r="C920" s="21" t="n">
        <x:v>15</x:v>
      </x:c>
      <x:c r="D920" s="21" t="n">
        <x:v>2</x:v>
      </x:c>
      <x:c r="E920" s="21" t="str">
        <x:v>5000rpm</x:v>
      </x:c>
      <x:c r="F920" s="21" t="n">
        <x:v>154</x:v>
      </x:c>
      <x:c r="G920" s="22" t="n">
        <x:f>IFERROR('5000rpm'!P154,"")</x:f>
        <x:v>7.17454213130322</x:v>
      </x:c>
      <x:c r="H920" s="22" t="n">
        <x:f>IFERROR('5000rpm'!M154,"")</x:f>
        <x:v>4949.0610988451</x:v>
      </x:c>
      <x:c r="I920" s="22" t="n">
        <x:f>IFERROR('5000rpm'!O154,"")</x:f>
        <x:v>2303.8660084566536</x:v>
      </x:c>
      <x:c r="J920" s="22" t="n">
        <x:f>IFERROR('5000rpm'!O140,"")</x:f>
        <x:v>38.73213942307682</x:v>
      </x:c>
      <x:c r="K920" s="22" t="n">
        <x:f>IF(AND(ISNUMBER(I920),ISNUMBER(J920)),I920-J920,"")</x:f>
        <x:v>2265.133869033577</x:v>
      </x:c>
      <x:c r="L920" s="22" t="n">
        <x:f>IF(ISNUMBER(K920),K920*$B$2+$B$3,"")</x:f>
        <x:v>2102.9699049449987</x:v>
      </x:c>
      <x:c r="M920" s="22" t="n">
        <x:f>IF(AND(ISNUMBER(G920),ISNUMBER(H920),H920&lt;&gt;0),G920/(H920/60)/$B$5,"")</x:f>
        <x:v>0.1902463807393687</x:v>
      </x:c>
      <x:c r="N920" s="22" t="n">
        <x:f>IF(AND(ISNUMBER(L920),ISNUMBER(H920),H920&lt;&gt;0),L920*$B$6/$B$4/(H920/60)^2/$B$5^4/$B$7,"")</x:f>
        <x:v>0.0575312843412452</x:v>
      </x:c>
      <x:c r="O920" s="22" t="n">
        <x:f>IF(ISNUMBER(N920),N920*$B$8,"")</x:f>
        <x:v>0.00743318799011306</x:v>
      </x:c>
      <x:c r="P920" s="20" t="str">
        <x:v>5000rpm!P154</x:v>
      </x:c>
      <x:c r="Q920" s="20" t="str">
        <x:v>5000rpm!O154</x:v>
      </x:c>
      <x:c r="R920" s="20" t="str">
        <x:v>5000rpm!O140</x:v>
      </x:c>
    </x:row>
    <x:row r="921">
      <x:c r="A921" s="21" t="n">
        <x:v>5000</x:v>
      </x:c>
      <x:c r="B921" s="21" t="n">
        <x:v>75</x:v>
      </x:c>
      <x:c r="C921" s="21" t="n">
        <x:v>16</x:v>
      </x:c>
      <x:c r="D921" s="21" t="n">
        <x:v>1</x:v>
      </x:c>
      <x:c r="E921" s="21" t="str">
        <x:v>5000rpm</x:v>
      </x:c>
      <x:c r="F921" s="21" t="n">
        <x:v>155</x:v>
      </x:c>
      <x:c r="G921" s="22" t="n">
        <x:f>IFERROR('5000rpm'!E155,"")</x:f>
        <x:v>6.255576917517029</x:v>
      </x:c>
      <x:c r="H921" s="22" t="n">
        <x:f>IFERROR('5000rpm'!B155,"")</x:f>
        <x:v>4961.26487223307</x:v>
      </x:c>
      <x:c r="I921" s="22" t="n">
        <x:f>IFERROR('5000rpm'!D155,"")</x:f>
        <x:v>2318.4012874493915</x:v>
      </x:c>
      <x:c r="J921" s="22" t="n">
        <x:f>IFERROR('5000rpm'!D140,"")</x:f>
        <x:v>40.244392857142834</x:v>
      </x:c>
      <x:c r="K921" s="22" t="n">
        <x:f>IF(AND(ISNUMBER(I921),ISNUMBER(J921)),I921-J921,"")</x:f>
        <x:v>2278.1568945922486</x:v>
      </x:c>
      <x:c r="L921" s="22" t="n">
        <x:f>IF(ISNUMBER(K921),K921*$B$2+$B$3,"")</x:f>
        <x:v>2114.8951936332787</x:v>
      </x:c>
      <x:c r="M921" s="22" t="n">
        <x:f>IF(AND(ISNUMBER(G921),ISNUMBER(H921),H921&lt;&gt;0),G921/(H921/60)/$B$5,"")</x:f>
        <x:v>0.165470272971541</x:v>
      </x:c>
      <x:c r="N921" s="22" t="n">
        <x:f>IF(AND(ISNUMBER(L921),ISNUMBER(H921),H921&lt;&gt;0),L921*$B$6/$B$4/(H921/60)^2/$B$5^4/$B$7,"")</x:f>
        <x:v>0.05757323930220305</x:v>
      </x:c>
      <x:c r="O921" s="22" t="n">
        <x:f>IF(ISNUMBER(N921),N921*$B$8,"")</x:f>
        <x:v>0.007438608677578818</x:v>
      </x:c>
      <x:c r="P921" s="20" t="str">
        <x:v>5000rpm!E155</x:v>
      </x:c>
      <x:c r="Q921" s="20" t="str">
        <x:v>5000rpm!D155</x:v>
      </x:c>
      <x:c r="R921" s="20" t="str">
        <x:v>5000rpm!D140</x:v>
      </x:c>
    </x:row>
    <x:row r="922">
      <x:c r="A922" s="21" t="n">
        <x:v>5000</x:v>
      </x:c>
      <x:c r="B922" s="21" t="n">
        <x:v>75</x:v>
      </x:c>
      <x:c r="C922" s="21" t="n">
        <x:v>16</x:v>
      </x:c>
      <x:c r="D922" s="21" t="n">
        <x:v>2</x:v>
      </x:c>
      <x:c r="E922" s="21" t="str">
        <x:v>5000rpm</x:v>
      </x:c>
      <x:c r="F922" s="21" t="n">
        <x:v>155</x:v>
      </x:c>
      <x:c r="G922" s="22" t="n">
        <x:f>IFERROR('5000rpm'!P155,"")</x:f>
        <x:v>6.254832571461074</x:v>
      </x:c>
      <x:c r="H922" s="22" t="n">
        <x:f>IFERROR('5000rpm'!M155,"")</x:f>
        <x:v>4919.2359765625</x:v>
      </x:c>
      <x:c r="I922" s="22" t="n">
        <x:f>IFERROR('5000rpm'!O155,"")</x:f>
        <x:v>2403.634306163018</x:v>
      </x:c>
      <x:c r="J922" s="22" t="n">
        <x:f>IFERROR('5000rpm'!O140,"")</x:f>
        <x:v>38.73213942307682</x:v>
      </x:c>
      <x:c r="K922" s="22" t="n">
        <x:f>IF(AND(ISNUMBER(I922),ISNUMBER(J922)),I922-J922,"")</x:f>
        <x:v>2364.9021667399415</x:v>
      </x:c>
      <x:c r="L922" s="22" t="n">
        <x:f>IF(ISNUMBER(K922),K922*$B$2+$B$3,"")</x:f>
        <x:v>2194.3285333010986</x:v>
      </x:c>
      <x:c r="M922" s="22" t="n">
        <x:f>IF(AND(ISNUMBER(G922),ISNUMBER(H922),H922&lt;&gt;0),G922/(H922/60)/$B$5,"")</x:f>
        <x:v>0.1668641580509574</x:v>
      </x:c>
      <x:c r="N922" s="22" t="n">
        <x:f>IF(AND(ISNUMBER(L922),ISNUMBER(H922),H922&lt;&gt;0),L922*$B$6/$B$4/(H922/60)^2/$B$5^4/$B$7,"")</x:f>
        <x:v>0.06076072965933101</x:v>
      </x:c>
      <x:c r="O922" s="22" t="n">
        <x:f>IF(ISNUMBER(N922),N922*$B$8,"")</x:f>
        <x:v>0.007850440523721329</x:v>
      </x:c>
      <x:c r="P922" s="20" t="str">
        <x:v>5000rpm!P155</x:v>
      </x:c>
      <x:c r="Q922" s="20" t="str">
        <x:v>5000rpm!O155</x:v>
      </x:c>
      <x:c r="R922" s="20" t="str">
        <x:v>5000rpm!O140</x:v>
      </x:c>
    </x:row>
    <x:row r="923">
      <x:c r="A923" s="21" t="n">
        <x:v>5000</x:v>
      </x:c>
      <x:c r="B923" s="21" t="n">
        <x:v>75</x:v>
      </x:c>
      <x:c r="C923" s="21" t="n">
        <x:v>17</x:v>
      </x:c>
      <x:c r="D923" s="21" t="n">
        <x:v>1</x:v>
      </x:c>
      <x:c r="E923" s="21" t="str">
        <x:v>5000rpm</x:v>
      </x:c>
      <x:c r="F923" s="21" t="n">
        <x:v>156</x:v>
      </x:c>
      <x:c r="G923" s="22" t="n">
        <x:f>IFERROR('5000rpm'!E156,"")</x:f>
        <x:v>5.231477302820685</x:v>
      </x:c>
      <x:c r="H923" s="22" t="n">
        <x:f>IFERROR('5000rpm'!B156,"")</x:f>
        <x:v>4929.40293817934</x:v>
      </x:c>
      <x:c r="I923" s="22" t="n">
        <x:f>IFERROR('5000rpm'!D156,"")</x:f>
        <x:v>2465.369656950663</x:v>
      </x:c>
      <x:c r="J923" s="22" t="n">
        <x:f>IFERROR('5000rpm'!D140,"")</x:f>
        <x:v>40.244392857142834</x:v>
      </x:c>
      <x:c r="K923" s="22" t="n">
        <x:f>IF(AND(ISNUMBER(I923),ISNUMBER(J923)),I923-J923,"")</x:f>
        <x:v>2425.12526409352</x:v>
      </x:c>
      <x:c r="L923" s="22" t="n">
        <x:f>IF(ISNUMBER(K923),K923*$B$2+$B$3,"")</x:f>
        <x:v>2249.475305332549</x:v>
      </x:c>
      <x:c r="M923" s="22" t="n">
        <x:f>IF(AND(ISNUMBER(G923),ISNUMBER(H923),H923&lt;&gt;0),G923/(H923/60)/$B$5,"")</x:f>
        <x:v>0.13927560526256427</x:v>
      </x:c>
      <x:c r="N923" s="22" t="n">
        <x:f>IF(AND(ISNUMBER(L923),ISNUMBER(H923),H923&lt;&gt;0),L923*$B$6/$B$4/(H923/60)^2/$B$5^4/$B$7,"")</x:f>
        <x:v>0.06203106439159591</x:v>
      </x:c>
      <x:c r="O923" s="22" t="n">
        <x:f>IF(ISNUMBER(N923),N923*$B$8,"")</x:f>
        <x:v>0.00801457099609678</x:v>
      </x:c>
      <x:c r="P923" s="20" t="str">
        <x:v>5000rpm!E156</x:v>
      </x:c>
      <x:c r="Q923" s="20" t="str">
        <x:v>5000rpm!D156</x:v>
      </x:c>
      <x:c r="R923" s="20" t="str">
        <x:v>5000rpm!D140</x:v>
      </x:c>
    </x:row>
    <x:row r="924">
      <x:c r="A924" s="21" t="n">
        <x:v>5000</x:v>
      </x:c>
      <x:c r="B924" s="21" t="n">
        <x:v>75</x:v>
      </x:c>
      <x:c r="C924" s="21" t="n">
        <x:v>17</x:v>
      </x:c>
      <x:c r="D924" s="21" t="n">
        <x:v>2</x:v>
      </x:c>
      <x:c r="E924" s="21" t="str">
        <x:v>5000rpm</x:v>
      </x:c>
      <x:c r="F924" s="21" t="n">
        <x:v>156</x:v>
      </x:c>
      <x:c r="G924" s="22" t="n">
        <x:f>IFERROR('5000rpm'!P156,"")</x:f>
        <x:v>5.2284795540907805</x:v>
      </x:c>
      <x:c r="H924" s="22" t="n">
        <x:f>IFERROR('5000rpm'!M156,"")</x:f>
        <x:v>4922.60472005208</x:v>
      </x:c>
      <x:c r="I924" s="22" t="n">
        <x:f>IFERROR('5000rpm'!O156,"")</x:f>
        <x:v>2502.0228538205947</x:v>
      </x:c>
      <x:c r="J924" s="22" t="n">
        <x:f>IFERROR('5000rpm'!O140,"")</x:f>
        <x:v>38.73213942307682</x:v>
      </x:c>
      <x:c r="K924" s="22" t="n">
        <x:f>IF(AND(ISNUMBER(I924),ISNUMBER(J924)),I924-J924,"")</x:f>
        <x:v>2463.290714397518</x:v>
      </x:c>
      <x:c r="L924" s="22" t="n">
        <x:f>IF(ISNUMBER(K924),K924*$B$2+$B$3,"")</x:f>
        <x:v>2284.4237134995224</x:v>
      </x:c>
      <x:c r="M924" s="22" t="n">
        <x:f>IF(AND(ISNUMBER(G924),ISNUMBER(H924),H924&lt;&gt;0),G924/(H924/60)/$B$5,"")</x:f>
        <x:v>0.1393880296051069</x:v>
      </x:c>
      <x:c r="N924" s="22" t="n">
        <x:f>IF(AND(ISNUMBER(L924),ISNUMBER(H924),H924&lt;&gt;0),L924*$B$6/$B$4/(H924/60)^2/$B$5^4/$B$7,"")</x:f>
        <x:v>0.06316890879782978</x:v>
      </x:c>
      <x:c r="O924" s="22" t="n">
        <x:f>IF(ISNUMBER(N924),N924*$B$8,"")</x:f>
        <x:v>0.008161583381999163</x:v>
      </x:c>
      <x:c r="P924" s="20" t="str">
        <x:v>5000rpm!P156</x:v>
      </x:c>
      <x:c r="Q924" s="20" t="str">
        <x:v>5000rpm!O156</x:v>
      </x:c>
      <x:c r="R924" s="20" t="str">
        <x:v>5000rpm!O140</x:v>
      </x:c>
    </x:row>
    <x:row r="925">
      <x:c r="A925" s="21" t="n">
        <x:v>5000</x:v>
      </x:c>
      <x:c r="B925" s="21" t="n">
        <x:v>75</x:v>
      </x:c>
      <x:c r="C925" s="21" t="n">
        <x:v>18</x:v>
      </x:c>
      <x:c r="D925" s="21" t="n">
        <x:v>1</x:v>
      </x:c>
      <x:c r="E925" s="21" t="str">
        <x:v>5000rpm</x:v>
      </x:c>
      <x:c r="F925" s="21" t="n">
        <x:v>157</x:v>
      </x:c>
      <x:c r="G925" s="22" t="n">
        <x:f>IFERROR('5000rpm'!E157,"")</x:f>
        <x:v>4.20711631634655</x:v>
      </x:c>
      <x:c r="H925" s="22" t="n">
        <x:f>IFERROR('5000rpm'!B157,"")</x:f>
        <x:v>4924.93455078125</x:v>
      </x:c>
      <x:c r="I925" s="22" t="n">
        <x:f>IFERROR('5000rpm'!D157,"")</x:f>
        <x:v>2677.7038121330656</x:v>
      </x:c>
      <x:c r="J925" s="22" t="n">
        <x:f>IFERROR('5000rpm'!D140,"")</x:f>
        <x:v>40.244392857142834</x:v>
      </x:c>
      <x:c r="K925" s="22" t="n">
        <x:f>IF(AND(ISNUMBER(I925),ISNUMBER(J925)),I925-J925,"")</x:f>
        <x:v>2637.4594192759228</x:v>
      </x:c>
      <x:c r="L925" s="22" t="n">
        <x:f>IF(ISNUMBER(K925),K925*$B$2+$B$3,"")</x:f>
        <x:v>2443.911389906317</x:v>
      </x:c>
      <x:c r="M925" s="22" t="n">
        <x:f>IF(AND(ISNUMBER(G925),ISNUMBER(H925),H925&lt;&gt;0),G925/(H925/60)/$B$5,"")</x:f>
        <x:v>0.11210605876125472</x:v>
      </x:c>
      <x:c r="N925" s="22" t="n">
        <x:f>IF(AND(ISNUMBER(L925),ISNUMBER(H925),H925&lt;&gt;0),L925*$B$6/$B$4/(H925/60)^2/$B$5^4/$B$7,"")</x:f>
        <x:v>0.06751513980997735</x:v>
      </x:c>
      <x:c r="O925" s="22" t="n">
        <x:f>IF(ISNUMBER(N925),N925*$B$8,"")</x:f>
        <x:v>0.008723127462435958</x:v>
      </x:c>
      <x:c r="P925" s="20" t="str">
        <x:v>5000rpm!E157</x:v>
      </x:c>
      <x:c r="Q925" s="20" t="str">
        <x:v>5000rpm!D157</x:v>
      </x:c>
      <x:c r="R925" s="20" t="str">
        <x:v>5000rpm!D140</x:v>
      </x:c>
    </x:row>
    <x:row r="926">
      <x:c r="A926" s="21" t="n">
        <x:v>5000</x:v>
      </x:c>
      <x:c r="B926" s="21" t="n">
        <x:v>75</x:v>
      </x:c>
      <x:c r="C926" s="21" t="n">
        <x:v>18</x:v>
      </x:c>
      <x:c r="D926" s="21" t="n">
        <x:v>2</x:v>
      </x:c>
      <x:c r="E926" s="21" t="str">
        <x:v>5000rpm</x:v>
      </x:c>
      <x:c r="F926" s="21" t="n">
        <x:v>157</x:v>
      </x:c>
      <x:c r="G926" s="22" t="n">
        <x:f>IFERROR('5000rpm'!P157,"")</x:f>
        <x:v>4.110920578354666</x:v>
      </x:c>
      <x:c r="H926" s="22" t="n">
        <x:f>IFERROR('5000rpm'!M157,"")</x:f>
        <x:v>4910.14873798076</x:v>
      </x:c>
      <x:c r="I926" s="22" t="n">
        <x:f>IFERROR('5000rpm'!O157,"")</x:f>
        <x:v>2653.1600852272722</x:v>
      </x:c>
      <x:c r="J926" s="22" t="n">
        <x:f>IFERROR('5000rpm'!O140,"")</x:f>
        <x:v>38.73213942307682</x:v>
      </x:c>
      <x:c r="K926" s="22" t="n">
        <x:f>IF(AND(ISNUMBER(I926),ISNUMBER(J926)),I926-J926,"")</x:f>
        <x:v>2614.4279458041956</x:v>
      </x:c>
      <x:c r="L926" s="22" t="n">
        <x:f>IF(ISNUMBER(K926),K926*$B$2+$B$3,"")</x:f>
        <x:v>2422.8212853964683</x:v>
      </x:c>
      <x:c r="M926" s="22" t="n">
        <x:f>IF(AND(ISNUMBER(G926),ISNUMBER(H926),H926&lt;&gt;0),G926/(H926/60)/$B$5,"")</x:f>
        <x:v>0.10987261656145177</x:v>
      </x:c>
      <x:c r="N926" s="22" t="n">
        <x:f>IF(AND(ISNUMBER(L926),ISNUMBER(H926),H926&lt;&gt;0),L926*$B$6/$B$4/(H926/60)^2/$B$5^4/$B$7,"")</x:f>
        <x:v>0.06733621908754774</x:v>
      </x:c>
      <x:c r="O926" s="22" t="n">
        <x:f>IF(ISNUMBER(N926),N926*$B$8,"")</x:f>
        <x:v>0.008700010450876514</x:v>
      </x:c>
      <x:c r="P926" s="20" t="str">
        <x:v>5000rpm!P157</x:v>
      </x:c>
      <x:c r="Q926" s="20" t="str">
        <x:v>5000rpm!O157</x:v>
      </x:c>
      <x:c r="R926" s="20" t="str">
        <x:v>5000rpm!O140</x:v>
      </x:c>
    </x:row>
    <x:row r="927">
      <x:c r="A927" s="21" t="n">
        <x:v>5000</x:v>
      </x:c>
      <x:c r="B927" s="21" t="n">
        <x:v>75</x:v>
      </x:c>
      <x:c r="C927" s="21" t="n">
        <x:v>19</x:v>
      </x:c>
      <x:c r="D927" s="21" t="n">
        <x:v>1</x:v>
      </x:c>
      <x:c r="E927" s="21" t="str">
        <x:v>5000rpm</x:v>
      </x:c>
      <x:c r="F927" s="21" t="n">
        <x:v>158</x:v>
      </x:c>
      <x:c r="G927" s="22" t="n">
        <x:f>IFERROR('5000rpm'!E158,"")</x:f>
        <x:v>3.17997714358827</x:v>
      </x:c>
      <x:c r="H927" s="22" t="n">
        <x:f>IFERROR('5000rpm'!B158,"")</x:f>
        <x:v>4920.67987932477</x:v>
      </x:c>
      <x:c r="I927" s="22" t="n">
        <x:f>IFERROR('5000rpm'!D158,"")</x:f>
        <x:v>2804.5109945454515</x:v>
      </x:c>
      <x:c r="J927" s="22" t="n">
        <x:f>IFERROR('5000rpm'!D140,"")</x:f>
        <x:v>40.244392857142834</x:v>
      </x:c>
      <x:c r="K927" s="22" t="n">
        <x:f>IF(AND(ISNUMBER(I927),ISNUMBER(J927)),I927-J927,"")</x:f>
        <x:v>2764.2666016883086</x:v>
      </x:c>
      <x:c r="L927" s="22" t="n">
        <x:f>IF(ISNUMBER(K927),K927*$B$2+$B$3,"")</x:f>
        <x:v>2560.0297412987975</x:v>
      </x:c>
      <x:c r="M927" s="22" t="n">
        <x:f>IF(AND(ISNUMBER(G927),ISNUMBER(H927),H927&lt;&gt;0),G927/(H927/60)/$B$5,"")</x:f>
        <x:v>0.08480938515631233</x:v>
      </x:c>
      <x:c r="N927" s="22" t="n">
        <x:f>IF(AND(ISNUMBER(L927),ISNUMBER(H927),H927&lt;&gt;0),L927*$B$6/$B$4/(H927/60)^2/$B$5^4/$B$7,"")</x:f>
        <x:v>0.07084536279255556</x:v>
      </x:c>
      <x:c r="O927" s="22" t="n">
        <x:f>IF(ISNUMBER(N927),N927*$B$8,"")</x:f>
        <x:v>0.009153400726138365</x:v>
      </x:c>
      <x:c r="P927" s="20" t="str">
        <x:v>5000rpm!E158</x:v>
      </x:c>
      <x:c r="Q927" s="20" t="str">
        <x:v>5000rpm!D158</x:v>
      </x:c>
      <x:c r="R927" s="20" t="str">
        <x:v>5000rpm!D140</x:v>
      </x:c>
    </x:row>
    <x:row r="928">
      <x:c r="A928" s="21" t="n">
        <x:v>5000</x:v>
      </x:c>
      <x:c r="B928" s="21" t="n">
        <x:v>75</x:v>
      </x:c>
      <x:c r="C928" s="21" t="n">
        <x:v>19</x:v>
      </x:c>
      <x:c r="D928" s="21" t="n">
        <x:v>2</x:v>
      </x:c>
      <x:c r="E928" s="21" t="str">
        <x:v>5000rpm</x:v>
      </x:c>
      <x:c r="F928" s="21" t="n">
        <x:v>158</x:v>
      </x:c>
      <x:c r="G928" s="22" t="n">
        <x:f>IFERROR('5000rpm'!P158,"")</x:f>
        <x:v>3.1804388948108704</x:v>
      </x:c>
      <x:c r="H928" s="22" t="n">
        <x:f>IFERROR('5000rpm'!M158,"")</x:f>
        <x:v>4898.50894252232</x:v>
      </x:c>
      <x:c r="I928" s="22" t="n">
        <x:f>IFERROR('5000rpm'!O158,"")</x:f>
        <x:v>2710.7913646888464</x:v>
      </x:c>
      <x:c r="J928" s="22" t="n">
        <x:f>IFERROR('5000rpm'!O140,"")</x:f>
        <x:v>38.73213942307682</x:v>
      </x:c>
      <x:c r="K928" s="22" t="n">
        <x:f>IF(AND(ISNUMBER(I928),ISNUMBER(J928)),I928-J928,"")</x:f>
        <x:v>2672.05922526577</x:v>
      </x:c>
      <x:c r="L928" s="22" t="n">
        <x:f>IF(ISNUMBER(K928),K928*$B$2+$B$3,"")</x:f>
        <x:v>2475.5947090496675</x:v>
      </x:c>
      <x:c r="M928" s="22" t="n">
        <x:f>IF(AND(ISNUMBER(G928),ISNUMBER(H928),H928&lt;&gt;0),G928/(H928/60)/$B$5,"")</x:f>
        <x:v>0.08520560792831017</x:v>
      </x:c>
      <x:c r="N928" s="22" t="n">
        <x:f>IF(AND(ISNUMBER(L928),ISNUMBER(H928),H928&lt;&gt;0),L928*$B$6/$B$4/(H928/60)^2/$B$5^4/$B$7,"")</x:f>
        <x:v>0.06913028989016519</x:v>
      </x:c>
      <x:c r="O928" s="22" t="n">
        <x:f>IF(ISNUMBER(N928),N928*$B$8,"")</x:f>
        <x:v>0.0089318089531371</x:v>
      </x:c>
      <x:c r="P928" s="20" t="str">
        <x:v>5000rpm!P158</x:v>
      </x:c>
      <x:c r="Q928" s="20" t="str">
        <x:v>5000rpm!O158</x:v>
      </x:c>
      <x:c r="R928" s="20" t="str">
        <x:v>5000rpm!O140</x:v>
      </x:c>
    </x:row>
    <x:row r="929">
      <x:c r="A929" s="21" t="n">
        <x:v>5000</x:v>
      </x:c>
      <x:c r="B929" s="21" t="n">
        <x:v>75</x:v>
      </x:c>
      <x:c r="C929" s="21" t="n">
        <x:v>20</x:v>
      </x:c>
      <x:c r="D929" s="21" t="n">
        <x:v>1</x:v>
      </x:c>
      <x:c r="E929" s="21" t="str">
        <x:v>5000rpm</x:v>
      </x:c>
      <x:c r="F929" s="21" t="n">
        <x:v>159</x:v>
      </x:c>
      <x:c r="G929" s="22" t="n">
        <x:f>IFERROR('5000rpm'!E159,"")</x:f>
        <x:v>2.15170140091965</x:v>
      </x:c>
      <x:c r="H929" s="22" t="n">
        <x:f>IFERROR('5000rpm'!B159,"")</x:f>
        <x:v>4942.27585565476</x:v>
      </x:c>
      <x:c r="I929" s="22" t="n">
        <x:f>IFERROR('5000rpm'!D159,"")</x:f>
        <x:v>2908.502656097553</x:v>
      </x:c>
      <x:c r="J929" s="22" t="n">
        <x:f>IFERROR('5000rpm'!D140,"")</x:f>
        <x:v>40.244392857142834</x:v>
      </x:c>
      <x:c r="K929" s="22" t="n">
        <x:f>IF(AND(ISNUMBER(I929),ISNUMBER(J929)),I929-J929,"")</x:f>
        <x:v>2868.25826324041</x:v>
      </x:c>
      <x:c r="L929" s="22" t="n">
        <x:f>IF(ISNUMBER(K929),K929*$B$2+$B$3,"")</x:f>
        <x:v>2655.2557377153494</x:v>
      </x:c>
      <x:c r="M929" s="22" t="n">
        <x:f>IF(AND(ISNUMBER(G929),ISNUMBER(H929),H929&lt;&gt;0),G929/(H929/60)/$B$5,"")</x:f>
        <x:v>0.057134712868896126</x:v>
      </x:c>
      <x:c r="N929" s="22" t="n">
        <x:f>IF(AND(ISNUMBER(L929),ISNUMBER(H929),H929&lt;&gt;0),L929*$B$6/$B$4/(H929/60)^2/$B$5^4/$B$7,"")</x:f>
        <x:v>0.07283984859660646</x:v>
      </x:c>
      <x:c r="O929" s="22" t="n">
        <x:f>IF(ISNUMBER(N929),N929*$B$8,"")</x:f>
        <x:v>0.009411093355372675</x:v>
      </x:c>
      <x:c r="P929" s="20" t="str">
        <x:v>5000rpm!E159</x:v>
      </x:c>
      <x:c r="Q929" s="20" t="str">
        <x:v>5000rpm!D159</x:v>
      </x:c>
      <x:c r="R929" s="20" t="str">
        <x:v>5000rpm!D140</x:v>
      </x:c>
    </x:row>
    <x:row r="930">
      <x:c r="A930" s="21" t="n">
        <x:v>5000</x:v>
      </x:c>
      <x:c r="B930" s="21" t="n">
        <x:v>75</x:v>
      </x:c>
      <x:c r="C930" s="21" t="n">
        <x:v>20</x:v>
      </x:c>
      <x:c r="D930" s="21" t="n">
        <x:v>2</x:v>
      </x:c>
      <x:c r="E930" s="21" t="str">
        <x:v>5000rpm</x:v>
      </x:c>
      <x:c r="F930" s="21" t="n">
        <x:v>159</x:v>
      </x:c>
      <x:c r="G930" s="22" t="n">
        <x:f>IFERROR('5000rpm'!P159,"")</x:f>
        <x:v>2.03177795759562</x:v>
      </x:c>
      <x:c r="H930" s="22" t="n">
        <x:f>IFERROR('5000rpm'!M159,"")</x:f>
        <x:v>4920.56500875538</x:v>
      </x:c>
      <x:c r="I930" s="22" t="n">
        <x:f>IFERROR('5000rpm'!O159,"")</x:f>
        <x:v>2786.8729793814373</x:v>
      </x:c>
      <x:c r="J930" s="22" t="n">
        <x:f>IFERROR('5000rpm'!O140,"")</x:f>
        <x:v>38.73213942307682</x:v>
      </x:c>
      <x:c r="K930" s="22" t="n">
        <x:f>IF(AND(ISNUMBER(I930),ISNUMBER(J930)),I930-J930,"")</x:f>
        <x:v>2748.1408399583606</x:v>
      </x:c>
      <x:c r="L930" s="22" t="n">
        <x:f>IF(ISNUMBER(K930),K930*$B$2+$B$3,"")</x:f>
        <x:v>2545.2632522765903</x:v>
      </x:c>
      <x:c r="M930" s="22" t="n">
        <x:f>IF(AND(ISNUMBER(G930),ISNUMBER(H930),H930&lt;&gt;0),G930/(H930/60)/$B$5,"")</x:f>
        <x:v>0.05418839640754256</x:v>
      </x:c>
      <x:c r="N930" s="22" t="n">
        <x:f>IF(AND(ISNUMBER(L930),ISNUMBER(H930),H930&lt;&gt;0),L930*$B$6/$B$4/(H930/60)^2/$B$5^4/$B$7,"")</x:f>
        <x:v>0.07044000889644329</x:v>
      </x:c>
      <x:c r="O930" s="22" t="n">
        <x:f>IF(ISNUMBER(N930),N930*$B$8,"")</x:f>
        <x:v>0.009101027973698923</x:v>
      </x:c>
      <x:c r="P930" s="20" t="str">
        <x:v>5000rpm!P159</x:v>
      </x:c>
      <x:c r="Q930" s="20" t="str">
        <x:v>5000rpm!O159</x:v>
      </x:c>
      <x:c r="R930" s="20" t="str">
        <x:v>5000rpm!O140</x:v>
      </x:c>
    </x:row>
    <x:row r="931">
      <x:c r="A931" s="21" t="n">
        <x:v>5000</x:v>
      </x:c>
      <x:c r="B931" s="21" t="n">
        <x:v>75</x:v>
      </x:c>
      <x:c r="C931" s="21" t="n">
        <x:v>21</x:v>
      </x:c>
      <x:c r="D931" s="21" t="n">
        <x:v>1</x:v>
      </x:c>
      <x:c r="E931" s="21" t="str">
        <x:v>5000rpm</x:v>
      </x:c>
      <x:c r="F931" s="21" t="n">
        <x:v>160</x:v>
      </x:c>
      <x:c r="G931" s="22" t="n">
        <x:f>IFERROR('5000rpm'!E160,"")</x:f>
        <x:v>1.0102470517158495</x:v>
      </x:c>
      <x:c r="H931" s="22" t="n">
        <x:f>IFERROR('5000rpm'!B160,"")</x:f>
        <x:v>4913.67142159598</x:v>
      </x:c>
      <x:c r="I931" s="22" t="n">
        <x:f>IFERROR('5000rpm'!D160,"")</x:f>
        <x:v>3002.6029839572084</x:v>
      </x:c>
      <x:c r="J931" s="22" t="n">
        <x:f>IFERROR('5000rpm'!D140,"")</x:f>
        <x:v>40.244392857142834</x:v>
      </x:c>
      <x:c r="K931" s="22" t="n">
        <x:f>IF(AND(ISNUMBER(I931),ISNUMBER(J931)),I931-J931,"")</x:f>
        <x:v>2962.3585911000655</x:v>
      </x:c>
      <x:c r="L931" s="22" t="n">
        <x:f>IF(ISNUMBER(K931),K931*$B$2+$B$3,"")</x:f>
        <x:v>2741.4241607390586</x:v>
      </x:c>
      <x:c r="M931" s="22" t="n">
        <x:f>IF(AND(ISNUMBER(G931),ISNUMBER(H931),H931&lt;&gt;0),G931/(H931/60)/$B$5,"")</x:f>
        <x:v>0.0269815260053526</x:v>
      </x:c>
      <x:c r="N931" s="22" t="n">
        <x:f>IF(AND(ISNUMBER(L931),ISNUMBER(H931),H931&lt;&gt;0),L931*$B$6/$B$4/(H931/60)^2/$B$5^4/$B$7,"")</x:f>
        <x:v>0.07608177832104322</x:v>
      </x:c>
      <x:c r="O931" s="22" t="n">
        <x:f>IF(ISNUMBER(N931),N931*$B$8,"")</x:f>
        <x:v>0.009829958905975336</x:v>
      </x:c>
      <x:c r="P931" s="20" t="str">
        <x:v>5000rpm!E160</x:v>
      </x:c>
      <x:c r="Q931" s="20" t="str">
        <x:v>5000rpm!D160</x:v>
      </x:c>
      <x:c r="R931" s="20" t="str">
        <x:v>5000rpm!D140</x:v>
      </x:c>
    </x:row>
    <x:row r="932">
      <x:c r="A932" s="21" t="n">
        <x:v>5000</x:v>
      </x:c>
      <x:c r="B932" s="21" t="n">
        <x:v>75</x:v>
      </x:c>
      <x:c r="C932" s="21" t="n">
        <x:v>21</x:v>
      </x:c>
      <x:c r="D932" s="21" t="n">
        <x:v>2</x:v>
      </x:c>
      <x:c r="E932" s="21" t="str">
        <x:v>5000rpm</x:v>
      </x:c>
      <x:c r="F932" s="21" t="n">
        <x:v>160</x:v>
      </x:c>
      <x:c r="G932" s="22" t="n">
        <x:f>IFERROR('5000rpm'!P160,"")</x:f>
        <x:v>1.1133258644963655</x:v>
      </x:c>
      <x:c r="H932" s="22" t="n">
        <x:f>IFERROR('5000rpm'!M160,"")</x:f>
        <x:v>4912.3584650213</x:v>
      </x:c>
      <x:c r="I932" s="22" t="n">
        <x:f>IFERROR('5000rpm'!O160,"")</x:f>
        <x:v>2833.749302107727</x:v>
      </x:c>
      <x:c r="J932" s="22" t="n">
        <x:f>IFERROR('5000rpm'!O140,"")</x:f>
        <x:v>38.73213942307682</x:v>
      </x:c>
      <x:c r="K932" s="22" t="n">
        <x:f>IF(AND(ISNUMBER(I932),ISNUMBER(J932)),I932-J932,"")</x:f>
        <x:v>2795.0171626846504</x:v>
      </x:c>
      <x:c r="L932" s="22" t="n">
        <x:f>IF(ISNUMBER(K932),K932*$B$2+$B$3,"")</x:f>
        <x:v>2588.188276007636</x:v>
      </x:c>
      <x:c r="M932" s="22" t="n">
        <x:f>IF(AND(ISNUMBER(G932),ISNUMBER(H932),H932&lt;&gt;0),G932/(H932/60)/$B$5,"")</x:f>
        <x:v>0.02974248673746828</x:v>
      </x:c>
      <x:c r="N932" s="22" t="n">
        <x:f>IF(AND(ISNUMBER(L932),ISNUMBER(H932),H932&lt;&gt;0),L932*$B$6/$B$4/(H932/60)^2/$B$5^4/$B$7,"")</x:f>
        <x:v>0.07186747836980403</x:v>
      </x:c>
      <x:c r="O932" s="22" t="n">
        <x:f>IF(ISNUMBER(N932),N932*$B$8,"")</x:f>
        <x:v>0.00928546065353797</x:v>
      </x:c>
      <x:c r="P932" s="20" t="str">
        <x:v>5000rpm!P160</x:v>
      </x:c>
      <x:c r="Q932" s="20" t="str">
        <x:v>5000rpm!O160</x:v>
      </x:c>
      <x:c r="R932" s="20" t="str">
        <x:v>5000rpm!O140</x:v>
      </x:c>
    </x:row>
    <x:row r="933">
      <x:c r="A933" s="21" t="n">
        <x:v>5000</x:v>
      </x:c>
      <x:c r="B933" s="21" t="n">
        <x:v>75</x:v>
      </x:c>
      <x:c r="C933" s="21" t="n">
        <x:v>22</x:v>
      </x:c>
      <x:c r="D933" s="21" t="n">
        <x:v>1</x:v>
      </x:c>
      <x:c r="E933" s="21" t="str">
        <x:v>5000rpm</x:v>
      </x:c>
      <x:c r="F933" s="21" t="n">
        <x:v>161</x:v>
      </x:c>
      <x:c r="G933" s="22" t="n">
        <x:f>IFERROR('5000rpm'!E161,"")</x:f>
        <x:v>0.259394621291688</x:v>
      </x:c>
      <x:c r="H933" s="22" t="n">
        <x:f>IFERROR('5000rpm'!B161,"")</x:f>
        <x:v>4896.57327974759</x:v>
      </x:c>
      <x:c r="I933" s="22" t="n">
        <x:f>IFERROR('5000rpm'!D161,"")</x:f>
        <x:v>3042.221715909089</x:v>
      </x:c>
      <x:c r="J933" s="22" t="n">
        <x:f>IFERROR('5000rpm'!D140,"")</x:f>
        <x:v>40.244392857142834</x:v>
      </x:c>
      <x:c r="K933" s="22" t="n">
        <x:f>IF(AND(ISNUMBER(I933),ISNUMBER(J933)),I933-J933,"")</x:f>
        <x:v>3001.9773230519463</x:v>
      </x:c>
      <x:c r="L933" s="22" t="n">
        <x:f>IF(ISNUMBER(K933),K933*$B$2+$B$3,"")</x:f>
        <x:v>2777.7033505372515</x:v>
      </x:c>
      <x:c r="M933" s="22" t="n">
        <x:f>IF(AND(ISNUMBER(G933),ISNUMBER(H933),H933&lt;&gt;0),G933/(H933/60)/$B$5,"")</x:f>
        <x:v>0.006952063604198401</x:v>
      </x:c>
      <x:c r="N933" s="22" t="n">
        <x:f>IF(AND(ISNUMBER(L933),ISNUMBER(H933),H933&lt;&gt;0),L933*$B$6/$B$4/(H933/60)^2/$B$5^4/$B$7,"")</x:f>
        <x:v>0.07762792697881687</x:v>
      </x:c>
      <x:c r="O933" s="22" t="n">
        <x:f>IF(ISNUMBER(N933),N933*$B$8,"")</x:f>
        <x:v>0.01002972523772839</x:v>
      </x:c>
      <x:c r="P933" s="20" t="str">
        <x:v>5000rpm!E161</x:v>
      </x:c>
      <x:c r="Q933" s="20" t="str">
        <x:v>5000rpm!D161</x:v>
      </x:c>
      <x:c r="R933" s="20" t="str">
        <x:v>5000rpm!D140</x:v>
      </x:c>
    </x:row>
    <x:row r="934">
      <x:c r="A934" s="21" t="n">
        <x:v>5000</x:v>
      </x:c>
      <x:c r="B934" s="21" t="n">
        <x:v>75</x:v>
      </x:c>
      <x:c r="C934" s="21" t="n">
        <x:v>22</x:v>
      </x:c>
      <x:c r="D934" s="21" t="n">
        <x:v>2</x:v>
      </x:c>
      <x:c r="E934" s="21" t="str">
        <x:v>5000rpm</x:v>
      </x:c>
      <x:c r="F934" s="21" t="n">
        <x:v>161</x:v>
      </x:c>
      <x:c r="G934" s="22" t="n">
        <x:f>IFERROR('5000rpm'!P161,"")</x:f>
        <x:v>0.2671912898895915</x:v>
      </x:c>
      <x:c r="H934" s="22" t="n">
        <x:f>IFERROR('5000rpm'!M161,"")</x:f>
        <x:v>4919.71569824218</x:v>
      </x:c>
      <x:c r="I934" s="22" t="n">
        <x:f>IFERROR('5000rpm'!O161,"")</x:f>
        <x:v>2859.4774722222155</x:v>
      </x:c>
      <x:c r="J934" s="22" t="n">
        <x:f>IFERROR('5000rpm'!O140,"")</x:f>
        <x:v>38.73213942307682</x:v>
      </x:c>
      <x:c r="K934" s="22" t="n">
        <x:f>IF(AND(ISNUMBER(I934),ISNUMBER(J934)),I934-J934,"")</x:f>
        <x:v>2820.745332799139</x:v>
      </x:c>
      <x:c r="L934" s="22" t="n">
        <x:f>IF(ISNUMBER(K934),K934*$B$2+$B$3,"")</x:f>
        <x:v>2611.747767206834</x:v>
      </x:c>
      <x:c r="M934" s="22" t="n">
        <x:f>IF(AND(ISNUMBER(G934),ISNUMBER(H934),H934&lt;&gt;0),G934/(H934/60)/$B$5,"")</x:f>
        <x:v>0.007127337409216576</x:v>
      </x:c>
      <x:c r="N934" s="22" t="n">
        <x:f>IF(AND(ISNUMBER(L934),ISNUMBER(H934),H934&lt;&gt;0),L934*$B$6/$B$4/(H934/60)^2/$B$5^4/$B$7,"")</x:f>
        <x:v>0.0723049220088469</x:v>
      </x:c>
      <x:c r="O934" s="22" t="n">
        <x:f>IF(ISNUMBER(N934),N934*$B$8,"")</x:f>
        <x:v>0.00934197948222947</x:v>
      </x:c>
      <x:c r="P934" s="20" t="str">
        <x:v>5000rpm!P161</x:v>
      </x:c>
      <x:c r="Q934" s="20" t="str">
        <x:v>5000rpm!O161</x:v>
      </x:c>
      <x:c r="R934" s="20" t="str">
        <x:v>5000rpm!O140</x:v>
      </x:c>
    </x:row>
    <x:row r="935">
      <x:c r="A935" s="21" t="n">
        <x:v>5000</x:v>
      </x:c>
      <x:c r="B935" s="21" t="n">
        <x:v>75</x:v>
      </x:c>
      <x:c r="C935" s="21" t="n">
        <x:v>23</x:v>
      </x:c>
      <x:c r="D935" s="21" t="n">
        <x:v>1</x:v>
      </x:c>
      <x:c r="E935" s="21" t="str">
        <x:v>5000rpm</x:v>
      </x:c>
      <x:c r="F935" s="21" t="n">
        <x:v>162</x:v>
      </x:c>
      <x:c r="G935" s="22" t="n">
        <x:f>IFERROR('5000rpm'!E162,"")</x:f>
        <x:v>-0.00519</x:v>
      </x:c>
      <x:c r="H935" s="22" t="n">
        <x:f>IFERROR('5000rpm'!B162,"")</x:f>
        <x:v>0</x:v>
      </x:c>
      <x:c r="I935" s="22" t="n">
        <x:f>IFERROR('5000rpm'!D162,"")</x:f>
        <x:v>38.45816099999999</x:v>
      </x:c>
      <x:c r="J935" s="22" t="n">
        <x:f>IFERROR('5000rpm'!D140,"")</x:f>
        <x:v>40.244392857142834</x:v>
      </x:c>
      <x:c r="K935" s="22" t="n">
        <x:f>IF(AND(ISNUMBER(I935),ISNUMBER(J935)),I935-J935,"")</x:f>
        <x:v>-1.7862318571428446</x:v>
      </x:c>
      <x:c r="L935" s="22" t="n">
        <x:f>IF(ISNUMBER(K935),K935*$B$2+$B$3,"")</x:f>
        <x:v>27.13303319855944</x:v>
      </x:c>
      <x:c r="M935" s="22" t="str">
        <x:f>IF(AND(ISNUMBER(G935),ISNUMBER(H935),H935&lt;&gt;0),G935/(H935/60)/$B$5,"")</x:f>
      </x:c>
      <x:c r="N935" s="22" t="str">
        <x:f>IF(AND(ISNUMBER(L935),ISNUMBER(H935),H935&lt;&gt;0),L935*$B$6/$B$4/(H935/60)^2/$B$5^4/$B$7,"")</x:f>
      </x:c>
      <x:c r="O935" s="22" t="str">
        <x:f>IF(ISNUMBER(N935),N935*$B$8,"")</x:f>
      </x:c>
      <x:c r="P935" s="20" t="str">
        <x:v>5000rpm!E162</x:v>
      </x:c>
      <x:c r="Q935" s="20" t="str">
        <x:v>5000rpm!D162</x:v>
      </x:c>
      <x:c r="R935" s="20" t="str">
        <x:v>5000rpm!D140</x:v>
      </x:c>
    </x:row>
    <x:row r="936">
      <x:c r="A936" s="21" t="n">
        <x:v>5000</x:v>
      </x:c>
      <x:c r="B936" s="21" t="n">
        <x:v>75</x:v>
      </x:c>
      <x:c r="C936" s="21" t="n">
        <x:v>23</x:v>
      </x:c>
      <x:c r="D936" s="21" t="n">
        <x:v>2</x:v>
      </x:c>
      <x:c r="E936" s="21" t="str">
        <x:v>5000rpm</x:v>
      </x:c>
      <x:c r="F936" s="21" t="n">
        <x:v>162</x:v>
      </x:c>
      <x:c r="G936" s="22" t="n">
        <x:f>IFERROR('5000rpm'!P162,"")</x:f>
        <x:v>-0.10439840106195525</x:v>
      </x:c>
      <x:c r="H936" s="22" t="n">
        <x:f>IFERROR('5000rpm'!M162,"")</x:f>
        <x:v>0</x:v>
      </x:c>
      <x:c r="I936" s="22" t="n">
        <x:f>IFERROR('5000rpm'!O162,"")</x:f>
        <x:v>134.47373684210464</x:v>
      </x:c>
      <x:c r="J936" s="22" t="n">
        <x:f>IFERROR('5000rpm'!O140,"")</x:f>
        <x:v>38.73213942307682</x:v>
      </x:c>
      <x:c r="K936" s="22" t="n">
        <x:f>IF(AND(ISNUMBER(I936),ISNUMBER(J936)),I936-J936,"")</x:f>
        <x:v>95.74159741902781</x:v>
      </x:c>
      <x:c r="L936" s="22" t="n">
        <x:f>IF(ISNUMBER(K936),K936*$B$2+$B$3,"")</x:f>
        <x:v>116.44004668938311</x:v>
      </x:c>
      <x:c r="M936" s="22" t="str">
        <x:f>IF(AND(ISNUMBER(G936),ISNUMBER(H936),H936&lt;&gt;0),G936/(H936/60)/$B$5,"")</x:f>
      </x:c>
      <x:c r="N936" s="22" t="str">
        <x:f>IF(AND(ISNUMBER(L936),ISNUMBER(H936),H936&lt;&gt;0),L936*$B$6/$B$4/(H936/60)^2/$B$5^4/$B$7,"")</x:f>
      </x:c>
      <x:c r="O936" s="22" t="str">
        <x:f>IF(ISNUMBER(N936),N936*$B$8,"")</x:f>
      </x:c>
      <x:c r="P936" s="20" t="str">
        <x:v>5000rpm!P162</x:v>
      </x:c>
      <x:c r="Q936" s="20" t="str">
        <x:v>5000rpm!O162</x:v>
      </x:c>
      <x:c r="R936" s="20" t="str">
        <x:v>5000rpm!O140</x:v>
      </x:c>
    </x:row>
    <x:row r="937">
      <x:c r="A937" s="21" t="n">
        <x:v>5000</x:v>
      </x:c>
      <x:c r="B937" s="21" t="n">
        <x:v>90</x:v>
      </x:c>
      <x:c r="C937" s="21" t="n">
        <x:v>1</x:v>
      </x:c>
      <x:c r="D937" s="21" t="n">
        <x:v>1</x:v>
      </x:c>
      <x:c r="E937" s="21" t="str">
        <x:v>5000rpm</x:v>
      </x:c>
      <x:c r="F937" s="21" t="n">
        <x:v>168</x:v>
      </x:c>
      <x:c r="G937" s="22" t="n">
        <x:f>IFERROR('5000rpm'!E168,"")</x:f>
        <x:v>0.10149309676930754</x:v>
      </x:c>
      <x:c r="H937" s="22" t="n">
        <x:f>IFERROR('5000rpm'!B168,"")</x:f>
        <x:v>0</x:v>
      </x:c>
      <x:c r="I937" s="22" t="n">
        <x:f>IFERROR('5000rpm'!D168,"")</x:f>
        <x:v>164.56052405063204</x:v>
      </x:c>
      <x:c r="J937" s="22" t="n">
        <x:f>IFERROR('5000rpm'!D168,"")</x:f>
        <x:v>164.56052405063204</x:v>
      </x:c>
      <x:c r="K937" s="22" t="n">
        <x:f>IF(AND(ISNUMBER(I937),ISNUMBER(J937)),I937-J937,"")</x:f>
        <x:v>0</x:v>
      </x:c>
      <x:c r="L937" s="22" t="n">
        <x:f>IF(ISNUMBER(K937),K937*$B$2+$B$3,"")</x:f>
        <x:v>28.7687</x:v>
      </x:c>
      <x:c r="M937" s="22" t="str">
        <x:f>IF(AND(ISNUMBER(G937),ISNUMBER(H937),H937&lt;&gt;0),G937/(H937/60)/$B$5,"")</x:f>
      </x:c>
      <x:c r="N937" s="22" t="str">
        <x:f>IF(AND(ISNUMBER(L937),ISNUMBER(H937),H937&lt;&gt;0),L937*$B$6/$B$4/(H937/60)^2/$B$5^4/$B$7,"")</x:f>
      </x:c>
      <x:c r="O937" s="22" t="str">
        <x:f>IF(ISNUMBER(N937),N937*$B$8,"")</x:f>
      </x:c>
      <x:c r="P937" s="20" t="str">
        <x:v>5000rpm!E168</x:v>
      </x:c>
      <x:c r="Q937" s="20" t="str">
        <x:v>5000rpm!D168</x:v>
      </x:c>
      <x:c r="R937" s="20" t="str">
        <x:v>5000rpm!D168</x:v>
      </x:c>
    </x:row>
    <x:row r="938">
      <x:c r="A938" s="21" t="n">
        <x:v>5000</x:v>
      </x:c>
      <x:c r="B938" s="21" t="n">
        <x:v>90</x:v>
      </x:c>
      <x:c r="C938" s="21" t="n">
        <x:v>1</x:v>
      </x:c>
      <x:c r="D938" s="21" t="n">
        <x:v>2</x:v>
      </x:c>
      <x:c r="E938" s="21" t="str">
        <x:v>5000rpm</x:v>
      </x:c>
      <x:c r="F938" s="21" t="n">
        <x:v>168</x:v>
      </x:c>
      <x:c r="G938" s="22" t="n">
        <x:f>IFERROR('5000rpm'!P168,"")</x:f>
        <x:v>0.01427439820593384</x:v>
      </x:c>
      <x:c r="H938" s="22" t="n">
        <x:f>IFERROR('5000rpm'!M168,"")</x:f>
        <x:v>0</x:v>
      </x:c>
      <x:c r="I938" s="22" t="n">
        <x:f>IFERROR('5000rpm'!O168,"")</x:f>
        <x:v>168.68009206349177</x:v>
      </x:c>
      <x:c r="J938" s="22" t="n">
        <x:f>IFERROR('5000rpm'!O168,"")</x:f>
        <x:v>168.68009206349177</x:v>
      </x:c>
      <x:c r="K938" s="22" t="n">
        <x:f>IF(AND(ISNUMBER(I938),ISNUMBER(J938)),I938-J938,"")</x:f>
        <x:v>0</x:v>
      </x:c>
      <x:c r="L938" s="22" t="n">
        <x:f>IF(ISNUMBER(K938),K938*$B$2+$B$3,"")</x:f>
        <x:v>28.7687</x:v>
      </x:c>
      <x:c r="M938" s="22" t="str">
        <x:f>IF(AND(ISNUMBER(G938),ISNUMBER(H938),H938&lt;&gt;0),G938/(H938/60)/$B$5,"")</x:f>
      </x:c>
      <x:c r="N938" s="22" t="str">
        <x:f>IF(AND(ISNUMBER(L938),ISNUMBER(H938),H938&lt;&gt;0),L938*$B$6/$B$4/(H938/60)^2/$B$5^4/$B$7,"")</x:f>
      </x:c>
      <x:c r="O938" s="22" t="str">
        <x:f>IF(ISNUMBER(N938),N938*$B$8,"")</x:f>
      </x:c>
      <x:c r="P938" s="20" t="str">
        <x:v>5000rpm!P168</x:v>
      </x:c>
      <x:c r="Q938" s="20" t="str">
        <x:v>5000rpm!O168</x:v>
      </x:c>
      <x:c r="R938" s="20" t="str">
        <x:v>5000rpm!O168</x:v>
      </x:c>
    </x:row>
    <x:row r="939">
      <x:c r="A939" s="21" t="n">
        <x:v>5000</x:v>
      </x:c>
      <x:c r="B939" s="21" t="n">
        <x:v>90</x:v>
      </x:c>
      <x:c r="C939" s="21" t="n">
        <x:v>2</x:v>
      </x:c>
      <x:c r="D939" s="21" t="n">
        <x:v>1</x:v>
      </x:c>
      <x:c r="E939" s="21" t="str">
        <x:v>5000rpm</x:v>
      </x:c>
      <x:c r="F939" s="21" t="n">
        <x:v>169</x:v>
      </x:c>
      <x:c r="G939" s="22" t="n">
        <x:f>IFERROR('5000rpm'!E169,"")</x:f>
        <x:v>0.25404039649935</x:v>
      </x:c>
      <x:c r="H939" s="22" t="n">
        <x:f>IFERROR('5000rpm'!B169,"")</x:f>
        <x:v>5030.91698157269</x:v>
      </x:c>
      <x:c r="I939" s="22" t="n">
        <x:f>IFERROR('5000rpm'!D169,"")</x:f>
        <x:v>3573.1278665222067</x:v>
      </x:c>
      <x:c r="J939" s="22" t="n">
        <x:f>IFERROR('5000rpm'!D168,"")</x:f>
        <x:v>164.56052405063204</x:v>
      </x:c>
      <x:c r="K939" s="22" t="n">
        <x:f>IF(AND(ISNUMBER(I939),ISNUMBER(J939)),I939-J939,"")</x:f>
        <x:v>3408.5673424715746</x:v>
      </x:c>
      <x:c r="L939" s="22" t="n">
        <x:f>IF(ISNUMBER(K939),K939*$B$2+$B$3,"")</x:f>
        <x:v>3150.0210840399604</x:v>
      </x:c>
      <x:c r="M939" s="22" t="n">
        <x:f>IF(AND(ISNUMBER(G939),ISNUMBER(H939),H939&lt;&gt;0),G939/(H939/60)/$B$5,"")</x:f>
        <x:v>0.006626751113825568</x:v>
      </x:c>
      <x:c r="N939" s="22" t="n">
        <x:f>IF(AND(ISNUMBER(L939),ISNUMBER(H939),H939&lt;&gt;0),L939*$B$6/$B$4/(H939/60)^2/$B$5^4/$B$7,"")</x:f>
        <x:v>0.08339419132941983</x:v>
      </x:c>
      <x:c r="O939" s="22" t="n">
        <x:f>IF(ISNUMBER(N939),N939*$B$8,"")</x:f>
        <x:v>0.010774741230496532</x:v>
      </x:c>
      <x:c r="P939" s="20" t="str">
        <x:v>5000rpm!E169</x:v>
      </x:c>
      <x:c r="Q939" s="20" t="str">
        <x:v>5000rpm!D169</x:v>
      </x:c>
      <x:c r="R939" s="20" t="str">
        <x:v>5000rpm!D168</x:v>
      </x:c>
    </x:row>
    <x:row r="940">
      <x:c r="A940" s="21" t="n">
        <x:v>5000</x:v>
      </x:c>
      <x:c r="B940" s="21" t="n">
        <x:v>90</x:v>
      </x:c>
      <x:c r="C940" s="21" t="n">
        <x:v>2</x:v>
      </x:c>
      <x:c r="D940" s="21" t="n">
        <x:v>2</x:v>
      </x:c>
      <x:c r="E940" s="21" t="str">
        <x:v>5000rpm</x:v>
      </x:c>
      <x:c r="F940" s="21" t="n">
        <x:v>169</x:v>
      </x:c>
      <x:c r="G940" s="22" t="n">
        <x:f>IFERROR('5000rpm'!P169,"")</x:f>
        <x:v>0.22413418162347148</x:v>
      </x:c>
      <x:c r="H940" s="22" t="n">
        <x:f>IFERROR('5000rpm'!M169,"")</x:f>
        <x:v>5027.81908482142</x:v>
      </x:c>
      <x:c r="I940" s="22" t="n">
        <x:f>IFERROR('5000rpm'!O169,"")</x:f>
        <x:v>3547.9626100430373</x:v>
      </x:c>
      <x:c r="J940" s="22" t="n">
        <x:f>IFERROR('5000rpm'!O168,"")</x:f>
        <x:v>168.68009206349177</x:v>
      </x:c>
      <x:c r="K940" s="22" t="n">
        <x:f>IF(AND(ISNUMBER(I940),ISNUMBER(J940)),I940-J940,"")</x:f>
        <x:v>3379.2825179795454</x:v>
      </x:c>
      <x:c r="L940" s="22" t="n">
        <x:f>IF(ISNUMBER(K940),K940*$B$2+$B$3,"")</x:f>
        <x:v>3123.2047359740136</x:v>
      </x:c>
      <x:c r="M940" s="22" t="n">
        <x:f>IF(AND(ISNUMBER(G940),ISNUMBER(H940),H940&lt;&gt;0),G940/(H940/60)/$B$5,"")</x:f>
        <x:v>0.005850237269883953</x:v>
      </x:c>
      <x:c r="N940" s="22" t="n">
        <x:f>IF(AND(ISNUMBER(L940),ISNUMBER(H940),H940&lt;&gt;0),L940*$B$6/$B$4/(H940/60)^2/$B$5^4/$B$7,"")</x:f>
        <x:v>0.08278617418273732</x:v>
      </x:c>
      <x:c r="O940" s="22" t="n">
        <x:f>IF(ISNUMBER(N940),N940*$B$8,"")</x:f>
        <x:v>0.010696183871587318</x:v>
      </x:c>
      <x:c r="P940" s="20" t="str">
        <x:v>5000rpm!P169</x:v>
      </x:c>
      <x:c r="Q940" s="20" t="str">
        <x:v>5000rpm!O169</x:v>
      </x:c>
      <x:c r="R940" s="20" t="str">
        <x:v>5000rpm!O168</x:v>
      </x:c>
    </x:row>
    <x:row r="941">
      <x:c r="A941" s="21" t="n">
        <x:v>5000</x:v>
      </x:c>
      <x:c r="B941" s="21" t="n">
        <x:v>90</x:v>
      </x:c>
      <x:c r="C941" s="21" t="n">
        <x:v>3</x:v>
      </x:c>
      <x:c r="D941" s="21" t="n">
        <x:v>1</x:v>
      </x:c>
      <x:c r="E941" s="21" t="str">
        <x:v>5000rpm</x:v>
      </x:c>
      <x:c r="F941" s="21" t="n">
        <x:v>170</x:v>
      </x:c>
      <x:c r="G941" s="22" t="n">
        <x:f>IFERROR('5000rpm'!E170,"")</x:f>
        <x:v>1.1074427559836746</x:v>
      </x:c>
      <x:c r="H941" s="22" t="n">
        <x:f>IFERROR('5000rpm'!B170,"")</x:f>
        <x:v>5004.99946732954</x:v>
      </x:c>
      <x:c r="I941" s="22" t="n">
        <x:f>IFERROR('5000rpm'!D170,"")</x:f>
        <x:v>3494.4065803921485</x:v>
      </x:c>
      <x:c r="J941" s="22" t="n">
        <x:f>IFERROR('5000rpm'!D168,"")</x:f>
        <x:v>164.56052405063204</x:v>
      </x:c>
      <x:c r="K941" s="22" t="n">
        <x:f>IF(AND(ISNUMBER(I941),ISNUMBER(J941)),I941-J941,"")</x:f>
        <x:v>3329.8460563415165</x:v>
      </x:c>
      <x:c r="L941" s="22" t="n">
        <x:f>IF(ISNUMBER(K941),K941*$B$2+$B$3,"")</x:f>
        <x:v>3077.9353725603773</x:v>
      </x:c>
      <x:c r="M941" s="22" t="n">
        <x:f>IF(AND(ISNUMBER(G941),ISNUMBER(H941),H941&lt;&gt;0),G941/(H941/60)/$B$5,"")</x:f>
        <x:v>0.029037704391310346</x:v>
      </x:c>
      <x:c r="N941" s="22" t="n">
        <x:f>IF(AND(ISNUMBER(L941),ISNUMBER(H941),H941&lt;&gt;0),L941*$B$6/$B$4/(H941/60)^2/$B$5^4/$B$7,"")</x:f>
        <x:v>0.08233188678479257</x:v>
      </x:c>
      <x:c r="O941" s="22" t="n">
        <x:f>IF(ISNUMBER(N941),N941*$B$8,"")</x:f>
        <x:v>0.010637488786484867</x:v>
      </x:c>
      <x:c r="P941" s="20" t="str">
        <x:v>5000rpm!E170</x:v>
      </x:c>
      <x:c r="Q941" s="20" t="str">
        <x:v>5000rpm!D170</x:v>
      </x:c>
      <x:c r="R941" s="20" t="str">
        <x:v>5000rpm!D168</x:v>
      </x:c>
    </x:row>
    <x:row r="942">
      <x:c r="A942" s="21" t="n">
        <x:v>5000</x:v>
      </x:c>
      <x:c r="B942" s="21" t="n">
        <x:v>90</x:v>
      </x:c>
      <x:c r="C942" s="21" t="n">
        <x:v>3</x:v>
      </x:c>
      <x:c r="D942" s="21" t="n">
        <x:v>2</x:v>
      </x:c>
      <x:c r="E942" s="21" t="str">
        <x:v>5000rpm</x:v>
      </x:c>
      <x:c r="F942" s="21" t="n">
        <x:v>170</x:v>
      </x:c>
      <x:c r="G942" s="22" t="n">
        <x:f>IFERROR('5000rpm'!P170,"")</x:f>
        <x:v>1.0878088874507026</x:v>
      </x:c>
      <x:c r="H942" s="22" t="n">
        <x:f>IFERROR('5000rpm'!M170,"")</x:f>
        <x:v>4988.19885253906</x:v>
      </x:c>
      <x:c r="I942" s="22" t="n">
        <x:f>IFERROR('5000rpm'!O170,"")</x:f>
        <x:v>3448.1108572463722</x:v>
      </x:c>
      <x:c r="J942" s="22" t="n">
        <x:f>IFERROR('5000rpm'!O168,"")</x:f>
        <x:v>168.68009206349177</x:v>
      </x:c>
      <x:c r="K942" s="22" t="n">
        <x:f>IF(AND(ISNUMBER(I942),ISNUMBER(J942)),I942-J942,"")</x:f>
        <x:v>3279.4307651828804</x:v>
      </x:c>
      <x:c r="L942" s="22" t="n">
        <x:f>IF(ISNUMBER(K942),K942*$B$2+$B$3,"")</x:f>
        <x:v>3031.769687124085</x:v>
      </x:c>
      <x:c r="M942" s="22" t="n">
        <x:f>IF(AND(ISNUMBER(G942),ISNUMBER(H942),H942&lt;&gt;0),G942/(H942/60)/$B$5,"")</x:f>
        <x:v>0.028618961686192396</x:v>
      </x:c>
      <x:c r="N942" s="22" t="n">
        <x:f>IF(AND(ISNUMBER(L942),ISNUMBER(H942),H942&lt;&gt;0),L942*$B$6/$B$4/(H942/60)^2/$B$5^4/$B$7,"")</x:f>
        <x:v>0.08164419903805877</x:v>
      </x:c>
      <x:c r="O942" s="22" t="n">
        <x:f>IF(ISNUMBER(N942),N942*$B$8,"")</x:f>
        <x:v>0.010548637783791278</x:v>
      </x:c>
      <x:c r="P942" s="20" t="str">
        <x:v>5000rpm!P170</x:v>
      </x:c>
      <x:c r="Q942" s="20" t="str">
        <x:v>5000rpm!O170</x:v>
      </x:c>
      <x:c r="R942" s="20" t="str">
        <x:v>5000rpm!O168</x:v>
      </x:c>
    </x:row>
    <x:row r="943">
      <x:c r="A943" s="21" t="n">
        <x:v>5000</x:v>
      </x:c>
      <x:c r="B943" s="21" t="n">
        <x:v>90</x:v>
      </x:c>
      <x:c r="C943" s="21" t="n">
        <x:v>4</x:v>
      </x:c>
      <x:c r="D943" s="21" t="n">
        <x:v>1</x:v>
      </x:c>
      <x:c r="E943" s="21" t="str">
        <x:v>5000rpm</x:v>
      </x:c>
      <x:c r="F943" s="21" t="n">
        <x:v>171</x:v>
      </x:c>
      <x:c r="G943" s="22" t="n">
        <x:f>IFERROR('5000rpm'!E171,"")</x:f>
        <x:v>2.135634187123035</x:v>
      </x:c>
      <x:c r="H943" s="22" t="n">
        <x:f>IFERROR('5000rpm'!B171,"")</x:f>
        <x:v>5013.41643415178</x:v>
      </x:c>
      <x:c r="I943" s="22" t="n">
        <x:f>IFERROR('5000rpm'!D171,"")</x:f>
        <x:v>3381.0783065217292</x:v>
      </x:c>
      <x:c r="J943" s="22" t="n">
        <x:f>IFERROR('5000rpm'!D168,"")</x:f>
        <x:v>164.56052405063204</x:v>
      </x:c>
      <x:c r="K943" s="22" t="n">
        <x:f>IF(AND(ISNUMBER(I943),ISNUMBER(J943)),I943-J943,"")</x:f>
        <x:v>3216.5177824710972</x:v>
      </x:c>
      <x:c r="L943" s="22" t="n">
        <x:f>IF(ISNUMBER(K943),K943*$B$2+$B$3,"")</x:f>
        <x:v>2974.1597655510436</x:v>
      </x:c>
      <x:c r="M943" s="22" t="n">
        <x:f>IF(AND(ISNUMBER(G943),ISNUMBER(H943),H943&lt;&gt;0),G943/(H943/60)/$B$5,"")</x:f>
        <x:v>0.055903385918928836</x:v>
      </x:c>
      <x:c r="N943" s="22" t="n">
        <x:f>IF(AND(ISNUMBER(L943),ISNUMBER(H943),H943&lt;&gt;0),L943*$B$6/$B$4/(H943/60)^2/$B$5^4/$B$7,"")</x:f>
        <x:v>0.07928907954054734</x:v>
      </x:c>
      <x:c r="O943" s="22" t="n">
        <x:f>IF(ISNUMBER(N943),N943*$B$8,"")</x:f>
        <x:v>0.010244350365830185</x:v>
      </x:c>
      <x:c r="P943" s="20" t="str">
        <x:v>5000rpm!E171</x:v>
      </x:c>
      <x:c r="Q943" s="20" t="str">
        <x:v>5000rpm!D171</x:v>
      </x:c>
      <x:c r="R943" s="20" t="str">
        <x:v>5000rpm!D168</x:v>
      </x:c>
    </x:row>
    <x:row r="944">
      <x:c r="A944" s="21" t="n">
        <x:v>5000</x:v>
      </x:c>
      <x:c r="B944" s="21" t="n">
        <x:v>90</x:v>
      </x:c>
      <x:c r="C944" s="21" t="n">
        <x:v>4</x:v>
      </x:c>
      <x:c r="D944" s="21" t="n">
        <x:v>2</x:v>
      </x:c>
      <x:c r="E944" s="21" t="str">
        <x:v>5000rpm</x:v>
      </x:c>
      <x:c r="F944" s="21" t="n">
        <x:v>171</x:v>
      </x:c>
      <x:c r="G944" s="22" t="n">
        <x:f>IFERROR('5000rpm'!P171,"")</x:f>
        <x:v>2.122055085266325</x:v>
      </x:c>
      <x:c r="H944" s="22" t="n">
        <x:f>IFERROR('5000rpm'!M171,"")</x:f>
        <x:v>4952.51450602213</x:v>
      </x:c>
      <x:c r="I944" s="22" t="n">
        <x:f>IFERROR('5000rpm'!O171,"")</x:f>
        <x:v>3342.135843697479</x:v>
      </x:c>
      <x:c r="J944" s="22" t="n">
        <x:f>IFERROR('5000rpm'!O168,"")</x:f>
        <x:v>168.68009206349177</x:v>
      </x:c>
      <x:c r="K944" s="22" t="n">
        <x:f>IF(AND(ISNUMBER(I944),ISNUMBER(J944)),I944-J944,"")</x:f>
        <x:v>3173.455751633987</x:v>
      </x:c>
      <x:c r="L944" s="22" t="n">
        <x:f>IF(ISNUMBER(K944),K944*$B$2+$B$3,"")</x:f>
        <x:v>2934.727519417255</x:v>
      </x:c>
      <x:c r="M944" s="22" t="n">
        <x:f>IF(AND(ISNUMBER(G944),ISNUMBER(H944),H944&lt;&gt;0),G944/(H944/60)/$B$5,"")</x:f>
        <x:v>0.05623101537363674</x:v>
      </x:c>
      <x:c r="N944" s="22" t="n">
        <x:f>IF(AND(ISNUMBER(L944),ISNUMBER(H944),H944&lt;&gt;0),L944*$B$6/$B$4/(H944/60)^2/$B$5^4/$B$7,"")</x:f>
        <x:v>0.08017388238763752</x:v>
      </x:c>
      <x:c r="O944" s="22" t="n">
        <x:f>IF(ISNUMBER(N944),N944*$B$8,"")</x:f>
        <x:v>0.010358669139900963</x:v>
      </x:c>
      <x:c r="P944" s="20" t="str">
        <x:v>5000rpm!P171</x:v>
      </x:c>
      <x:c r="Q944" s="20" t="str">
        <x:v>5000rpm!O171</x:v>
      </x:c>
      <x:c r="R944" s="20" t="str">
        <x:v>5000rpm!O168</x:v>
      </x:c>
    </x:row>
    <x:row r="945">
      <x:c r="A945" s="21" t="n">
        <x:v>5000</x:v>
      </x:c>
      <x:c r="B945" s="21" t="n">
        <x:v>90</x:v>
      </x:c>
      <x:c r="C945" s="21" t="n">
        <x:v>5</x:v>
      </x:c>
      <x:c r="D945" s="21" t="n">
        <x:v>1</x:v>
      </x:c>
      <x:c r="E945" s="21" t="str">
        <x:v>5000rpm</x:v>
      </x:c>
      <x:c r="F945" s="21" t="n">
        <x:v>172</x:v>
      </x:c>
      <x:c r="G945" s="22" t="n">
        <x:f>IFERROR('5000rpm'!E172,"")</x:f>
        <x:v>3.1619700531321153</x:v>
      </x:c>
      <x:c r="H945" s="22" t="n">
        <x:f>IFERROR('5000rpm'!B172,"")</x:f>
        <x:v>5016.68015625</x:v>
      </x:c>
      <x:c r="I945" s="22" t="n">
        <x:f>IFERROR('5000rpm'!D172,"")</x:f>
        <x:v>3260.0513790926966</x:v>
      </x:c>
      <x:c r="J945" s="22" t="n">
        <x:f>IFERROR('5000rpm'!D168,"")</x:f>
        <x:v>164.56052405063204</x:v>
      </x:c>
      <x:c r="K945" s="22" t="n">
        <x:f>IF(AND(ISNUMBER(I945),ISNUMBER(J945)),I945-J945,"")</x:f>
        <x:v>3095.4908550420646</x:v>
      </x:c>
      <x:c r="L945" s="22" t="n">
        <x:f>IF(ISNUMBER(K945),K945*$B$2+$B$3,"")</x:f>
        <x:v>2863.334439888859</x:v>
      </x:c>
      <x:c r="M945" s="22" t="n">
        <x:f>IF(AND(ISNUMBER(G945),ISNUMBER(H945),H945&lt;&gt;0),G945/(H945/60)/$B$5,"")</x:f>
        <x:v>0.08271539882189483</x:v>
      </x:c>
      <x:c r="N945" s="22" t="n">
        <x:f>IF(AND(ISNUMBER(L945),ISNUMBER(H945),H945&lt;&gt;0),L945*$B$6/$B$4/(H945/60)^2/$B$5^4/$B$7,"")</x:f>
        <x:v>0.07623526136832016</x:v>
      </x:c>
      <x:c r="O945" s="22" t="n">
        <x:f>IF(ISNUMBER(N945),N945*$B$8,"")</x:f>
        <x:v>0.009849789305327067</x:v>
      </x:c>
      <x:c r="P945" s="20" t="str">
        <x:v>5000rpm!E172</x:v>
      </x:c>
      <x:c r="Q945" s="20" t="str">
        <x:v>5000rpm!D172</x:v>
      </x:c>
      <x:c r="R945" s="20" t="str">
        <x:v>5000rpm!D168</x:v>
      </x:c>
    </x:row>
    <x:row r="946">
      <x:c r="A946" s="21" t="n">
        <x:v>5000</x:v>
      </x:c>
      <x:c r="B946" s="21" t="n">
        <x:v>90</x:v>
      </x:c>
      <x:c r="C946" s="21" t="n">
        <x:v>5</x:v>
      </x:c>
      <x:c r="D946" s="21" t="n">
        <x:v>2</x:v>
      </x:c>
      <x:c r="E946" s="21" t="str">
        <x:v>5000rpm</x:v>
      </x:c>
      <x:c r="F946" s="21" t="n">
        <x:v>172</x:v>
      </x:c>
      <x:c r="G946" s="22" t="n">
        <x:f>IFERROR('5000rpm'!P172,"")</x:f>
        <x:v>3.1523644772340598</x:v>
      </x:c>
      <x:c r="H946" s="22" t="n">
        <x:f>IFERROR('5000rpm'!M172,"")</x:f>
        <x:v>4952.58902994791</x:v>
      </x:c>
      <x:c r="I946" s="22" t="n">
        <x:f>IFERROR('5000rpm'!O172,"")</x:f>
        <x:v>3217.9275364705827</x:v>
      </x:c>
      <x:c r="J946" s="22" t="n">
        <x:f>IFERROR('5000rpm'!O168,"")</x:f>
        <x:v>168.68009206349177</x:v>
      </x:c>
      <x:c r="K946" s="22" t="n">
        <x:f>IF(AND(ISNUMBER(I946),ISNUMBER(J946)),I946-J946,"")</x:f>
        <x:v>3049.247444407091</x:v>
      </x:c>
      <x:c r="L946" s="22" t="n">
        <x:f>IF(ISNUMBER(K946),K946*$B$2+$B$3,"")</x:f>
        <x:v>2820.9889788231285</x:v>
      </x:c>
      <x:c r="M946" s="22" t="n">
        <x:f>IF(AND(ISNUMBER(G946),ISNUMBER(H946),H946&lt;&gt;0),G946/(H946/60)/$B$5,"")</x:f>
        <x:v>0.08353128497431957</x:v>
      </x:c>
      <x:c r="N946" s="22" t="n">
        <x:f>IF(AND(ISNUMBER(L946),ISNUMBER(H946),H946&lt;&gt;0),L946*$B$6/$B$4/(H946/60)^2/$B$5^4/$B$7,"")</x:f>
        <x:v>0.07706433752331178</x:v>
      </x:c>
      <x:c r="O946" s="22" t="n">
        <x:f>IF(ISNUMBER(N946),N946*$B$8,"")</x:f>
        <x:v>0.00995690804930676</x:v>
      </x:c>
      <x:c r="P946" s="20" t="str">
        <x:v>5000rpm!P172</x:v>
      </x:c>
      <x:c r="Q946" s="20" t="str">
        <x:v>5000rpm!O172</x:v>
      </x:c>
      <x:c r="R946" s="20" t="str">
        <x:v>5000rpm!O168</x:v>
      </x:c>
    </x:row>
    <x:row r="947">
      <x:c r="A947" s="21" t="n">
        <x:v>5000</x:v>
      </x:c>
      <x:c r="B947" s="21" t="n">
        <x:v>90</x:v>
      </x:c>
      <x:c r="C947" s="21" t="n">
        <x:v>6</x:v>
      </x:c>
      <x:c r="D947" s="21" t="n">
        <x:v>1</x:v>
      </x:c>
      <x:c r="E947" s="21" t="str">
        <x:v>5000rpm</x:v>
      </x:c>
      <x:c r="F947" s="21" t="n">
        <x:v>173</x:v>
      </x:c>
      <x:c r="G947" s="22" t="n">
        <x:f>IFERROR('5000rpm'!E173,"")</x:f>
        <x:v>4.18922174132388</x:v>
      </x:c>
      <x:c r="H947" s="22" t="n">
        <x:f>IFERROR('5000rpm'!B173,"")</x:f>
        <x:v>4965.02817170516</x:v>
      </x:c>
      <x:c r="I947" s="22" t="n">
        <x:f>IFERROR('5000rpm'!D173,"")</x:f>
        <x:v>3120.7252601307086</x:v>
      </x:c>
      <x:c r="J947" s="22" t="n">
        <x:f>IFERROR('5000rpm'!D168,"")</x:f>
        <x:v>164.56052405063204</x:v>
      </x:c>
      <x:c r="K947" s="22" t="n">
        <x:f>IF(AND(ISNUMBER(I947),ISNUMBER(J947)),I947-J947,"")</x:f>
        <x:v>2956.1647360800766</x:v>
      </x:c>
      <x:c r="L947" s="22" t="n">
        <x:f>IF(ISNUMBER(K947),K947*$B$2+$B$3,"")</x:f>
        <x:v>2735.7523981464146</x:v>
      </x:c>
      <x:c r="M947" s="22" t="n">
        <x:f>IF(AND(ISNUMBER(G947),ISNUMBER(H947),H947&lt;&gt;0),G947/(H947/60)/$B$5,"")</x:f>
        <x:v>0.11072779724648786</x:v>
      </x:c>
      <x:c r="N947" s="22" t="n">
        <x:f>IF(AND(ISNUMBER(L947),ISNUMBER(H947),H947&lt;&gt;0),L947*$B$6/$B$4/(H947/60)^2/$B$5^4/$B$7,"")</x:f>
        <x:v>0.07436181770923646</x:v>
      </x:c>
      <x:c r="O947" s="22" t="n">
        <x:f>IF(ISNUMBER(N947),N947*$B$8,"")</x:f>
        <x:v>0.009607735628509168</x:v>
      </x:c>
      <x:c r="P947" s="20" t="str">
        <x:v>5000rpm!E173</x:v>
      </x:c>
      <x:c r="Q947" s="20" t="str">
        <x:v>5000rpm!D173</x:v>
      </x:c>
      <x:c r="R947" s="20" t="str">
        <x:v>5000rpm!D168</x:v>
      </x:c>
    </x:row>
    <x:row r="948">
      <x:c r="A948" s="21" t="n">
        <x:v>5000</x:v>
      </x:c>
      <x:c r="B948" s="21" t="n">
        <x:v>90</x:v>
      </x:c>
      <x:c r="C948" s="21" t="n">
        <x:v>6</x:v>
      </x:c>
      <x:c r="D948" s="21" t="n">
        <x:v>2</x:v>
      </x:c>
      <x:c r="E948" s="21" t="str">
        <x:v>5000rpm</x:v>
      </x:c>
      <x:c r="F948" s="21" t="n">
        <x:v>173</x:v>
      </x:c>
      <x:c r="G948" s="22" t="n">
        <x:f>IFERROR('5000rpm'!P173,"")</x:f>
        <x:v>4.18183891496796</x:v>
      </x:c>
      <x:c r="H948" s="22" t="n">
        <x:f>IFERROR('5000rpm'!M173,"")</x:f>
        <x:v>4956.29375</x:v>
      </x:c>
      <x:c r="I948" s="22" t="n">
        <x:f>IFERROR('5000rpm'!O173,"")</x:f>
        <x:v>3082.6654571428526</x:v>
      </x:c>
      <x:c r="J948" s="22" t="n">
        <x:f>IFERROR('5000rpm'!O168,"")</x:f>
        <x:v>168.68009206349177</x:v>
      </x:c>
      <x:c r="K948" s="22" t="n">
        <x:f>IF(AND(ISNUMBER(I948),ISNUMBER(J948)),I948-J948,"")</x:f>
        <x:v>2913.9853650793607</x:v>
      </x:c>
      <x:c r="L948" s="22" t="n">
        <x:f>IF(ISNUMBER(K948),K948*$B$2+$B$3,"")</x:f>
        <x:v>2697.1284106860912</x:v>
      </x:c>
      <x:c r="M948" s="22" t="n">
        <x:f>IF(AND(ISNUMBER(G948),ISNUMBER(H948),H948&lt;&gt;0),G948/(H948/60)/$B$5,"")</x:f>
        <x:v>0.11072744787772336</x:v>
      </x:c>
      <x:c r="N948" s="22" t="n">
        <x:f>IF(AND(ISNUMBER(L948),ISNUMBER(H948),H948&lt;&gt;0),L948*$B$6/$B$4/(H948/60)^2/$B$5^4/$B$7,"")</x:f>
        <x:v>0.07357058170095117</x:v>
      </x:c>
      <x:c r="O948" s="22" t="n">
        <x:f>IF(ISNUMBER(N948),N948*$B$8,"")</x:f>
        <x:v>0.00950550592754776</x:v>
      </x:c>
      <x:c r="P948" s="20" t="str">
        <x:v>5000rpm!P173</x:v>
      </x:c>
      <x:c r="Q948" s="20" t="str">
        <x:v>5000rpm!O173</x:v>
      </x:c>
      <x:c r="R948" s="20" t="str">
        <x:v>5000rpm!O168</x:v>
      </x:c>
    </x:row>
    <x:row r="949">
      <x:c r="A949" s="21" t="n">
        <x:v>5000</x:v>
      </x:c>
      <x:c r="B949" s="21" t="n">
        <x:v>90</x:v>
      </x:c>
      <x:c r="C949" s="21" t="n">
        <x:v>7</x:v>
      </x:c>
      <x:c r="D949" s="21" t="n">
        <x:v>1</x:v>
      </x:c>
      <x:c r="E949" s="21" t="str">
        <x:v>5000rpm</x:v>
      </x:c>
      <x:c r="F949" s="21" t="n">
        <x:v>174</x:v>
      </x:c>
      <x:c r="G949" s="22" t="n">
        <x:f>IFERROR('5000rpm'!E174,"")</x:f>
        <x:v>5.2108998298644895</x:v>
      </x:c>
      <x:c r="H949" s="22" t="n">
        <x:f>IFERROR('5000rpm'!B174,"")</x:f>
        <x:v>4971.24669300426</x:v>
      </x:c>
      <x:c r="I949" s="22" t="n">
        <x:f>IFERROR('5000rpm'!D174,"")</x:f>
        <x:v>2980.2438499999944</x:v>
      </x:c>
      <x:c r="J949" s="22" t="n">
        <x:f>IFERROR('5000rpm'!D168,"")</x:f>
        <x:v>164.56052405063204</x:v>
      </x:c>
      <x:c r="K949" s="22" t="n">
        <x:f>IF(AND(ISNUMBER(I949),ISNUMBER(J949)),I949-J949,"")</x:f>
        <x:v>2815.6833259493624</x:v>
      </x:c>
      <x:c r="L949" s="22" t="n">
        <x:f>IF(ISNUMBER(K949),K949*$B$2+$B$3,"")</x:f>
        <x:v>2607.112447038439</x:v>
      </x:c>
      <x:c r="M949" s="22" t="n">
        <x:f>IF(AND(ISNUMBER(G949),ISNUMBER(H949),H949&lt;&gt;0),G949/(H949/60)/$B$5,"")</x:f>
        <x:v>0.1375600858818363</x:v>
      </x:c>
      <x:c r="N949" s="22" t="n">
        <x:f>IF(AND(ISNUMBER(L949),ISNUMBER(H949),H949&lt;&gt;0),L949*$B$6/$B$4/(H949/60)^2/$B$5^4/$B$7,"")</x:f>
        <x:v>0.07068801324191375</x:v>
      </x:c>
      <x:c r="O949" s="22" t="n">
        <x:f>IF(ISNUMBER(N949),N949*$B$8,"")</x:f>
        <x:v>0.009133070764736097</x:v>
      </x:c>
      <x:c r="P949" s="20" t="str">
        <x:v>5000rpm!E174</x:v>
      </x:c>
      <x:c r="Q949" s="20" t="str">
        <x:v>5000rpm!D174</x:v>
      </x:c>
      <x:c r="R949" s="20" t="str">
        <x:v>5000rpm!D168</x:v>
      </x:c>
    </x:row>
    <x:row r="950">
      <x:c r="A950" s="21" t="n">
        <x:v>5000</x:v>
      </x:c>
      <x:c r="B950" s="21" t="n">
        <x:v>90</x:v>
      </x:c>
      <x:c r="C950" s="21" t="n">
        <x:v>7</x:v>
      </x:c>
      <x:c r="D950" s="21" t="n">
        <x:v>2</x:v>
      </x:c>
      <x:c r="E950" s="21" t="str">
        <x:v>5000rpm</x:v>
      </x:c>
      <x:c r="F950" s="21" t="n">
        <x:v>174</x:v>
      </x:c>
      <x:c r="G950" s="22" t="n">
        <x:f>IFERROR('5000rpm'!P174,"")</x:f>
        <x:v>5.2062081759040355</x:v>
      </x:c>
      <x:c r="H950" s="22" t="n">
        <x:f>IFERROR('5000rpm'!M174,"")</x:f>
        <x:v>4952.8555575284</x:v>
      </x:c>
      <x:c r="I950" s="22" t="n">
        <x:f>IFERROR('5000rpm'!O174,"")</x:f>
        <x:v>2936.2298831460666</x:v>
      </x:c>
      <x:c r="J950" s="22" t="n">
        <x:f>IFERROR('5000rpm'!O168,"")</x:f>
        <x:v>168.68009206349177</x:v>
      </x:c>
      <x:c r="K950" s="22" t="n">
        <x:f>IF(AND(ISNUMBER(I950),ISNUMBER(J950)),I950-J950,"")</x:f>
        <x:v>2767.5497910825748</x:v>
      </x:c>
      <x:c r="L950" s="22" t="n">
        <x:f>IF(ISNUMBER(K950),K950*$B$2+$B$3,"")</x:f>
        <x:v>2563.0361840926425</x:v>
      </x:c>
      <x:c r="M950" s="22" t="n">
        <x:f>IF(AND(ISNUMBER(G950),ISNUMBER(H950),H950&lt;&gt;0),G950/(H950/60)/$B$5,"")</x:f>
        <x:v>0.1379465666773709</x:v>
      </x:c>
      <x:c r="N950" s="22" t="n">
        <x:f>IF(AND(ISNUMBER(L950),ISNUMBER(H950),H950&lt;&gt;0),L950*$B$6/$B$4/(H950/60)^2/$B$5^4/$B$7,"")</x:f>
        <x:v>0.07000999632350259</x:v>
      </x:c>
      <x:c r="O950" s="22" t="n">
        <x:f>IF(ISNUMBER(N950),N950*$B$8,"")</x:f>
        <x:v>0.009045469257612883</x:v>
      </x:c>
      <x:c r="P950" s="20" t="str">
        <x:v>5000rpm!P174</x:v>
      </x:c>
      <x:c r="Q950" s="20" t="str">
        <x:v>5000rpm!O174</x:v>
      </x:c>
      <x:c r="R950" s="20" t="str">
        <x:v>5000rpm!O168</x:v>
      </x:c>
    </x:row>
    <x:row r="951">
      <x:c r="A951" s="21" t="n">
        <x:v>5000</x:v>
      </x:c>
      <x:c r="B951" s="21" t="n">
        <x:v>90</x:v>
      </x:c>
      <x:c r="C951" s="21" t="n">
        <x:v>8</x:v>
      </x:c>
      <x:c r="D951" s="21" t="n">
        <x:v>1</x:v>
      </x:c>
      <x:c r="E951" s="21" t="str">
        <x:v>5000rpm</x:v>
      </x:c>
      <x:c r="F951" s="21" t="n">
        <x:v>175</x:v>
      </x:c>
      <x:c r="G951" s="22" t="n">
        <x:f>IFERROR('5000rpm'!E175,"")</x:f>
        <x:v>6.25468552907307</x:v>
      </x:c>
      <x:c r="H951" s="22" t="n">
        <x:f>IFERROR('5000rpm'!B175,"")</x:f>
        <x:v>5033.56625088778</x:v>
      </x:c>
      <x:c r="I951" s="22" t="n">
        <x:f>IFERROR('5000rpm'!D175,"")</x:f>
        <x:v>2828.4207202672596</x:v>
      </x:c>
      <x:c r="J951" s="22" t="n">
        <x:f>IFERROR('5000rpm'!D168,"")</x:f>
        <x:v>164.56052405063204</x:v>
      </x:c>
      <x:c r="K951" s="22" t="n">
        <x:f>IF(AND(ISNUMBER(I951),ISNUMBER(J951)),I951-J951,"")</x:f>
        <x:v>2663.8601962166276</x:v>
      </x:c>
      <x:c r="L951" s="22" t="n">
        <x:f>IF(ISNUMBER(K951),K951*$B$2+$B$3,"")</x:f>
        <x:v>2468.0867925571356</x:v>
      </x:c>
      <x:c r="M951" s="22" t="n">
        <x:f>IF(AND(ISNUMBER(G951),ISNUMBER(H951),H951&lt;&gt;0),G951/(H951/60)/$B$5,"")</x:f>
        <x:v>0.16307024317738883</x:v>
      </x:c>
      <x:c r="N951" s="22" t="n">
        <x:f>IF(AND(ISNUMBER(L951),ISNUMBER(H951),H951&lt;&gt;0),L951*$B$6/$B$4/(H951/60)^2/$B$5^4/$B$7,"")</x:f>
        <x:v>0.06527178543280776</x:v>
      </x:c>
      <x:c r="O951" s="22" t="n">
        <x:f>IF(ISNUMBER(N951),N951*$B$8,"")</x:f>
        <x:v>0.008433280381758328</x:v>
      </x:c>
      <x:c r="P951" s="20" t="str">
        <x:v>5000rpm!E175</x:v>
      </x:c>
      <x:c r="Q951" s="20" t="str">
        <x:v>5000rpm!D175</x:v>
      </x:c>
      <x:c r="R951" s="20" t="str">
        <x:v>5000rpm!D168</x:v>
      </x:c>
    </x:row>
    <x:row r="952">
      <x:c r="A952" s="21" t="n">
        <x:v>5000</x:v>
      </x:c>
      <x:c r="B952" s="21" t="n">
        <x:v>90</x:v>
      </x:c>
      <x:c r="C952" s="21" t="n">
        <x:v>8</x:v>
      </x:c>
      <x:c r="D952" s="21" t="n">
        <x:v>2</x:v>
      </x:c>
      <x:c r="E952" s="21" t="str">
        <x:v>5000rpm</x:v>
      </x:c>
      <x:c r="F952" s="21" t="n">
        <x:v>175</x:v>
      </x:c>
      <x:c r="G952" s="22" t="n">
        <x:f>IFERROR('5000rpm'!P175,"")</x:f>
        <x:v>6.334603034955555</x:v>
      </x:c>
      <x:c r="H952" s="22" t="n">
        <x:f>IFERROR('5000rpm'!M175,"")</x:f>
        <x:v>4970.5127840909</x:v>
      </x:c>
      <x:c r="I952" s="22" t="n">
        <x:f>IFERROR('5000rpm'!O175,"")</x:f>
        <x:v>2777.580005529945</x:v>
      </x:c>
      <x:c r="J952" s="22" t="n">
        <x:f>IFERROR('5000rpm'!O168,"")</x:f>
        <x:v>168.68009206349177</x:v>
      </x:c>
      <x:c r="K952" s="22" t="n">
        <x:f>IF(AND(ISNUMBER(I952),ISNUMBER(J952)),I952-J952,"")</x:f>
        <x:v>2608.899913466453</x:v>
      </x:c>
      <x:c r="L952" s="22" t="n">
        <x:f>IF(ISNUMBER(K952),K952*$B$2+$B$3,"")</x:f>
        <x:v>2417.759221960539</x:v>
      </x:c>
      <x:c r="M952" s="22" t="n">
        <x:f>IF(AND(ISNUMBER(G952),ISNUMBER(H952),H952&lt;&gt;0),G952/(H952/60)/$B$5,"")</x:f>
        <x:v>0.1672488876614331</x:v>
      </x:c>
      <x:c r="N952" s="22" t="n">
        <x:f>IF(AND(ISNUMBER(L952),ISNUMBER(H952),H952&lt;&gt;0),L952*$B$6/$B$4/(H952/60)^2/$B$5^4/$B$7,"")</x:f>
        <x:v>0.06557333935061607</x:v>
      </x:c>
      <x:c r="O952" s="22" t="n">
        <x:f>IF(ISNUMBER(N952),N952*$B$8,"")</x:f>
        <x:v>0.008472241913486505</x:v>
      </x:c>
      <x:c r="P952" s="20" t="str">
        <x:v>5000rpm!P175</x:v>
      </x:c>
      <x:c r="Q952" s="20" t="str">
        <x:v>5000rpm!O175</x:v>
      </x:c>
      <x:c r="R952" s="20" t="str">
        <x:v>5000rpm!O168</x:v>
      </x:c>
    </x:row>
    <x:row r="953">
      <x:c r="A953" s="21" t="n">
        <x:v>5000</x:v>
      </x:c>
      <x:c r="B953" s="21" t="n">
        <x:v>90</x:v>
      </x:c>
      <x:c r="C953" s="21" t="n">
        <x:v>9</x:v>
      </x:c>
      <x:c r="D953" s="21" t="n">
        <x:v>1</x:v>
      </x:c>
      <x:c r="E953" s="21" t="str">
        <x:v>5000rpm</x:v>
      </x:c>
      <x:c r="F953" s="21" t="n">
        <x:v>176</x:v>
      </x:c>
      <x:c r="G953" s="22" t="n">
        <x:f>IFERROR('5000rpm'!E176,"")</x:f>
        <x:v>7.248928062121065</x:v>
      </x:c>
      <x:c r="H953" s="22" t="n">
        <x:f>IFERROR('5000rpm'!B176,"")</x:f>
        <x:v>5005.3649359809</x:v>
      </x:c>
      <x:c r="I953" s="22" t="n">
        <x:f>IFERROR('5000rpm'!D176,"")</x:f>
        <x:v>2668.7634421052558</x:v>
      </x:c>
      <x:c r="J953" s="22" t="n">
        <x:f>IFERROR('5000rpm'!D168,"")</x:f>
        <x:v>164.56052405063204</x:v>
      </x:c>
      <x:c r="K953" s="22" t="n">
        <x:f>IF(AND(ISNUMBER(I953),ISNUMBER(J953)),I953-J953,"")</x:f>
        <x:v>2504.2029180546238</x:v>
      </x:c>
      <x:c r="L953" s="22" t="n">
        <x:f>IF(ISNUMBER(K953),K953*$B$2+$B$3,"")</x:f>
        <x:v>2321.8873456859633</x:v>
      </x:c>
      <x:c r="M953" s="22" t="n">
        <x:f>IF(AND(ISNUMBER(G953),ISNUMBER(H953),H953&lt;&gt;0),G953/(H953/60)/$B$5,"")</x:f>
        <x:v>0.1900566507055398</x:v>
      </x:c>
      <x:c r="N953" s="22" t="n">
        <x:f>IF(AND(ISNUMBER(L953),ISNUMBER(H953),H953&lt;&gt;0),L953*$B$6/$B$4/(H953/60)^2/$B$5^4/$B$7,"")</x:f>
        <x:v>0.062099241189180567</x:v>
      </x:c>
      <x:c r="O953" s="22" t="n">
        <x:f>IF(ISNUMBER(N953),N953*$B$8,"")</x:f>
        <x:v>0.008023379611423439</x:v>
      </x:c>
      <x:c r="P953" s="20" t="str">
        <x:v>5000rpm!E176</x:v>
      </x:c>
      <x:c r="Q953" s="20" t="str">
        <x:v>5000rpm!D176</x:v>
      </x:c>
      <x:c r="R953" s="20" t="str">
        <x:v>5000rpm!D168</x:v>
      </x:c>
    </x:row>
    <x:row r="954">
      <x:c r="A954" s="21" t="n">
        <x:v>5000</x:v>
      </x:c>
      <x:c r="B954" s="21" t="n">
        <x:v>90</x:v>
      </x:c>
      <x:c r="C954" s="21" t="n">
        <x:v>9</x:v>
      </x:c>
      <x:c r="D954" s="21" t="n">
        <x:v>2</x:v>
      </x:c>
      <x:c r="E954" s="21" t="str">
        <x:v>5000rpm</x:v>
      </x:c>
      <x:c r="F954" s="21" t="n">
        <x:v>176</x:v>
      </x:c>
      <x:c r="G954" s="22" t="n">
        <x:f>IFERROR('5000rpm'!P176,"")</x:f>
        <x:v>7.233265070538765</x:v>
      </x:c>
      <x:c r="H954" s="22" t="n">
        <x:f>IFERROR('5000rpm'!M176,"")</x:f>
        <x:v>4981.1177394701</x:v>
      </x:c>
      <x:c r="I954" s="22" t="n">
        <x:f>IFERROR('5000rpm'!O176,"")</x:f>
        <x:v>2637.01916263736</x:v>
      </x:c>
      <x:c r="J954" s="22" t="n">
        <x:f>IFERROR('5000rpm'!O168,"")</x:f>
        <x:v>168.68009206349177</x:v>
      </x:c>
      <x:c r="K954" s="22" t="n">
        <x:f>IF(AND(ISNUMBER(I954),ISNUMBER(J954)),I954-J954,"")</x:f>
        <x:v>2468.339070573868</x:v>
      </x:c>
      <x:c r="L954" s="22" t="n">
        <x:f>IF(ISNUMBER(K954),K954*$B$2+$B$3,"")</x:f>
        <x:v>2289.0465336370553</x:v>
      </x:c>
      <x:c r="M954" s="22" t="n">
        <x:f>IF(AND(ISNUMBER(G954),ISNUMBER(H954),H954&lt;&gt;0),G954/(H954/60)/$B$5,"")</x:f>
        <x:v>0.19056915219316264</x:v>
      </x:c>
      <x:c r="N954" s="22" t="n">
        <x:f>IF(AND(ISNUMBER(L954),ISNUMBER(H954),H954&lt;&gt;0),L954*$B$6/$B$4/(H954/60)^2/$B$5^4/$B$7,"")</x:f>
        <x:v>0.06181838421238919</x:v>
      </x:c>
      <x:c r="O954" s="22" t="n">
        <x:f>IF(ISNUMBER(N954),N954*$B$8,"")</x:f>
        <x:v>0.00798709217701745</x:v>
      </x:c>
      <x:c r="P954" s="20" t="str">
        <x:v>5000rpm!P176</x:v>
      </x:c>
      <x:c r="Q954" s="20" t="str">
        <x:v>5000rpm!O176</x:v>
      </x:c>
      <x:c r="R954" s="20" t="str">
        <x:v>5000rpm!O168</x:v>
      </x:c>
    </x:row>
    <x:row r="955">
      <x:c r="A955" s="21" t="n">
        <x:v>5000</x:v>
      </x:c>
      <x:c r="B955" s="21" t="n">
        <x:v>90</x:v>
      </x:c>
      <x:c r="C955" s="21" t="n">
        <x:v>10</x:v>
      </x:c>
      <x:c r="D955" s="21" t="n">
        <x:v>1</x:v>
      </x:c>
      <x:c r="E955" s="21" t="str">
        <x:v>5000rpm</x:v>
      </x:c>
      <x:c r="F955" s="21" t="n">
        <x:v>177</x:v>
      </x:c>
      <x:c r="G955" s="22" t="n">
        <x:f>IFERROR('5000rpm'!E177,"")</x:f>
        <x:v>8.26985288976312</x:v>
      </x:c>
      <x:c r="H955" s="22" t="n">
        <x:f>IFERROR('5000rpm'!B177,"")</x:f>
        <x:v>5065.9391547309</x:v>
      </x:c>
      <x:c r="I955" s="22" t="n">
        <x:f>IFERROR('5000rpm'!D177,"")</x:f>
        <x:v>2511.273776308536</x:v>
      </x:c>
      <x:c r="J955" s="22" t="n">
        <x:f>IFERROR('5000rpm'!D168,"")</x:f>
        <x:v>164.56052405063204</x:v>
      </x:c>
      <x:c r="K955" s="22" t="n">
        <x:f>IF(AND(ISNUMBER(I955),ISNUMBER(J955)),I955-J955,"")</x:f>
        <x:v>2346.713252257904</x:v>
      </x:c>
      <x:c r="L955" s="22" t="n">
        <x:f>IF(ISNUMBER(K955),K955*$B$2+$B$3,"")</x:f>
        <x:v>2177.672798798581</x:v>
      </x:c>
      <x:c r="M955" s="22" t="n">
        <x:f>IF(AND(ISNUMBER(G955),ISNUMBER(H955),H955&lt;&gt;0),G955/(H955/60)/$B$5,"")</x:f>
        <x:v>0.21423126064423215</x:v>
      </x:c>
      <x:c r="N955" s="22" t="n">
        <x:f>IF(AND(ISNUMBER(L955),ISNUMBER(H955),H955&lt;&gt;0),L955*$B$6/$B$4/(H955/60)^2/$B$5^4/$B$7,"")</x:f>
        <x:v>0.05685770559401365</x:v>
      </x:c>
      <x:c r="O955" s="22" t="n">
        <x:f>IF(ISNUMBER(N955),N955*$B$8,"")</x:f>
        <x:v>0.007346159905973324</x:v>
      </x:c>
      <x:c r="P955" s="20" t="str">
        <x:v>5000rpm!E177</x:v>
      </x:c>
      <x:c r="Q955" s="20" t="str">
        <x:v>5000rpm!D177</x:v>
      </x:c>
      <x:c r="R955" s="20" t="str">
        <x:v>5000rpm!D168</x:v>
      </x:c>
    </x:row>
    <x:row r="956">
      <x:c r="A956" s="21" t="n">
        <x:v>5000</x:v>
      </x:c>
      <x:c r="B956" s="21" t="n">
        <x:v>90</x:v>
      </x:c>
      <x:c r="C956" s="21" t="n">
        <x:v>10</x:v>
      </x:c>
      <x:c r="D956" s="21" t="n">
        <x:v>2</x:v>
      </x:c>
      <x:c r="E956" s="21" t="str">
        <x:v>5000rpm</x:v>
      </x:c>
      <x:c r="F956" s="21" t="n">
        <x:v>177</x:v>
      </x:c>
      <x:c r="G956" s="22" t="n">
        <x:f>IFERROR('5000rpm'!P177,"")</x:f>
        <x:v>8.262707982907454</x:v>
      </x:c>
      <x:c r="H956" s="22" t="n">
        <x:f>IFERROR('5000rpm'!M177,"")</x:f>
        <x:v>4988.51839192708</x:v>
      </x:c>
      <x:c r="I956" s="22" t="n">
        <x:f>IFERROR('5000rpm'!O177,"")</x:f>
        <x:v>2492.441236363631</x:v>
      </x:c>
      <x:c r="J956" s="22" t="n">
        <x:f>IFERROR('5000rpm'!O168,"")</x:f>
        <x:v>168.68009206349177</x:v>
      </x:c>
      <x:c r="K956" s="22" t="n">
        <x:f>IF(AND(ISNUMBER(I956),ISNUMBER(J956)),I956-J956,"")</x:f>
        <x:v>2323.761144300139</x:v>
      </x:c>
      <x:c r="L956" s="22" t="n">
        <x:f>IF(ISNUMBER(K956),K956*$B$2+$B$3,"")</x:f>
        <x:v>2156.655369924792</x:v>
      </x:c>
      <x:c r="M956" s="22" t="n">
        <x:f>IF(AND(ISNUMBER(G956),ISNUMBER(H956),H956&lt;&gt;0),G956/(H956/60)/$B$5,"")</x:f>
        <x:v>0.2173681230486076</x:v>
      </x:c>
      <x:c r="N956" s="22" t="n">
        <x:f>IF(AND(ISNUMBER(L956),ISNUMBER(H956),H956&lt;&gt;0),L956*$B$6/$B$4/(H956/60)^2/$B$5^4/$B$7,"")</x:f>
        <x:v>0.05807032254332084</x:v>
      </x:c>
      <x:c r="O956" s="22" t="n">
        <x:f>IF(ISNUMBER(N956),N956*$B$8,"")</x:f>
        <x:v>0.007502833094263955</x:v>
      </x:c>
      <x:c r="P956" s="20" t="str">
        <x:v>5000rpm!P177</x:v>
      </x:c>
      <x:c r="Q956" s="20" t="str">
        <x:v>5000rpm!O177</x:v>
      </x:c>
      <x:c r="R956" s="20" t="str">
        <x:v>5000rpm!O168</x:v>
      </x:c>
    </x:row>
    <x:row r="957">
      <x:c r="A957" s="21" t="n">
        <x:v>5000</x:v>
      </x:c>
      <x:c r="B957" s="21" t="n">
        <x:v>90</x:v>
      </x:c>
      <x:c r="C957" s="21" t="n">
        <x:v>11</x:v>
      </x:c>
      <x:c r="D957" s="21" t="n">
        <x:v>1</x:v>
      </x:c>
      <x:c r="E957" s="21" t="str">
        <x:v>5000rpm</x:v>
      </x:c>
      <x:c r="F957" s="21" t="n">
        <x:v>178</x:v>
      </x:c>
      <x:c r="G957" s="22" t="n">
        <x:f>IFERROR('5000rpm'!E178,"")</x:f>
        <x:v>9.285406549160294</x:v>
      </x:c>
      <x:c r="H957" s="22" t="n">
        <x:f>IFERROR('5000rpm'!B178,"")</x:f>
        <x:v>5109.29304584703</x:v>
      </x:c>
      <x:c r="I957" s="22" t="n">
        <x:f>IFERROR('5000rpm'!D178,"")</x:f>
        <x:v>2359.6530704370157</x:v>
      </x:c>
      <x:c r="J957" s="22" t="n">
        <x:f>IFERROR('5000rpm'!D168,"")</x:f>
        <x:v>164.56052405063204</x:v>
      </x:c>
      <x:c r="K957" s="22" t="n">
        <x:f>IF(AND(ISNUMBER(I957),ISNUMBER(J957)),I957-J957,"")</x:f>
        <x:v>2195.0925463863837</x:v>
      </x:c>
      <x:c r="L957" s="22" t="n">
        <x:f>IF(ISNUMBER(K957),K957*$B$2+$B$3,"")</x:f>
        <x:v>2038.8325054663826</x:v>
      </x:c>
      <x:c r="M957" s="22" t="n">
        <x:f>IF(AND(ISNUMBER(G957),ISNUMBER(H957),H957&lt;&gt;0),G957/(H957/60)/$B$5,"")</x:f>
        <x:v>0.2384982186344792</x:v>
      </x:c>
      <x:c r="N957" s="22" t="n">
        <x:f>IF(AND(ISNUMBER(L957),ISNUMBER(H957),H957&lt;&gt;0),L957*$B$6/$B$4/(H957/60)^2/$B$5^4/$B$7,"")</x:f>
        <x:v>0.05233311267784498</x:v>
      </x:c>
      <x:c r="O957" s="22" t="n">
        <x:f>IF(ISNUMBER(N957),N957*$B$8,"")</x:f>
        <x:v>0.0067615710147341255</x:v>
      </x:c>
      <x:c r="P957" s="20" t="str">
        <x:v>5000rpm!E178</x:v>
      </x:c>
      <x:c r="Q957" s="20" t="str">
        <x:v>5000rpm!D178</x:v>
      </x:c>
      <x:c r="R957" s="20" t="str">
        <x:v>5000rpm!D168</x:v>
      </x:c>
    </x:row>
    <x:row r="958">
      <x:c r="A958" s="21" t="n">
        <x:v>5000</x:v>
      </x:c>
      <x:c r="B958" s="21" t="n">
        <x:v>90</x:v>
      </x:c>
      <x:c r="C958" s="21" t="n">
        <x:v>11</x:v>
      </x:c>
      <x:c r="D958" s="21" t="n">
        <x:v>2</x:v>
      </x:c>
      <x:c r="E958" s="21" t="str">
        <x:v>5000rpm</x:v>
      </x:c>
      <x:c r="F958" s="21" t="n">
        <x:v>178</x:v>
      </x:c>
      <x:c r="G958" s="22" t="n">
        <x:f>IFERROR('5000rpm'!P178,"")</x:f>
        <x:v>9.284959627410105</x:v>
      </x:c>
      <x:c r="H958" s="22" t="n">
        <x:f>IFERROR('5000rpm'!M178,"")</x:f>
        <x:v>5005.22526041666</x:v>
      </x:c>
      <x:c r="I958" s="22" t="n">
        <x:f>IFERROR('5000rpm'!O178,"")</x:f>
        <x:v>2338.7386937499996</x:v>
      </x:c>
      <x:c r="J958" s="22" t="n">
        <x:f>IFERROR('5000rpm'!O168,"")</x:f>
        <x:v>168.68009206349177</x:v>
      </x:c>
      <x:c r="K958" s="22" t="n">
        <x:f>IF(AND(ISNUMBER(I958),ISNUMBER(J958)),I958-J958,"")</x:f>
        <x:v>2170.0586016865077</x:v>
      </x:c>
      <x:c r="L958" s="22" t="n">
        <x:f>IF(ISNUMBER(K958),K958*$B$2+$B$3,"")</x:f>
        <x:v>2015.9087220331487</x:v>
      </x:c>
      <x:c r="M958" s="22" t="n">
        <x:f>IF(AND(ISNUMBER(G958),ISNUMBER(H958),H958&lt;&gt;0),G958/(H958/60)/$B$5,"")</x:f>
        <x:v>0.2434453147202203</x:v>
      </x:c>
      <x:c r="N958" s="22" t="n">
        <x:f>IF(AND(ISNUMBER(L958),ISNUMBER(H958),H958&lt;&gt;0),L958*$B$6/$B$4/(H958/60)^2/$B$5^4/$B$7,"")</x:f>
        <x:v>0.05391880409954892</x:v>
      </x:c>
      <x:c r="O958" s="22" t="n">
        <x:f>IF(ISNUMBER(N958),N958*$B$8,"")</x:f>
        <x:v>0.006966446371973194</x:v>
      </x:c>
      <x:c r="P958" s="20" t="str">
        <x:v>5000rpm!P178</x:v>
      </x:c>
      <x:c r="Q958" s="20" t="str">
        <x:v>5000rpm!O178</x:v>
      </x:c>
      <x:c r="R958" s="20" t="str">
        <x:v>5000rpm!O168</x:v>
      </x:c>
    </x:row>
    <x:row r="959">
      <x:c r="A959" s="21" t="n">
        <x:v>5000</x:v>
      </x:c>
      <x:c r="B959" s="21" t="n">
        <x:v>90</x:v>
      </x:c>
      <x:c r="C959" s="21" t="n">
        <x:v>12</x:v>
      </x:c>
      <x:c r="D959" s="21" t="n">
        <x:v>1</x:v>
      </x:c>
      <x:c r="E959" s="21" t="str">
        <x:v>5000rpm</x:v>
      </x:c>
      <x:c r="F959" s="21" t="n">
        <x:v>179</x:v>
      </x:c>
      <x:c r="G959" s="22" t="n">
        <x:f>IFERROR('5000rpm'!E179,"")</x:f>
        <x:v>10.235466399324046</x:v>
      </x:c>
      <x:c r="H959" s="22" t="n">
        <x:f>IFERROR('5000rpm'!B179,"")</x:f>
        <x:v>5067.65649414062</x:v>
      </x:c>
      <x:c r="I959" s="22" t="n">
        <x:f>IFERROR('5000rpm'!D179,"")</x:f>
        <x:v>2237.1302712643583</x:v>
      </x:c>
      <x:c r="J959" s="22" t="n">
        <x:f>IFERROR('5000rpm'!D168,"")</x:f>
        <x:v>164.56052405063204</x:v>
      </x:c>
      <x:c r="K959" s="22" t="n">
        <x:f>IF(AND(ISNUMBER(I959),ISNUMBER(J959)),I959-J959,"")</x:f>
        <x:v>2072.5697472137263</x:v>
      </x:c>
      <x:c r="L959" s="22" t="n">
        <x:f>IF(ISNUMBER(K959),K959*$B$2+$B$3,"")</x:f>
        <x:v>1926.6373980815868</x:v>
      </x:c>
      <x:c r="M959" s="22" t="n">
        <x:f>IF(AND(ISNUMBER(G959),ISNUMBER(H959),H959&lt;&gt;0),G959/(H959/60)/$B$5,"")</x:f>
        <x:v>0.2650607952279003</x:v>
      </x:c>
      <x:c r="N959" s="22" t="n">
        <x:f>IF(AND(ISNUMBER(L959),ISNUMBER(H959),H959&lt;&gt;0),L959*$B$6/$B$4/(H959/60)^2/$B$5^4/$B$7,"")</x:f>
        <x:v>0.05026923669366598</x:v>
      </x:c>
      <x:c r="O959" s="22" t="n">
        <x:f>IF(ISNUMBER(N959),N959*$B$8,"")</x:f>
        <x:v>0.006494912998068161</x:v>
      </x:c>
      <x:c r="P959" s="20" t="str">
        <x:v>5000rpm!E179</x:v>
      </x:c>
      <x:c r="Q959" s="20" t="str">
        <x:v>5000rpm!D179</x:v>
      </x:c>
      <x:c r="R959" s="20" t="str">
        <x:v>5000rpm!D168</x:v>
      </x:c>
    </x:row>
    <x:row r="960">
      <x:c r="A960" s="21" t="n">
        <x:v>5000</x:v>
      </x:c>
      <x:c r="B960" s="21" t="n">
        <x:v>90</x:v>
      </x:c>
      <x:c r="C960" s="21" t="n">
        <x:v>12</x:v>
      </x:c>
      <x:c r="D960" s="21" t="n">
        <x:v>2</x:v>
      </x:c>
      <x:c r="E960" s="21" t="str">
        <x:v>5000rpm</x:v>
      </x:c>
      <x:c r="F960" s="21" t="n">
        <x:v>179</x:v>
      </x:c>
      <x:c r="G960" s="22" t="n">
        <x:f>IFERROR('5000rpm'!P179,"")</x:f>
        <x:v>10.23181193773863</x:v>
      </x:c>
      <x:c r="H960" s="22" t="n">
        <x:f>IFERROR('5000rpm'!M179,"")</x:f>
        <x:v>5031.59621710526</x:v>
      </x:c>
      <x:c r="I960" s="22" t="n">
        <x:f>IFERROR('5000rpm'!O179,"")</x:f>
        <x:v>2218.2596986301346</x:v>
      </x:c>
      <x:c r="J960" s="22" t="n">
        <x:f>IFERROR('5000rpm'!O168,"")</x:f>
        <x:v>168.68009206349177</x:v>
      </x:c>
      <x:c r="K960" s="22" t="n">
        <x:f>IF(AND(ISNUMBER(I960),ISNUMBER(J960)),I960-J960,"")</x:f>
        <x:v>2049.5796065666427</x:v>
      </x:c>
      <x:c r="L960" s="22" t="n">
        <x:f>IF(ISNUMBER(K960),K960*$B$2+$B$3,"")</x:f>
        <x:v>1905.5851423699273</x:v>
      </x:c>
      <x:c r="M960" s="22" t="n">
        <x:f>IF(AND(ISNUMBER(G960),ISNUMBER(H960),H960&lt;&gt;0),G960/(H960/60)/$B$5,"")</x:f>
        <x:v>0.26686510884545545</x:v>
      </x:c>
      <x:c r="N960" s="22" t="n">
        <x:f>IF(AND(ISNUMBER(L960),ISNUMBER(H960),H960&lt;&gt;0),L960*$B$6/$B$4/(H960/60)^2/$B$5^4/$B$7,"")</x:f>
        <x:v>0.05043516393361647</x:v>
      </x:c>
      <x:c r="O960" s="22" t="n">
        <x:f>IF(ISNUMBER(N960),N960*$B$8,"")</x:f>
        <x:v>0.006516351218705073</x:v>
      </x:c>
      <x:c r="P960" s="20" t="str">
        <x:v>5000rpm!P179</x:v>
      </x:c>
      <x:c r="Q960" s="20" t="str">
        <x:v>5000rpm!O179</x:v>
      </x:c>
      <x:c r="R960" s="20" t="str">
        <x:v>5000rpm!O168</x:v>
      </x:c>
    </x:row>
    <x:row r="961">
      <x:c r="A961" s="21" t="n">
        <x:v>5000</x:v>
      </x:c>
      <x:c r="B961" s="21" t="n">
        <x:v>90</x:v>
      </x:c>
      <x:c r="C961" s="21" t="n">
        <x:v>13</x:v>
      </x:c>
      <x:c r="D961" s="21" t="n">
        <x:v>1</x:v>
      </x:c>
      <x:c r="E961" s="21" t="str">
        <x:v>5000rpm</x:v>
      </x:c>
      <x:c r="F961" s="21" t="n">
        <x:v>180</x:v>
      </x:c>
      <x:c r="G961" s="22" t="n">
        <x:f>IFERROR('5000rpm'!E180,"")</x:f>
        <x:v>9.287947725893835</x:v>
      </x:c>
      <x:c r="H961" s="22" t="n">
        <x:f>IFERROR('5000rpm'!B180,"")</x:f>
        <x:v>5016.89155273437</x:v>
      </x:c>
      <x:c r="I961" s="22" t="n">
        <x:f>IFERROR('5000rpm'!D180,"")</x:f>
        <x:v>2364.564762094763</x:v>
      </x:c>
      <x:c r="J961" s="22" t="n">
        <x:f>IFERROR('5000rpm'!D168,"")</x:f>
        <x:v>164.56052405063204</x:v>
      </x:c>
      <x:c r="K961" s="22" t="n">
        <x:f>IF(AND(ISNUMBER(I961),ISNUMBER(J961)),I961-J961,"")</x:f>
        <x:v>2200.004238044131</x:v>
      </x:c>
      <x:c r="L961" s="22" t="n">
        <x:f>IF(ISNUMBER(K961),K961*$B$2+$B$3,"")</x:f>
        <x:v>2043.330180810915</x:v>
      </x:c>
      <x:c r="M961" s="22" t="n">
        <x:f>IF(AND(ISNUMBER(G961),ISNUMBER(H961),H961&lt;&gt;0),G961/(H961/60)/$B$5,"")</x:f>
        <x:v>0.2429573700894573</x:v>
      </x:c>
      <x:c r="N961" s="22" t="n">
        <x:f>IF(AND(ISNUMBER(L961),ISNUMBER(H961),H961&lt;&gt;0),L961*$B$6/$B$4/(H961/60)^2/$B$5^4/$B$7,"")</x:f>
        <x:v>0.05439835488218487</x:v>
      </x:c>
      <x:c r="O961" s="22" t="n">
        <x:f>IF(ISNUMBER(N961),N961*$B$8,"")</x:f>
        <x:v>0.007028405550513266</x:v>
      </x:c>
      <x:c r="P961" s="20" t="str">
        <x:v>5000rpm!E180</x:v>
      </x:c>
      <x:c r="Q961" s="20" t="str">
        <x:v>5000rpm!D180</x:v>
      </x:c>
      <x:c r="R961" s="20" t="str">
        <x:v>5000rpm!D168</x:v>
      </x:c>
    </x:row>
    <x:row r="962">
      <x:c r="A962" s="21" t="n">
        <x:v>5000</x:v>
      </x:c>
      <x:c r="B962" s="21" t="n">
        <x:v>90</x:v>
      </x:c>
      <x:c r="C962" s="21" t="n">
        <x:v>13</x:v>
      </x:c>
      <x:c r="D962" s="21" t="n">
        <x:v>2</x:v>
      </x:c>
      <x:c r="E962" s="21" t="str">
        <x:v>5000rpm</x:v>
      </x:c>
      <x:c r="F962" s="21" t="n">
        <x:v>180</x:v>
      </x:c>
      <x:c r="G962" s="22" t="n">
        <x:f>IFERROR('5000rpm'!P180,"")</x:f>
        <x:v>9.289896233607134</x:v>
      </x:c>
      <x:c r="H962" s="22" t="n">
        <x:f>IFERROR('5000rpm'!M180,"")</x:f>
        <x:v>5034.17955186631</x:v>
      </x:c>
      <x:c r="I962" s="22" t="n">
        <x:f>IFERROR('5000rpm'!O180,"")</x:f>
        <x:v>2348.8804873239405</x:v>
      </x:c>
      <x:c r="J962" s="22" t="n">
        <x:f>IFERROR('5000rpm'!O168,"")</x:f>
        <x:v>168.68009206349177</x:v>
      </x:c>
      <x:c r="K962" s="22" t="n">
        <x:f>IF(AND(ISNUMBER(I962),ISNUMBER(J962)),I962-J962,"")</x:f>
        <x:v>2180.2003952604487</x:v>
      </x:c>
      <x:c r="L962" s="22" t="n">
        <x:f>IF(ISNUMBER(K962),K962*$B$2+$B$3,"")</x:f>
        <x:v>2025.195643543155</x:v>
      </x:c>
      <x:c r="M962" s="22" t="n">
        <x:f>IF(AND(ISNUMBER(G962),ISNUMBER(H962),H962&lt;&gt;0),G962/(H962/60)/$B$5,"")</x:f>
        <x:v>0.24217381894891812</x:v>
      </x:c>
      <x:c r="N962" s="22" t="n">
        <x:f>IF(AND(ISNUMBER(L962),ISNUMBER(H962),H962&lt;&gt;0),L962*$B$6/$B$4/(H962/60)^2/$B$5^4/$B$7,"")</x:f>
        <x:v>0.053545900246695616</x:v>
      </x:c>
      <x:c r="O962" s="22" t="n">
        <x:f>IF(ISNUMBER(N962),N962*$B$8,"")</x:f>
        <x:v>0.006918266247502918</x:v>
      </x:c>
      <x:c r="P962" s="20" t="str">
        <x:v>5000rpm!P180</x:v>
      </x:c>
      <x:c r="Q962" s="20" t="str">
        <x:v>5000rpm!O180</x:v>
      </x:c>
      <x:c r="R962" s="20" t="str">
        <x:v>5000rpm!O168</x:v>
      </x:c>
    </x:row>
    <x:row r="963">
      <x:c r="A963" s="21" t="n">
        <x:v>5000</x:v>
      </x:c>
      <x:c r="B963" s="21" t="n">
        <x:v>90</x:v>
      </x:c>
      <x:c r="C963" s="21" t="n">
        <x:v>14</x:v>
      </x:c>
      <x:c r="D963" s="21" t="n">
        <x:v>1</x:v>
      </x:c>
      <x:c r="E963" s="21" t="str">
        <x:v>5000rpm</x:v>
      </x:c>
      <x:c r="F963" s="21" t="n">
        <x:v>181</x:v>
      </x:c>
      <x:c r="G963" s="22" t="n">
        <x:f>IFERROR('5000rpm'!E181,"")</x:f>
        <x:v>8.280398549419814</x:v>
      </x:c>
      <x:c r="H963" s="22" t="n">
        <x:f>IFERROR('5000rpm'!B181,"")</x:f>
        <x:v>5004.05026855468</x:v>
      </x:c>
      <x:c r="I963" s="22" t="n">
        <x:f>IFERROR('5000rpm'!D181,"")</x:f>
        <x:v>2510.1493747524696</x:v>
      </x:c>
      <x:c r="J963" s="22" t="n">
        <x:f>IFERROR('5000rpm'!D168,"")</x:f>
        <x:v>164.56052405063204</x:v>
      </x:c>
      <x:c r="K963" s="22" t="n">
        <x:f>IF(AND(ISNUMBER(I963),ISNUMBER(J963)),I963-J963,"")</x:f>
        <x:v>2345.5888507018376</x:v>
      </x:c>
      <x:c r="L963" s="22" t="n">
        <x:f>IF(ISNUMBER(K963),K963*$B$2+$B$3,"")</x:f>
        <x:v>2176.643175298478</x:v>
      </x:c>
      <x:c r="M963" s="22" t="n">
        <x:f>IF(AND(ISNUMBER(G963),ISNUMBER(H963),H963&lt;&gt;0),G963/(H963/60)/$B$5,"")</x:f>
        <x:v>0.21715738611388388</x:v>
      </x:c>
      <x:c r="N963" s="22" t="n">
        <x:f>IF(AND(ISNUMBER(L963),ISNUMBER(H963),H963&lt;&gt;0),L963*$B$6/$B$4/(H963/60)^2/$B$5^4/$B$7,"")</x:f>
        <x:v>0.05824525548269464</x:v>
      </x:c>
      <x:c r="O963" s="22" t="n">
        <x:f>IF(ISNUMBER(N963),N963*$B$8,"")</x:f>
        <x:v>0.007525434874128901</x:v>
      </x:c>
      <x:c r="P963" s="20" t="str">
        <x:v>5000rpm!E181</x:v>
      </x:c>
      <x:c r="Q963" s="20" t="str">
        <x:v>5000rpm!D181</x:v>
      </x:c>
      <x:c r="R963" s="20" t="str">
        <x:v>5000rpm!D168</x:v>
      </x:c>
    </x:row>
    <x:row r="964">
      <x:c r="A964" s="21" t="n">
        <x:v>5000</x:v>
      </x:c>
      <x:c r="B964" s="21" t="n">
        <x:v>90</x:v>
      </x:c>
      <x:c r="C964" s="21" t="n">
        <x:v>14</x:v>
      </x:c>
      <x:c r="D964" s="21" t="n">
        <x:v>2</x:v>
      </x:c>
      <x:c r="E964" s="21" t="str">
        <x:v>5000rpm</x:v>
      </x:c>
      <x:c r="F964" s="21" t="n">
        <x:v>181</x:v>
      </x:c>
      <x:c r="G964" s="22" t="n">
        <x:f>IFERROR('5000rpm'!P181,"")</x:f>
        <x:v>8.27553737163543</x:v>
      </x:c>
      <x:c r="H964" s="22" t="n">
        <x:f>IFERROR('5000rpm'!M181,"")</x:f>
        <x:v>5041.95138113839</x:v>
      </x:c>
      <x:c r="I964" s="22" t="n">
        <x:f>IFERROR('5000rpm'!O181,"")</x:f>
        <x:v>2493.888216628168</x:v>
      </x:c>
      <x:c r="J964" s="22" t="n">
        <x:f>IFERROR('5000rpm'!O168,"")</x:f>
        <x:v>168.68009206349177</x:v>
      </x:c>
      <x:c r="K964" s="22" t="n">
        <x:f>IF(AND(ISNUMBER(I964),ISNUMBER(J964)),I964-J964,"")</x:f>
        <x:v>2325.208124564676</x:v>
      </x:c>
      <x:c r="L964" s="22" t="n">
        <x:f>IF(ISNUMBER(K964),K964*$B$2+$B$3,"")</x:f>
        <x:v>2157.9803813288704</x:v>
      </x:c>
      <x:c r="M964" s="22" t="n">
        <x:f>IF(AND(ISNUMBER(G964),ISNUMBER(H964),H964&lt;&gt;0),G964/(H964/60)/$B$5,"")</x:f>
        <x:v>0.21539845277447617</x:v>
      </x:c>
      <x:c r="N964" s="22" t="n">
        <x:f>IF(AND(ISNUMBER(L964),ISNUMBER(H964),H964&lt;&gt;0),L964*$B$6/$B$4/(H964/60)^2/$B$5^4/$B$7,"")</x:f>
        <x:v>0.056880948238075324</x:v>
      </x:c>
      <x:c r="O964" s="22" t="n">
        <x:f>IF(ISNUMBER(N964),N964*$B$8,"")</x:f>
        <x:v>0.0073491629145916075</x:v>
      </x:c>
      <x:c r="P964" s="20" t="str">
        <x:v>5000rpm!P181</x:v>
      </x:c>
      <x:c r="Q964" s="20" t="str">
        <x:v>5000rpm!O181</x:v>
      </x:c>
      <x:c r="R964" s="20" t="str">
        <x:v>5000rpm!O168</x:v>
      </x:c>
    </x:row>
    <x:row r="965">
      <x:c r="A965" s="21" t="n">
        <x:v>5000</x:v>
      </x:c>
      <x:c r="B965" s="21" t="n">
        <x:v>90</x:v>
      </x:c>
      <x:c r="C965" s="21" t="n">
        <x:v>15</x:v>
      </x:c>
      <x:c r="D965" s="21" t="n">
        <x:v>1</x:v>
      </x:c>
      <x:c r="E965" s="21" t="str">
        <x:v>5000rpm</x:v>
      </x:c>
      <x:c r="F965" s="21" t="n">
        <x:v>182</x:v>
      </x:c>
      <x:c r="G965" s="22" t="n">
        <x:f>IFERROR('5000rpm'!E182,"")</x:f>
        <x:v>7.26529686450957</x:v>
      </x:c>
      <x:c r="H965" s="22" t="n">
        <x:f>IFERROR('5000rpm'!B182,"")</x:f>
        <x:v>4952.55350748697</x:v>
      </x:c>
      <x:c r="I965" s="22" t="n">
        <x:f>IFERROR('5000rpm'!D182,"")</x:f>
        <x:v>2649.976723173268</x:v>
      </x:c>
      <x:c r="J965" s="22" t="n">
        <x:f>IFERROR('5000rpm'!D168,"")</x:f>
        <x:v>164.56052405063204</x:v>
      </x:c>
      <x:c r="K965" s="22" t="n">
        <x:f>IF(AND(ISNUMBER(I965),ISNUMBER(J965)),I965-J965,"")</x:f>
        <x:v>2485.416199122636</x:v>
      </x:c>
      <x:c r="L965" s="22" t="n">
        <x:f>IF(ISNUMBER(K965),K965*$B$2+$B$3,"")</x:f>
        <x:v>2304.6841968661906</x:v>
      </x:c>
      <x:c r="M965" s="22" t="n">
        <x:f>IF(AND(ISNUMBER(G965),ISNUMBER(H965),H965&lt;&gt;0),G965/(H965/60)/$B$5,"")</x:f>
        <x:v>0.1925170582501533</x:v>
      </x:c>
      <x:c r="N965" s="22" t="n">
        <x:f>IF(AND(ISNUMBER(L965),ISNUMBER(H965),H965&lt;&gt;0),L965*$B$6/$B$4/(H965/60)^2/$B$5^4/$B$7,"")</x:f>
        <x:v>0.06296072405612388</x:v>
      </x:c>
      <x:c r="O965" s="22" t="n">
        <x:f>IF(ISNUMBER(N965),N965*$B$8,"")</x:f>
        <x:v>0.008134685384857395</x:v>
      </x:c>
      <x:c r="P965" s="20" t="str">
        <x:v>5000rpm!E182</x:v>
      </x:c>
      <x:c r="Q965" s="20" t="str">
        <x:v>5000rpm!D182</x:v>
      </x:c>
      <x:c r="R965" s="20" t="str">
        <x:v>5000rpm!D168</x:v>
      </x:c>
    </x:row>
    <x:row r="966">
      <x:c r="A966" s="21" t="n">
        <x:v>5000</x:v>
      </x:c>
      <x:c r="B966" s="21" t="n">
        <x:v>90</x:v>
      </x:c>
      <x:c r="C966" s="21" t="n">
        <x:v>15</x:v>
      </x:c>
      <x:c r="D966" s="21" t="n">
        <x:v>2</x:v>
      </x:c>
      <x:c r="E966" s="21" t="str">
        <x:v>5000rpm</x:v>
      </x:c>
      <x:c r="F966" s="21" t="n">
        <x:v>182</x:v>
      </x:c>
      <x:c r="G966" s="22" t="n">
        <x:f>IFERROR('5000rpm'!P182,"")</x:f>
        <x:v>7.2677992880344355</x:v>
      </x:c>
      <x:c r="H966" s="22" t="n">
        <x:f>IFERROR('5000rpm'!M182,"")</x:f>
        <x:v>4967.45661621093</x:v>
      </x:c>
      <x:c r="I966" s="22" t="n">
        <x:f>IFERROR('5000rpm'!O182,"")</x:f>
        <x:v>2645.8156249999997</x:v>
      </x:c>
      <x:c r="J966" s="22" t="n">
        <x:f>IFERROR('5000rpm'!O168,"")</x:f>
        <x:v>168.68009206349177</x:v>
      </x:c>
      <x:c r="K966" s="22" t="n">
        <x:f>IF(AND(ISNUMBER(I966),ISNUMBER(J966)),I966-J966,"")</x:f>
        <x:v>2477.135532936508</x:v>
      </x:c>
      <x:c r="L966" s="22" t="n">
        <x:f>IF(ISNUMBER(K966),K966*$B$2+$B$3,"")</x:f>
        <x:v>2297.1015245942235</x:v>
      </x:c>
      <x:c r="M966" s="22" t="n">
        <x:f>IF(AND(ISNUMBER(G966),ISNUMBER(H966),H966&lt;&gt;0),G966/(H966/60)/$B$5,"")</x:f>
        <x:v>0.19200558914045968</x:v>
      </x:c>
      <x:c r="N966" s="22" t="n">
        <x:f>IF(AND(ISNUMBER(L966),ISNUMBER(H966),H966&lt;&gt;0),L966*$B$6/$B$4/(H966/60)^2/$B$5^4/$B$7,"")</x:f>
        <x:v>0.062377600849645595</x:v>
      </x:c>
      <x:c r="O966" s="22" t="n">
        <x:f>IF(ISNUMBER(N966),N966*$B$8,"")</x:f>
        <x:v>0.008059344386220187</x:v>
      </x:c>
      <x:c r="P966" s="20" t="str">
        <x:v>5000rpm!P182</x:v>
      </x:c>
      <x:c r="Q966" s="20" t="str">
        <x:v>5000rpm!O182</x:v>
      </x:c>
      <x:c r="R966" s="20" t="str">
        <x:v>5000rpm!O168</x:v>
      </x:c>
    </x:row>
    <x:row r="967">
      <x:c r="A967" s="21" t="n">
        <x:v>5000</x:v>
      </x:c>
      <x:c r="B967" s="21" t="n">
        <x:v>90</x:v>
      </x:c>
      <x:c r="C967" s="21" t="n">
        <x:v>16</x:v>
      </x:c>
      <x:c r="D967" s="21" t="n">
        <x:v>1</x:v>
      </x:c>
      <x:c r="E967" s="21" t="str">
        <x:v>5000rpm</x:v>
      </x:c>
      <x:c r="F967" s="21" t="n">
        <x:v>183</x:v>
      </x:c>
      <x:c r="G967" s="22" t="n">
        <x:f>IFERROR('5000rpm'!E183,"")</x:f>
        <x:v>6.1539214468493855</x:v>
      </x:c>
      <x:c r="H967" s="22" t="n">
        <x:f>IFERROR('5000rpm'!B183,"")</x:f>
        <x:v>4932.90609846443</x:v>
      </x:c>
      <x:c r="I967" s="22" t="n">
        <x:f>IFERROR('5000rpm'!D183,"")</x:f>
        <x:v>2812.515608605847</x:v>
      </x:c>
      <x:c r="J967" s="22" t="n">
        <x:f>IFERROR('5000rpm'!D168,"")</x:f>
        <x:v>164.56052405063204</x:v>
      </x:c>
      <x:c r="K967" s="22" t="n">
        <x:f>IF(AND(ISNUMBER(I967),ISNUMBER(J967)),I967-J967,"")</x:f>
        <x:v>2647.955084555215</x:v>
      </x:c>
      <x:c r="L967" s="22" t="n">
        <x:f>IF(ISNUMBER(K967),K967*$B$2+$B$3,"")</x:f>
        <x:v>2453.522354567887</x:v>
      </x:c>
      <x:c r="M967" s="22" t="n">
        <x:f>IF(AND(ISNUMBER(G967),ISNUMBER(H967),H967&lt;&gt;0),G967/(H967/60)/$B$5,"")</x:f>
        <x:v>0.1637171321780102</x:v>
      </x:c>
      <x:c r="N967" s="22" t="n">
        <x:f>IF(AND(ISNUMBER(L967),ISNUMBER(H967),H967&lt;&gt;0),L967*$B$6/$B$4/(H967/60)^2/$B$5^4/$B$7,"")</x:f>
        <x:v>0.06756176164506843</x:v>
      </x:c>
      <x:c r="O967" s="22" t="n">
        <x:f>IF(ISNUMBER(N967),N967*$B$8,"")</x:f>
        <x:v>0.008729151121887404</x:v>
      </x:c>
      <x:c r="P967" s="20" t="str">
        <x:v>5000rpm!E183</x:v>
      </x:c>
      <x:c r="Q967" s="20" t="str">
        <x:v>5000rpm!D183</x:v>
      </x:c>
      <x:c r="R967" s="20" t="str">
        <x:v>5000rpm!D168</x:v>
      </x:c>
    </x:row>
    <x:row r="968">
      <x:c r="A968" s="21" t="n">
        <x:v>5000</x:v>
      </x:c>
      <x:c r="B968" s="21" t="n">
        <x:v>90</x:v>
      </x:c>
      <x:c r="C968" s="21" t="n">
        <x:v>16</x:v>
      </x:c>
      <x:c r="D968" s="21" t="n">
        <x:v>2</x:v>
      </x:c>
      <x:c r="E968" s="21" t="str">
        <x:v>5000rpm</x:v>
      </x:c>
      <x:c r="F968" s="21" t="n">
        <x:v>183</x:v>
      </x:c>
      <x:c r="G968" s="22" t="n">
        <x:f>IFERROR('5000rpm'!P183,"")</x:f>
        <x:v>6.156366843647415</x:v>
      </x:c>
      <x:c r="H968" s="22" t="n">
        <x:f>IFERROR('5000rpm'!M183,"")</x:f>
        <x:v>4957.05906394675</x:v>
      </x:c>
      <x:c r="I968" s="22" t="n">
        <x:f>IFERROR('5000rpm'!O183,"")</x:f>
        <x:v>2798.6512363636293</x:v>
      </x:c>
      <x:c r="J968" s="22" t="n">
        <x:f>IFERROR('5000rpm'!O168,"")</x:f>
        <x:v>168.68009206349177</x:v>
      </x:c>
      <x:c r="K968" s="22" t="n">
        <x:f>IF(AND(ISNUMBER(I968),ISNUMBER(J968)),I968-J968,"")</x:f>
        <x:v>2629.9711443001374</x:v>
      </x:c>
      <x:c r="L968" s="22" t="n">
        <x:f>IF(ISNUMBER(K968),K968*$B$2+$B$3,"")</x:f>
        <x:v>2437.05431660479</x:v>
      </x:c>
      <x:c r="M968" s="22" t="n">
        <x:f>IF(AND(ISNUMBER(G968),ISNUMBER(H968),H968&lt;&gt;0),G968/(H968/60)/$B$5,"")</x:f>
        <x:v>0.16298417015748054</x:v>
      </x:c>
      <x:c r="N968" s="22" t="n">
        <x:f>IF(AND(ISNUMBER(L968),ISNUMBER(H968),H968&lt;&gt;0),L968*$B$6/$B$4/(H968/60)^2/$B$5^4/$B$7,"")</x:f>
        <x:v>0.06645591840211638</x:v>
      </x:c>
      <x:c r="O968" s="22" t="n">
        <x:f>IF(ISNUMBER(N968),N968*$B$8,"")</x:f>
        <x:v>0.008586273367521581</x:v>
      </x:c>
      <x:c r="P968" s="20" t="str">
        <x:v>5000rpm!P183</x:v>
      </x:c>
      <x:c r="Q968" s="20" t="str">
        <x:v>5000rpm!O183</x:v>
      </x:c>
      <x:c r="R968" s="20" t="str">
        <x:v>5000rpm!O168</x:v>
      </x:c>
    </x:row>
    <x:row r="969">
      <x:c r="A969" s="21" t="n">
        <x:v>5000</x:v>
      </x:c>
      <x:c r="B969" s="21" t="n">
        <x:v>90</x:v>
      </x:c>
      <x:c r="C969" s="21" t="n">
        <x:v>17</x:v>
      </x:c>
      <x:c r="D969" s="21" t="n">
        <x:v>1</x:v>
      </x:c>
      <x:c r="E969" s="21" t="str">
        <x:v>5000rpm</x:v>
      </x:c>
      <x:c r="F969" s="21" t="n">
        <x:v>184</x:v>
      </x:c>
      <x:c r="G969" s="22" t="n">
        <x:f>IFERROR('5000rpm'!E184,"")</x:f>
        <x:v>5.231736652056375</x:v>
      </x:c>
      <x:c r="H969" s="22" t="n">
        <x:f>IFERROR('5000rpm'!B184,"")</x:f>
        <x:v>4939.47862177309</x:v>
      </x:c>
      <x:c r="I969" s="22" t="n">
        <x:f>IFERROR('5000rpm'!D184,"")</x:f>
        <x:v>2937.5347158129134</x:v>
      </x:c>
      <x:c r="J969" s="22" t="n">
        <x:f>IFERROR('5000rpm'!D168,"")</x:f>
        <x:v>164.56052405063204</x:v>
      </x:c>
      <x:c r="K969" s="22" t="n">
        <x:f>IF(AND(ISNUMBER(I969),ISNUMBER(J969)),I969-J969,"")</x:f>
        <x:v>2772.9741917622814</x:v>
      </x:c>
      <x:c r="L969" s="22" t="n">
        <x:f>IF(ISNUMBER(K969),K969*$B$2+$B$3,"")</x:f>
        <x:v>2568.003351190255</x:v>
      </x:c>
      <x:c r="M969" s="22" t="n">
        <x:f>IF(AND(ISNUMBER(G969),ISNUMBER(H969),H969&lt;&gt;0),G969/(H969/60)/$B$5,"")</x:f>
        <x:v>0.1389983975442941</x:v>
      </x:c>
      <x:c r="N969" s="22" t="n">
        <x:f>IF(AND(ISNUMBER(L969),ISNUMBER(H969),H969&lt;&gt;0),L969*$B$6/$B$4/(H969/60)^2/$B$5^4/$B$7,"")</x:f>
        <x:v>0.07052612272490297</x:v>
      </x:c>
      <x:c r="O969" s="22" t="n">
        <x:f>IF(ISNUMBER(N969),N969*$B$8,"")</x:f>
        <x:v>0.009112154098950923</x:v>
      </x:c>
      <x:c r="P969" s="20" t="str">
        <x:v>5000rpm!E184</x:v>
      </x:c>
      <x:c r="Q969" s="20" t="str">
        <x:v>5000rpm!D184</x:v>
      </x:c>
      <x:c r="R969" s="20" t="str">
        <x:v>5000rpm!D168</x:v>
      </x:c>
    </x:row>
    <x:row r="970">
      <x:c r="A970" s="21" t="n">
        <x:v>5000</x:v>
      </x:c>
      <x:c r="B970" s="21" t="n">
        <x:v>90</x:v>
      </x:c>
      <x:c r="C970" s="21" t="n">
        <x:v>17</x:v>
      </x:c>
      <x:c r="D970" s="21" t="n">
        <x:v>2</x:v>
      </x:c>
      <x:c r="E970" s="21" t="str">
        <x:v>5000rpm</x:v>
      </x:c>
      <x:c r="F970" s="21" t="n">
        <x:v>184</x:v>
      </x:c>
      <x:c r="G970" s="22" t="n">
        <x:f>IFERROR('5000rpm'!P184,"")</x:f>
        <x:v>5.230384984258875</x:v>
      </x:c>
      <x:c r="H970" s="22" t="n">
        <x:f>IFERROR('5000rpm'!M184,"")</x:f>
        <x:v>4923.2373860677</x:v>
      </x:c>
      <x:c r="I970" s="22" t="n">
        <x:f>IFERROR('5000rpm'!O184,"")</x:f>
        <x:v>2927.877372823779</x:v>
      </x:c>
      <x:c r="J970" s="22" t="n">
        <x:f>IFERROR('5000rpm'!O168,"")</x:f>
        <x:v>168.68009206349177</x:v>
      </x:c>
      <x:c r="K970" s="22" t="n">
        <x:f>IF(AND(ISNUMBER(I970),ISNUMBER(J970)),I970-J970,"")</x:f>
        <x:v>2759.197280760287</x:v>
      </x:c>
      <x:c r="L970" s="22" t="n">
        <x:f>IF(ISNUMBER(K970),K970*$B$2+$B$3,"")</x:f>
        <x:v>2555.387723570441</x:v>
      </x:c>
      <x:c r="M970" s="22" t="n">
        <x:f>IF(AND(ISNUMBER(G970),ISNUMBER(H970),H970&lt;&gt;0),G970/(H970/60)/$B$5,"")</x:f>
        <x:v>0.13942090845503774</x:v>
      </x:c>
      <x:c r="N970" s="22" t="n">
        <x:f>IF(AND(ISNUMBER(L970),ISNUMBER(H970),H970&lt;&gt;0),L970*$B$6/$B$4/(H970/60)^2/$B$5^4/$B$7,"")</x:f>
        <x:v>0.07064344875534187</x:v>
      </x:c>
      <x:c r="O970" s="22" t="n">
        <x:f>IF(ISNUMBER(N970),N970*$B$8,"")</x:f>
        <x:v>0.00912731291993627</x:v>
      </x:c>
      <x:c r="P970" s="20" t="str">
        <x:v>5000rpm!P184</x:v>
      </x:c>
      <x:c r="Q970" s="20" t="str">
        <x:v>5000rpm!O184</x:v>
      </x:c>
      <x:c r="R970" s="20" t="str">
        <x:v>5000rpm!O168</x:v>
      </x:c>
    </x:row>
    <x:row r="971">
      <x:c r="A971" s="21" t="n">
        <x:v>5000</x:v>
      </x:c>
      <x:c r="B971" s="21" t="n">
        <x:v>90</x:v>
      </x:c>
      <x:c r="C971" s="21" t="n">
        <x:v>18</x:v>
      </x:c>
      <x:c r="D971" s="21" t="n">
        <x:v>1</x:v>
      </x:c>
      <x:c r="E971" s="21" t="str">
        <x:v>5000rpm</x:v>
      </x:c>
      <x:c r="F971" s="21" t="n">
        <x:v>185</x:v>
      </x:c>
      <x:c r="G971" s="22" t="n">
        <x:f>IFERROR('5000rpm'!E185,"")</x:f>
        <x:v>4.213662282660075</x:v>
      </x:c>
      <x:c r="H971" s="22" t="n">
        <x:f>IFERROR('5000rpm'!B185,"")</x:f>
        <x:v>4936.61818529212</x:v>
      </x:c>
      <x:c r="I971" s="22" t="n">
        <x:f>IFERROR('5000rpm'!D185,"")</x:f>
        <x:v>3063.2986258064484</x:v>
      </x:c>
      <x:c r="J971" s="22" t="n">
        <x:f>IFERROR('5000rpm'!D168,"")</x:f>
        <x:v>164.56052405063204</x:v>
      </x:c>
      <x:c r="K971" s="22" t="n">
        <x:f>IF(AND(ISNUMBER(I971),ISNUMBER(J971)),I971-J971,"")</x:f>
        <x:v>2898.7381017558164</x:v>
      </x:c>
      <x:c r="L971" s="22" t="n">
        <x:f>IF(ISNUMBER(K971),K971*$B$2+$B$3,"")</x:f>
        <x:v>2683.166369682615</x:v>
      </x:c>
      <x:c r="M971" s="22" t="n">
        <x:f>IF(AND(ISNUMBER(G971),ISNUMBER(H971),H971&lt;&gt;0),G971/(H971/60)/$B$5,"")</x:f>
        <x:v>0.11201475019681066</x:v>
      </x:c>
      <x:c r="N971" s="22" t="n">
        <x:f>IF(AND(ISNUMBER(L971),ISNUMBER(H971),H971&lt;&gt;0),L971*$B$6/$B$4/(H971/60)^2/$B$5^4/$B$7,"")</x:f>
        <x:v>0.07377431184286169</x:v>
      </x:c>
      <x:c r="O971" s="22" t="n">
        <x:f>IF(ISNUMBER(N971),N971*$B$8,"")</x:f>
        <x:v>0.009531828379087186</x:v>
      </x:c>
      <x:c r="P971" s="20" t="str">
        <x:v>5000rpm!E185</x:v>
      </x:c>
      <x:c r="Q971" s="20" t="str">
        <x:v>5000rpm!D185</x:v>
      </x:c>
      <x:c r="R971" s="20" t="str">
        <x:v>5000rpm!D168</x:v>
      </x:c>
    </x:row>
    <x:row r="972">
      <x:c r="A972" s="21" t="n">
        <x:v>5000</x:v>
      </x:c>
      <x:c r="B972" s="21" t="n">
        <x:v>90</x:v>
      </x:c>
      <x:c r="C972" s="21" t="n">
        <x:v>18</x:v>
      </x:c>
      <x:c r="D972" s="21" t="n">
        <x:v>2</x:v>
      </x:c>
      <x:c r="E972" s="21" t="str">
        <x:v>5000rpm</x:v>
      </x:c>
      <x:c r="F972" s="21" t="n">
        <x:v>185</x:v>
      </x:c>
      <x:c r="G972" s="22" t="n">
        <x:f>IFERROR('5000rpm'!P185,"")</x:f>
        <x:v>4.211691444118815</x:v>
      </x:c>
      <x:c r="H972" s="22" t="n">
        <x:f>IFERROR('5000rpm'!M185,"")</x:f>
        <x:v>4929.81780133928</x:v>
      </x:c>
      <x:c r="I972" s="22" t="n">
        <x:f>IFERROR('5000rpm'!O185,"")</x:f>
        <x:v>3053.7641324074016</x:v>
      </x:c>
      <x:c r="J972" s="22" t="n">
        <x:f>IFERROR('5000rpm'!O168,"")</x:f>
        <x:v>168.68009206349177</x:v>
      </x:c>
      <x:c r="K972" s="22" t="n">
        <x:f>IF(AND(ISNUMBER(I972),ISNUMBER(J972)),I972-J972,"")</x:f>
        <x:v>2885.0840403439097</x:v>
      </x:c>
      <x:c r="L972" s="22" t="n">
        <x:f>IF(ISNUMBER(K972),K972*$B$2+$B$3,"")</x:f>
        <x:v>2670.663236415241</x:v>
      </x:c>
      <x:c r="M972" s="22" t="n">
        <x:f>IF(AND(ISNUMBER(G972),ISNUMBER(H972),H972&lt;&gt;0),G972/(H972/60)/$B$5,"")</x:f>
        <x:v>0.11211680327493279</x:v>
      </x:c>
      <x:c r="N972" s="22" t="n">
        <x:f>IF(AND(ISNUMBER(L972),ISNUMBER(H972),H972&lt;&gt;0),L972*$B$6/$B$4/(H972/60)^2/$B$5^4/$B$7,"")</x:f>
        <x:v>0.0736332607987603</x:v>
      </x:c>
      <x:c r="O972" s="22" t="n">
        <x:f>IF(ISNUMBER(N972),N972*$B$8,"")</x:f>
        <x:v>0.009513604226106549</x:v>
      </x:c>
      <x:c r="P972" s="20" t="str">
        <x:v>5000rpm!P185</x:v>
      </x:c>
      <x:c r="Q972" s="20" t="str">
        <x:v>5000rpm!O185</x:v>
      </x:c>
      <x:c r="R972" s="20" t="str">
        <x:v>5000rpm!O168</x:v>
      </x:c>
    </x:row>
    <x:row r="973">
      <x:c r="A973" s="21" t="n">
        <x:v>5000</x:v>
      </x:c>
      <x:c r="B973" s="21" t="n">
        <x:v>90</x:v>
      </x:c>
      <x:c r="C973" s="21" t="n">
        <x:v>19</x:v>
      </x:c>
      <x:c r="D973" s="21" t="n">
        <x:v>1</x:v>
      </x:c>
      <x:c r="E973" s="21" t="str">
        <x:v>5000rpm</x:v>
      </x:c>
      <x:c r="F973" s="21" t="n">
        <x:v>186</x:v>
      </x:c>
      <x:c r="G973" s="22" t="n">
        <x:f>IFERROR('5000rpm'!E186,"")</x:f>
        <x:v>3.1829998942389</x:v>
      </x:c>
      <x:c r="H973" s="22" t="n">
        <x:f>IFERROR('5000rpm'!B186,"")</x:f>
        <x:v>4921.27008928571</x:v>
      </x:c>
      <x:c r="I973" s="22" t="n">
        <x:f>IFERROR('5000rpm'!D186,"")</x:f>
        <x:v>3182.261551923068</x:v>
      </x:c>
      <x:c r="J973" s="22" t="n">
        <x:f>IFERROR('5000rpm'!D168,"")</x:f>
        <x:v>164.56052405063204</x:v>
      </x:c>
      <x:c r="K973" s="22" t="n">
        <x:f>IF(AND(ISNUMBER(I973),ISNUMBER(J973)),I973-J973,"")</x:f>
        <x:v>3017.701027872436</x:v>
      </x:c>
      <x:c r="L973" s="22" t="n">
        <x:f>IF(ISNUMBER(K973),K973*$B$2+$B$3,"")</x:f>
        <x:v>2792.101672831013</x:v>
      </x:c>
      <x:c r="M973" s="22" t="n">
        <x:f>IF(AND(ISNUMBER(G973),ISNUMBER(H973),H973&lt;&gt;0),G973/(H973/60)/$B$5,"")</x:f>
        <x:v>0.08487982044779221</x:v>
      </x:c>
      <x:c r="N973" s="22" t="n">
        <x:f>IF(AND(ISNUMBER(L973),ISNUMBER(H973),H973&lt;&gt;0),L973*$B$6/$B$4/(H973/60)^2/$B$5^4/$B$7,"")</x:f>
        <x:v>0.07724910744587563</x:v>
      </x:c>
      <x:c r="O973" s="22" t="n">
        <x:f>IF(ISNUMBER(N973),N973*$B$8,"")</x:f>
        <x:v>0.009980780792372764</x:v>
      </x:c>
      <x:c r="P973" s="20" t="str">
        <x:v>5000rpm!E186</x:v>
      </x:c>
      <x:c r="Q973" s="20" t="str">
        <x:v>5000rpm!D186</x:v>
      </x:c>
      <x:c r="R973" s="20" t="str">
        <x:v>5000rpm!D168</x:v>
      </x:c>
    </x:row>
    <x:row r="974">
      <x:c r="A974" s="21" t="n">
        <x:v>5000</x:v>
      </x:c>
      <x:c r="B974" s="21" t="n">
        <x:v>90</x:v>
      </x:c>
      <x:c r="C974" s="21" t="n">
        <x:v>19</x:v>
      </x:c>
      <x:c r="D974" s="21" t="n">
        <x:v>2</x:v>
      </x:c>
      <x:c r="E974" s="21" t="str">
        <x:v>5000rpm</x:v>
      </x:c>
      <x:c r="F974" s="21" t="n">
        <x:v>186</x:v>
      </x:c>
      <x:c r="G974" s="22" t="n">
        <x:f>IFERROR('5000rpm'!P186,"")</x:f>
        <x:v>3.1834111708705652</x:v>
      </x:c>
      <x:c r="H974" s="22" t="n">
        <x:f>IFERROR('5000rpm'!M186,"")</x:f>
        <x:v>4914.89962635869</x:v>
      </x:c>
      <x:c r="I974" s="22" t="n">
        <x:f>IFERROR('5000rpm'!O186,"")</x:f>
        <x:v>3175.0414987341755</x:v>
      </x:c>
      <x:c r="J974" s="22" t="n">
        <x:f>IFERROR('5000rpm'!O168,"")</x:f>
        <x:v>168.68009206349177</x:v>
      </x:c>
      <x:c r="K974" s="22" t="n">
        <x:f>IF(AND(ISNUMBER(I974),ISNUMBER(J974)),I974-J974,"")</x:f>
        <x:v>3006.3614066706837</x:v>
      </x:c>
      <x:c r="L974" s="22" t="n">
        <x:f>IF(ISNUMBER(K974),K974*$B$2+$B$3,"")</x:f>
        <x:v>2781.7178909795985</x:v>
      </x:c>
      <x:c r="M974" s="22" t="n">
        <x:f>IF(AND(ISNUMBER(G974),ISNUMBER(H974),H974&lt;&gt;0),G974/(H974/60)/$B$5,"")</x:f>
        <x:v>0.0850008192689009</x:v>
      </x:c>
      <x:c r="N974" s="22" t="n">
        <x:f>IF(AND(ISNUMBER(L974),ISNUMBER(H974),H974&lt;&gt;0),L974*$B$6/$B$4/(H974/60)^2/$B$5^4/$B$7,"")</x:f>
        <x:v>0.07716145715506151</x:v>
      </x:c>
      <x:c r="O974" s="22" t="n">
        <x:f>IF(ISNUMBER(N974),N974*$B$8,"")</x:f>
        <x:v>0.00996945615228399</x:v>
      </x:c>
      <x:c r="P974" s="20" t="str">
        <x:v>5000rpm!P186</x:v>
      </x:c>
      <x:c r="Q974" s="20" t="str">
        <x:v>5000rpm!O186</x:v>
      </x:c>
      <x:c r="R974" s="20" t="str">
        <x:v>5000rpm!O168</x:v>
      </x:c>
    </x:row>
    <x:row r="975">
      <x:c r="A975" s="21" t="n">
        <x:v>5000</x:v>
      </x:c>
      <x:c r="B975" s="21" t="n">
        <x:v>90</x:v>
      </x:c>
      <x:c r="C975" s="21" t="n">
        <x:v>20</x:v>
      </x:c>
      <x:c r="D975" s="21" t="n">
        <x:v>1</x:v>
      </x:c>
      <x:c r="E975" s="21" t="str">
        <x:v>5000rpm</x:v>
      </x:c>
      <x:c r="F975" s="21" t="n">
        <x:v>187</x:v>
      </x:c>
      <x:c r="G975" s="22" t="n">
        <x:f>IFERROR('5000rpm'!E187,"")</x:f>
        <x:v>2.1544383298128</x:v>
      </x:c>
      <x:c r="H975" s="22" t="n">
        <x:f>IFERROR('5000rpm'!B187,"")</x:f>
        <x:v>4937.75044582201</x:v>
      </x:c>
      <x:c r="I975" s="22" t="n">
        <x:f>IFERROR('5000rpm'!D187,"")</x:f>
        <x:v>3292.7623526652396</x:v>
      </x:c>
      <x:c r="J975" s="22" t="n">
        <x:f>IFERROR('5000rpm'!D168,"")</x:f>
        <x:v>164.56052405063204</x:v>
      </x:c>
      <x:c r="K975" s="22" t="n">
        <x:f>IF(AND(ISNUMBER(I975),ISNUMBER(J975)),I975-J975,"")</x:f>
        <x:v>3128.2018286146076</x:v>
      </x:c>
      <x:c r="L975" s="22" t="n">
        <x:f>IF(ISNUMBER(K975),K975*$B$2+$B$3,"")</x:f>
        <x:v>2893.288140077025</x:v>
      </x:c>
      <x:c r="M975" s="22" t="n">
        <x:f>IF(AND(ISNUMBER(G975),ISNUMBER(H975),H975&lt;&gt;0),G975/(H975/60)/$B$5,"")</x:f>
        <x:v>0.05725981741159923</x:v>
      </x:c>
      <x:c r="N975" s="22" t="n">
        <x:f>IF(AND(ISNUMBER(L975),ISNUMBER(H975),H975&lt;&gt;0),L975*$B$6/$B$4/(H975/60)^2/$B$5^4/$B$7,"")</x:f>
        <x:v>0.07951518170283575</x:v>
      </x:c>
      <x:c r="O975" s="22" t="n">
        <x:f>IF(ISNUMBER(N975),N975*$B$8,"")</x:f>
        <x:v>0.010273563339197718</x:v>
      </x:c>
      <x:c r="P975" s="20" t="str">
        <x:v>5000rpm!E187</x:v>
      </x:c>
      <x:c r="Q975" s="20" t="str">
        <x:v>5000rpm!D187</x:v>
      </x:c>
      <x:c r="R975" s="20" t="str">
        <x:v>5000rpm!D168</x:v>
      </x:c>
    </x:row>
    <x:row r="976">
      <x:c r="A976" s="21" t="n">
        <x:v>5000</x:v>
      </x:c>
      <x:c r="B976" s="21" t="n">
        <x:v>90</x:v>
      </x:c>
      <x:c r="C976" s="21" t="n">
        <x:v>20</x:v>
      </x:c>
      <x:c r="D976" s="21" t="n">
        <x:v>2</x:v>
      </x:c>
      <x:c r="E976" s="21" t="str">
        <x:v>5000rpm</x:v>
      </x:c>
      <x:c r="F976" s="21" t="n">
        <x:v>187</x:v>
      </x:c>
      <x:c r="G976" s="22" t="n">
        <x:f>IFERROR('5000rpm'!P187,"")</x:f>
        <x:v>2.153336637475515</x:v>
      </x:c>
      <x:c r="H976" s="22" t="n">
        <x:f>IFERROR('5000rpm'!M187,"")</x:f>
        <x:v>4947.89670138888</x:v>
      </x:c>
      <x:c r="I976" s="22" t="n">
        <x:f>IFERROR('5000rpm'!O187,"")</x:f>
        <x:v>3284.7513140186866</x:v>
      </x:c>
      <x:c r="J976" s="22" t="n">
        <x:f>IFERROR('5000rpm'!O168,"")</x:f>
        <x:v>168.68009206349177</x:v>
      </x:c>
      <x:c r="K976" s="22" t="n">
        <x:f>IF(AND(ISNUMBER(I976),ISNUMBER(J976)),I976-J976,"")</x:f>
        <x:v>3116.0712219551947</x:v>
      </x:c>
      <x:c r="L976" s="22" t="n">
        <x:f>IF(ISNUMBER(K976),K976*$B$2+$B$3,"")</x:f>
        <x:v>2882.1800465141473</x:v>
      </x:c>
      <x:c r="M976" s="22" t="n">
        <x:f>IF(AND(ISNUMBER(G976),ISNUMBER(H976),H976&lt;&gt;0),G976/(H976/60)/$B$5,"")</x:f>
        <x:v>0.05711317898484015</x:v>
      </x:c>
      <x:c r="N976" s="22" t="n">
        <x:f>IF(AND(ISNUMBER(L976),ISNUMBER(H976),H976&lt;&gt;0),L976*$B$6/$B$4/(H976/60)^2/$B$5^4/$B$7,"")</x:f>
        <x:v>0.07888537629682</x:v>
      </x:c>
      <x:c r="O976" s="22" t="n">
        <x:f>IF(ISNUMBER(N976),N976*$B$8,"")</x:f>
        <x:v>0.010192190881869343</x:v>
      </x:c>
      <x:c r="P976" s="20" t="str">
        <x:v>5000rpm!P187</x:v>
      </x:c>
      <x:c r="Q976" s="20" t="str">
        <x:v>5000rpm!O187</x:v>
      </x:c>
      <x:c r="R976" s="20" t="str">
        <x:v>5000rpm!O168</x:v>
      </x:c>
    </x:row>
    <x:row r="977">
      <x:c r="A977" s="21" t="n">
        <x:v>5000</x:v>
      </x:c>
      <x:c r="B977" s="21" t="n">
        <x:v>90</x:v>
      </x:c>
      <x:c r="C977" s="21" t="n">
        <x:v>21</x:v>
      </x:c>
      <x:c r="D977" s="21" t="n">
        <x:v>1</x:v>
      </x:c>
      <x:c r="E977" s="21" t="str">
        <x:v>5000rpm</x:v>
      </x:c>
      <x:c r="F977" s="21" t="n">
        <x:v>188</x:v>
      </x:c>
      <x:c r="G977" s="22" t="n">
        <x:f>IFERROR('5000rpm'!E188,"")</x:f>
        <x:v>1.014175796403294</x:v>
      </x:c>
      <x:c r="H977" s="22" t="n">
        <x:f>IFERROR('5000rpm'!B188,"")</x:f>
        <x:v>4941.07939009233</x:v>
      </x:c>
      <x:c r="I977" s="22" t="n">
        <x:f>IFERROR('5000rpm'!D188,"")</x:f>
        <x:v>3391.227853863132</x:v>
      </x:c>
      <x:c r="J977" s="22" t="n">
        <x:f>IFERROR('5000rpm'!D168,"")</x:f>
        <x:v>164.56052405063204</x:v>
      </x:c>
      <x:c r="K977" s="22" t="n">
        <x:f>IF(AND(ISNUMBER(I977),ISNUMBER(J977)),I977-J977,"")</x:f>
        <x:v>3226.6673298125</x:v>
      </x:c>
      <x:c r="L977" s="22" t="n">
        <x:f>IF(ISNUMBER(K977),K977*$B$2+$B$3,"")</x:f>
        <x:v>2983.453787247945</x:v>
      </x:c>
      <x:c r="M977" s="22" t="n">
        <x:f>IF(AND(ISNUMBER(G977),ISNUMBER(H977),H977&lt;&gt;0),G977/(H977/60)/$B$5,"")</x:f>
        <x:v>0.026936206854465933</x:v>
      </x:c>
      <x:c r="N977" s="22" t="n">
        <x:f>IF(AND(ISNUMBER(L977),ISNUMBER(H977),H977&lt;&gt;0),L977*$B$6/$B$4/(H977/60)^2/$B$5^4/$B$7,"")</x:f>
        <x:v>0.08188272626983017</x:v>
      </x:c>
      <x:c r="O977" s="22" t="n">
        <x:f>IF(ISNUMBER(N977),N977*$B$8,"")</x:f>
        <x:v>0.010579456107679228</x:v>
      </x:c>
      <x:c r="P977" s="20" t="str">
        <x:v>5000rpm!E188</x:v>
      </x:c>
      <x:c r="Q977" s="20" t="str">
        <x:v>5000rpm!D188</x:v>
      </x:c>
      <x:c r="R977" s="20" t="str">
        <x:v>5000rpm!D168</x:v>
      </x:c>
    </x:row>
    <x:row r="978">
      <x:c r="A978" s="21" t="n">
        <x:v>5000</x:v>
      </x:c>
      <x:c r="B978" s="21" t="n">
        <x:v>90</x:v>
      </x:c>
      <x:c r="C978" s="21" t="n">
        <x:v>21</x:v>
      </x:c>
      <x:c r="D978" s="21" t="n">
        <x:v>2</x:v>
      </x:c>
      <x:c r="E978" s="21" t="str">
        <x:v>5000rpm</x:v>
      </x:c>
      <x:c r="F978" s="21" t="n">
        <x:v>188</x:v>
      </x:c>
      <x:c r="G978" s="22" t="n">
        <x:f>IFERROR('5000rpm'!P188,"")</x:f>
        <x:v>1.1226130948692061</x:v>
      </x:c>
      <x:c r="H978" s="22" t="n">
        <x:f>IFERROR('5000rpm'!M188,"")</x:f>
        <x:v>4938.25986735026</x:v>
      </x:c>
      <x:c r="I978" s="22" t="n">
        <x:f>IFERROR('5000rpm'!O188,"")</x:f>
        <x:v>3389.0751843621347</x:v>
      </x:c>
      <x:c r="J978" s="22" t="n">
        <x:f>IFERROR('5000rpm'!O168,"")</x:f>
        <x:v>168.68009206349177</x:v>
      </x:c>
      <x:c r="K978" s="22" t="n">
        <x:f>IF(AND(ISNUMBER(I978),ISNUMBER(J978)),I978-J978,"")</x:f>
        <x:v>3220.395092298643</x:v>
      </x:c>
      <x:c r="L978" s="22" t="n">
        <x:f>IF(ISNUMBER(K978),K978*$B$2+$B$3,"")</x:f>
        <x:v>2977.7102491786054</x:v>
      </x:c>
      <x:c r="M978" s="22" t="n">
        <x:f>IF(AND(ISNUMBER(G978),ISNUMBER(H978),H978&lt;&gt;0),G978/(H978/60)/$B$5,"")</x:f>
        <x:v>0.02983329291892697</x:v>
      </x:c>
      <x:c r="N978" s="22" t="n">
        <x:f>IF(AND(ISNUMBER(L978),ISNUMBER(H978),H978&lt;&gt;0),L978*$B$6/$B$4/(H978/60)^2/$B$5^4/$B$7,"")</x:f>
        <x:v>0.08181844062442967</x:v>
      </x:c>
      <x:c r="O978" s="22" t="n">
        <x:f>IF(ISNUMBER(N978),N978*$B$8,"")</x:f>
        <x:v>0.01057115023909313</x:v>
      </x:c>
      <x:c r="P978" s="20" t="str">
        <x:v>5000rpm!P188</x:v>
      </x:c>
      <x:c r="Q978" s="20" t="str">
        <x:v>5000rpm!O188</x:v>
      </x:c>
      <x:c r="R978" s="20" t="str">
        <x:v>5000rpm!O168</x:v>
      </x:c>
    </x:row>
    <x:row r="979">
      <x:c r="A979" s="21" t="n">
        <x:v>5000</x:v>
      </x:c>
      <x:c r="B979" s="21" t="n">
        <x:v>90</x:v>
      </x:c>
      <x:c r="C979" s="21" t="n">
        <x:v>22</x:v>
      </x:c>
      <x:c r="D979" s="21" t="n">
        <x:v>1</x:v>
      </x:c>
      <x:c r="E979" s="21" t="str">
        <x:v>5000rpm</x:v>
      </x:c>
      <x:c r="F979" s="21" t="n">
        <x:v>189</x:v>
      </x:c>
      <x:c r="G979" s="22" t="n">
        <x:f>IFERROR('5000rpm'!E189,"")</x:f>
        <x:v>0.26671879614392846</x:v>
      </x:c>
      <x:c r="H979" s="22" t="n">
        <x:f>IFERROR('5000rpm'!B189,"")</x:f>
        <x:v>4934.79516601562</x:v>
      </x:c>
      <x:c r="I979" s="22" t="n">
        <x:f>IFERROR('5000rpm'!D189,"")</x:f>
        <x:v>3439.1263949367044</x:v>
      </x:c>
      <x:c r="J979" s="22" t="n">
        <x:f>IFERROR('5000rpm'!D168,"")</x:f>
        <x:v>164.56052405063204</x:v>
      </x:c>
      <x:c r="K979" s="22" t="n">
        <x:f>IF(AND(ISNUMBER(I979),ISNUMBER(J979)),I979-J979,"")</x:f>
        <x:v>3274.5658708860724</x:v>
      </x:c>
      <x:c r="L979" s="22" t="n">
        <x:f>IF(ISNUMBER(K979),K979*$B$2+$B$3,"")</x:f>
        <x:v>3027.3148644973435</x:v>
      </x:c>
      <x:c r="M979" s="22" t="n">
        <x:f>IF(AND(ISNUMBER(G979),ISNUMBER(H979),H979&lt;&gt;0),G979/(H979/60)/$B$5,"")</x:f>
        <x:v>0.00709299282097986</x:v>
      </x:c>
      <x:c r="N979" s="22" t="n">
        <x:f>IF(AND(ISNUMBER(L979),ISNUMBER(H979),H979&lt;&gt;0),L979*$B$6/$B$4/(H979/60)^2/$B$5^4/$B$7,"")</x:f>
        <x:v>0.08329826865041272</x:v>
      </x:c>
      <x:c r="O979" s="22" t="n">
        <x:f>IF(ISNUMBER(N979),N979*$B$8,"")</x:f>
        <x:v>0.01076234777685232</x:v>
      </x:c>
      <x:c r="P979" s="20" t="str">
        <x:v>5000rpm!E189</x:v>
      </x:c>
      <x:c r="Q979" s="20" t="str">
        <x:v>5000rpm!D189</x:v>
      </x:c>
      <x:c r="R979" s="20" t="str">
        <x:v>5000rpm!D168</x:v>
      </x:c>
    </x:row>
    <x:row r="980">
      <x:c r="A980" s="21" t="n">
        <x:v>5000</x:v>
      </x:c>
      <x:c r="B980" s="21" t="n">
        <x:v>90</x:v>
      </x:c>
      <x:c r="C980" s="21" t="n">
        <x:v>22</x:v>
      </x:c>
      <x:c r="D980" s="21" t="n">
        <x:v>2</x:v>
      </x:c>
      <x:c r="E980" s="21" t="str">
        <x:v>5000rpm</x:v>
      </x:c>
      <x:c r="F980" s="21" t="n">
        <x:v>189</x:v>
      </x:c>
      <x:c r="G980" s="22" t="n">
        <x:f>IFERROR('5000rpm'!P189,"")</x:f>
        <x:v>0.2674416146925015</x:v>
      </x:c>
      <x:c r="H980" s="22" t="n">
        <x:f>IFERROR('5000rpm'!M189,"")</x:f>
        <x:v>4941.14847366898</x:v>
      </x:c>
      <x:c r="I980" s="22" t="n">
        <x:f>IFERROR('5000rpm'!O189,"")</x:f>
        <x:v>3436.9048587800344</x:v>
      </x:c>
      <x:c r="J980" s="22" t="n">
        <x:f>IFERROR('5000rpm'!O168,"")</x:f>
        <x:v>168.68009206349177</x:v>
      </x:c>
      <x:c r="K980" s="22" t="n">
        <x:f>IF(AND(ISNUMBER(I980),ISNUMBER(J980)),I980-J980,"")</x:f>
        <x:v>3268.2247667165425</x:v>
      </x:c>
      <x:c r="L980" s="22" t="n">
        <x:f>IF(ISNUMBER(K980),K980*$B$2+$B$3,"")</x:f>
        <x:v>3021.5082646804717</x:v>
      </x:c>
      <x:c r="M980" s="22" t="n">
        <x:f>IF(AND(ISNUMBER(G980),ISNUMBER(H980),H980&lt;&gt;0),G980/(H980/60)/$B$5,"")</x:f>
        <x:v>0.007103070257820942</x:v>
      </x:c>
      <x:c r="N980" s="22" t="n">
        <x:f>IF(AND(ISNUMBER(L980),ISNUMBER(H980),H980&lt;&gt;0),L980*$B$6/$B$4/(H980/60)^2/$B$5^4/$B$7,"")</x:f>
        <x:v>0.08292483599602014</x:v>
      </x:c>
      <x:c r="O980" s="22" t="n">
        <x:f>IF(ISNUMBER(N980),N980*$B$8,"")</x:f>
        <x:v>0.010714099329880716</x:v>
      </x:c>
      <x:c r="P980" s="20" t="str">
        <x:v>5000rpm!P189</x:v>
      </x:c>
      <x:c r="Q980" s="20" t="str">
        <x:v>5000rpm!O189</x:v>
      </x:c>
      <x:c r="R980" s="20" t="str">
        <x:v>5000rpm!O168</x:v>
      </x:c>
    </x:row>
    <x:row r="981">
      <x:c r="A981" s="21" t="n">
        <x:v>5000</x:v>
      </x:c>
      <x:c r="B981" s="21" t="n">
        <x:v>90</x:v>
      </x:c>
      <x:c r="C981" s="21" t="n">
        <x:v>23</x:v>
      </x:c>
      <x:c r="D981" s="21" t="n">
        <x:v>1</x:v>
      </x:c>
      <x:c r="E981" s="21" t="str">
        <x:v>5000rpm</x:v>
      </x:c>
      <x:c r="F981" s="21" t="n">
        <x:v>190</x:v>
      </x:c>
      <x:c r="G981" s="22" t="n">
        <x:f>IFERROR('5000rpm'!E190,"")</x:f>
        <x:v>0.1740999869736165</x:v>
      </x:c>
      <x:c r="H981" s="22" t="n">
        <x:f>IFERROR('5000rpm'!B190,"")</x:f>
        <x:v>0</x:v>
      </x:c>
      <x:c r="I981" s="22" t="n">
        <x:f>IFERROR('5000rpm'!D190,"")</x:f>
        <x:v>166.55722985074618</x:v>
      </x:c>
      <x:c r="J981" s="22" t="n">
        <x:f>IFERROR('5000rpm'!D168,"")</x:f>
        <x:v>164.56052405063204</x:v>
      </x:c>
      <x:c r="K981" s="22" t="n">
        <x:f>IF(AND(ISNUMBER(I981),ISNUMBER(J981)),I981-J981,"")</x:f>
        <x:v>1.9967058001141424</x:v>
      </x:c>
      <x:c r="L981" s="22" t="n">
        <x:f>IF(ISNUMBER(K981),K981*$B$2+$B$3,"")</x:f>
        <x:v>30.59709947481092</x:v>
      </x:c>
      <x:c r="M981" s="22" t="str">
        <x:f>IF(AND(ISNUMBER(G981),ISNUMBER(H981),H981&lt;&gt;0),G981/(H981/60)/$B$5,"")</x:f>
      </x:c>
      <x:c r="N981" s="22" t="str">
        <x:f>IF(AND(ISNUMBER(L981),ISNUMBER(H981),H981&lt;&gt;0),L981*$B$6/$B$4/(H981/60)^2/$B$5^4/$B$7,"")</x:f>
      </x:c>
      <x:c r="O981" s="22" t="str">
        <x:f>IF(ISNUMBER(N981),N981*$B$8,"")</x:f>
      </x:c>
      <x:c r="P981" s="20" t="str">
        <x:v>5000rpm!E190</x:v>
      </x:c>
      <x:c r="Q981" s="20" t="str">
        <x:v>5000rpm!D190</x:v>
      </x:c>
      <x:c r="R981" s="20" t="str">
        <x:v>5000rpm!D168</x:v>
      </x:c>
    </x:row>
    <x:row r="982">
      <x:c r="A982" s="21" t="n">
        <x:v>5000</x:v>
      </x:c>
      <x:c r="B982" s="21" t="n">
        <x:v>90</x:v>
      </x:c>
      <x:c r="C982" s="21" t="n">
        <x:v>23</x:v>
      </x:c>
      <x:c r="D982" s="21" t="n">
        <x:v>2</x:v>
      </x:c>
      <x:c r="E982" s="21" t="str">
        <x:v>5000rpm</x:v>
      </x:c>
      <x:c r="F982" s="21" t="n">
        <x:v>190</x:v>
      </x:c>
      <x:c r="G982" s="22" t="n">
        <x:f>IFERROR('5000rpm'!P190,"")</x:f>
        <x:v>0.1397004997124895</x:v>
      </x:c>
      <x:c r="H982" s="22" t="n">
        <x:f>IFERROR('5000rpm'!M190,"")</x:f>
        <x:v>0</x:v>
      </x:c>
      <x:c r="I982" s="22" t="n">
        <x:f>IFERROR('5000rpm'!O190,"")</x:f>
        <x:v>163.29806875</x:v>
      </x:c>
      <x:c r="J982" s="22" t="n">
        <x:f>IFERROR('5000rpm'!O168,"")</x:f>
        <x:v>168.68009206349177</x:v>
      </x:c>
      <x:c r="K982" s="22" t="n">
        <x:f>IF(AND(ISNUMBER(I982),ISNUMBER(J982)),I982-J982,"")</x:f>
        <x:v>-5.382023313491771</x:v>
      </x:c>
      <x:c r="L982" s="22" t="n">
        <x:f>IF(ISNUMBER(K982),K982*$B$2+$B$3,"")</x:f>
        <x:v>23.840338195649075</x:v>
      </x:c>
      <x:c r="M982" s="22" t="str">
        <x:f>IF(AND(ISNUMBER(G982),ISNUMBER(H982),H982&lt;&gt;0),G982/(H982/60)/$B$5,"")</x:f>
      </x:c>
      <x:c r="N982" s="22" t="str">
        <x:f>IF(AND(ISNUMBER(L982),ISNUMBER(H982),H982&lt;&gt;0),L982*$B$6/$B$4/(H982/60)^2/$B$5^4/$B$7,"")</x:f>
      </x:c>
      <x:c r="O982" s="22" t="str">
        <x:f>IF(ISNUMBER(N982),N982*$B$8,"")</x:f>
      </x:c>
      <x:c r="P982" s="20" t="str">
        <x:v>5000rpm!P190</x:v>
      </x:c>
      <x:c r="Q982" s="20" t="str">
        <x:v>5000rpm!O190</x:v>
      </x:c>
      <x:c r="R982" s="20" t="str">
        <x:v>5000rpm!O168</x:v>
      </x:c>
    </x:row>
  </x:sheetData>
  <x:mergeCells>
    <x:mergeCell ref="A1:R1"/>
    <x:mergeCell ref="D2:R2"/>
    <x:mergeCell ref="D3:R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24" hidden="0" customWidth="1"/>
    <x:col min="23" max="23" width="38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</x:cols>
  <x:sheetData>
    <x:row r="1" ht="28" customHeight="1">
      <x:c r="A1" s="6" t="str">
        <x:v>J–C_T_prop 实验残差明细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</x:row>
    <x:row r="2" ht="22" customHeight="1">
      <x:c r="A2" s="23" t="str">
        <x:v>残差 = 标定升力自动计算得到的两次实验 C_T_prop 均值 − 同转速/实际攻角理论曲线在平均 J 处的线性插值值；不外推。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</x:row>
    <x:row r="3" ht="22" customHeight="1">
      <x:c r="A3" s="23" t="str">
        <x:v>攻角映射：理论实际攻角 = 90° − alpha_p_deg；因此实验攻角 θ 与理论表 alpha_p_deg = 90° − θ 的数据匹配。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</x:row>
    <x:row r="4" ht="22" customHeight="1">
      <x:c r="A4" s="23" t="str">
        <x:v>公式链：原始工作表 → 升力标定计算（y=0.915708x+28.7687）→ J/C_T_prop → 配对均值/插值/残差；3000rpm 45°–90° 原 C_T 字段按 C_T_prop 处理。</x:v>
      </x:c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</x:row>
    <x:row r="5" ht="38" customHeight="1">
      <x:c r="A5" s="33" t="str">
        <x:v>rpm</x:v>
      </x:c>
      <x:c r="B5" s="34" t="str">
        <x:v>角度(°)</x:v>
      </x:c>
      <x:c r="C5" s="34" t="str">
        <x:v>采样序号</x:v>
      </x:c>
      <x:c r="D5" s="34" t="str">
        <x:v>J_1（公式）</x:v>
      </x:c>
      <x:c r="E5" s="34" t="str">
        <x:v>J_2（公式）</x:v>
      </x:c>
      <x:c r="F5" s="34" t="str">
        <x:v>J_均值</x:v>
      </x:c>
      <x:c r="G5" s="34" t="str">
        <x:v>C_T_prop_1（标定）</x:v>
      </x:c>
      <x:c r="H5" s="34" t="str">
        <x:v>C_T_prop_2（标定）</x:v>
      </x:c>
      <x:c r="I5" s="34" t="str">
        <x:v>C_T_prop_实验均值</x:v>
      </x:c>
      <x:c r="J5" s="34" t="str">
        <x:v>理论J最小</x:v>
      </x:c>
      <x:c r="K5" s="34" t="str">
        <x:v>理论J最大</x:v>
      </x:c>
      <x:c r="L5" s="34" t="str">
        <x:v>J下界</x:v>
      </x:c>
      <x:c r="M5" s="34" t="str">
        <x:v>C_T_prop下界</x:v>
      </x:c>
      <x:c r="N5" s="34" t="str">
        <x:v>J上界</x:v>
      </x:c>
      <x:c r="O5" s="34" t="str">
        <x:v>C_T_prop上界</x:v>
      </x:c>
      <x:c r="P5" s="34" t="str">
        <x:v>C_T_prop理论插值</x:v>
      </x:c>
      <x:c r="Q5" s="34" t="str">
        <x:v>残差</x:v>
      </x:c>
      <x:c r="R5" s="34" t="str">
        <x:v>绝对残差</x:v>
      </x:c>
      <x:c r="S5" s="34" t="str">
        <x:v>相对残差</x:v>
      </x:c>
      <x:c r="T5" s="34" t="str">
        <x:v>绝对相对残差</x:v>
      </x:c>
      <x:c r="U5" s="34" t="str">
        <x:v>残差平方</x:v>
      </x:c>
      <x:c r="V5" s="34" t="str">
        <x:v>状态</x:v>
      </x:c>
      <x:c r="W5" s="34" t="str">
        <x:v>字段映射</x:v>
      </x:c>
      <x:c r="X5" s="34" t="str">
        <x:v>J_1计算单元格</x:v>
      </x:c>
      <x:c r="Y5" s="34" t="str">
        <x:v>J_2计算单元格</x:v>
      </x:c>
      <x:c r="Z5" s="34" t="str">
        <x:v>标定系数1单元格</x:v>
      </x:c>
      <x:c r="AA5" s="34" t="str">
        <x:v>标定系数2单元格</x:v>
      </x:c>
      <x:c r="AB5" s="35" t="str">
        <x:v>理论插值源区间</x:v>
      </x:c>
    </x:row>
    <x:row r="6">
      <x:c r="A6" s="21" t="n">
        <x:v>3000</x:v>
      </x:c>
      <x:c r="B6" s="21" t="n">
        <x:v>0</x:v>
      </x:c>
      <x:c r="C6" s="21" t="n">
        <x:v>1</x:v>
      </x:c>
      <x:c r="D6" s="22" t="str">
        <x:f>IFERROR('升力标定计算'!M11,"")</x:f>
      </x:c>
      <x:c r="E6" s="22" t="str">
        <x:f>IFERROR('升力标定计算'!M12,"")</x:f>
      </x:c>
      <x:c r="F6" s="22" t="str">
        <x:f>IF(AND(ISNUMBER(D6),ISNUMBER(E6)),AVERAGE(D6,E6),"")</x:f>
      </x:c>
      <x:c r="G6" s="22" t="str">
        <x:f>IFERROR('升力标定计算'!N11,"")</x:f>
      </x:c>
      <x:c r="H6" s="22" t="str">
        <x:f>IFERROR('升力标定计算'!N12,"")</x:f>
      </x:c>
      <x:c r="I6" s="22" t="str">
        <x:f>IF(AND(ISNUMBER(G6),ISNUMBER(H6)),AVERAGE(G6,H6),"")</x:f>
      </x:c>
      <x:c r="J6" s="22" t="n">
        <x:f>IFERROR('3000rpm'!AU69,"")</x:f>
        <x:v>0</x:v>
      </x:c>
      <x:c r="K6" s="22" t="n">
        <x:f>IFERROR('3000rpm'!AU79,"")</x:f>
        <x:v>0.4448818897637795</x:v>
      </x:c>
      <x:c r="L6" s="22" t="n">
        <x:f>IFERROR('3000rpm'!AU69,"")</x:f>
        <x:v>0</x:v>
      </x:c>
      <x:c r="M6" s="22" t="n">
        <x:f>IFERROR('3000rpm'!AT69,"")</x:f>
        <x:v>0.0846729215675782</x:v>
      </x:c>
      <x:c r="N6" s="22" t="n">
        <x:f>IFERROR('3000rpm'!AU79,"")</x:f>
        <x:v>0.4448818897637795</x:v>
      </x:c>
      <x:c r="O6" s="22" t="n">
        <x:f>IFERROR('3000rpm'!AT79,"")</x:f>
        <x:v>0.11599023844046746</x:v>
      </x:c>
      <x:c r="P6" s="22" t="str">
        <x:f>IF(OR(NOT(AND(ISNUMBER(D6),ISNUMBER(E6),ISNUMBER(G6),ISNUMBER(H6))),OR(F6&lt;J6,F6&gt;K6)),"",IF(N6=L6,M6,M6+(F6-L6)*(O6-M6)/(N6-L6)))</x:f>
      </x:c>
      <x:c r="Q6" s="22" t="str">
        <x:f>IF(AND(ISNUMBER(I6),ISNUMBER(P6)),I6-P6,"")</x:f>
      </x:c>
      <x:c r="R6" s="22" t="str">
        <x:f>IF(ISNUMBER(Q6),ABS(Q6),"")</x:f>
      </x:c>
      <x:c r="S6" s="36" t="str">
        <x:f>IF(AND(ISNUMBER(Q6),ISNUMBER(P6)),IF(ABS(P6)&lt;1E-12,"",Q6/P6),"")</x:f>
      </x:c>
      <x:c r="T6" s="36" t="str">
        <x:f>IF(ISNUMBER(S6),ABS(S6),"")</x:f>
      </x:c>
      <x:c r="U6" s="37" t="str">
        <x:f>IF(ISNUMBER(Q6),Q6^2,"")</x:f>
      </x:c>
      <x:c r="V6" s="21" t="str">
        <x:f>IF(NOT(AND(ISNUMBER(D6),ISNUMBER(E6),ISNUMBER(G6),ISNUMBER(H6))),"缺少配对",IF(OR(F6&lt;J6,F6&gt;K6),"超出理论J范围","有效"))</x:f>
        <x:v>缺少配对</x:v>
      </x:c>
      <x:c r="W6" s="20" t="str">
        <x:v>升力 y=0.915708x+28.7687 → C_T_prop；实验攻角 0° ↔ 理论 alpha_p_deg 90°；原升力源 3000rpm!C3/M3</x:v>
      </x:c>
      <x:c r="X6" s="20" t="str">
        <x:v>升力标定计算!M11</x:v>
      </x:c>
      <x:c r="Y6" s="20" t="str">
        <x:v>升力标定计算!M12</x:v>
      </x:c>
      <x:c r="Z6" s="20" t="str">
        <x:v>升力标定计算!N11</x:v>
      </x:c>
      <x:c r="AA6" s="20" t="str">
        <x:v>升力标定计算!N12</x:v>
      </x:c>
      <x:c r="AB6" s="20" t="str">
        <x:v>3000rpm!AU69:AT79</x:v>
      </x:c>
    </x:row>
    <x:row r="7">
      <x:c r="A7" s="21" t="n">
        <x:v>3000</x:v>
      </x:c>
      <x:c r="B7" s="21" t="n">
        <x:v>0</x:v>
      </x:c>
      <x:c r="C7" s="21" t="n">
        <x:v>2</x:v>
      </x:c>
      <x:c r="D7" s="22" t="n">
        <x:f>IFERROR('升力标定计算'!M13,"")</x:f>
        <x:v>0</x:v>
      </x:c>
      <x:c r="E7" s="22" t="n">
        <x:f>IFERROR('升力标定计算'!M14,"")</x:f>
        <x:v>0</x:v>
      </x:c>
      <x:c r="F7" s="22" t="n">
        <x:f>IF(AND(ISNUMBER(D7),ISNUMBER(E7)),AVERAGE(D7,E7),"")</x:f>
        <x:v>0</x:v>
      </x:c>
      <x:c r="G7" s="22" t="n">
        <x:f>IFERROR('升力标定计算'!N13,"")</x:f>
        <x:v>0.07559626275273858</x:v>
      </x:c>
      <x:c r="H7" s="22" t="n">
        <x:f>IFERROR('升力标定计算'!N14,"")</x:f>
        <x:v>0.07530659288112239</x:v>
      </x:c>
      <x:c r="I7" s="22" t="n">
        <x:f>IF(AND(ISNUMBER(G7),ISNUMBER(H7)),AVERAGE(G7,H7),"")</x:f>
        <x:v>0.07545142781693048</x:v>
      </x:c>
      <x:c r="J7" s="22" t="n">
        <x:f>IFERROR('3000rpm'!AU69,"")</x:f>
        <x:v>0</x:v>
      </x:c>
      <x:c r="K7" s="22" t="n">
        <x:f>IFERROR('3000rpm'!AU79,"")</x:f>
        <x:v>0.4448818897637795</x:v>
      </x:c>
      <x:c r="L7" s="22" t="n">
        <x:f>IFERROR('3000rpm'!AU69,"")</x:f>
        <x:v>0</x:v>
      </x:c>
      <x:c r="M7" s="22" t="n">
        <x:f>IFERROR('3000rpm'!AT69,"")</x:f>
        <x:v>0.0846729215675782</x:v>
      </x:c>
      <x:c r="N7" s="22" t="n">
        <x:f>IFERROR('3000rpm'!AU69,"")</x:f>
        <x:v>0</x:v>
      </x:c>
      <x:c r="O7" s="22" t="n">
        <x:f>IFERROR('3000rpm'!AT69,"")</x:f>
        <x:v>0.0846729215675782</x:v>
      </x:c>
      <x:c r="P7" s="22" t="n">
        <x:f>IF(OR(NOT(AND(ISNUMBER(D7),ISNUMBER(E7),ISNUMBER(G7),ISNUMBER(H7))),OR(F7&lt;J7,F7&gt;K7)),"",IF(N7=L7,M7,M7+(F7-L7)*(O7-M7)/(N7-L7)))</x:f>
        <x:v>0.0846729215675782</x:v>
      </x:c>
      <x:c r="Q7" s="22" t="n">
        <x:f>IF(AND(ISNUMBER(I7),ISNUMBER(P7)),I7-P7,"")</x:f>
        <x:v>-0.009221493750647722</x:v>
      </x:c>
      <x:c r="R7" s="22" t="n">
        <x:f>IF(ISNUMBER(Q7),ABS(Q7),"")</x:f>
        <x:v>0.009221493750647722</x:v>
      </x:c>
      <x:c r="S7" s="36" t="n">
        <x:f>IF(AND(ISNUMBER(Q7),ISNUMBER(P7)),IF(ABS(P7)&lt;1E-12,"",Q7/P7),"")</x:f>
        <x:v>-0.10890723480337178</x:v>
      </x:c>
      <x:c r="T7" s="36" t="n">
        <x:f>IF(ISNUMBER(S7),ABS(S7),"")</x:f>
        <x:v>0.10890723480337178</x:v>
      </x:c>
      <x:c r="U7" s="37" t="n">
        <x:f>IF(ISNUMBER(Q7),Q7^2,"")</x:f>
        <x:v>0.00008503594699323498</x:v>
      </x:c>
      <x:c r="V7" s="21" t="str">
        <x:f>IF(NOT(AND(ISNUMBER(D7),ISNUMBER(E7),ISNUMBER(G7),ISNUMBER(H7))),"缺少配对",IF(OR(F7&lt;J7,F7&gt;K7),"超出理论J范围","有效"))</x:f>
        <x:v>有效</x:v>
      </x:c>
      <x:c r="W7" s="20" t="str">
        <x:v>升力 y=0.915708x+28.7687 → C_T_prop；实验攻角 0° ↔ 理论 alpha_p_deg 90°；原升力源 3000rpm!C4/M4</x:v>
      </x:c>
      <x:c r="X7" s="20" t="str">
        <x:v>升力标定计算!M13</x:v>
      </x:c>
      <x:c r="Y7" s="20" t="str">
        <x:v>升力标定计算!M14</x:v>
      </x:c>
      <x:c r="Z7" s="20" t="str">
        <x:v>升力标定计算!N13</x:v>
      </x:c>
      <x:c r="AA7" s="20" t="str">
        <x:v>升力标定计算!N14</x:v>
      </x:c>
      <x:c r="AB7" s="20" t="str">
        <x:v>3000rpm!AU69:AT69</x:v>
      </x:c>
    </x:row>
    <x:row r="8">
      <x:c r="A8" s="21" t="n">
        <x:v>3000</x:v>
      </x:c>
      <x:c r="B8" s="21" t="n">
        <x:v>0</x:v>
      </x:c>
      <x:c r="C8" s="21" t="n">
        <x:v>3</x:v>
      </x:c>
      <x:c r="D8" s="22" t="n">
        <x:f>IFERROR('升力标定计算'!M15,"")</x:f>
        <x:v>0.04231166998564601</x:v>
      </x:c>
      <x:c r="E8" s="22" t="n">
        <x:f>IFERROR('升力标定计算'!M16,"")</x:f>
        <x:v>0.04283730842454167</x:v>
      </x:c>
      <x:c r="F8" s="22" t="n">
        <x:f>IF(AND(ISNUMBER(D8),ISNUMBER(E8)),AVERAGE(D8,E8),"")</x:f>
        <x:v>0.04257448920509384</x:v>
      </x:c>
      <x:c r="G8" s="22" t="n">
        <x:f>IFERROR('升力标定计算'!N15,"")</x:f>
        <x:v>0.07514361388812611</x:v>
      </x:c>
      <x:c r="H8" s="22" t="n">
        <x:f>IFERROR('升力标定计算'!N16,"")</x:f>
        <x:v>0.07595141261114528</x:v>
      </x:c>
      <x:c r="I8" s="22" t="n">
        <x:f>IF(AND(ISNUMBER(G8),ISNUMBER(H8)),AVERAGE(G8,H8),"")</x:f>
        <x:v>0.0755475132496357</x:v>
      </x:c>
      <x:c r="J8" s="22" t="n">
        <x:f>IFERROR('3000rpm'!AU69,"")</x:f>
        <x:v>0</x:v>
      </x:c>
      <x:c r="K8" s="22" t="n">
        <x:f>IFERROR('3000rpm'!AU79,"")</x:f>
        <x:v>0.4448818897637795</x:v>
      </x:c>
      <x:c r="L8" s="22" t="n">
        <x:f>IFERROR('3000rpm'!AU69,"")</x:f>
        <x:v>0</x:v>
      </x:c>
      <x:c r="M8" s="22" t="n">
        <x:f>IFERROR('3000rpm'!AT69,"")</x:f>
        <x:v>0.0846729215675782</x:v>
      </x:c>
      <x:c r="N8" s="22" t="n">
        <x:f>IFERROR('3000rpm'!AU70,"")</x:f>
        <x:v>0.04448818897637796</x:v>
      </x:c>
      <x:c r="O8" s="22" t="n">
        <x:f>IFERROR('3000rpm'!AT70,"")</x:f>
        <x:v>0.08474349897933375</x:v>
      </x:c>
      <x:c r="P8" s="22" t="n">
        <x:f>IF(OR(NOT(AND(ISNUMBER(D8),ISNUMBER(E8),ISNUMBER(G8),ISNUMBER(H8))),OR(F8&lt;J8,F8&gt;K8)),"",IF(N8=L8,M8,M8+(F8-L8)*(O8-M8)/(N8-L8)))</x:f>
        <x:v>0.08474046302799831</x:v>
      </x:c>
      <x:c r="Q8" s="22" t="n">
        <x:f>IF(AND(ISNUMBER(I8),ISNUMBER(P8)),I8-P8,"")</x:f>
        <x:v>-0.009192949778362616</x:v>
      </x:c>
      <x:c r="R8" s="22" t="n">
        <x:f>IF(ISNUMBER(Q8),ABS(Q8),"")</x:f>
        <x:v>0.009192949778362616</x:v>
      </x:c>
      <x:c r="S8" s="36" t="n">
        <x:f>IF(AND(ISNUMBER(Q8),ISNUMBER(P8)),IF(ABS(P8)&lt;1E-12,"",Q8/P8),"")</x:f>
        <x:v>-0.10848359154380899</x:v>
      </x:c>
      <x:c r="T8" s="36" t="n">
        <x:f>IF(ISNUMBER(S8),ABS(S8),"")</x:f>
        <x:v>0.10848359154380899</x:v>
      </x:c>
      <x:c r="U8" s="37" t="n">
        <x:f>IF(ISNUMBER(Q8),Q8^2,"")</x:f>
        <x:v>0.00008451032562749727</x:v>
      </x:c>
      <x:c r="V8" s="21" t="str">
        <x:f>IF(NOT(AND(ISNUMBER(D8),ISNUMBER(E8),ISNUMBER(G8),ISNUMBER(H8))),"缺少配对",IF(OR(F8&lt;J8,F8&gt;K8),"超出理论J范围","有效"))</x:f>
        <x:v>有效</x:v>
      </x:c>
      <x:c r="W8" s="20" t="str">
        <x:v>升力 y=0.915708x+28.7687 → C_T_prop；实验攻角 0° ↔ 理论 alpha_p_deg 90°；原升力源 3000rpm!C5/M5</x:v>
      </x:c>
      <x:c r="X8" s="20" t="str">
        <x:v>升力标定计算!M15</x:v>
      </x:c>
      <x:c r="Y8" s="20" t="str">
        <x:v>升力标定计算!M16</x:v>
      </x:c>
      <x:c r="Z8" s="20" t="str">
        <x:v>升力标定计算!N15</x:v>
      </x:c>
      <x:c r="AA8" s="20" t="str">
        <x:v>升力标定计算!N16</x:v>
      </x:c>
      <x:c r="AB8" s="20" t="str">
        <x:v>3000rpm!AU69:AT70</x:v>
      </x:c>
    </x:row>
    <x:row r="9">
      <x:c r="A9" s="21" t="n">
        <x:v>3000</x:v>
      </x:c>
      <x:c r="B9" s="21" t="n">
        <x:v>0</x:v>
      </x:c>
      <x:c r="C9" s="21" t="n">
        <x:v>4</x:v>
      </x:c>
      <x:c r="D9" s="22" t="n">
        <x:f>IFERROR('升力标定计算'!M17,"")</x:f>
        <x:v>0.08531591917958145</x:v>
      </x:c>
      <x:c r="E9" s="22" t="n">
        <x:f>IFERROR('升力标定计算'!M18,"")</x:f>
        <x:v>0.08563607585742344</x:v>
      </x:c>
      <x:c r="F9" s="22" t="n">
        <x:f>IF(AND(ISNUMBER(D9),ISNUMBER(E9)),AVERAGE(D9,E9),"")</x:f>
        <x:v>0.08547599751850245</x:v>
      </x:c>
      <x:c r="G9" s="22" t="n">
        <x:f>IFERROR('升力标定计算'!N17,"")</x:f>
        <x:v>0.07559961004167363</x:v>
      </x:c>
      <x:c r="H9" s="22" t="n">
        <x:f>IFERROR('升力标定计算'!N18,"")</x:f>
        <x:v>0.07502586618044282</x:v>
      </x:c>
      <x:c r="I9" s="22" t="n">
        <x:f>IF(AND(ISNUMBER(G9),ISNUMBER(H9)),AVERAGE(G9,H9),"")</x:f>
        <x:v>0.07531273811105824</x:v>
      </x:c>
      <x:c r="J9" s="22" t="n">
        <x:f>IFERROR('3000rpm'!AU69,"")</x:f>
        <x:v>0</x:v>
      </x:c>
      <x:c r="K9" s="22" t="n">
        <x:f>IFERROR('3000rpm'!AU79,"")</x:f>
        <x:v>0.4448818897637795</x:v>
      </x:c>
      <x:c r="L9" s="22" t="n">
        <x:f>IFERROR('3000rpm'!AU70,"")</x:f>
        <x:v>0.04448818897637796</x:v>
      </x:c>
      <x:c r="M9" s="22" t="n">
        <x:f>IFERROR('3000rpm'!AT70,"")</x:f>
        <x:v>0.08474349897933375</x:v>
      </x:c>
      <x:c r="N9" s="22" t="n">
        <x:f>IFERROR('3000rpm'!AU71,"")</x:f>
        <x:v>0.08897637795275593</x:v>
      </x:c>
      <x:c r="O9" s="22" t="n">
        <x:f>IFERROR('3000rpm'!AT71,"")</x:f>
        <x:v>0.086413143039226</x:v>
      </x:c>
      <x:c r="P9" s="22" t="n">
        <x:f>IF(OR(NOT(AND(ISNUMBER(D9),ISNUMBER(E9),ISNUMBER(G9),ISNUMBER(H9))),OR(F9&lt;J9,F9&gt;K9)),"",IF(N9=L9,M9,M9+(F9-L9)*(O9-M9)/(N9-L9)))</x:f>
        <x:v>0.0862817735783896</x:v>
      </x:c>
      <x:c r="Q9" s="22" t="n">
        <x:f>IF(AND(ISNUMBER(I9),ISNUMBER(P9)),I9-P9,"")</x:f>
        <x:v>-0.01096903546733137</x:v>
      </x:c>
      <x:c r="R9" s="22" t="n">
        <x:f>IF(ISNUMBER(Q9),ABS(Q9),"")</x:f>
        <x:v>0.01096903546733137</x:v>
      </x:c>
      <x:c r="S9" s="36" t="n">
        <x:f>IF(AND(ISNUMBER(Q9),ISNUMBER(P9)),IF(ABS(P9)&lt;1E-12,"",Q9/P9),"")</x:f>
        <x:v>-0.1271303893326401</x:v>
      </x:c>
      <x:c r="T9" s="36" t="n">
        <x:f>IF(ISNUMBER(S9),ABS(S9),"")</x:f>
        <x:v>0.1271303893326401</x:v>
      </x:c>
      <x:c r="U9" s="37" t="n">
        <x:f>IF(ISNUMBER(Q9),Q9^2,"")</x:f>
        <x:v>0.00012031973908357353</x:v>
      </x:c>
      <x:c r="V9" s="21" t="str">
        <x:f>IF(NOT(AND(ISNUMBER(D9),ISNUMBER(E9),ISNUMBER(G9),ISNUMBER(H9))),"缺少配对",IF(OR(F9&lt;J9,F9&gt;K9),"超出理论J范围","有效"))</x:f>
        <x:v>有效</x:v>
      </x:c>
      <x:c r="W9" s="20" t="str">
        <x:v>升力 y=0.915708x+28.7687 → C_T_prop；实验攻角 0° ↔ 理论 alpha_p_deg 90°；原升力源 3000rpm!C6/M6</x:v>
      </x:c>
      <x:c r="X9" s="20" t="str">
        <x:v>升力标定计算!M17</x:v>
      </x:c>
      <x:c r="Y9" s="20" t="str">
        <x:v>升力标定计算!M18</x:v>
      </x:c>
      <x:c r="Z9" s="20" t="str">
        <x:v>升力标定计算!N17</x:v>
      </x:c>
      <x:c r="AA9" s="20" t="str">
        <x:v>升力标定计算!N18</x:v>
      </x:c>
      <x:c r="AB9" s="20" t="str">
        <x:v>3000rpm!AU70:AT71</x:v>
      </x:c>
    </x:row>
    <x:row r="10">
      <x:c r="A10" s="21" t="n">
        <x:v>3000</x:v>
      </x:c>
      <x:c r="B10" s="21" t="n">
        <x:v>0</x:v>
      </x:c>
      <x:c r="C10" s="21" t="n">
        <x:v>5</x:v>
      </x:c>
      <x:c r="D10" s="22" t="n">
        <x:f>IFERROR('升力标定计算'!M19,"")</x:f>
        <x:v>0.12791862056674433</x:v>
      </x:c>
      <x:c r="E10" s="22" t="n">
        <x:f>IFERROR('升力标定计算'!M20,"")</x:f>
        <x:v>0.12897201821712942</x:v>
      </x:c>
      <x:c r="F10" s="22" t="n">
        <x:f>IF(AND(ISNUMBER(D10),ISNUMBER(E10)),AVERAGE(D10,E10),"")</x:f>
        <x:v>0.12844531939193687</x:v>
      </x:c>
      <x:c r="G10" s="22" t="n">
        <x:f>IFERROR('升力标定计算'!N19,"")</x:f>
        <x:v>0.07602408277751553</x:v>
      </x:c>
      <x:c r="H10" s="22" t="n">
        <x:f>IFERROR('升力标定计算'!N20,"")</x:f>
        <x:v>0.07661714945517134</x:v>
      </x:c>
      <x:c r="I10" s="22" t="n">
        <x:f>IF(AND(ISNUMBER(G10),ISNUMBER(H10)),AVERAGE(G10,H10),"")</x:f>
        <x:v>0.07632061611634344</x:v>
      </x:c>
      <x:c r="J10" s="22" t="n">
        <x:f>IFERROR('3000rpm'!AU69,"")</x:f>
        <x:v>0</x:v>
      </x:c>
      <x:c r="K10" s="22" t="n">
        <x:f>IFERROR('3000rpm'!AU79,"")</x:f>
        <x:v>0.4448818897637795</x:v>
      </x:c>
      <x:c r="L10" s="22" t="n">
        <x:f>IFERROR('3000rpm'!AU71,"")</x:f>
        <x:v>0.08897637795275593</x:v>
      </x:c>
      <x:c r="M10" s="22" t="n">
        <x:f>IFERROR('3000rpm'!AT71,"")</x:f>
        <x:v>0.086413143039226</x:v>
      </x:c>
      <x:c r="N10" s="22" t="n">
        <x:f>IFERROR('3000rpm'!AU72,"")</x:f>
        <x:v>0.13346456692913383</x:v>
      </x:c>
      <x:c r="O10" s="22" t="n">
        <x:f>IFERROR('3000rpm'!AT72,"")</x:f>
        <x:v>0.088956842668664</x:v>
      </x:c>
      <x:c r="P10" s="22" t="n">
        <x:f>IF(OR(NOT(AND(ISNUMBER(D10),ISNUMBER(E10),ISNUMBER(G10),ISNUMBER(H10))),OR(F10&lt;J10,F10&gt;K10)),"",IF(N10=L10,M10,M10+(F10-L10)*(O10-M10)/(N10-L10)))</x:f>
        <x:v>0.0886698573272916</x:v>
      </x:c>
      <x:c r="Q10" s="22" t="n">
        <x:f>IF(AND(ISNUMBER(I10),ISNUMBER(P10)),I10-P10,"")</x:f>
        <x:v>-0.012349241210948159</x:v>
      </x:c>
      <x:c r="R10" s="22" t="n">
        <x:f>IF(ISNUMBER(Q10),ABS(Q10),"")</x:f>
        <x:v>0.012349241210948159</x:v>
      </x:c>
      <x:c r="S10" s="36" t="n">
        <x:f>IF(AND(ISNUMBER(Q10),ISNUMBER(P10)),IF(ABS(P10)&lt;1E-12,"",Q10/P10),"")</x:f>
        <x:v>-0.1392721448210473</x:v>
      </x:c>
      <x:c r="T10" s="36" t="n">
        <x:f>IF(ISNUMBER(S10),ABS(S10),"")</x:f>
        <x:v>0.1392721448210473</x:v>
      </x:c>
      <x:c r="U10" s="37" t="n">
        <x:f>IF(ISNUMBER(Q10),Q10^2,"")</x:f>
        <x:v>0.00015250375848618034</x:v>
      </x:c>
      <x:c r="V10" s="21" t="str">
        <x:f>IF(NOT(AND(ISNUMBER(D10),ISNUMBER(E10),ISNUMBER(G10),ISNUMBER(H10))),"缺少配对",IF(OR(F10&lt;J10,F10&gt;K10),"超出理论J范围","有效"))</x:f>
        <x:v>有效</x:v>
      </x:c>
      <x:c r="W10" s="20" t="str">
        <x:v>升力 y=0.915708x+28.7687 → C_T_prop；实验攻角 0° ↔ 理论 alpha_p_deg 90°；原升力源 3000rpm!C7/M7</x:v>
      </x:c>
      <x:c r="X10" s="20" t="str">
        <x:v>升力标定计算!M19</x:v>
      </x:c>
      <x:c r="Y10" s="20" t="str">
        <x:v>升力标定计算!M20</x:v>
      </x:c>
      <x:c r="Z10" s="20" t="str">
        <x:v>升力标定计算!N19</x:v>
      </x:c>
      <x:c r="AA10" s="20" t="str">
        <x:v>升力标定计算!N20</x:v>
      </x:c>
      <x:c r="AB10" s="20" t="str">
        <x:v>3000rpm!AU71:AT72</x:v>
      </x:c>
    </x:row>
    <x:row r="11">
      <x:c r="A11" s="21" t="n">
        <x:v>3000</x:v>
      </x:c>
      <x:c r="B11" s="21" t="n">
        <x:v>0</x:v>
      </x:c>
      <x:c r="C11" s="21" t="n">
        <x:v>6</x:v>
      </x:c>
      <x:c r="D11" s="22" t="n">
        <x:f>IFERROR('升力标定计算'!M21,"")</x:f>
        <x:v>0.17021768870412188</x:v>
      </x:c>
      <x:c r="E11" s="22" t="n">
        <x:f>IFERROR('升力标定计算'!M22,"")</x:f>
        <x:v>0.17215497322058868</x:v>
      </x:c>
      <x:c r="F11" s="22" t="n">
        <x:f>IF(AND(ISNUMBER(D11),ISNUMBER(E11)),AVERAGE(D11,E11),"")</x:f>
        <x:v>0.17118633096235528</x:v>
      </x:c>
      <x:c r="G11" s="22" t="n">
        <x:f>IFERROR('升力标定计算'!N21,"")</x:f>
        <x:v>0.07642822610936646</x:v>
      </x:c>
      <x:c r="H11" s="22" t="n">
        <x:f>IFERROR('升力标定计算'!N22,"")</x:f>
        <x:v>0.07714765268336185</x:v>
      </x:c>
      <x:c r="I11" s="22" t="n">
        <x:f>IF(AND(ISNUMBER(G11),ISNUMBER(H11)),AVERAGE(G11,H11),"")</x:f>
        <x:v>0.07678793939636416</x:v>
      </x:c>
      <x:c r="J11" s="22" t="n">
        <x:f>IFERROR('3000rpm'!AU69,"")</x:f>
        <x:v>0</x:v>
      </x:c>
      <x:c r="K11" s="22" t="n">
        <x:f>IFERROR('3000rpm'!AU79,"")</x:f>
        <x:v>0.4448818897637795</x:v>
      </x:c>
      <x:c r="L11" s="22" t="n">
        <x:f>IFERROR('3000rpm'!AU72,"")</x:f>
        <x:v>0.13346456692913383</x:v>
      </x:c>
      <x:c r="M11" s="22" t="n">
        <x:f>IFERROR('3000rpm'!AT72,"")</x:f>
        <x:v>0.088956842668664</x:v>
      </x:c>
      <x:c r="N11" s="22" t="n">
        <x:f>IFERROR('3000rpm'!AU73,"")</x:f>
        <x:v>0.17795275590551185</x:v>
      </x:c>
      <x:c r="O11" s="22" t="n">
        <x:f>IFERROR('3000rpm'!AT73,"")</x:f>
        <x:v>0.092191123883828</x:v>
      </x:c>
      <x:c r="P11" s="22" t="n">
        <x:f>IF(OR(NOT(AND(ISNUMBER(D11),ISNUMBER(E11),ISNUMBER(G11),ISNUMBER(H11))),OR(F11&lt;J11,F11&gt;K11)),"",IF(N11=L11,M11,M11+(F11-L11)*(O11-M11)/(N11-L11)))</x:f>
        <x:v>0.09169920633018047</x:v>
      </x:c>
      <x:c r="Q11" s="22" t="n">
        <x:f>IF(AND(ISNUMBER(I11),ISNUMBER(P11)),I11-P11,"")</x:f>
        <x:v>-0.014911266933816308</x:v>
      </x:c>
      <x:c r="R11" s="22" t="n">
        <x:f>IF(ISNUMBER(Q11),ABS(Q11),"")</x:f>
        <x:v>0.014911266933816308</x:v>
      </x:c>
      <x:c r="S11" s="36" t="n">
        <x:f>IF(AND(ISNUMBER(Q11),ISNUMBER(P11)),IF(ABS(P11)&lt;1E-12,"",Q11/P11),"")</x:f>
        <x:v>-0.16261064332580424</x:v>
      </x:c>
      <x:c r="T11" s="36" t="n">
        <x:f>IF(ISNUMBER(S11),ABS(S11),"")</x:f>
        <x:v>0.16261064332580424</x:v>
      </x:c>
      <x:c r="U11" s="37" t="n">
        <x:f>IF(ISNUMBER(Q11),Q11^2,"")</x:f>
        <x:v>0.0002223458815715236</x:v>
      </x:c>
      <x:c r="V11" s="21" t="str">
        <x:f>IF(NOT(AND(ISNUMBER(D11),ISNUMBER(E11),ISNUMBER(G11),ISNUMBER(H11))),"缺少配对",IF(OR(F11&lt;J11,F11&gt;K11),"超出理论J范围","有效"))</x:f>
        <x:v>有效</x:v>
      </x:c>
      <x:c r="W11" s="20" t="str">
        <x:v>升力 y=0.915708x+28.7687 → C_T_prop；实验攻角 0° ↔ 理论 alpha_p_deg 90°；原升力源 3000rpm!C8/M8</x:v>
      </x:c>
      <x:c r="X11" s="20" t="str">
        <x:v>升力标定计算!M21</x:v>
      </x:c>
      <x:c r="Y11" s="20" t="str">
        <x:v>升力标定计算!M22</x:v>
      </x:c>
      <x:c r="Z11" s="20" t="str">
        <x:v>升力标定计算!N21</x:v>
      </x:c>
      <x:c r="AA11" s="20" t="str">
        <x:v>升力标定计算!N22</x:v>
      </x:c>
      <x:c r="AB11" s="20" t="str">
        <x:v>3000rpm!AU72:AT73</x:v>
      </x:c>
    </x:row>
    <x:row r="12">
      <x:c r="A12" s="21" t="n">
        <x:v>3000</x:v>
      </x:c>
      <x:c r="B12" s="21" t="n">
        <x:v>0</x:v>
      </x:c>
      <x:c r="C12" s="21" t="n">
        <x:v>7</x:v>
      </x:c>
      <x:c r="D12" s="22" t="n">
        <x:f>IFERROR('升力标定计算'!M23,"")</x:f>
        <x:v>0.21121719303006967</x:v>
      </x:c>
      <x:c r="E12" s="22" t="n">
        <x:f>IFERROR('升力标定计算'!M24,"")</x:f>
        <x:v>0.21343392331575448</x:v>
      </x:c>
      <x:c r="F12" s="22" t="n">
        <x:f>IF(AND(ISNUMBER(D12),ISNUMBER(E12)),AVERAGE(D12,E12),"")</x:f>
        <x:v>0.21232555817291207</x:v>
      </x:c>
      <x:c r="G12" s="22" t="n">
        <x:f>IFERROR('升力标定计算'!N23,"")</x:f>
        <x:v>0.07713026719267413</x:v>
      </x:c>
      <x:c r="H12" s="22" t="n">
        <x:f>IFERROR('升力标定计算'!N24,"")</x:f>
        <x:v>0.07841953233465657</x:v>
      </x:c>
      <x:c r="I12" s="22" t="n">
        <x:f>IF(AND(ISNUMBER(G12),ISNUMBER(H12)),AVERAGE(G12,H12),"")</x:f>
        <x:v>0.07777489976366535</x:v>
      </x:c>
      <x:c r="J12" s="22" t="n">
        <x:f>IFERROR('3000rpm'!AU69,"")</x:f>
        <x:v>0</x:v>
      </x:c>
      <x:c r="K12" s="22" t="n">
        <x:f>IFERROR('3000rpm'!AU79,"")</x:f>
        <x:v>0.4448818897637795</x:v>
      </x:c>
      <x:c r="L12" s="22" t="n">
        <x:f>IFERROR('3000rpm'!AU73,"")</x:f>
        <x:v>0.17795275590551185</x:v>
      </x:c>
      <x:c r="M12" s="22" t="n">
        <x:f>IFERROR('3000rpm'!AT73,"")</x:f>
        <x:v>0.092191123883828</x:v>
      </x:c>
      <x:c r="N12" s="22" t="n">
        <x:f>IFERROR('3000rpm'!AU74,"")</x:f>
        <x:v>0.22244094488188976</x:v>
      </x:c>
      <x:c r="O12" s="22" t="n">
        <x:f>IFERROR('3000rpm'!AT74,"")</x:f>
        <x:v>0.09592262524634963</x:v>
      </x:c>
      <x:c r="P12" s="22" t="n">
        <x:f>IF(OR(NOT(AND(ISNUMBER(D12),ISNUMBER(E12),ISNUMBER(G12),ISNUMBER(H12))),OR(F12&lt;J12,F12&gt;K12)),"",IF(N12=L12,M12,M12+(F12-L12)*(O12-M12)/(N12-L12)))</x:f>
        <x:v>0.09507418479158027</x:v>
      </x:c>
      <x:c r="Q12" s="22" t="n">
        <x:f>IF(AND(ISNUMBER(I12),ISNUMBER(P12)),I12-P12,"")</x:f>
        <x:v>-0.017299285027914918</x:v>
      </x:c>
      <x:c r="R12" s="22" t="n">
        <x:f>IF(ISNUMBER(Q12),ABS(Q12),"")</x:f>
        <x:v>0.017299285027914918</x:v>
      </x:c>
      <x:c r="S12" s="36" t="n">
        <x:f>IF(AND(ISNUMBER(Q12),ISNUMBER(P12)),IF(ABS(P12)&lt;1E-12,"",Q12/P12),"")</x:f>
        <x:v>-0.18195564932623998</x:v>
      </x:c>
      <x:c r="T12" s="36" t="n">
        <x:f>IF(ISNUMBER(S12),ABS(S12),"")</x:f>
        <x:v>0.18195564932623998</x:v>
      </x:c>
      <x:c r="U12" s="37" t="n">
        <x:f>IF(ISNUMBER(Q12),Q12^2,"")</x:f>
        <x:v>0.00029926526247704124</x:v>
      </x:c>
      <x:c r="V12" s="21" t="str">
        <x:f>IF(NOT(AND(ISNUMBER(D12),ISNUMBER(E12),ISNUMBER(G12),ISNUMBER(H12))),"缺少配对",IF(OR(F12&lt;J12,F12&gt;K12),"超出理论J范围","有效"))</x:f>
        <x:v>有效</x:v>
      </x:c>
      <x:c r="W12" s="20" t="str">
        <x:v>升力 y=0.915708x+28.7687 → C_T_prop；实验攻角 0° ↔ 理论 alpha_p_deg 90°；原升力源 3000rpm!C9/M9</x:v>
      </x:c>
      <x:c r="X12" s="20" t="str">
        <x:v>升力标定计算!M23</x:v>
      </x:c>
      <x:c r="Y12" s="20" t="str">
        <x:v>升力标定计算!M24</x:v>
      </x:c>
      <x:c r="Z12" s="20" t="str">
        <x:v>升力标定计算!N23</x:v>
      </x:c>
      <x:c r="AA12" s="20" t="str">
        <x:v>升力标定计算!N24</x:v>
      </x:c>
      <x:c r="AB12" s="20" t="str">
        <x:v>3000rpm!AU73:AT74</x:v>
      </x:c>
    </x:row>
    <x:row r="13">
      <x:c r="A13" s="21" t="n">
        <x:v>3000</x:v>
      </x:c>
      <x:c r="B13" s="21" t="n">
        <x:v>0</x:v>
      </x:c>
      <x:c r="C13" s="21" t="n">
        <x:v>8</x:v>
      </x:c>
      <x:c r="D13" s="22" t="n">
        <x:f>IFERROR('升力标定计算'!M25,"")</x:f>
        <x:v>0.2509609554293975</x:v>
      </x:c>
      <x:c r="E13" s="22" t="n">
        <x:f>IFERROR('升力标定计算'!M26,"")</x:f>
        <x:v>0.2566133302684951</x:v>
      </x:c>
      <x:c r="F13" s="22" t="n">
        <x:f>IF(AND(ISNUMBER(D13),ISNUMBER(E13)),AVERAGE(D13,E13),"")</x:f>
        <x:v>0.2537871428489463</x:v>
      </x:c>
      <x:c r="G13" s="22" t="n">
        <x:f>IFERROR('升力标定计算'!N25,"")</x:f>
        <x:v>0.08011688084933677</x:v>
      </x:c>
      <x:c r="H13" s="22" t="n">
        <x:f>IFERROR('升力标定计算'!N26,"")</x:f>
        <x:v>0.08047096041223854</x:v>
      </x:c>
      <x:c r="I13" s="22" t="n">
        <x:f>IF(AND(ISNUMBER(G13),ISNUMBER(H13)),AVERAGE(G13,H13),"")</x:f>
        <x:v>0.08029392063078766</x:v>
      </x:c>
      <x:c r="J13" s="22" t="n">
        <x:f>IFERROR('3000rpm'!AU69,"")</x:f>
        <x:v>0</x:v>
      </x:c>
      <x:c r="K13" s="22" t="n">
        <x:f>IFERROR('3000rpm'!AU79,"")</x:f>
        <x:v>0.4448818897637795</x:v>
      </x:c>
      <x:c r="L13" s="22" t="n">
        <x:f>IFERROR('3000rpm'!AU74,"")</x:f>
        <x:v>0.22244094488188976</x:v>
      </x:c>
      <x:c r="M13" s="22" t="n">
        <x:f>IFERROR('3000rpm'!AT74,"")</x:f>
        <x:v>0.09592262524634963</x:v>
      </x:c>
      <x:c r="N13" s="22" t="n">
        <x:f>IFERROR('3000rpm'!AU75,"")</x:f>
        <x:v>0.26692913385826766</x:v>
      </x:c>
      <x:c r="O13" s="22" t="n">
        <x:f>IFERROR('3000rpm'!AT75,"")</x:f>
        <x:v>0.09990377376129421</x:v>
      </x:c>
      <x:c r="P13" s="22" t="n">
        <x:f>IF(OR(NOT(AND(ISNUMBER(D13),ISNUMBER(E13),ISNUMBER(G13),ISNUMBER(H13))),OR(F13&lt;J13,F13&gt;K13)),"",IF(N13=L13,M13,M13+(F13-L13)*(O13-M13)/(N13-L13)))</x:f>
        <x:v>0.09872772638346196</x:v>
      </x:c>
      <x:c r="Q13" s="22" t="n">
        <x:f>IF(AND(ISNUMBER(I13),ISNUMBER(P13)),I13-P13,"")</x:f>
        <x:v>-0.018433805752674295</x:v>
      </x:c>
      <x:c r="R13" s="22" t="n">
        <x:f>IF(ISNUMBER(Q13),ABS(Q13),"")</x:f>
        <x:v>0.018433805752674295</x:v>
      </x:c>
      <x:c r="S13" s="36" t="n">
        <x:f>IF(AND(ISNUMBER(Q13),ISNUMBER(P13)),IF(ABS(P13)&lt;1E-12,"",Q13/P13),"")</x:f>
        <x:v>-0.1867135649521265</x:v>
      </x:c>
      <x:c r="T13" s="36" t="n">
        <x:f>IF(ISNUMBER(S13),ABS(S13),"")</x:f>
        <x:v>0.1867135649521265</x:v>
      </x:c>
      <x:c r="U13" s="37" t="n">
        <x:f>IF(ISNUMBER(Q13),Q13^2,"")</x:f>
        <x:v>0.00033980519452732794</x:v>
      </x:c>
      <x:c r="V13" s="21" t="str">
        <x:f>IF(NOT(AND(ISNUMBER(D13),ISNUMBER(E13),ISNUMBER(G13),ISNUMBER(H13))),"缺少配对",IF(OR(F13&lt;J13,F13&gt;K13),"超出理论J范围","有效"))</x:f>
        <x:v>有效</x:v>
      </x:c>
      <x:c r="W13" s="20" t="str">
        <x:v>升力 y=0.915708x+28.7687 → C_T_prop；实验攻角 0° ↔ 理论 alpha_p_deg 90°；原升力源 3000rpm!C10/M10</x:v>
      </x:c>
      <x:c r="X13" s="20" t="str">
        <x:v>升力标定计算!M25</x:v>
      </x:c>
      <x:c r="Y13" s="20" t="str">
        <x:v>升力标定计算!M26</x:v>
      </x:c>
      <x:c r="Z13" s="20" t="str">
        <x:v>升力标定计算!N25</x:v>
      </x:c>
      <x:c r="AA13" s="20" t="str">
        <x:v>升力标定计算!N26</x:v>
      </x:c>
      <x:c r="AB13" s="20" t="str">
        <x:v>3000rpm!AU74:AT75</x:v>
      </x:c>
    </x:row>
    <x:row r="14">
      <x:c r="A14" s="21" t="n">
        <x:v>3000</x:v>
      </x:c>
      <x:c r="B14" s="21" t="n">
        <x:v>0</x:v>
      </x:c>
      <x:c r="C14" s="21" t="n">
        <x:v>9</x:v>
      </x:c>
      <x:c r="D14" s="22" t="n">
        <x:f>IFERROR('升力标定计算'!M27,"")</x:f>
        <x:v>0.2956745778607743</x:v>
      </x:c>
      <x:c r="E14" s="22" t="n">
        <x:f>IFERROR('升力标定计算'!M28,"")</x:f>
        <x:v>0.2980541555065999</x:v>
      </x:c>
      <x:c r="F14" s="22" t="n">
        <x:f>IF(AND(ISNUMBER(D14),ISNUMBER(E14)),AVERAGE(D14,E14),"")</x:f>
        <x:v>0.2968643666836871</x:v>
      </x:c>
      <x:c r="G14" s="22" t="n">
        <x:f>IFERROR('升力标定计算'!N27,"")</x:f>
        <x:v>0.0818303744513462</x:v>
      </x:c>
      <x:c r="H14" s="22" t="n">
        <x:f>IFERROR('升力标定计算'!N28,"")</x:f>
        <x:v>0.082425711640887</x:v>
      </x:c>
      <x:c r="I14" s="22" t="n">
        <x:f>IF(AND(ISNUMBER(G14),ISNUMBER(H14)),AVERAGE(G14,H14),"")</x:f>
        <x:v>0.0821280430461166</x:v>
      </x:c>
      <x:c r="J14" s="22" t="n">
        <x:f>IFERROR('3000rpm'!AU69,"")</x:f>
        <x:v>0</x:v>
      </x:c>
      <x:c r="K14" s="22" t="n">
        <x:f>IFERROR('3000rpm'!AU79,"")</x:f>
        <x:v>0.4448818897637795</x:v>
      </x:c>
      <x:c r="L14" s="22" t="n">
        <x:f>IFERROR('3000rpm'!AU75,"")</x:f>
        <x:v>0.26692913385826766</x:v>
      </x:c>
      <x:c r="M14" s="22" t="n">
        <x:f>IFERROR('3000rpm'!AT75,"")</x:f>
        <x:v>0.09990377376129421</x:v>
      </x:c>
      <x:c r="N14" s="22" t="n">
        <x:f>IFERROR('3000rpm'!AU76,"")</x:f>
        <x:v>0.3114173228346457</x:v>
      </x:c>
      <x:c r="O14" s="22" t="n">
        <x:f>IFERROR('3000rpm'!AT76,"")</x:f>
        <x:v>0.10399550996973418</x:v>
      </x:c>
      <x:c r="P14" s="22" t="n">
        <x:f>IF(OR(NOT(AND(ISNUMBER(D14),ISNUMBER(E14),ISNUMBER(G14),ISNUMBER(H14))),OR(F14&lt;J14,F14&gt;K14)),"",IF(N14=L14,M14,M14+(F14-L14)*(O14-M14)/(N14-L14)))</x:f>
        <x:v>0.10265702308157755</x:v>
      </x:c>
      <x:c r="Q14" s="22" t="n">
        <x:f>IF(AND(ISNUMBER(I14),ISNUMBER(P14)),I14-P14,"")</x:f>
        <x:v>-0.020528980035460956</x:v>
      </x:c>
      <x:c r="R14" s="22" t="n">
        <x:f>IF(ISNUMBER(Q14),ABS(Q14),"")</x:f>
        <x:v>0.020528980035460956</x:v>
      </x:c>
      <x:c r="S14" s="36" t="n">
        <x:f>IF(AND(ISNUMBER(Q14),ISNUMBER(P14)),IF(ABS(P14)&lt;1E-12,"",Q14/P14),"")</x:f>
        <x:v>-0.1999763817342275</x:v>
      </x:c>
      <x:c r="T14" s="36" t="n">
        <x:f>IF(ISNUMBER(S14),ABS(S14),"")</x:f>
        <x:v>0.1999763817342275</x:v>
      </x:c>
      <x:c r="U14" s="37" t="n">
        <x:f>IF(ISNUMBER(Q14),Q14^2,"")</x:f>
        <x:v>0.0004214390212963545</x:v>
      </x:c>
      <x:c r="V14" s="21" t="str">
        <x:f>IF(NOT(AND(ISNUMBER(D14),ISNUMBER(E14),ISNUMBER(G14),ISNUMBER(H14))),"缺少配对",IF(OR(F14&lt;J14,F14&gt;K14),"超出理论J范围","有效"))</x:f>
        <x:v>有效</x:v>
      </x:c>
      <x:c r="W14" s="20" t="str">
        <x:v>升力 y=0.915708x+28.7687 → C_T_prop；实验攻角 0° ↔ 理论 alpha_p_deg 90°；原升力源 3000rpm!C11/M11</x:v>
      </x:c>
      <x:c r="X14" s="20" t="str">
        <x:v>升力标定计算!M27</x:v>
      </x:c>
      <x:c r="Y14" s="20" t="str">
        <x:v>升力标定计算!M28</x:v>
      </x:c>
      <x:c r="Z14" s="20" t="str">
        <x:v>升力标定计算!N27</x:v>
      </x:c>
      <x:c r="AA14" s="20" t="str">
        <x:v>升力标定计算!N28</x:v>
      </x:c>
      <x:c r="AB14" s="20" t="str">
        <x:v>3000rpm!AU75:AT76</x:v>
      </x:c>
    </x:row>
    <x:row r="15">
      <x:c r="A15" s="21" t="n">
        <x:v>3000</x:v>
      </x:c>
      <x:c r="B15" s="21" t="n">
        <x:v>0</x:v>
      </x:c>
      <x:c r="C15" s="21" t="n">
        <x:v>10</x:v>
      </x:c>
      <x:c r="D15" s="22" t="n">
        <x:f>IFERROR('升力标定计算'!M29,"")</x:f>
        <x:v>0.33857707658804265</x:v>
      </x:c>
      <x:c r="E15" s="22" t="n">
        <x:f>IFERROR('升力标定计算'!M30,"")</x:f>
        <x:v>0.34053373595741326</x:v>
      </x:c>
      <x:c r="F15" s="22" t="n">
        <x:f>IF(AND(ISNUMBER(D15),ISNUMBER(E15)),AVERAGE(D15,E15),"")</x:f>
        <x:v>0.33955540627272796</x:v>
      </x:c>
      <x:c r="G15" s="22" t="n">
        <x:f>IFERROR('升力标定计算'!N29,"")</x:f>
        <x:v>0.08494543243842798</x:v>
      </x:c>
      <x:c r="H15" s="22" t="n">
        <x:f>IFERROR('升力标定计算'!N30,"")</x:f>
        <x:v>0.08519011930158642</x:v>
      </x:c>
      <x:c r="I15" s="22" t="n">
        <x:f>IF(AND(ISNUMBER(G15),ISNUMBER(H15)),AVERAGE(G15,H15),"")</x:f>
        <x:v>0.08506777587000719</x:v>
      </x:c>
      <x:c r="J15" s="22" t="n">
        <x:f>IFERROR('3000rpm'!AU69,"")</x:f>
        <x:v>0</x:v>
      </x:c>
      <x:c r="K15" s="22" t="n">
        <x:f>IFERROR('3000rpm'!AU79,"")</x:f>
        <x:v>0.4448818897637795</x:v>
      </x:c>
      <x:c r="L15" s="22" t="n">
        <x:f>IFERROR('3000rpm'!AU76,"")</x:f>
        <x:v>0.3114173228346457</x:v>
      </x:c>
      <x:c r="M15" s="22" t="n">
        <x:f>IFERROR('3000rpm'!AT76,"")</x:f>
        <x:v>0.10399550996973418</x:v>
      </x:c>
      <x:c r="N15" s="22" t="n">
        <x:f>IFERROR('3000rpm'!AU77,"")</x:f>
        <x:v>0.3559055118110237</x:v>
      </x:c>
      <x:c r="O15" s="22" t="n">
        <x:f>IFERROR('3000rpm'!AT77,"")</x:f>
        <x:v>0.10805545007205335</x:v>
      </x:c>
      <x:c r="P15" s="22" t="n">
        <x:f>IF(OR(NOT(AND(ISNUMBER(D15),ISNUMBER(E15),ISNUMBER(G15),ISNUMBER(H15))),OR(F15&lt;J15,F15&gt;K15)),"",IF(N15=L15,M15,M15+(F15-L15)*(O15-M15)/(N15-L15)))</x:f>
        <x:v>0.10656335856013939</x:v>
      </x:c>
      <x:c r="Q15" s="22" t="n">
        <x:f>IF(AND(ISNUMBER(I15),ISNUMBER(P15)),I15-P15,"")</x:f>
        <x:v>-0.0214955826901322</x:v>
      </x:c>
      <x:c r="R15" s="22" t="n">
        <x:f>IF(ISNUMBER(Q15),ABS(Q15),"")</x:f>
        <x:v>0.0214955826901322</x:v>
      </x:c>
      <x:c r="S15" s="36" t="n">
        <x:f>IF(AND(ISNUMBER(Q15),ISNUMBER(P15)),IF(ABS(P15)&lt;1E-12,"",Q15/P15),"")</x:f>
        <x:v>-0.20171645282746128</x:v>
      </x:c>
      <x:c r="T15" s="36" t="n">
        <x:f>IF(ISNUMBER(S15),ABS(S15),"")</x:f>
        <x:v>0.20171645282746128</x:v>
      </x:c>
      <x:c r="U15" s="37" t="n">
        <x:f>IF(ISNUMBER(Q15),Q15^2,"")</x:f>
        <x:v>0.00046206007518831107</x:v>
      </x:c>
      <x:c r="V15" s="21" t="str">
        <x:f>IF(NOT(AND(ISNUMBER(D15),ISNUMBER(E15),ISNUMBER(G15),ISNUMBER(H15))),"缺少配对",IF(OR(F15&lt;J15,F15&gt;K15),"超出理论J范围","有效"))</x:f>
        <x:v>有效</x:v>
      </x:c>
      <x:c r="W15" s="20" t="str">
        <x:v>升力 y=0.915708x+28.7687 → C_T_prop；实验攻角 0° ↔ 理论 alpha_p_deg 90°；原升力源 3000rpm!C12/M12</x:v>
      </x:c>
      <x:c r="X15" s="20" t="str">
        <x:v>升力标定计算!M29</x:v>
      </x:c>
      <x:c r="Y15" s="20" t="str">
        <x:v>升力标定计算!M30</x:v>
      </x:c>
      <x:c r="Z15" s="20" t="str">
        <x:v>升力标定计算!N29</x:v>
      </x:c>
      <x:c r="AA15" s="20" t="str">
        <x:v>升力标定计算!N30</x:v>
      </x:c>
      <x:c r="AB15" s="20" t="str">
        <x:v>3000rpm!AU76:AT77</x:v>
      </x:c>
    </x:row>
    <x:row r="16">
      <x:c r="A16" s="21" t="n">
        <x:v>3000</x:v>
      </x:c>
      <x:c r="B16" s="21" t="n">
        <x:v>0</x:v>
      </x:c>
      <x:c r="C16" s="21" t="n">
        <x:v>11</x:v>
      </x:c>
      <x:c r="D16" s="22" t="n">
        <x:f>IFERROR('升力标定计算'!M31,"")</x:f>
        <x:v>0.37947833771878475</x:v>
      </x:c>
      <x:c r="E16" s="22" t="n">
        <x:f>IFERROR('升力标定计算'!M32,"")</x:f>
        <x:v>0.38428285433963</x:v>
      </x:c>
      <x:c r="F16" s="22" t="n">
        <x:f>IF(AND(ISNUMBER(D16),ISNUMBER(E16)),AVERAGE(D16,E16),"")</x:f>
        <x:v>0.3818805960292074</x:v>
      </x:c>
      <x:c r="G16" s="22" t="n">
        <x:f>IFERROR('升力标定计算'!N31,"")</x:f>
        <x:v>0.08737754870690018</x:v>
      </x:c>
      <x:c r="H16" s="22" t="n">
        <x:f>IFERROR('升力标定计算'!N32,"")</x:f>
        <x:v>0.08878661638270026</x:v>
      </x:c>
      <x:c r="I16" s="22" t="n">
        <x:f>IF(AND(ISNUMBER(G16),ISNUMBER(H16)),AVERAGE(G16,H16),"")</x:f>
        <x:v>0.08808208254480021</x:v>
      </x:c>
      <x:c r="J16" s="22" t="n">
        <x:f>IFERROR('3000rpm'!AU69,"")</x:f>
        <x:v>0</x:v>
      </x:c>
      <x:c r="K16" s="22" t="n">
        <x:f>IFERROR('3000rpm'!AU79,"")</x:f>
        <x:v>0.4448818897637795</x:v>
      </x:c>
      <x:c r="L16" s="22" t="n">
        <x:f>IFERROR('3000rpm'!AU77,"")</x:f>
        <x:v>0.3559055118110237</x:v>
      </x:c>
      <x:c r="M16" s="22" t="n">
        <x:f>IFERROR('3000rpm'!AT77,"")</x:f>
        <x:v>0.10805545007205335</x:v>
      </x:c>
      <x:c r="N16" s="22" t="n">
        <x:f>IFERROR('3000rpm'!AU78,"")</x:f>
        <x:v>0.40039370078740166</x:v>
      </x:c>
      <x:c r="O16" s="22" t="n">
        <x:f>IFERROR('3000rpm'!AT78,"")</x:f>
        <x:v>0.11208593163553544</x:v>
      </x:c>
      <x:c r="P16" s="22" t="n">
        <x:f>IF(OR(NOT(AND(ISNUMBER(D16),ISNUMBER(E16),ISNUMBER(G16),ISNUMBER(H16))),OR(F16&lt;J16,F16&gt;K16)),"",IF(N16=L16,M16,M16+(F16-L16)*(O16-M16)/(N16-L16)))</x:f>
        <x:v>0.1104087060813477</x:v>
      </x:c>
      <x:c r="Q16" s="22" t="n">
        <x:f>IF(AND(ISNUMBER(I16),ISNUMBER(P16)),I16-P16,"")</x:f>
        <x:v>-0.02232662353654749</x:v>
      </x:c>
      <x:c r="R16" s="22" t="n">
        <x:f>IF(ISNUMBER(Q16),ABS(Q16),"")</x:f>
        <x:v>0.02232662353654749</x:v>
      </x:c>
      <x:c r="S16" s="36" t="n">
        <x:f>IF(AND(ISNUMBER(Q16),ISNUMBER(P16)),IF(ABS(P16)&lt;1E-12,"",Q16/P16),"")</x:f>
        <x:v>-0.2022179620518107</x:v>
      </x:c>
      <x:c r="T16" s="36" t="n">
        <x:f>IF(ISNUMBER(S16),ABS(S16),"")</x:f>
        <x:v>0.2022179620518107</x:v>
      </x:c>
      <x:c r="U16" s="37" t="n">
        <x:f>IF(ISNUMBER(Q16),Q16^2,"")</x:f>
        <x:v>0.0004984781185427163</x:v>
      </x:c>
      <x:c r="V16" s="21" t="str">
        <x:f>IF(NOT(AND(ISNUMBER(D16),ISNUMBER(E16),ISNUMBER(G16),ISNUMBER(H16))),"缺少配对",IF(OR(F16&lt;J16,F16&gt;K16),"超出理论J范围","有效"))</x:f>
        <x:v>有效</x:v>
      </x:c>
      <x:c r="W16" s="20" t="str">
        <x:v>升力 y=0.915708x+28.7687 → C_T_prop；实验攻角 0° ↔ 理论 alpha_p_deg 90°；原升力源 3000rpm!C13/M13</x:v>
      </x:c>
      <x:c r="X16" s="20" t="str">
        <x:v>升力标定计算!M31</x:v>
      </x:c>
      <x:c r="Y16" s="20" t="str">
        <x:v>升力标定计算!M32</x:v>
      </x:c>
      <x:c r="Z16" s="20" t="str">
        <x:v>升力标定计算!N31</x:v>
      </x:c>
      <x:c r="AA16" s="20" t="str">
        <x:v>升力标定计算!N32</x:v>
      </x:c>
      <x:c r="AB16" s="20" t="str">
        <x:v>3000rpm!AU77:AT78</x:v>
      </x:c>
    </x:row>
    <x:row r="17">
      <x:c r="A17" s="21" t="n">
        <x:v>3000</x:v>
      </x:c>
      <x:c r="B17" s="21" t="n">
        <x:v>0</x:v>
      </x:c>
      <x:c r="C17" s="21" t="n">
        <x:v>12</x:v>
      </x:c>
      <x:c r="D17" s="22" t="n">
        <x:f>IFERROR('升力标定计算'!M33,"")</x:f>
        <x:v>0.4208317089699528</x:v>
      </x:c>
      <x:c r="E17" s="22" t="n">
        <x:f>IFERROR('升力标定计算'!M34,"")</x:f>
        <x:v>0.42306555669090984</x:v>
      </x:c>
      <x:c r="F17" s="22" t="n">
        <x:f>IF(AND(ISNUMBER(D17),ISNUMBER(E17)),AVERAGE(D17,E17),"")</x:f>
        <x:v>0.4219486328304313</x:v>
      </x:c>
      <x:c r="G17" s="22" t="n">
        <x:f>IFERROR('升力标定计算'!N33,"")</x:f>
        <x:v>0.09146581950076053</x:v>
      </x:c>
      <x:c r="H17" s="22" t="n">
        <x:f>IFERROR('升力标定计算'!N34,"")</x:f>
        <x:v>0.09138614823522716</x:v>
      </x:c>
      <x:c r="I17" s="22" t="n">
        <x:f>IF(AND(ISNUMBER(G17),ISNUMBER(H17)),AVERAGE(G17,H17),"")</x:f>
        <x:v>0.09142598386799385</x:v>
      </x:c>
      <x:c r="J17" s="22" t="n">
        <x:f>IFERROR('3000rpm'!AU69,"")</x:f>
        <x:v>0</x:v>
      </x:c>
      <x:c r="K17" s="22" t="n">
        <x:f>IFERROR('3000rpm'!AU79,"")</x:f>
        <x:v>0.4448818897637795</x:v>
      </x:c>
      <x:c r="L17" s="22" t="n">
        <x:f>IFERROR('3000rpm'!AU78,"")</x:f>
        <x:v>0.40039370078740166</x:v>
      </x:c>
      <x:c r="M17" s="22" t="n">
        <x:f>IFERROR('3000rpm'!AT78,"")</x:f>
        <x:v>0.11208593163553544</x:v>
      </x:c>
      <x:c r="N17" s="22" t="n">
        <x:f>IFERROR('3000rpm'!AU79,"")</x:f>
        <x:v>0.4448818897637795</x:v>
      </x:c>
      <x:c r="O17" s="22" t="n">
        <x:f>IFERROR('3000rpm'!AT79,"")</x:f>
        <x:v>0.11599023844046746</x:v>
      </x:c>
      <x:c r="P17" s="22" t="n">
        <x:f>IF(OR(NOT(AND(ISNUMBER(D17),ISNUMBER(E17),ISNUMBER(G17),ISNUMBER(H17))),OR(F17&lt;J17,F17&gt;K17)),"",IF(N17=L17,M17,M17+(F17-L17)*(O17-M17)/(N17-L17)))</x:f>
        <x:v>0.11397760378025083</x:v>
      </x:c>
      <x:c r="Q17" s="22" t="n">
        <x:f>IF(AND(ISNUMBER(I17),ISNUMBER(P17)),I17-P17,"")</x:f>
        <x:v>-0.022551619912256987</x:v>
      </x:c>
      <x:c r="R17" s="22" t="n">
        <x:f>IF(ISNUMBER(Q17),ABS(Q17),"")</x:f>
        <x:v>0.022551619912256987</x:v>
      </x:c>
      <x:c r="S17" s="36" t="n">
        <x:f>IF(AND(ISNUMBER(Q17),ISNUMBER(P17)),IF(ABS(P17)&lt;1E-12,"",Q17/P17),"")</x:f>
        <x:v>-0.19786009851318315</x:v>
      </x:c>
      <x:c r="T17" s="36" t="n">
        <x:f>IF(ISNUMBER(S17),ABS(S17),"")</x:f>
        <x:v>0.19786009851318315</x:v>
      </x:c>
      <x:c r="U17" s="37" t="n">
        <x:f>IF(ISNUMBER(Q17),Q17^2,"")</x:f>
        <x:v>0.0005085755606669058</x:v>
      </x:c>
      <x:c r="V17" s="21" t="str">
        <x:f>IF(NOT(AND(ISNUMBER(D17),ISNUMBER(E17),ISNUMBER(G17),ISNUMBER(H17))),"缺少配对",IF(OR(F17&lt;J17,F17&gt;K17),"超出理论J范围","有效"))</x:f>
        <x:v>有效</x:v>
      </x:c>
      <x:c r="W17" s="20" t="str">
        <x:v>升力 y=0.915708x+28.7687 → C_T_prop；实验攻角 0° ↔ 理论 alpha_p_deg 90°；原升力源 3000rpm!C14/M14</x:v>
      </x:c>
      <x:c r="X17" s="20" t="str">
        <x:v>升力标定计算!M33</x:v>
      </x:c>
      <x:c r="Y17" s="20" t="str">
        <x:v>升力标定计算!M34</x:v>
      </x:c>
      <x:c r="Z17" s="20" t="str">
        <x:v>升力标定计算!N33</x:v>
      </x:c>
      <x:c r="AA17" s="20" t="str">
        <x:v>升力标定计算!N34</x:v>
      </x:c>
      <x:c r="AB17" s="20" t="str">
        <x:v>3000rpm!AU78:AT79</x:v>
      </x:c>
    </x:row>
    <x:row r="18">
      <x:c r="A18" s="21" t="n">
        <x:v>3000</x:v>
      </x:c>
      <x:c r="B18" s="21" t="n">
        <x:v>0</x:v>
      </x:c>
      <x:c r="C18" s="21" t="n">
        <x:v>13</x:v>
      </x:c>
      <x:c r="D18" s="22" t="n">
        <x:f>IFERROR('升力标定计算'!M35,"")</x:f>
        <x:v>0.3812956928542449</x:v>
      </x:c>
      <x:c r="E18" s="22" t="n">
        <x:f>IFERROR('升力标定计算'!M36,"")</x:f>
        <x:v>0.38521611451878607</x:v>
      </x:c>
      <x:c r="F18" s="22" t="n">
        <x:f>IF(AND(ISNUMBER(D18),ISNUMBER(E18)),AVERAGE(D18,E18),"")</x:f>
        <x:v>0.3832559036865155</x:v>
      </x:c>
      <x:c r="G18" s="22" t="n">
        <x:f>IFERROR('升力标定计算'!N35,"")</x:f>
        <x:v>0.08819418492060507</x:v>
      </x:c>
      <x:c r="H18" s="22" t="n">
        <x:f>IFERROR('升力标定计算'!N36,"")</x:f>
        <x:v>0.08903735840653906</x:v>
      </x:c>
      <x:c r="I18" s="22" t="n">
        <x:f>IF(AND(ISNUMBER(G18),ISNUMBER(H18)),AVERAGE(G18,H18),"")</x:f>
        <x:v>0.08861577166357207</x:v>
      </x:c>
      <x:c r="J18" s="22" t="n">
        <x:f>IFERROR('3000rpm'!AU69,"")</x:f>
        <x:v>0</x:v>
      </x:c>
      <x:c r="K18" s="22" t="n">
        <x:f>IFERROR('3000rpm'!AU79,"")</x:f>
        <x:v>0.4448818897637795</x:v>
      </x:c>
      <x:c r="L18" s="22" t="n">
        <x:f>IFERROR('3000rpm'!AU77,"")</x:f>
        <x:v>0.3559055118110237</x:v>
      </x:c>
      <x:c r="M18" s="22" t="n">
        <x:f>IFERROR('3000rpm'!AT77,"")</x:f>
        <x:v>0.10805545007205335</x:v>
      </x:c>
      <x:c r="N18" s="22" t="n">
        <x:f>IFERROR('3000rpm'!AU78,"")</x:f>
        <x:v>0.40039370078740166</x:v>
      </x:c>
      <x:c r="O18" s="22" t="n">
        <x:f>IFERROR('3000rpm'!AT78,"")</x:f>
        <x:v>0.11208593163553544</x:v>
      </x:c>
      <x:c r="P18" s="22" t="n">
        <x:f>IF(OR(NOT(AND(ISNUMBER(D18),ISNUMBER(E18),ISNUMBER(G18),ISNUMBER(H18))),OR(F18&lt;J18,F18&gt;K18)),"",IF(N18=L18,M18,M18+(F18-L18)*(O18-M18)/(N18-L18)))</x:f>
        <x:v>0.1105333043687682</x:v>
      </x:c>
      <x:c r="Q18" s="22" t="n">
        <x:f>IF(AND(ISNUMBER(I18),ISNUMBER(P18)),I18-P18,"")</x:f>
        <x:v>-0.021917532705196127</x:v>
      </x:c>
      <x:c r="R18" s="22" t="n">
        <x:f>IF(ISNUMBER(Q18),ABS(Q18),"")</x:f>
        <x:v>0.021917532705196127</x:v>
      </x:c>
      <x:c r="S18" s="36" t="n">
        <x:f>IF(AND(ISNUMBER(Q18),ISNUMBER(P18)),IF(ABS(P18)&lt;1E-12,"",Q18/P18),"")</x:f>
        <x:v>-0.19828894856950507</x:v>
      </x:c>
      <x:c r="T18" s="36" t="n">
        <x:f>IF(ISNUMBER(S18),ABS(S18),"")</x:f>
        <x:v>0.19828894856950507</x:v>
      </x:c>
      <x:c r="U18" s="37" t="n">
        <x:f>IF(ISNUMBER(Q18),Q18^2,"")</x:f>
        <x:v>0.00048037823988334187</x:v>
      </x:c>
      <x:c r="V18" s="21" t="str">
        <x:f>IF(NOT(AND(ISNUMBER(D18),ISNUMBER(E18),ISNUMBER(G18),ISNUMBER(H18))),"缺少配对",IF(OR(F18&lt;J18,F18&gt;K18),"超出理论J范围","有效"))</x:f>
        <x:v>有效</x:v>
      </x:c>
      <x:c r="W18" s="20" t="str">
        <x:v>升力 y=0.915708x+28.7687 → C_T_prop；实验攻角 0° ↔ 理论 alpha_p_deg 90°；原升力源 3000rpm!C15/M15</x:v>
      </x:c>
      <x:c r="X18" s="20" t="str">
        <x:v>升力标定计算!M35</x:v>
      </x:c>
      <x:c r="Y18" s="20" t="str">
        <x:v>升力标定计算!M36</x:v>
      </x:c>
      <x:c r="Z18" s="20" t="str">
        <x:v>升力标定计算!N35</x:v>
      </x:c>
      <x:c r="AA18" s="20" t="str">
        <x:v>升力标定计算!N36</x:v>
      </x:c>
      <x:c r="AB18" s="20" t="str">
        <x:v>3000rpm!AU77:AT78</x:v>
      </x:c>
    </x:row>
    <x:row r="19">
      <x:c r="A19" s="21" t="n">
        <x:v>3000</x:v>
      </x:c>
      <x:c r="B19" s="21" t="n">
        <x:v>0</x:v>
      </x:c>
      <x:c r="C19" s="21" t="n">
        <x:v>14</x:v>
      </x:c>
      <x:c r="D19" s="22" t="n">
        <x:f>IFERROR('升力标定计算'!M37,"")</x:f>
        <x:v>0.34090037465036493</x:v>
      </x:c>
      <x:c r="E19" s="22" t="n">
        <x:f>IFERROR('升力标定计算'!M38,"")</x:f>
        <x:v>0.3421155447206962</x:v>
      </x:c>
      <x:c r="F19" s="22" t="n">
        <x:f>IF(AND(ISNUMBER(D19),ISNUMBER(E19)),AVERAGE(D19,E19),"")</x:f>
        <x:v>0.3415079596855306</x:v>
      </x:c>
      <x:c r="G19" s="22" t="n">
        <x:f>IFERROR('升力标定计算'!N37,"")</x:f>
        <x:v>0.085829933859631</x:v>
      </x:c>
      <x:c r="H19" s="22" t="n">
        <x:f>IFERROR('升力标定计算'!N38,"")</x:f>
        <x:v>0.08541572373161029</x:v>
      </x:c>
      <x:c r="I19" s="22" t="n">
        <x:f>IF(AND(ISNUMBER(G19),ISNUMBER(H19)),AVERAGE(G19,H19),"")</x:f>
        <x:v>0.08562282879562064</x:v>
      </x:c>
      <x:c r="J19" s="22" t="n">
        <x:f>IFERROR('3000rpm'!AU69,"")</x:f>
        <x:v>0</x:v>
      </x:c>
      <x:c r="K19" s="22" t="n">
        <x:f>IFERROR('3000rpm'!AU79,"")</x:f>
        <x:v>0.4448818897637795</x:v>
      </x:c>
      <x:c r="L19" s="22" t="n">
        <x:f>IFERROR('3000rpm'!AU76,"")</x:f>
        <x:v>0.3114173228346457</x:v>
      </x:c>
      <x:c r="M19" s="22" t="n">
        <x:f>IFERROR('3000rpm'!AT76,"")</x:f>
        <x:v>0.10399550996973418</x:v>
      </x:c>
      <x:c r="N19" s="22" t="n">
        <x:f>IFERROR('3000rpm'!AU77,"")</x:f>
        <x:v>0.3559055118110237</x:v>
      </x:c>
      <x:c r="O19" s="22" t="n">
        <x:f>IFERROR('3000rpm'!AT77,"")</x:f>
        <x:v>0.10805545007205335</x:v>
      </x:c>
      <x:c r="P19" s="22" t="n">
        <x:f>IF(OR(NOT(AND(ISNUMBER(D19),ISNUMBER(E19),ISNUMBER(G19),ISNUMBER(H19))),OR(F19&lt;J19,F19&gt;K19)),"",IF(N19=L19,M19,M19+(F19-L19)*(O19-M19)/(N19-L19)))</x:f>
        <x:v>0.10674154630131193</x:v>
      </x:c>
      <x:c r="Q19" s="22" t="n">
        <x:f>IF(AND(ISNUMBER(I19),ISNUMBER(P19)),I19-P19,"")</x:f>
        <x:v>-0.02111871750569129</x:v>
      </x:c>
      <x:c r="R19" s="22" t="n">
        <x:f>IF(ISNUMBER(Q19),ABS(Q19),"")</x:f>
        <x:v>0.02111871750569129</x:v>
      </x:c>
      <x:c r="S19" s="36" t="n">
        <x:f>IF(AND(ISNUMBER(Q19),ISNUMBER(P19)),IF(ABS(P19)&lt;1E-12,"",Q19/P19),"")</x:f>
        <x:v>-0.1978490872342902</x:v>
      </x:c>
      <x:c r="T19" s="36" t="n">
        <x:f>IF(ISNUMBER(S19),ABS(S19),"")</x:f>
        <x:v>0.1978490872342902</x:v>
      </x:c>
      <x:c r="U19" s="37" t="n">
        <x:f>IF(ISNUMBER(Q19),Q19^2,"")</x:f>
        <x:v>0.00044600022908519173</x:v>
      </x:c>
      <x:c r="V19" s="21" t="str">
        <x:f>IF(NOT(AND(ISNUMBER(D19),ISNUMBER(E19),ISNUMBER(G19),ISNUMBER(H19))),"缺少配对",IF(OR(F19&lt;J19,F19&gt;K19),"超出理论J范围","有效"))</x:f>
        <x:v>有效</x:v>
      </x:c>
      <x:c r="W19" s="20" t="str">
        <x:v>升力 y=0.915708x+28.7687 → C_T_prop；实验攻角 0° ↔ 理论 alpha_p_deg 90°；原升力源 3000rpm!C16/M16</x:v>
      </x:c>
      <x:c r="X19" s="20" t="str">
        <x:v>升力标定计算!M37</x:v>
      </x:c>
      <x:c r="Y19" s="20" t="str">
        <x:v>升力标定计算!M38</x:v>
      </x:c>
      <x:c r="Z19" s="20" t="str">
        <x:v>升力标定计算!N37</x:v>
      </x:c>
      <x:c r="AA19" s="20" t="str">
        <x:v>升力标定计算!N38</x:v>
      </x:c>
      <x:c r="AB19" s="20" t="str">
        <x:v>3000rpm!AU76:AT77</x:v>
      </x:c>
    </x:row>
    <x:row r="20">
      <x:c r="A20" s="21" t="n">
        <x:v>3000</x:v>
      </x:c>
      <x:c r="B20" s="21" t="n">
        <x:v>0</x:v>
      </x:c>
      <x:c r="C20" s="21" t="n">
        <x:v>15</x:v>
      </x:c>
      <x:c r="D20" s="22" t="n">
        <x:f>IFERROR('升力标定计算'!M39,"")</x:f>
        <x:v>0.29624983095668844</x:v>
      </x:c>
      <x:c r="E20" s="22" t="n">
        <x:f>IFERROR('升力标定计算'!M40,"")</x:f>
        <x:v>0.2985322772149466</x:v>
      </x:c>
      <x:c r="F20" s="22" t="n">
        <x:f>IF(AND(ISNUMBER(D20),ISNUMBER(E20)),AVERAGE(D20,E20),"")</x:f>
        <x:v>0.2973910540858175</x:v>
      </x:c>
      <x:c r="G20" s="22" t="n">
        <x:f>IFERROR('升力标定计算'!N39,"")</x:f>
        <x:v>0.08173403034850973</x:v>
      </x:c>
      <x:c r="H20" s="22" t="n">
        <x:f>IFERROR('升力标定计算'!N40,"")</x:f>
        <x:v>0.08184469386059982</x:v>
      </x:c>
      <x:c r="I20" s="22" t="n">
        <x:f>IF(AND(ISNUMBER(G20),ISNUMBER(H20)),AVERAGE(G20,H20),"")</x:f>
        <x:v>0.08178936210455479</x:v>
      </x:c>
      <x:c r="J20" s="22" t="n">
        <x:f>IFERROR('3000rpm'!AU69,"")</x:f>
        <x:v>0</x:v>
      </x:c>
      <x:c r="K20" s="22" t="n">
        <x:f>IFERROR('3000rpm'!AU79,"")</x:f>
        <x:v>0.4448818897637795</x:v>
      </x:c>
      <x:c r="L20" s="22" t="n">
        <x:f>IFERROR('3000rpm'!AU75,"")</x:f>
        <x:v>0.26692913385826766</x:v>
      </x:c>
      <x:c r="M20" s="22" t="n">
        <x:f>IFERROR('3000rpm'!AT75,"")</x:f>
        <x:v>0.09990377376129421</x:v>
      </x:c>
      <x:c r="N20" s="22" t="n">
        <x:f>IFERROR('3000rpm'!AU76,"")</x:f>
        <x:v>0.3114173228346457</x:v>
      </x:c>
      <x:c r="O20" s="22" t="n">
        <x:f>IFERROR('3000rpm'!AT76,"")</x:f>
        <x:v>0.10399550996973418</x:v>
      </x:c>
      <x:c r="P20" s="22" t="n">
        <x:f>IF(OR(NOT(AND(ISNUMBER(D20),ISNUMBER(E20),ISNUMBER(G20),ISNUMBER(H20))),OR(F20&lt;J20,F20&gt;K20)),"",IF(N20=L20,M20,M20+(F20-L20)*(O20-M20)/(N20-L20)))</x:f>
        <x:v>0.10270546438618922</x:v>
      </x:c>
      <x:c r="Q20" s="22" t="n">
        <x:f>IF(AND(ISNUMBER(I20),ISNUMBER(P20)),I20-P20,"")</x:f>
        <x:v>-0.02091610228163443</x:v>
      </x:c>
      <x:c r="R20" s="22" t="n">
        <x:f>IF(ISNUMBER(Q20),ABS(Q20),"")</x:f>
        <x:v>0.02091610228163443</x:v>
      </x:c>
      <x:c r="S20" s="36" t="n">
        <x:f>IF(AND(ISNUMBER(Q20),ISNUMBER(P20)),IF(ABS(P20)&lt;1E-12,"",Q20/P20),"")</x:f>
        <x:v>-0.20365130917461693</x:v>
      </x:c>
      <x:c r="T20" s="36" t="n">
        <x:f>IF(ISNUMBER(S20),ABS(S20),"")</x:f>
        <x:v>0.20365130917461693</x:v>
      </x:c>
      <x:c r="U20" s="37" t="n">
        <x:f>IF(ISNUMBER(Q20),Q20^2,"")</x:f>
        <x:v>0.000437483334655793</x:v>
      </x:c>
      <x:c r="V20" s="21" t="str">
        <x:f>IF(NOT(AND(ISNUMBER(D20),ISNUMBER(E20),ISNUMBER(G20),ISNUMBER(H20))),"缺少配对",IF(OR(F20&lt;J20,F20&gt;K20),"超出理论J范围","有效"))</x:f>
        <x:v>有效</x:v>
      </x:c>
      <x:c r="W20" s="20" t="str">
        <x:v>升力 y=0.915708x+28.7687 → C_T_prop；实验攻角 0° ↔ 理论 alpha_p_deg 90°；原升力源 3000rpm!C17/M17</x:v>
      </x:c>
      <x:c r="X20" s="20" t="str">
        <x:v>升力标定计算!M39</x:v>
      </x:c>
      <x:c r="Y20" s="20" t="str">
        <x:v>升力标定计算!M40</x:v>
      </x:c>
      <x:c r="Z20" s="20" t="str">
        <x:v>升力标定计算!N39</x:v>
      </x:c>
      <x:c r="AA20" s="20" t="str">
        <x:v>升力标定计算!N40</x:v>
      </x:c>
      <x:c r="AB20" s="20" t="str">
        <x:v>3000rpm!AU75:AT76</x:v>
      </x:c>
    </x:row>
    <x:row r="21">
      <x:c r="A21" s="21" t="n">
        <x:v>3000</x:v>
      </x:c>
      <x:c r="B21" s="21" t="n">
        <x:v>0</x:v>
      </x:c>
      <x:c r="C21" s="21" t="n">
        <x:v>16</x:v>
      </x:c>
      <x:c r="D21" s="22" t="n">
        <x:f>IFERROR('升力标定计算'!M41,"")</x:f>
        <x:v>0.25550779438860494</x:v>
      </x:c>
      <x:c r="E21" s="22" t="n">
        <x:f>IFERROR('升力标定计算'!M42,"")</x:f>
        <x:v>0.2567531888845476</x:v>
      </x:c>
      <x:c r="F21" s="22" t="n">
        <x:f>IF(AND(ISNUMBER(D21),ISNUMBER(E21)),AVERAGE(D21,E21),"")</x:f>
        <x:v>0.2561304916365763</x:v>
      </x:c>
      <x:c r="G21" s="22" t="n">
        <x:f>IFERROR('升力标定计算'!N41,"")</x:f>
        <x:v>0.0798156335072722</x:v>
      </x:c>
      <x:c r="H21" s="22" t="n">
        <x:f>IFERROR('升力标定计算'!N42,"")</x:f>
        <x:v>0.07965055218574316</x:v>
      </x:c>
      <x:c r="I21" s="22" t="n">
        <x:f>IF(AND(ISNUMBER(G21),ISNUMBER(H21)),AVERAGE(G21,H21),"")</x:f>
        <x:v>0.07973309284650767</x:v>
      </x:c>
      <x:c r="J21" s="22" t="n">
        <x:f>IFERROR('3000rpm'!AU69,"")</x:f>
        <x:v>0</x:v>
      </x:c>
      <x:c r="K21" s="22" t="n">
        <x:f>IFERROR('3000rpm'!AU79,"")</x:f>
        <x:v>0.4448818897637795</x:v>
      </x:c>
      <x:c r="L21" s="22" t="n">
        <x:f>IFERROR('3000rpm'!AU74,"")</x:f>
        <x:v>0.22244094488188976</x:v>
      </x:c>
      <x:c r="M21" s="22" t="n">
        <x:f>IFERROR('3000rpm'!AT74,"")</x:f>
        <x:v>0.09592262524634963</x:v>
      </x:c>
      <x:c r="N21" s="22" t="n">
        <x:f>IFERROR('3000rpm'!AU75,"")</x:f>
        <x:v>0.26692913385826766</x:v>
      </x:c>
      <x:c r="O21" s="22" t="n">
        <x:f>IFERROR('3000rpm'!AT75,"")</x:f>
        <x:v>0.09990377376129421</x:v>
      </x:c>
      <x:c r="P21" s="22" t="n">
        <x:f>IF(OR(NOT(AND(ISNUMBER(D21),ISNUMBER(E21),ISNUMBER(G21),ISNUMBER(H21))),OR(F21&lt;J21,F21&gt;K21)),"",IF(N21=L21,M21,M21+(F21-L21)*(O21-M21)/(N21-L21)))</x:f>
        <x:v>0.09893742742458153</x:v>
      </x:c>
      <x:c r="Q21" s="22" t="n">
        <x:f>IF(AND(ISNUMBER(I21),ISNUMBER(P21)),I21-P21,"")</x:f>
        <x:v>-0.019204334578073856</x:v>
      </x:c>
      <x:c r="R21" s="22" t="n">
        <x:f>IF(ISNUMBER(Q21),ABS(Q21),"")</x:f>
        <x:v>0.019204334578073856</x:v>
      </x:c>
      <x:c r="S21" s="36" t="n">
        <x:f>IF(AND(ISNUMBER(Q21),ISNUMBER(P21)),IF(ABS(P21)&lt;1E-12,"",Q21/P21),"")</x:f>
        <x:v>-0.19410586143159042</x:v>
      </x:c>
      <x:c r="T21" s="36" t="n">
        <x:f>IF(ISNUMBER(S21),ABS(S21),"")</x:f>
        <x:v>0.19410586143159042</x:v>
      </x:c>
      <x:c r="U21" s="37" t="n">
        <x:f>IF(ISNUMBER(Q21),Q21^2,"")</x:f>
        <x:v>0.0003688064665866031</x:v>
      </x:c>
      <x:c r="V21" s="21" t="str">
        <x:f>IF(NOT(AND(ISNUMBER(D21),ISNUMBER(E21),ISNUMBER(G21),ISNUMBER(H21))),"缺少配对",IF(OR(F21&lt;J21,F21&gt;K21),"超出理论J范围","有效"))</x:f>
        <x:v>有效</x:v>
      </x:c>
      <x:c r="W21" s="20" t="str">
        <x:v>升力 y=0.915708x+28.7687 → C_T_prop；实验攻角 0° ↔ 理论 alpha_p_deg 90°；原升力源 3000rpm!C18/M18</x:v>
      </x:c>
      <x:c r="X21" s="20" t="str">
        <x:v>升力标定计算!M41</x:v>
      </x:c>
      <x:c r="Y21" s="20" t="str">
        <x:v>升力标定计算!M42</x:v>
      </x:c>
      <x:c r="Z21" s="20" t="str">
        <x:v>升力标定计算!N41</x:v>
      </x:c>
      <x:c r="AA21" s="20" t="str">
        <x:v>升力标定计算!N42</x:v>
      </x:c>
      <x:c r="AB21" s="20" t="str">
        <x:v>3000rpm!AU74:AT75</x:v>
      </x:c>
    </x:row>
    <x:row r="22">
      <x:c r="A22" s="21" t="n">
        <x:v>3000</x:v>
      </x:c>
      <x:c r="B22" s="21" t="n">
        <x:v>0</x:v>
      </x:c>
      <x:c r="C22" s="21" t="n">
        <x:v>17</x:v>
      </x:c>
      <x:c r="D22" s="22" t="n">
        <x:f>IFERROR('升力标定计算'!M43,"")</x:f>
        <x:v>0.21165059667603173</x:v>
      </x:c>
      <x:c r="E22" s="22" t="n">
        <x:f>IFERROR('升力标定计算'!M44,"")</x:f>
        <x:v>0.21419802139450478</x:v>
      </x:c>
      <x:c r="F22" s="22" t="n">
        <x:f>IF(AND(ISNUMBER(D22),ISNUMBER(E22)),AVERAGE(D22,E22),"")</x:f>
        <x:v>0.21292430903526827</x:v>
      </x:c>
      <x:c r="G22" s="22" t="n">
        <x:f>IFERROR('升力标定计算'!N43,"")</x:f>
        <x:v>0.07792156897760903</x:v>
      </x:c>
      <x:c r="H22" s="22" t="n">
        <x:f>IFERROR('升力标定计算'!N44,"")</x:f>
        <x:v>0.07780651719304156</x:v>
      </x:c>
      <x:c r="I22" s="22" t="n">
        <x:f>IF(AND(ISNUMBER(G22),ISNUMBER(H22)),AVERAGE(G22,H22),"")</x:f>
        <x:v>0.0778640430853253</x:v>
      </x:c>
      <x:c r="J22" s="22" t="n">
        <x:f>IFERROR('3000rpm'!AU69,"")</x:f>
        <x:v>0</x:v>
      </x:c>
      <x:c r="K22" s="22" t="n">
        <x:f>IFERROR('3000rpm'!AU79,"")</x:f>
        <x:v>0.4448818897637795</x:v>
      </x:c>
      <x:c r="L22" s="22" t="n">
        <x:f>IFERROR('3000rpm'!AU73,"")</x:f>
        <x:v>0.17795275590551185</x:v>
      </x:c>
      <x:c r="M22" s="22" t="n">
        <x:f>IFERROR('3000rpm'!AT73,"")</x:f>
        <x:v>0.092191123883828</x:v>
      </x:c>
      <x:c r="N22" s="22" t="n">
        <x:f>IFERROR('3000rpm'!AU74,"")</x:f>
        <x:v>0.22244094488188976</x:v>
      </x:c>
      <x:c r="O22" s="22" t="n">
        <x:f>IFERROR('3000rpm'!AT74,"")</x:f>
        <x:v>0.09592262524634963</x:v>
      </x:c>
      <x:c r="P22" s="22" t="n">
        <x:f>IF(OR(NOT(AND(ISNUMBER(D22),ISNUMBER(E22),ISNUMBER(G22),ISNUMBER(H22))),OR(F22&lt;J22,F22&gt;K22)),"",IF(N22=L22,M22,M22+(F22-L22)*(O22-M22)/(N22-L22)))</x:f>
        <x:v>0.09512440575381992</x:v>
      </x:c>
      <x:c r="Q22" s="22" t="n">
        <x:f>IF(AND(ISNUMBER(I22),ISNUMBER(P22)),I22-P22,"")</x:f>
        <x:v>-0.017260362668494622</x:v>
      </x:c>
      <x:c r="R22" s="22" t="n">
        <x:f>IF(ISNUMBER(Q22),ABS(Q22),"")</x:f>
        <x:v>0.017260362668494622</x:v>
      </x:c>
      <x:c r="S22" s="36" t="n">
        <x:f>IF(AND(ISNUMBER(Q22),ISNUMBER(P22)),IF(ABS(P22)&lt;1E-12,"",Q22/P22),"")</x:f>
        <x:v>-0.18145041255936042</x:v>
      </x:c>
      <x:c r="T22" s="36" t="n">
        <x:f>IF(ISNUMBER(S22),ABS(S22),"")</x:f>
        <x:v>0.18145041255936042</x:v>
      </x:c>
      <x:c r="U22" s="37" t="n">
        <x:f>IF(ISNUMBER(Q22),Q22^2,"")</x:f>
        <x:v>0.00029792011944796277</x:v>
      </x:c>
      <x:c r="V22" s="21" t="str">
        <x:f>IF(NOT(AND(ISNUMBER(D22),ISNUMBER(E22),ISNUMBER(G22),ISNUMBER(H22))),"缺少配对",IF(OR(F22&lt;J22,F22&gt;K22),"超出理论J范围","有效"))</x:f>
        <x:v>有效</x:v>
      </x:c>
      <x:c r="W22" s="20" t="str">
        <x:v>升力 y=0.915708x+28.7687 → C_T_prop；实验攻角 0° ↔ 理论 alpha_p_deg 90°；原升力源 3000rpm!C19/M19</x:v>
      </x:c>
      <x:c r="X22" s="20" t="str">
        <x:v>升力标定计算!M43</x:v>
      </x:c>
      <x:c r="Y22" s="20" t="str">
        <x:v>升力标定计算!M44</x:v>
      </x:c>
      <x:c r="Z22" s="20" t="str">
        <x:v>升力标定计算!N43</x:v>
      </x:c>
      <x:c r="AA22" s="20" t="str">
        <x:v>升力标定计算!N44</x:v>
      </x:c>
      <x:c r="AB22" s="20" t="str">
        <x:v>3000rpm!AU73:AT74</x:v>
      </x:c>
    </x:row>
    <x:row r="23">
      <x:c r="A23" s="21" t="n">
        <x:v>3000</x:v>
      </x:c>
      <x:c r="B23" s="21" t="n">
        <x:v>0</x:v>
      </x:c>
      <x:c r="C23" s="21" t="n">
        <x:v>18</x:v>
      </x:c>
      <x:c r="D23" s="22" t="n">
        <x:f>IFERROR('升力标定计算'!M45,"")</x:f>
        <x:v>0.17107380171995845</x:v>
      </x:c>
      <x:c r="E23" s="22" t="n">
        <x:f>IFERROR('升力标定计算'!M46,"")</x:f>
        <x:v>0.17664156410835202</x:v>
      </x:c>
      <x:c r="F23" s="22" t="n">
        <x:f>IF(AND(ISNUMBER(D23),ISNUMBER(E23)),AVERAGE(D23,E23),"")</x:f>
        <x:v>0.17385768291415524</x:v>
      </x:c>
      <x:c r="G23" s="22" t="n">
        <x:f>IFERROR('升力标定计算'!N45,"")</x:f>
        <x:v>0.07667367850920222</x:v>
      </x:c>
      <x:c r="H23" s="22" t="n">
        <x:f>IFERROR('升力标定计算'!N46,"")</x:f>
        <x:v>0.07760674356093274</x:v>
      </x:c>
      <x:c r="I23" s="22" t="n">
        <x:f>IF(AND(ISNUMBER(G23),ISNUMBER(H23)),AVERAGE(G23,H23),"")</x:f>
        <x:v>0.07714021103506748</x:v>
      </x:c>
      <x:c r="J23" s="22" t="n">
        <x:f>IFERROR('3000rpm'!AU69,"")</x:f>
        <x:v>0</x:v>
      </x:c>
      <x:c r="K23" s="22" t="n">
        <x:f>IFERROR('3000rpm'!AU79,"")</x:f>
        <x:v>0.4448818897637795</x:v>
      </x:c>
      <x:c r="L23" s="22" t="n">
        <x:f>IFERROR('3000rpm'!AU72,"")</x:f>
        <x:v>0.13346456692913383</x:v>
      </x:c>
      <x:c r="M23" s="22" t="n">
        <x:f>IFERROR('3000rpm'!AT72,"")</x:f>
        <x:v>0.088956842668664</x:v>
      </x:c>
      <x:c r="N23" s="22" t="n">
        <x:f>IFERROR('3000rpm'!AU73,"")</x:f>
        <x:v>0.17795275590551185</x:v>
      </x:c>
      <x:c r="O23" s="22" t="n">
        <x:f>IFERROR('3000rpm'!AT73,"")</x:f>
        <x:v>0.092191123883828</x:v>
      </x:c>
      <x:c r="P23" s="22" t="n">
        <x:f>IF(OR(NOT(AND(ISNUMBER(D23),ISNUMBER(E23),ISNUMBER(G23),ISNUMBER(H23))),OR(F23&lt;J23,F23&gt;K23)),"",IF(N23=L23,M23,M23+(F23-L23)*(O23-M23)/(N23-L23)))</x:f>
        <x:v>0.09189341300920231</x:v>
      </x:c>
      <x:c r="Q23" s="22" t="n">
        <x:f>IF(AND(ISNUMBER(I23),ISNUMBER(P23)),I23-P23,"")</x:f>
        <x:v>-0.014753201974134836</x:v>
      </x:c>
      <x:c r="R23" s="22" t="n">
        <x:f>IF(ISNUMBER(Q23),ABS(Q23),"")</x:f>
        <x:v>0.014753201974134836</x:v>
      </x:c>
      <x:c r="S23" s="36" t="n">
        <x:f>IF(AND(ISNUMBER(Q23),ISNUMBER(P23)),IF(ABS(P23)&lt;1E-12,"",Q23/P23),"")</x:f>
        <x:v>-0.16054689330841845</x:v>
      </x:c>
      <x:c r="T23" s="36" t="n">
        <x:f>IF(ISNUMBER(S23),ABS(S23),"")</x:f>
        <x:v>0.16054689330841845</x:v>
      </x:c>
      <x:c r="U23" s="37" t="n">
        <x:f>IF(ISNUMBER(Q23),Q23^2,"")</x:f>
        <x:v>0.00021765696848961602</x:v>
      </x:c>
      <x:c r="V23" s="21" t="str">
        <x:f>IF(NOT(AND(ISNUMBER(D23),ISNUMBER(E23),ISNUMBER(G23),ISNUMBER(H23))),"缺少配对",IF(OR(F23&lt;J23,F23&gt;K23),"超出理论J范围","有效"))</x:f>
        <x:v>有效</x:v>
      </x:c>
      <x:c r="W23" s="20" t="str">
        <x:v>升力 y=0.915708x+28.7687 → C_T_prop；实验攻角 0° ↔ 理论 alpha_p_deg 90°；原升力源 3000rpm!C20/M20</x:v>
      </x:c>
      <x:c r="X23" s="20" t="str">
        <x:v>升力标定计算!M45</x:v>
      </x:c>
      <x:c r="Y23" s="20" t="str">
        <x:v>升力标定计算!M46</x:v>
      </x:c>
      <x:c r="Z23" s="20" t="str">
        <x:v>升力标定计算!N45</x:v>
      </x:c>
      <x:c r="AA23" s="20" t="str">
        <x:v>升力标定计算!N46</x:v>
      </x:c>
      <x:c r="AB23" s="20" t="str">
        <x:v>3000rpm!AU72:AT73</x:v>
      </x:c>
    </x:row>
    <x:row r="24">
      <x:c r="A24" s="21" t="n">
        <x:v>3000</x:v>
      </x:c>
      <x:c r="B24" s="21" t="n">
        <x:v>0</x:v>
      </x:c>
      <x:c r="C24" s="21" t="n">
        <x:v>19</x:v>
      </x:c>
      <x:c r="D24" s="22" t="n">
        <x:f>IFERROR('升力标定计算'!M47,"")</x:f>
        <x:v>0.12869957458469306</x:v>
      </x:c>
      <x:c r="E24" s="22" t="n">
        <x:f>IFERROR('升力标定计算'!M48,"")</x:f>
        <x:v>0.13074128284462602</x:v>
      </x:c>
      <x:c r="F24" s="22" t="n">
        <x:f>IF(AND(ISNUMBER(D24),ISNUMBER(E24)),AVERAGE(D24,E24),"")</x:f>
        <x:v>0.12972042871465955</x:v>
      </x:c>
      <x:c r="G24" s="22" t="n">
        <x:f>IFERROR('升力标定计算'!N47,"")</x:f>
        <x:v>0.07598548243814177</x:v>
      </x:c>
      <x:c r="H24" s="22" t="n">
        <x:f>IFERROR('升力标定计算'!N48,"")</x:f>
        <x:v>0.07674118361466772</x:v>
      </x:c>
      <x:c r="I24" s="22" t="n">
        <x:f>IF(AND(ISNUMBER(G24),ISNUMBER(H24)),AVERAGE(G24,H24),"")</x:f>
        <x:v>0.07636333302640474</x:v>
      </x:c>
      <x:c r="J24" s="22" t="n">
        <x:f>IFERROR('3000rpm'!AU69,"")</x:f>
        <x:v>0</x:v>
      </x:c>
      <x:c r="K24" s="22" t="n">
        <x:f>IFERROR('3000rpm'!AU79,"")</x:f>
        <x:v>0.4448818897637795</x:v>
      </x:c>
      <x:c r="L24" s="22" t="n">
        <x:f>IFERROR('3000rpm'!AU71,"")</x:f>
        <x:v>0.08897637795275593</x:v>
      </x:c>
      <x:c r="M24" s="22" t="n">
        <x:f>IFERROR('3000rpm'!AT71,"")</x:f>
        <x:v>0.086413143039226</x:v>
      </x:c>
      <x:c r="N24" s="22" t="n">
        <x:f>IFERROR('3000rpm'!AU72,"")</x:f>
        <x:v>0.13346456692913383</x:v>
      </x:c>
      <x:c r="O24" s="22" t="n">
        <x:f>IFERROR('3000rpm'!AT72,"")</x:f>
        <x:v>0.088956842668664</x:v>
      </x:c>
      <x:c r="P24" s="22" t="n">
        <x:f>IF(OR(NOT(AND(ISNUMBER(D24),ISNUMBER(E24),ISNUMBER(G24),ISNUMBER(H24))),OR(F24&lt;J24,F24&gt;K24)),"",IF(N24=L24,M24,M24+(F24-L24)*(O24-M24)/(N24-L24)))</x:f>
        <x:v>0.0887427642085635</x:v>
      </x:c>
      <x:c r="Q24" s="22" t="n">
        <x:f>IF(AND(ISNUMBER(I24),ISNUMBER(P24)),I24-P24,"")</x:f>
        <x:v>-0.012379431182158757</x:v>
      </x:c>
      <x:c r="R24" s="22" t="n">
        <x:f>IF(ISNUMBER(Q24),ABS(Q24),"")</x:f>
        <x:v>0.012379431182158757</x:v>
      </x:c>
      <x:c r="S24" s="36" t="n">
        <x:f>IF(AND(ISNUMBER(Q24),ISNUMBER(P24)),IF(ABS(P24)&lt;1E-12,"",Q24/P24),"")</x:f>
        <x:v>-0.1394979218031183</x:v>
      </x:c>
      <x:c r="T24" s="36" t="n">
        <x:f>IF(ISNUMBER(S24),ABS(S24),"")</x:f>
        <x:v>0.1394979218031183</x:v>
      </x:c>
      <x:c r="U24" s="37" t="n">
        <x:f>IF(ISNUMBER(Q24),Q24^2,"")</x:f>
        <x:v>0.00015325031639380456</x:v>
      </x:c>
      <x:c r="V24" s="21" t="str">
        <x:f>IF(NOT(AND(ISNUMBER(D24),ISNUMBER(E24),ISNUMBER(G24),ISNUMBER(H24))),"缺少配对",IF(OR(F24&lt;J24,F24&gt;K24),"超出理论J范围","有效"))</x:f>
        <x:v>有效</x:v>
      </x:c>
      <x:c r="W24" s="20" t="str">
        <x:v>升力 y=0.915708x+28.7687 → C_T_prop；实验攻角 0° ↔ 理论 alpha_p_deg 90°；原升力源 3000rpm!C21/M21</x:v>
      </x:c>
      <x:c r="X24" s="20" t="str">
        <x:v>升力标定计算!M47</x:v>
      </x:c>
      <x:c r="Y24" s="20" t="str">
        <x:v>升力标定计算!M48</x:v>
      </x:c>
      <x:c r="Z24" s="20" t="str">
        <x:v>升力标定计算!N47</x:v>
      </x:c>
      <x:c r="AA24" s="20" t="str">
        <x:v>升力标定计算!N48</x:v>
      </x:c>
      <x:c r="AB24" s="20" t="str">
        <x:v>3000rpm!AU71:AT72</x:v>
      </x:c>
    </x:row>
    <x:row r="25">
      <x:c r="A25" s="21" t="n">
        <x:v>3000</x:v>
      </x:c>
      <x:c r="B25" s="21" t="n">
        <x:v>0</x:v>
      </x:c>
      <x:c r="C25" s="21" t="n">
        <x:v>20</x:v>
      </x:c>
      <x:c r="D25" s="22" t="n">
        <x:f>IFERROR('升力标定计算'!M49,"")</x:f>
        <x:v>0.08643590298008114</x:v>
      </x:c>
      <x:c r="E25" s="22" t="n">
        <x:f>IFERROR('升力标定计算'!M50,"")</x:f>
        <x:v>0.0869632928490879</x:v>
      </x:c>
      <x:c r="F25" s="22" t="n">
        <x:f>IF(AND(ISNUMBER(D25),ISNUMBER(E25)),AVERAGE(D25,E25),"")</x:f>
        <x:v>0.08669959791458451</x:v>
      </x:c>
      <x:c r="G25" s="22" t="n">
        <x:f>IFERROR('升力标定计算'!N49,"")</x:f>
        <x:v>0.07583737766515432</x:v>
      </x:c>
      <x:c r="H25" s="22" t="n">
        <x:f>IFERROR('升力标定计算'!N50,"")</x:f>
        <x:v>0.07667672739869134</x:v>
      </x:c>
      <x:c r="I25" s="22" t="n">
        <x:f>IF(AND(ISNUMBER(G25),ISNUMBER(H25)),AVERAGE(G25,H25),"")</x:f>
        <x:v>0.07625705253192283</x:v>
      </x:c>
      <x:c r="J25" s="22" t="n">
        <x:f>IFERROR('3000rpm'!AU69,"")</x:f>
        <x:v>0</x:v>
      </x:c>
      <x:c r="K25" s="22" t="n">
        <x:f>IFERROR('3000rpm'!AU79,"")</x:f>
        <x:v>0.4448818897637795</x:v>
      </x:c>
      <x:c r="L25" s="22" t="n">
        <x:f>IFERROR('3000rpm'!AU70,"")</x:f>
        <x:v>0.04448818897637796</x:v>
      </x:c>
      <x:c r="M25" s="22" t="n">
        <x:f>IFERROR('3000rpm'!AT70,"")</x:f>
        <x:v>0.08474349897933375</x:v>
      </x:c>
      <x:c r="N25" s="22" t="n">
        <x:f>IFERROR('3000rpm'!AU71,"")</x:f>
        <x:v>0.08897637795275593</x:v>
      </x:c>
      <x:c r="O25" s="22" t="n">
        <x:f>IFERROR('3000rpm'!AT71,"")</x:f>
        <x:v>0.086413143039226</x:v>
      </x:c>
      <x:c r="P25" s="22" t="n">
        <x:f>IF(OR(NOT(AND(ISNUMBER(D25),ISNUMBER(E25),ISNUMBER(G25),ISNUMBER(H25))),OR(F25&lt;J25,F25&gt;K25)),"",IF(N25=L25,M25,M25+(F25-L25)*(O25-M25)/(N25-L25)))</x:f>
        <x:v>0.08632769536527297</x:v>
      </x:c>
      <x:c r="Q25" s="22" t="n">
        <x:f>IF(AND(ISNUMBER(I25),ISNUMBER(P25)),I25-P25,"")</x:f>
        <x:v>-0.010070642833350144</x:v>
      </x:c>
      <x:c r="R25" s="22" t="n">
        <x:f>IF(ISNUMBER(Q25),ABS(Q25),"")</x:f>
        <x:v>0.010070642833350144</x:v>
      </x:c>
      <x:c r="S25" s="36" t="n">
        <x:f>IF(AND(ISNUMBER(Q25),ISNUMBER(P25)),IF(ABS(P25)&lt;1E-12,"",Q25/P25),"")</x:f>
        <x:v>-0.11665599076563857</x:v>
      </x:c>
      <x:c r="T25" s="36" t="n">
        <x:f>IF(ISNUMBER(S25),ABS(S25),"")</x:f>
        <x:v>0.11665599076563857</x:v>
      </x:c>
      <x:c r="U25" s="37" t="n">
        <x:f>IF(ISNUMBER(Q25),Q25^2,"")</x:f>
        <x:v>0.0001014178470769066</x:v>
      </x:c>
      <x:c r="V25" s="21" t="str">
        <x:f>IF(NOT(AND(ISNUMBER(D25),ISNUMBER(E25),ISNUMBER(G25),ISNUMBER(H25))),"缺少配对",IF(OR(F25&lt;J25,F25&gt;K25),"超出理论J范围","有效"))</x:f>
        <x:v>有效</x:v>
      </x:c>
      <x:c r="W25" s="20" t="str">
        <x:v>升力 y=0.915708x+28.7687 → C_T_prop；实验攻角 0° ↔ 理论 alpha_p_deg 90°；原升力源 3000rpm!C22/M22</x:v>
      </x:c>
      <x:c r="X25" s="20" t="str">
        <x:v>升力标定计算!M49</x:v>
      </x:c>
      <x:c r="Y25" s="20" t="str">
        <x:v>升力标定计算!M50</x:v>
      </x:c>
      <x:c r="Z25" s="20" t="str">
        <x:v>升力标定计算!N49</x:v>
      </x:c>
      <x:c r="AA25" s="20" t="str">
        <x:v>升力标定计算!N50</x:v>
      </x:c>
      <x:c r="AB25" s="20" t="str">
        <x:v>3000rpm!AU70:AT71</x:v>
      </x:c>
    </x:row>
    <x:row r="26">
      <x:c r="A26" s="21" t="n">
        <x:v>3000</x:v>
      </x:c>
      <x:c r="B26" s="21" t="n">
        <x:v>0</x:v>
      </x:c>
      <x:c r="C26" s="21" t="n">
        <x:v>21</x:v>
      </x:c>
      <x:c r="D26" s="22" t="n">
        <x:f>IFERROR('升力标定计算'!M51,"")</x:f>
        <x:v>0.043232291194862334</x:v>
      </x:c>
      <x:c r="E26" s="22" t="n">
        <x:f>IFERROR('升力标定计算'!M52,"")</x:f>
        <x:v>0.04341549885605375</x:v>
      </x:c>
      <x:c r="F26" s="22" t="n">
        <x:f>IF(AND(ISNUMBER(D26),ISNUMBER(E26)),AVERAGE(D26,E26),"")</x:f>
        <x:v>0.04332389502545804</x:v>
      </x:c>
      <x:c r="G26" s="22" t="n">
        <x:f>IFERROR('升力标定计算'!N51,"")</x:f>
        <x:v>0.07608742429190589</x:v>
      </x:c>
      <x:c r="H26" s="22" t="n">
        <x:f>IFERROR('升力标定计算'!N52,"")</x:f>
        <x:v>0.0765274915613041</x:v>
      </x:c>
      <x:c r="I26" s="22" t="n">
        <x:f>IF(AND(ISNUMBER(G26),ISNUMBER(H26)),AVERAGE(G26,H26),"")</x:f>
        <x:v>0.076307457926605</x:v>
      </x:c>
      <x:c r="J26" s="22" t="n">
        <x:f>IFERROR('3000rpm'!AU69,"")</x:f>
        <x:v>0</x:v>
      </x:c>
      <x:c r="K26" s="22" t="n">
        <x:f>IFERROR('3000rpm'!AU79,"")</x:f>
        <x:v>0.4448818897637795</x:v>
      </x:c>
      <x:c r="L26" s="22" t="n">
        <x:f>IFERROR('3000rpm'!AU69,"")</x:f>
        <x:v>0</x:v>
      </x:c>
      <x:c r="M26" s="22" t="n">
        <x:f>IFERROR('3000rpm'!AT69,"")</x:f>
        <x:v>0.0846729215675782</x:v>
      </x:c>
      <x:c r="N26" s="22" t="n">
        <x:f>IFERROR('3000rpm'!AU70,"")</x:f>
        <x:v>0.04448818897637796</x:v>
      </x:c>
      <x:c r="O26" s="22" t="n">
        <x:f>IFERROR('3000rpm'!AT70,"")</x:f>
        <x:v>0.08474349897933375</x:v>
      </x:c>
      <x:c r="P26" s="22" t="n">
        <x:f>IF(OR(NOT(AND(ISNUMBER(D26),ISNUMBER(E26),ISNUMBER(G26),ISNUMBER(H26))),OR(F26&lt;J26,F26&gt;K26)),"",IF(N26=L26,M26,M26+(F26-L26)*(O26-M26)/(N26-L26)))</x:f>
        <x:v>0.08474165190811173</x:v>
      </x:c>
      <x:c r="Q26" s="22" t="n">
        <x:f>IF(AND(ISNUMBER(I26),ISNUMBER(P26)),I26-P26,"")</x:f>
        <x:v>-0.00843419398150673</x:v>
      </x:c>
      <x:c r="R26" s="22" t="n">
        <x:f>IF(ISNUMBER(Q26),ABS(Q26),"")</x:f>
        <x:v>0.00843419398150673</x:v>
      </x:c>
      <x:c r="S26" s="36" t="n">
        <x:f>IF(AND(ISNUMBER(Q26),ISNUMBER(P26)),IF(ABS(P26)&lt;1E-12,"",Q26/P26),"")</x:f>
        <x:v>-0.0995283168500446</x:v>
      </x:c>
      <x:c r="T26" s="36" t="n">
        <x:f>IF(ISNUMBER(S26),ABS(S26),"")</x:f>
        <x:v>0.0995283168500446</x:v>
      </x:c>
      <x:c r="U26" s="37" t="n">
        <x:f>IF(ISNUMBER(Q26),Q26^2,"")</x:f>
        <x:v>0.00007113562811768435</x:v>
      </x:c>
      <x:c r="V26" s="21" t="str">
        <x:f>IF(NOT(AND(ISNUMBER(D26),ISNUMBER(E26),ISNUMBER(G26),ISNUMBER(H26))),"缺少配对",IF(OR(F26&lt;J26,F26&gt;K26),"超出理论J范围","有效"))</x:f>
        <x:v>有效</x:v>
      </x:c>
      <x:c r="W26" s="20" t="str">
        <x:v>升力 y=0.915708x+28.7687 → C_T_prop；实验攻角 0° ↔ 理论 alpha_p_deg 90°；原升力源 3000rpm!C23/M23</x:v>
      </x:c>
      <x:c r="X26" s="20" t="str">
        <x:v>升力标定计算!M51</x:v>
      </x:c>
      <x:c r="Y26" s="20" t="str">
        <x:v>升力标定计算!M52</x:v>
      </x:c>
      <x:c r="Z26" s="20" t="str">
        <x:v>升力标定计算!N51</x:v>
      </x:c>
      <x:c r="AA26" s="20" t="str">
        <x:v>升力标定计算!N52</x:v>
      </x:c>
      <x:c r="AB26" s="20" t="str">
        <x:v>3000rpm!AU69:AT70</x:v>
      </x:c>
    </x:row>
    <x:row r="27">
      <x:c r="A27" s="21" t="n">
        <x:v>3000</x:v>
      </x:c>
      <x:c r="B27" s="21" t="n">
        <x:v>0</x:v>
      </x:c>
      <x:c r="C27" s="21" t="n">
        <x:v>22</x:v>
      </x:c>
      <x:c r="D27" s="22" t="n">
        <x:f>IFERROR('升力标定计算'!M53,"")</x:f>
        <x:v>0.0005088216961571241</x:v>
      </x:c>
      <x:c r="E27" s="22" t="n">
        <x:f>IFERROR('升力标定计算'!M54,"")</x:f>
        <x:v>-0.0005457365774483669</x:v>
      </x:c>
      <x:c r="F27" s="22" t="n">
        <x:f>IF(AND(ISNUMBER(D27),ISNUMBER(E27)),AVERAGE(D27,E27),"")</x:f>
        <x:v>-0.00001845744064562138</x:v>
      </x:c>
      <x:c r="G27" s="22" t="n">
        <x:f>IFERROR('升力标定计算'!N53,"")</x:f>
        <x:v>0.07535526413070436</x:v>
      </x:c>
      <x:c r="H27" s="22" t="n">
        <x:f>IFERROR('升力标定计算'!N54,"")</x:f>
        <x:v>0.07613478939429848</x:v>
      </x:c>
      <x:c r="I27" s="22" t="n">
        <x:f>IF(AND(ISNUMBER(G27),ISNUMBER(H27)),AVERAGE(G27,H27),"")</x:f>
        <x:v>0.07574502676250142</x:v>
      </x:c>
      <x:c r="J27" s="22" t="n">
        <x:f>IFERROR('3000rpm'!AU69,"")</x:f>
        <x:v>0</x:v>
      </x:c>
      <x:c r="K27" s="22" t="n">
        <x:f>IFERROR('3000rpm'!AU79,"")</x:f>
        <x:v>0.4448818897637795</x:v>
      </x:c>
      <x:c r="L27" s="22" t="n">
        <x:f>IFERROR('3000rpm'!AU69,"")</x:f>
        <x:v>0</x:v>
      </x:c>
      <x:c r="M27" s="22" t="n">
        <x:f>IFERROR('3000rpm'!AT69,"")</x:f>
        <x:v>0.0846729215675782</x:v>
      </x:c>
      <x:c r="N27" s="22" t="n">
        <x:f>IFERROR('3000rpm'!AU79,"")</x:f>
        <x:v>0.4448818897637795</x:v>
      </x:c>
      <x:c r="O27" s="22" t="n">
        <x:f>IFERROR('3000rpm'!AT79,"")</x:f>
        <x:v>0.11599023844046746</x:v>
      </x:c>
      <x:c r="P27" s="22" t="str">
        <x:f>IF(OR(NOT(AND(ISNUMBER(D27),ISNUMBER(E27),ISNUMBER(G27),ISNUMBER(H27))),OR(F27&lt;J27,F27&gt;K27)),"",IF(N27=L27,M27,M27+(F27-L27)*(O27-M27)/(N27-L27)))</x:f>
      </x:c>
      <x:c r="Q27" s="22" t="str">
        <x:f>IF(AND(ISNUMBER(I27),ISNUMBER(P27)),I27-P27,"")</x:f>
      </x:c>
      <x:c r="R27" s="22" t="str">
        <x:f>IF(ISNUMBER(Q27),ABS(Q27),"")</x:f>
      </x:c>
      <x:c r="S27" s="36" t="str">
        <x:f>IF(AND(ISNUMBER(Q27),ISNUMBER(P27)),IF(ABS(P27)&lt;1E-12,"",Q27/P27),"")</x:f>
      </x:c>
      <x:c r="T27" s="36" t="str">
        <x:f>IF(ISNUMBER(S27),ABS(S27),"")</x:f>
      </x:c>
      <x:c r="U27" s="37" t="str">
        <x:f>IF(ISNUMBER(Q27),Q27^2,"")</x:f>
      </x:c>
      <x:c r="V27" s="21" t="str">
        <x:f>IF(NOT(AND(ISNUMBER(D27),ISNUMBER(E27),ISNUMBER(G27),ISNUMBER(H27))),"缺少配对",IF(OR(F27&lt;J27,F27&gt;K27),"超出理论J范围","有效"))</x:f>
        <x:v>超出理论J范围</x:v>
      </x:c>
      <x:c r="W27" s="20" t="str">
        <x:v>升力 y=0.915708x+28.7687 → C_T_prop；实验攻角 0° ↔ 理论 alpha_p_deg 90°；原升力源 3000rpm!C24/M24</x:v>
      </x:c>
      <x:c r="X27" s="20" t="str">
        <x:v>升力标定计算!M53</x:v>
      </x:c>
      <x:c r="Y27" s="20" t="str">
        <x:v>升力标定计算!M54</x:v>
      </x:c>
      <x:c r="Z27" s="20" t="str">
        <x:v>升力标定计算!N53</x:v>
      </x:c>
      <x:c r="AA27" s="20" t="str">
        <x:v>升力标定计算!N54</x:v>
      </x:c>
      <x:c r="AB27" s="20" t="str">
        <x:v>3000rpm!AU69:AT79</x:v>
      </x:c>
    </x:row>
    <x:row r="28">
      <x:c r="A28" s="21" t="n">
        <x:v>3000</x:v>
      </x:c>
      <x:c r="B28" s="21" t="n">
        <x:v>0</x:v>
      </x:c>
      <x:c r="C28" s="21" t="n">
        <x:v>23</x:v>
      </x:c>
      <x:c r="D28" s="22" t="str">
        <x:f>IFERROR('升力标定计算'!M55,"")</x:f>
      </x:c>
      <x:c r="E28" s="22" t="str">
        <x:f>IFERROR('升力标定计算'!M56,"")</x:f>
      </x:c>
      <x:c r="F28" s="22" t="str">
        <x:f>IF(AND(ISNUMBER(D28),ISNUMBER(E28)),AVERAGE(D28,E28),"")</x:f>
      </x:c>
      <x:c r="G28" s="22" t="str">
        <x:f>IFERROR('升力标定计算'!N55,"")</x:f>
      </x:c>
      <x:c r="H28" s="22" t="str">
        <x:f>IFERROR('升力标定计算'!N56,"")</x:f>
      </x:c>
      <x:c r="I28" s="22" t="str">
        <x:f>IF(AND(ISNUMBER(G28),ISNUMBER(H28)),AVERAGE(G28,H28),"")</x:f>
      </x:c>
      <x:c r="J28" s="22" t="n">
        <x:f>IFERROR('3000rpm'!AU69,"")</x:f>
        <x:v>0</x:v>
      </x:c>
      <x:c r="K28" s="22" t="n">
        <x:f>IFERROR('3000rpm'!AU79,"")</x:f>
        <x:v>0.4448818897637795</x:v>
      </x:c>
      <x:c r="L28" s="22" t="n">
        <x:f>IFERROR('3000rpm'!AU69,"")</x:f>
        <x:v>0</x:v>
      </x:c>
      <x:c r="M28" s="22" t="n">
        <x:f>IFERROR('3000rpm'!AT69,"")</x:f>
        <x:v>0.0846729215675782</x:v>
      </x:c>
      <x:c r="N28" s="22" t="n">
        <x:f>IFERROR('3000rpm'!AU79,"")</x:f>
        <x:v>0.4448818897637795</x:v>
      </x:c>
      <x:c r="O28" s="22" t="n">
        <x:f>IFERROR('3000rpm'!AT79,"")</x:f>
        <x:v>0.11599023844046746</x:v>
      </x:c>
      <x:c r="P28" s="22" t="str">
        <x:f>IF(OR(NOT(AND(ISNUMBER(D28),ISNUMBER(E28),ISNUMBER(G28),ISNUMBER(H28))),OR(F28&lt;J28,F28&gt;K28)),"",IF(N28=L28,M28,M28+(F28-L28)*(O28-M28)/(N28-L28)))</x:f>
      </x:c>
      <x:c r="Q28" s="22" t="str">
        <x:f>IF(AND(ISNUMBER(I28),ISNUMBER(P28)),I28-P28,"")</x:f>
      </x:c>
      <x:c r="R28" s="22" t="str">
        <x:f>IF(ISNUMBER(Q28),ABS(Q28),"")</x:f>
      </x:c>
      <x:c r="S28" s="36" t="str">
        <x:f>IF(AND(ISNUMBER(Q28),ISNUMBER(P28)),IF(ABS(P28)&lt;1E-12,"",Q28/P28),"")</x:f>
      </x:c>
      <x:c r="T28" s="36" t="str">
        <x:f>IF(ISNUMBER(S28),ABS(S28),"")</x:f>
      </x:c>
      <x:c r="U28" s="37" t="str">
        <x:f>IF(ISNUMBER(Q28),Q28^2,"")</x:f>
      </x:c>
      <x:c r="V28" s="21" t="str">
        <x:f>IF(NOT(AND(ISNUMBER(D28),ISNUMBER(E28),ISNUMBER(G28),ISNUMBER(H28))),"缺少配对",IF(OR(F28&lt;J28,F28&gt;K28),"超出理论J范围","有效"))</x:f>
        <x:v>缺少配对</x:v>
      </x:c>
      <x:c r="W28" s="20" t="str">
        <x:v>升力 y=0.915708x+28.7687 → C_T_prop；实验攻角 0° ↔ 理论 alpha_p_deg 90°；原升力源 3000rpm!C27/M27</x:v>
      </x:c>
      <x:c r="X28" s="20" t="str">
        <x:v>升力标定计算!M55</x:v>
      </x:c>
      <x:c r="Y28" s="20" t="str">
        <x:v>升力标定计算!M56</x:v>
      </x:c>
      <x:c r="Z28" s="20" t="str">
        <x:v>升力标定计算!N55</x:v>
      </x:c>
      <x:c r="AA28" s="20" t="str">
        <x:v>升力标定计算!N56</x:v>
      </x:c>
      <x:c r="AB28" s="20" t="str">
        <x:v>3000rpm!AU69:AT79</x:v>
      </x:c>
    </x:row>
    <x:row r="29">
      <x:c r="A29" s="21" t="n">
        <x:v>3000</x:v>
      </x:c>
      <x:c r="B29" s="21" t="n">
        <x:v>15</x:v>
      </x:c>
      <x:c r="C29" s="21" t="n">
        <x:v>1</x:v>
      </x:c>
      <x:c r="D29" s="22" t="str">
        <x:f>IFERROR('升力标定计算'!M57,"")</x:f>
      </x:c>
      <x:c r="E29" s="22" t="str">
        <x:f>IFERROR('升力标定计算'!M58,"")</x:f>
      </x:c>
      <x:c r="F29" s="22" t="str">
        <x:f>IF(AND(ISNUMBER(D29),ISNUMBER(E29)),AVERAGE(D29,E29),"")</x:f>
      </x:c>
      <x:c r="G29" s="22" t="str">
        <x:f>IFERROR('升力标定计算'!N57,"")</x:f>
      </x:c>
      <x:c r="H29" s="22" t="str">
        <x:f>IFERROR('升力标定计算'!N58,"")</x:f>
      </x:c>
      <x:c r="I29" s="22" t="str">
        <x:f>IF(AND(ISNUMBER(G29),ISNUMBER(H29)),AVERAGE(G29,H29),"")</x:f>
      </x:c>
      <x:c r="J29" s="22" t="n">
        <x:f>IFERROR('3000rpm'!AU58,"")</x:f>
        <x:v>0</x:v>
      </x:c>
      <x:c r="K29" s="22" t="n">
        <x:f>IFERROR('3000rpm'!AU68,"")</x:f>
        <x:v>0.4448818897637795</x:v>
      </x:c>
      <x:c r="L29" s="22" t="n">
        <x:f>IFERROR('3000rpm'!AU58,"")</x:f>
        <x:v>0</x:v>
      </x:c>
      <x:c r="M29" s="22" t="n">
        <x:f>IFERROR('3000rpm'!AT58,"")</x:f>
        <x:v>0.0846729215675782</x:v>
      </x:c>
      <x:c r="N29" s="22" t="n">
        <x:f>IFERROR('3000rpm'!AU68,"")</x:f>
        <x:v>0.4448818897637795</x:v>
      </x:c>
      <x:c r="O29" s="22" t="n">
        <x:f>IFERROR('3000rpm'!AT68,"")</x:f>
        <x:v>0.09080939368491635</x:v>
      </x:c>
      <x:c r="P29" s="22" t="str">
        <x:f>IF(OR(NOT(AND(ISNUMBER(D29),ISNUMBER(E29),ISNUMBER(G29),ISNUMBER(H29))),OR(F29&lt;J29,F29&gt;K29)),"",IF(N29=L29,M29,M29+(F29-L29)*(O29-M29)/(N29-L29)))</x:f>
      </x:c>
      <x:c r="Q29" s="22" t="str">
        <x:f>IF(AND(ISNUMBER(I29),ISNUMBER(P29)),I29-P29,"")</x:f>
      </x:c>
      <x:c r="R29" s="22" t="str">
        <x:f>IF(ISNUMBER(Q29),ABS(Q29),"")</x:f>
      </x:c>
      <x:c r="S29" s="36" t="str">
        <x:f>IF(AND(ISNUMBER(Q29),ISNUMBER(P29)),IF(ABS(P29)&lt;1E-12,"",Q29/P29),"")</x:f>
      </x:c>
      <x:c r="T29" s="36" t="str">
        <x:f>IF(ISNUMBER(S29),ABS(S29),"")</x:f>
      </x:c>
      <x:c r="U29" s="37" t="str">
        <x:f>IF(ISNUMBER(Q29),Q29^2,"")</x:f>
      </x:c>
      <x:c r="V29" s="21" t="str">
        <x:f>IF(NOT(AND(ISNUMBER(D29),ISNUMBER(E29),ISNUMBER(G29),ISNUMBER(H29))),"缺少配对",IF(OR(F29&lt;J29,F29&gt;K29),"超出理论J范围","有效"))</x:f>
        <x:v>缺少配对</x:v>
      </x:c>
      <x:c r="W29" s="20" t="str">
        <x:v>升力 y=0.915708x+28.7687 → C_T_prop；实验攻角 15° ↔ 理论 alpha_p_deg 75°；原升力源 3000rpm!D30/O30</x:v>
      </x:c>
      <x:c r="X29" s="20" t="str">
        <x:v>升力标定计算!M57</x:v>
      </x:c>
      <x:c r="Y29" s="20" t="str">
        <x:v>升力标定计算!M58</x:v>
      </x:c>
      <x:c r="Z29" s="20" t="str">
        <x:v>升力标定计算!N57</x:v>
      </x:c>
      <x:c r="AA29" s="20" t="str">
        <x:v>升力标定计算!N58</x:v>
      </x:c>
      <x:c r="AB29" s="20" t="str">
        <x:v>3000rpm!AU58:AT68</x:v>
      </x:c>
    </x:row>
    <x:row r="30">
      <x:c r="A30" s="21" t="n">
        <x:v>3000</x:v>
      </x:c>
      <x:c r="B30" s="21" t="n">
        <x:v>15</x:v>
      </x:c>
      <x:c r="C30" s="21" t="n">
        <x:v>2</x:v>
      </x:c>
      <x:c r="D30" s="22" t="n">
        <x:f>IFERROR('升力标定计算'!M59,"")</x:f>
        <x:v>0.0017496289100743141</x:v>
      </x:c>
      <x:c r="E30" s="22" t="n">
        <x:f>IFERROR('升力标定计算'!M60,"")</x:f>
        <x:v>0.004057500319622227</x:v>
      </x:c>
      <x:c r="F30" s="22" t="n">
        <x:f>IF(AND(ISNUMBER(D30),ISNUMBER(E30)),AVERAGE(D30,E30),"")</x:f>
        <x:v>0.0029035646148482704</x:v>
      </x:c>
      <x:c r="G30" s="22" t="n">
        <x:f>IFERROR('升力标定计算'!N59,"")</x:f>
        <x:v>0.07657911276946829</x:v>
      </x:c>
      <x:c r="H30" s="22" t="n">
        <x:f>IFERROR('升力标定计算'!N60,"")</x:f>
        <x:v>0.07707727744479764</x:v>
      </x:c>
      <x:c r="I30" s="22" t="n">
        <x:f>IF(AND(ISNUMBER(G30),ISNUMBER(H30)),AVERAGE(G30,H30),"")</x:f>
        <x:v>0.07682819510713296</x:v>
      </x:c>
      <x:c r="J30" s="22" t="n">
        <x:f>IFERROR('3000rpm'!AU58,"")</x:f>
        <x:v>0</x:v>
      </x:c>
      <x:c r="K30" s="22" t="n">
        <x:f>IFERROR('3000rpm'!AU68,"")</x:f>
        <x:v>0.4448818897637795</x:v>
      </x:c>
      <x:c r="L30" s="22" t="n">
        <x:f>IFERROR('3000rpm'!AU58,"")</x:f>
        <x:v>0</x:v>
      </x:c>
      <x:c r="M30" s="22" t="n">
        <x:f>IFERROR('3000rpm'!AT58,"")</x:f>
        <x:v>0.0846729215675782</x:v>
      </x:c>
      <x:c r="N30" s="22" t="n">
        <x:f>IFERROR('3000rpm'!AU59,"")</x:f>
        <x:v>0.04448818897637796</x:v>
      </x:c>
      <x:c r="O30" s="22" t="n">
        <x:f>IFERROR('3000rpm'!AT59,"")</x:f>
        <x:v>0.08340493875034348</x:v>
      </x:c>
      <x:c r="P30" s="22" t="n">
        <x:f>IF(OR(NOT(AND(ISNUMBER(D30),ISNUMBER(E30),ISNUMBER(G30),ISNUMBER(H30))),OR(F30&lt;J30,F30&gt;K30)),"",IF(N30=L30,M30,M30+(F30-L30)*(O30-M30)/(N30-L30)))</x:f>
        <x:v>0.08459016544454714</x:v>
      </x:c>
      <x:c r="Q30" s="22" t="n">
        <x:f>IF(AND(ISNUMBER(I30),ISNUMBER(P30)),I30-P30,"")</x:f>
        <x:v>-0.007761970337414187</x:v>
      </x:c>
      <x:c r="R30" s="22" t="n">
        <x:f>IF(ISNUMBER(Q30),ABS(Q30),"")</x:f>
        <x:v>0.007761970337414187</x:v>
      </x:c>
      <x:c r="S30" s="36" t="n">
        <x:f>IF(AND(ISNUMBER(Q30),ISNUMBER(P30)),IF(ABS(P30)&lt;1E-12,"",Q30/P30),"")</x:f>
        <x:v>-0.09175972521891479</x:v>
      </x:c>
      <x:c r="T30" s="36" t="n">
        <x:f>IF(ISNUMBER(S30),ABS(S30),"")</x:f>
        <x:v>0.09175972521891479</x:v>
      </x:c>
      <x:c r="U30" s="37" t="n">
        <x:f>IF(ISNUMBER(Q30),Q30^2,"")</x:f>
        <x:v>0.00006024818351889771</x:v>
      </x:c>
      <x:c r="V30" s="21" t="str">
        <x:f>IF(NOT(AND(ISNUMBER(D30),ISNUMBER(E30),ISNUMBER(G30),ISNUMBER(H30))),"缺少配对",IF(OR(F30&lt;J30,F30&gt;K30),"超出理论J范围","有效"))</x:f>
        <x:v>有效</x:v>
      </x:c>
      <x:c r="W30" s="20" t="str">
        <x:v>升力 y=0.915708x+28.7687 → C_T_prop；实验攻角 15° ↔ 理论 alpha_p_deg 75°；原升力源 3000rpm!D31/O31</x:v>
      </x:c>
      <x:c r="X30" s="20" t="str">
        <x:v>升力标定计算!M59</x:v>
      </x:c>
      <x:c r="Y30" s="20" t="str">
        <x:v>升力标定计算!M60</x:v>
      </x:c>
      <x:c r="Z30" s="20" t="str">
        <x:v>升力标定计算!N59</x:v>
      </x:c>
      <x:c r="AA30" s="20" t="str">
        <x:v>升力标定计算!N60</x:v>
      </x:c>
      <x:c r="AB30" s="20" t="str">
        <x:v>3000rpm!AU58:AT59</x:v>
      </x:c>
    </x:row>
    <x:row r="31">
      <x:c r="A31" s="21" t="n">
        <x:v>3000</x:v>
      </x:c>
      <x:c r="B31" s="21" t="n">
        <x:v>15</x:v>
      </x:c>
      <x:c r="C31" s="21" t="n">
        <x:v>3</x:v>
      </x:c>
      <x:c r="D31" s="22" t="n">
        <x:f>IFERROR('升力标定计算'!M61,"")</x:f>
        <x:v>0.04299369627953029</x:v>
      </x:c>
      <x:c r="E31" s="22" t="n">
        <x:f>IFERROR('升力标定计算'!M62,"")</x:f>
        <x:v>0.04321199872348849</x:v>
      </x:c>
      <x:c r="F31" s="22" t="n">
        <x:f>IF(AND(ISNUMBER(D31),ISNUMBER(E31)),AVERAGE(D31,E31),"")</x:f>
        <x:v>0.04310284750150939</x:v>
      </x:c>
      <x:c r="G31" s="22" t="n">
        <x:f>IFERROR('升力标定计算'!N61,"")</x:f>
        <x:v>0.07549650338565685</x:v>
      </x:c>
      <x:c r="H31" s="22" t="n">
        <x:f>IFERROR('升力标定计算'!N62,"")</x:f>
        <x:v>0.07636860493975037</x:v>
      </x:c>
      <x:c r="I31" s="22" t="n">
        <x:f>IF(AND(ISNUMBER(G31),ISNUMBER(H31)),AVERAGE(G31,H31),"")</x:f>
        <x:v>0.07593255416270361</x:v>
      </x:c>
      <x:c r="J31" s="22" t="n">
        <x:f>IFERROR('3000rpm'!AU58,"")</x:f>
        <x:v>0</x:v>
      </x:c>
      <x:c r="K31" s="22" t="n">
        <x:f>IFERROR('3000rpm'!AU68,"")</x:f>
        <x:v>0.4448818897637795</x:v>
      </x:c>
      <x:c r="L31" s="22" t="n">
        <x:f>IFERROR('3000rpm'!AU58,"")</x:f>
        <x:v>0</x:v>
      </x:c>
      <x:c r="M31" s="22" t="n">
        <x:f>IFERROR('3000rpm'!AT58,"")</x:f>
        <x:v>0.0846729215675782</x:v>
      </x:c>
      <x:c r="N31" s="22" t="n">
        <x:f>IFERROR('3000rpm'!AU59,"")</x:f>
        <x:v>0.04448818897637796</x:v>
      </x:c>
      <x:c r="O31" s="22" t="n">
        <x:f>IFERROR('3000rpm'!AT59,"")</x:f>
        <x:v>0.08340493875034348</x:v>
      </x:c>
      <x:c r="P31" s="22" t="n">
        <x:f>IF(OR(NOT(AND(ISNUMBER(D31),ISNUMBER(E31),ISNUMBER(G31),ISNUMBER(H31))),OR(F31&lt;J31,F31&gt;K31)),"",IF(N31=L31,M31,M31+(F31-L31)*(O31-M31)/(N31-L31)))</x:f>
        <x:v>0.08344442314443892</x:v>
      </x:c>
      <x:c r="Q31" s="22" t="n">
        <x:f>IF(AND(ISNUMBER(I31),ISNUMBER(P31)),I31-P31,"")</x:f>
        <x:v>-0.007511868981735309</x:v>
      </x:c>
      <x:c r="R31" s="22" t="n">
        <x:f>IF(ISNUMBER(Q31),ABS(Q31),"")</x:f>
        <x:v>0.007511868981735309</x:v>
      </x:c>
      <x:c r="S31" s="36" t="n">
        <x:f>IF(AND(ISNUMBER(Q31),ISNUMBER(P31)),IF(ABS(P31)&lt;1E-12,"",Q31/P31),"")</x:f>
        <x:v>-0.0900224208960324</x:v>
      </x:c>
      <x:c r="T31" s="36" t="n">
        <x:f>IF(ISNUMBER(S31),ABS(S31),"")</x:f>
        <x:v>0.0900224208960324</x:v>
      </x:c>
      <x:c r="U31" s="37" t="n">
        <x:f>IF(ISNUMBER(Q31),Q31^2,"")</x:f>
        <x:v>0.00005642817559875707</x:v>
      </x:c>
      <x:c r="V31" s="21" t="str">
        <x:f>IF(NOT(AND(ISNUMBER(D31),ISNUMBER(E31),ISNUMBER(G31),ISNUMBER(H31))),"缺少配对",IF(OR(F31&lt;J31,F31&gt;K31),"超出理论J范围","有效"))</x:f>
        <x:v>有效</x:v>
      </x:c>
      <x:c r="W31" s="20" t="str">
        <x:v>升力 y=0.915708x+28.7687 → C_T_prop；实验攻角 15° ↔ 理论 alpha_p_deg 75°；原升力源 3000rpm!D32/O32</x:v>
      </x:c>
      <x:c r="X31" s="20" t="str">
        <x:v>升力标定计算!M61</x:v>
      </x:c>
      <x:c r="Y31" s="20" t="str">
        <x:v>升力标定计算!M62</x:v>
      </x:c>
      <x:c r="Z31" s="20" t="str">
        <x:v>升力标定计算!N61</x:v>
      </x:c>
      <x:c r="AA31" s="20" t="str">
        <x:v>升力标定计算!N62</x:v>
      </x:c>
      <x:c r="AB31" s="20" t="str">
        <x:v>3000rpm!AU58:AT59</x:v>
      </x:c>
    </x:row>
    <x:row r="32">
      <x:c r="A32" s="21" t="n">
        <x:v>3000</x:v>
      </x:c>
      <x:c r="B32" s="21" t="n">
        <x:v>15</x:v>
      </x:c>
      <x:c r="C32" s="21" t="n">
        <x:v>4</x:v>
      </x:c>
      <x:c r="D32" s="22" t="n">
        <x:f>IFERROR('升力标定计算'!M63,"")</x:f>
        <x:v>0.08776073991945586</x:v>
      </x:c>
      <x:c r="E32" s="22" t="n">
        <x:f>IFERROR('升力标定计算'!M64,"")</x:f>
        <x:v>0.08652780286773978</x:v>
      </x:c>
      <x:c r="F32" s="22" t="n">
        <x:f>IF(AND(ISNUMBER(D32),ISNUMBER(E32)),AVERAGE(D32,E32),"")</x:f>
        <x:v>0.08714427139359782</x:v>
      </x:c>
      <x:c r="G32" s="22" t="n">
        <x:f>IFERROR('升力标定计算'!N63,"")</x:f>
        <x:v>0.07439436731936439</x:v>
      </x:c>
      <x:c r="H32" s="22" t="n">
        <x:f>IFERROR('升力标定计算'!N64,"")</x:f>
        <x:v>0.07510765233210716</x:v>
      </x:c>
      <x:c r="I32" s="22" t="n">
        <x:f>IF(AND(ISNUMBER(G32),ISNUMBER(H32)),AVERAGE(G32,H32),"")</x:f>
        <x:v>0.07475100982573576</x:v>
      </x:c>
      <x:c r="J32" s="22" t="n">
        <x:f>IFERROR('3000rpm'!AU58,"")</x:f>
        <x:v>0</x:v>
      </x:c>
      <x:c r="K32" s="22" t="n">
        <x:f>IFERROR('3000rpm'!AU68,"")</x:f>
        <x:v>0.4448818897637795</x:v>
      </x:c>
      <x:c r="L32" s="22" t="n">
        <x:f>IFERROR('3000rpm'!AU59,"")</x:f>
        <x:v>0.04448818897637796</x:v>
      </x:c>
      <x:c r="M32" s="22" t="n">
        <x:f>IFERROR('3000rpm'!AT59,"")</x:f>
        <x:v>0.08340493875034348</x:v>
      </x:c>
      <x:c r="N32" s="22" t="n">
        <x:f>IFERROR('3000rpm'!AU60,"")</x:f>
        <x:v>0.08897637795275593</x:v>
      </x:c>
      <x:c r="O32" s="22" t="n">
        <x:f>IFERROR('3000rpm'!AT60,"")</x:f>
        <x:v>0.08351014850424789</x:v>
      </x:c>
      <x:c r="P32" s="22" t="n">
        <x:f>IF(OR(NOT(AND(ISNUMBER(D32),ISNUMBER(E32),ISNUMBER(G32),ISNUMBER(H32))),OR(F32&lt;J32,F32&gt;K32)),"",IF(N32=L32,M32,M32+(F32-L32)*(O32-M32)/(N32-L32)))</x:f>
        <x:v>0.0835058157704448</x:v>
      </x:c>
      <x:c r="Q32" s="22" t="n">
        <x:f>IF(AND(ISNUMBER(I32),ISNUMBER(P32)),I32-P32,"")</x:f>
        <x:v>-0.008754805944709038</x:v>
      </x:c>
      <x:c r="R32" s="22" t="n">
        <x:f>IF(ISNUMBER(Q32),ABS(Q32),"")</x:f>
        <x:v>0.008754805944709038</x:v>
      </x:c>
      <x:c r="S32" s="36" t="n">
        <x:f>IF(AND(ISNUMBER(Q32),ISNUMBER(P32)),IF(ABS(P32)&lt;1E-12,"",Q32/P32),"")</x:f>
        <x:v>-0.10484067323856532</x:v>
      </x:c>
      <x:c r="T32" s="36" t="n">
        <x:f>IF(ISNUMBER(S32),ABS(S32),"")</x:f>
        <x:v>0.10484067323856532</x:v>
      </x:c>
      <x:c r="U32" s="37" t="n">
        <x:f>IF(ISNUMBER(Q32),Q32^2,"")</x:f>
        <x:v>0.0000766466271295127</x:v>
      </x:c>
      <x:c r="V32" s="21" t="str">
        <x:f>IF(NOT(AND(ISNUMBER(D32),ISNUMBER(E32),ISNUMBER(G32),ISNUMBER(H32))),"缺少配对",IF(OR(F32&lt;J32,F32&gt;K32),"超出理论J范围","有效"))</x:f>
        <x:v>有效</x:v>
      </x:c>
      <x:c r="W32" s="20" t="str">
        <x:v>升力 y=0.915708x+28.7687 → C_T_prop；实验攻角 15° ↔ 理论 alpha_p_deg 75°；原升力源 3000rpm!D33/O33</x:v>
      </x:c>
      <x:c r="X32" s="20" t="str">
        <x:v>升力标定计算!M63</x:v>
      </x:c>
      <x:c r="Y32" s="20" t="str">
        <x:v>升力标定计算!M64</x:v>
      </x:c>
      <x:c r="Z32" s="20" t="str">
        <x:v>升力标定计算!N63</x:v>
      </x:c>
      <x:c r="AA32" s="20" t="str">
        <x:v>升力标定计算!N64</x:v>
      </x:c>
      <x:c r="AB32" s="20" t="str">
        <x:v>3000rpm!AU59:AT60</x:v>
      </x:c>
    </x:row>
    <x:row r="33">
      <x:c r="A33" s="21" t="n">
        <x:v>3000</x:v>
      </x:c>
      <x:c r="B33" s="21" t="n">
        <x:v>15</x:v>
      </x:c>
      <x:c r="C33" s="21" t="n">
        <x:v>5</x:v>
      </x:c>
      <x:c r="D33" s="22" t="n">
        <x:f>IFERROR('升力标定计算'!M65,"")</x:f>
        <x:v>0.1328319541091321</x:v>
      </x:c>
      <x:c r="E33" s="22" t="n">
        <x:f>IFERROR('升力标定计算'!M66,"")</x:f>
        <x:v>0.13099257069186654</x:v>
      </x:c>
      <x:c r="F33" s="22" t="n">
        <x:f>IF(AND(ISNUMBER(D33),ISNUMBER(E33)),AVERAGE(D33,E33),"")</x:f>
        <x:v>0.1319122624004993</x:v>
      </x:c>
      <x:c r="G33" s="22" t="n">
        <x:f>IFERROR('升力标定计算'!N65,"")</x:f>
        <x:v>0.07544448949666793</x:v>
      </x:c>
      <x:c r="H33" s="22" t="n">
        <x:f>IFERROR('升力标定计算'!N66,"")</x:f>
        <x:v>0.07583487090405211</x:v>
      </x:c>
      <x:c r="I33" s="22" t="n">
        <x:f>IF(AND(ISNUMBER(G33),ISNUMBER(H33)),AVERAGE(G33,H33),"")</x:f>
        <x:v>0.07563968020036002</x:v>
      </x:c>
      <x:c r="J33" s="22" t="n">
        <x:f>IFERROR('3000rpm'!AU58,"")</x:f>
        <x:v>0</x:v>
      </x:c>
      <x:c r="K33" s="22" t="n">
        <x:f>IFERROR('3000rpm'!AU68,"")</x:f>
        <x:v>0.4448818897637795</x:v>
      </x:c>
      <x:c r="L33" s="22" t="n">
        <x:f>IFERROR('3000rpm'!AU60,"")</x:f>
        <x:v>0.08897637795275593</x:v>
      </x:c>
      <x:c r="M33" s="22" t="n">
        <x:f>IFERROR('3000rpm'!AT60,"")</x:f>
        <x:v>0.08351014850424789</x:v>
      </x:c>
      <x:c r="N33" s="22" t="n">
        <x:f>IFERROR('3000rpm'!AU61,"")</x:f>
        <x:v>0.13346456692913383</x:v>
      </x:c>
      <x:c r="O33" s="22" t="n">
        <x:f>IFERROR('3000rpm'!AT61,"")</x:f>
        <x:v>0.08419554210858392</x:v>
      </x:c>
      <x:c r="P33" s="22" t="n">
        <x:f>IF(OR(NOT(AND(ISNUMBER(D33),ISNUMBER(E33),ISNUMBER(G33),ISNUMBER(H33))),OR(F33&lt;J33,F33&gt;K33)),"",IF(N33=L33,M33,M33+(F33-L33)*(O33-M33)/(N33-L33)))</x:f>
        <x:v>0.08417162700616262</x:v>
      </x:c>
      <x:c r="Q33" s="22" t="n">
        <x:f>IF(AND(ISNUMBER(I33),ISNUMBER(P33)),I33-P33,"")</x:f>
        <x:v>-0.008531946805802604</x:v>
      </x:c>
      <x:c r="R33" s="22" t="n">
        <x:f>IF(ISNUMBER(Q33),ABS(Q33),"")</x:f>
        <x:v>0.008531946805802604</x:v>
      </x:c>
      <x:c r="S33" s="36" t="n">
        <x:f>IF(AND(ISNUMBER(Q33),ISNUMBER(P33)),IF(ABS(P33)&lt;1E-12,"",Q33/P33),"")</x:f>
        <x:v>-0.10136369117800155</x:v>
      </x:c>
      <x:c r="T33" s="36" t="n">
        <x:f>IF(ISNUMBER(S33),ABS(S33),"")</x:f>
        <x:v>0.10136369117800155</x:v>
      </x:c>
      <x:c r="U33" s="37" t="n">
        <x:f>IF(ISNUMBER(Q33),Q33^2,"")</x:f>
        <x:v>0.00007279411629704526</x:v>
      </x:c>
      <x:c r="V33" s="21" t="str">
        <x:f>IF(NOT(AND(ISNUMBER(D33),ISNUMBER(E33),ISNUMBER(G33),ISNUMBER(H33))),"缺少配对",IF(OR(F33&lt;J33,F33&gt;K33),"超出理论J范围","有效"))</x:f>
        <x:v>有效</x:v>
      </x:c>
      <x:c r="W33" s="20" t="str">
        <x:v>升力 y=0.915708x+28.7687 → C_T_prop；实验攻角 15° ↔ 理论 alpha_p_deg 75°；原升力源 3000rpm!D34/O34</x:v>
      </x:c>
      <x:c r="X33" s="20" t="str">
        <x:v>升力标定计算!M65</x:v>
      </x:c>
      <x:c r="Y33" s="20" t="str">
        <x:v>升力标定计算!M66</x:v>
      </x:c>
      <x:c r="Z33" s="20" t="str">
        <x:v>升力标定计算!N65</x:v>
      </x:c>
      <x:c r="AA33" s="20" t="str">
        <x:v>升力标定计算!N66</x:v>
      </x:c>
      <x:c r="AB33" s="20" t="str">
        <x:v>3000rpm!AU60:AT61</x:v>
      </x:c>
    </x:row>
    <x:row r="34">
      <x:c r="A34" s="21" t="n">
        <x:v>3000</x:v>
      </x:c>
      <x:c r="B34" s="21" t="n">
        <x:v>15</x:v>
      </x:c>
      <x:c r="C34" s="21" t="n">
        <x:v>6</x:v>
      </x:c>
      <x:c r="D34" s="22" t="n">
        <x:f>IFERROR('升力标定计算'!M67,"")</x:f>
        <x:v>0.17823497542622047</x:v>
      </x:c>
      <x:c r="E34" s="22" t="n">
        <x:f>IFERROR('升力标定计算'!M68,"")</x:f>
        <x:v>0.172980203632753</x:v>
      </x:c>
      <x:c r="F34" s="22" t="n">
        <x:f>IF(AND(ISNUMBER(D34),ISNUMBER(E34)),AVERAGE(D34,E34),"")</x:f>
        <x:v>0.17560758952948674</x:v>
      </x:c>
      <x:c r="G34" s="22" t="n">
        <x:f>IFERROR('升力标定计算'!N67,"")</x:f>
        <x:v>0.07512609496423386</x:v>
      </x:c>
      <x:c r="H34" s="22" t="n">
        <x:f>IFERROR('升力标定计算'!N68,"")</x:f>
        <x:v>0.07433575814978874</x:v>
      </x:c>
      <x:c r="I34" s="22" t="n">
        <x:f>IF(AND(ISNUMBER(G34),ISNUMBER(H34)),AVERAGE(G34,H34),"")</x:f>
        <x:v>0.0747309265570113</x:v>
      </x:c>
      <x:c r="J34" s="22" t="n">
        <x:f>IFERROR('3000rpm'!AU58,"")</x:f>
        <x:v>0</x:v>
      </x:c>
      <x:c r="K34" s="22" t="n">
        <x:f>IFERROR('3000rpm'!AU68,"")</x:f>
        <x:v>0.4448818897637795</x:v>
      </x:c>
      <x:c r="L34" s="22" t="n">
        <x:f>IFERROR('3000rpm'!AU61,"")</x:f>
        <x:v>0.13346456692913383</x:v>
      </x:c>
      <x:c r="M34" s="22" t="n">
        <x:f>IFERROR('3000rpm'!AT61,"")</x:f>
        <x:v>0.08419554210858392</x:v>
      </x:c>
      <x:c r="N34" s="22" t="n">
        <x:f>IFERROR('3000rpm'!AU62,"")</x:f>
        <x:v>0.17795275590551185</x:v>
      </x:c>
      <x:c r="O34" s="22" t="n">
        <x:f>IFERROR('3000rpm'!AT62,"")</x:f>
        <x:v>0.08525404572157776</x:v>
      </x:c>
      <x:c r="P34" s="22" t="n">
        <x:f>IF(OR(NOT(AND(ISNUMBER(D34),ISNUMBER(E34),ISNUMBER(G34),ISNUMBER(H34))),OR(F34&lt;J34,F34&gt;K34)),"",IF(N34=L34,M34,M34+(F34-L34)*(O34-M34)/(N34-L34)))</x:f>
        <x:v>0.08519824738185634</x:v>
      </x:c>
      <x:c r="Q34" s="22" t="n">
        <x:f>IF(AND(ISNUMBER(I34),ISNUMBER(P34)),I34-P34,"")</x:f>
        <x:v>-0.010467320824845042</x:v>
      </x:c>
      <x:c r="R34" s="22" t="n">
        <x:f>IF(ISNUMBER(Q34),ABS(Q34),"")</x:f>
        <x:v>0.010467320824845042</x:v>
      </x:c>
      <x:c r="S34" s="36" t="n">
        <x:f>IF(AND(ISNUMBER(Q34),ISNUMBER(P34)),IF(ABS(P34)&lt;1E-12,"",Q34/P34),"")</x:f>
        <x:v>-0.12285840550135708</x:v>
      </x:c>
      <x:c r="T34" s="36" t="n">
        <x:f>IF(ISNUMBER(S34),ABS(S34),"")</x:f>
        <x:v>0.12285840550135708</x:v>
      </x:c>
      <x:c r="U34" s="37" t="n">
        <x:f>IF(ISNUMBER(Q34),Q34^2,"")</x:f>
        <x:v>0.00010956480525023468</x:v>
      </x:c>
      <x:c r="V34" s="21" t="str">
        <x:f>IF(NOT(AND(ISNUMBER(D34),ISNUMBER(E34),ISNUMBER(G34),ISNUMBER(H34))),"缺少配对",IF(OR(F34&lt;J34,F34&gt;K34),"超出理论J范围","有效"))</x:f>
        <x:v>有效</x:v>
      </x:c>
      <x:c r="W34" s="20" t="str">
        <x:v>升力 y=0.915708x+28.7687 → C_T_prop；实验攻角 15° ↔ 理论 alpha_p_deg 75°；原升力源 3000rpm!D35/O35</x:v>
      </x:c>
      <x:c r="X34" s="20" t="str">
        <x:v>升力标定计算!M67</x:v>
      </x:c>
      <x:c r="Y34" s="20" t="str">
        <x:v>升力标定计算!M68</x:v>
      </x:c>
      <x:c r="Z34" s="20" t="str">
        <x:v>升力标定计算!N67</x:v>
      </x:c>
      <x:c r="AA34" s="20" t="str">
        <x:v>升力标定计算!N68</x:v>
      </x:c>
      <x:c r="AB34" s="20" t="str">
        <x:v>3000rpm!AU61:AT62</x:v>
      </x:c>
    </x:row>
    <x:row r="35">
      <x:c r="A35" s="21" t="n">
        <x:v>3000</x:v>
      </x:c>
      <x:c r="B35" s="21" t="n">
        <x:v>15</x:v>
      </x:c>
      <x:c r="C35" s="21" t="n">
        <x:v>7</x:v>
      </x:c>
      <x:c r="D35" s="22" t="n">
        <x:f>IFERROR('升力标定计算'!M69,"")</x:f>
        <x:v>0.22223218424194413</x:v>
      </x:c>
      <x:c r="E35" s="22" t="n">
        <x:f>IFERROR('升力标定计算'!M70,"")</x:f>
        <x:v>0.2157019541566167</x:v>
      </x:c>
      <x:c r="F35" s="22" t="n">
        <x:f>IF(AND(ISNUMBER(D35),ISNUMBER(E35)),AVERAGE(D35,E35),"")</x:f>
        <x:v>0.2189670691992804</x:v>
      </x:c>
      <x:c r="G35" s="22" t="n">
        <x:f>IFERROR('升力标定计算'!N69,"")</x:f>
        <x:v>0.07598141141858056</x:v>
      </x:c>
      <x:c r="H35" s="22" t="n">
        <x:f>IFERROR('升力标定计算'!N70,"")</x:f>
        <x:v>0.0745615652739591</x:v>
      </x:c>
      <x:c r="I35" s="22" t="n">
        <x:f>IF(AND(ISNUMBER(G35),ISNUMBER(H35)),AVERAGE(G35,H35),"")</x:f>
        <x:v>0.07527148834626983</x:v>
      </x:c>
      <x:c r="J35" s="22" t="n">
        <x:f>IFERROR('3000rpm'!AU58,"")</x:f>
        <x:v>0</x:v>
      </x:c>
      <x:c r="K35" s="22" t="n">
        <x:f>IFERROR('3000rpm'!AU68,"")</x:f>
        <x:v>0.4448818897637795</x:v>
      </x:c>
      <x:c r="L35" s="22" t="n">
        <x:f>IFERROR('3000rpm'!AU62,"")</x:f>
        <x:v>0.17795275590551185</x:v>
      </x:c>
      <x:c r="M35" s="22" t="n">
        <x:f>IFERROR('3000rpm'!AT62,"")</x:f>
        <x:v>0.08525404572157776</x:v>
      </x:c>
      <x:c r="N35" s="22" t="n">
        <x:f>IFERROR('3000rpm'!AU63,"")</x:f>
        <x:v>0.22244094488188976</x:v>
      </x:c>
      <x:c r="O35" s="22" t="n">
        <x:f>IFERROR('3000rpm'!AT63,"")</x:f>
        <x:v>0.08646315614930984</x:v>
      </x:c>
      <x:c r="P35" s="22" t="n">
        <x:f>IF(OR(NOT(AND(ISNUMBER(D35),ISNUMBER(E35),ISNUMBER(G35),ISNUMBER(H35))),OR(F35&lt;J35,F35&gt;K35)),"",IF(N35=L35,M35,M35+(F35-L35)*(O35-M35)/(N35-L35)))</x:f>
        <x:v>0.0863687423417548</x:v>
      </x:c>
      <x:c r="Q35" s="22" t="n">
        <x:f>IF(AND(ISNUMBER(I35),ISNUMBER(P35)),I35-P35,"")</x:f>
        <x:v>-0.011097253995484974</x:v>
      </x:c>
      <x:c r="R35" s="22" t="n">
        <x:f>IF(ISNUMBER(Q35),ABS(Q35),"")</x:f>
        <x:v>0.011097253995484974</x:v>
      </x:c>
      <x:c r="S35" s="36" t="n">
        <x:f>IF(AND(ISNUMBER(Q35),ISNUMBER(P35)),IF(ABS(P35)&lt;1E-12,"",Q35/P35),"")</x:f>
        <x:v>-0.12848692356285507</x:v>
      </x:c>
      <x:c r="T35" s="36" t="n">
        <x:f>IF(ISNUMBER(S35),ABS(S35),"")</x:f>
        <x:v>0.12848692356285507</x:v>
      </x:c>
      <x:c r="U35" s="37" t="n">
        <x:f>IF(ISNUMBER(Q35),Q35^2,"")</x:f>
        <x:v>0.0001231490462403072</x:v>
      </x:c>
      <x:c r="V35" s="21" t="str">
        <x:f>IF(NOT(AND(ISNUMBER(D35),ISNUMBER(E35),ISNUMBER(G35),ISNUMBER(H35))),"缺少配对",IF(OR(F35&lt;J35,F35&gt;K35),"超出理论J范围","有效"))</x:f>
        <x:v>有效</x:v>
      </x:c>
      <x:c r="W35" s="20" t="str">
        <x:v>升力 y=0.915708x+28.7687 → C_T_prop；实验攻角 15° ↔ 理论 alpha_p_deg 75°；原升力源 3000rpm!D36/O36</x:v>
      </x:c>
      <x:c r="X35" s="20" t="str">
        <x:v>升力标定计算!M69</x:v>
      </x:c>
      <x:c r="Y35" s="20" t="str">
        <x:v>升力标定计算!M70</x:v>
      </x:c>
      <x:c r="Z35" s="20" t="str">
        <x:v>升力标定计算!N69</x:v>
      </x:c>
      <x:c r="AA35" s="20" t="str">
        <x:v>升力标定计算!N70</x:v>
      </x:c>
      <x:c r="AB35" s="20" t="str">
        <x:v>3000rpm!AU62:AT63</x:v>
      </x:c>
    </x:row>
    <x:row r="36">
      <x:c r="A36" s="21" t="n">
        <x:v>3000</x:v>
      </x:c>
      <x:c r="B36" s="21" t="n">
        <x:v>15</x:v>
      </x:c>
      <x:c r="C36" s="21" t="n">
        <x:v>8</x:v>
      </x:c>
      <x:c r="D36" s="22" t="n">
        <x:f>IFERROR('升力标定计算'!M71,"")</x:f>
        <x:v>0.2652258159203927</x:v>
      </x:c>
      <x:c r="E36" s="22" t="n">
        <x:f>IFERROR('升力标定计算'!M72,"")</x:f>
        <x:v>0.2627519081978552</x:v>
      </x:c>
      <x:c r="F36" s="22" t="n">
        <x:f>IF(AND(ISNUMBER(D36),ISNUMBER(E36)),AVERAGE(D36,E36),"")</x:f>
        <x:v>0.263988862059124</x:v>
      </x:c>
      <x:c r="G36" s="22" t="n">
        <x:f>IFERROR('升力标定计算'!N71,"")</x:f>
        <x:v>0.07605615095028631</x:v>
      </x:c>
      <x:c r="H36" s="22" t="n">
        <x:f>IFERROR('升力标定计算'!N72,"")</x:f>
        <x:v>0.07711353943126262</x:v>
      </x:c>
      <x:c r="I36" s="22" t="n">
        <x:f>IF(AND(ISNUMBER(G36),ISNUMBER(H36)),AVERAGE(G36,H36),"")</x:f>
        <x:v>0.07658484519077446</x:v>
      </x:c>
      <x:c r="J36" s="22" t="n">
        <x:f>IFERROR('3000rpm'!AU58,"")</x:f>
        <x:v>0</x:v>
      </x:c>
      <x:c r="K36" s="22" t="n">
        <x:f>IFERROR('3000rpm'!AU68,"")</x:f>
        <x:v>0.4448818897637795</x:v>
      </x:c>
      <x:c r="L36" s="22" t="n">
        <x:f>IFERROR('3000rpm'!AU63,"")</x:f>
        <x:v>0.22244094488188976</x:v>
      </x:c>
      <x:c r="M36" s="22" t="n">
        <x:f>IFERROR('3000rpm'!AT63,"")</x:f>
        <x:v>0.08646315614930984</x:v>
      </x:c>
      <x:c r="N36" s="22" t="n">
        <x:f>IFERROR('3000rpm'!AU64,"")</x:f>
        <x:v>0.26692913385826766</x:v>
      </x:c>
      <x:c r="O36" s="22" t="n">
        <x:f>IFERROR('3000rpm'!AT64,"")</x:f>
        <x:v>0.08765593286096608</x:v>
      </x:c>
      <x:c r="P36" s="22" t="n">
        <x:f>IF(OR(NOT(AND(ISNUMBER(D36),ISNUMBER(E36),ISNUMBER(G36),ISNUMBER(H36))),OR(F36&lt;J36,F36&gt;K36)),"",IF(N36=L36,M36,M36+(F36-L36)*(O36-M36)/(N36-L36)))</x:f>
        <x:v>0.08757710097752348</x:v>
      </x:c>
      <x:c r="Q36" s="22" t="n">
        <x:f>IF(AND(ISNUMBER(I36),ISNUMBER(P36)),I36-P36,"")</x:f>
        <x:v>-0.01099225578674902</x:v>
      </x:c>
      <x:c r="R36" s="22" t="n">
        <x:f>IF(ISNUMBER(Q36),ABS(Q36),"")</x:f>
        <x:v>0.01099225578674902</x:v>
      </x:c>
      <x:c r="S36" s="36" t="n">
        <x:f>IF(AND(ISNUMBER(Q36),ISNUMBER(P36)),IF(ABS(P36)&lt;1E-12,"",Q36/P36),"")</x:f>
        <x:v>-0.12551518221150257</x:v>
      </x:c>
      <x:c r="T36" s="36" t="n">
        <x:f>IF(ISNUMBER(S36),ABS(S36),"")</x:f>
        <x:v>0.12551518221150257</x:v>
      </x:c>
      <x:c r="U36" s="37" t="n">
        <x:f>IF(ISNUMBER(Q36),Q36^2,"")</x:f>
        <x:v>0.00012082968728131731</x:v>
      </x:c>
      <x:c r="V36" s="21" t="str">
        <x:f>IF(NOT(AND(ISNUMBER(D36),ISNUMBER(E36),ISNUMBER(G36),ISNUMBER(H36))),"缺少配对",IF(OR(F36&lt;J36,F36&gt;K36),"超出理论J范围","有效"))</x:f>
        <x:v>有效</x:v>
      </x:c>
      <x:c r="W36" s="20" t="str">
        <x:v>升力 y=0.915708x+28.7687 → C_T_prop；实验攻角 15° ↔ 理论 alpha_p_deg 75°；原升力源 3000rpm!D37/O37</x:v>
      </x:c>
      <x:c r="X36" s="20" t="str">
        <x:v>升力标定计算!M71</x:v>
      </x:c>
      <x:c r="Y36" s="20" t="str">
        <x:v>升力标定计算!M72</x:v>
      </x:c>
      <x:c r="Z36" s="20" t="str">
        <x:v>升力标定计算!N71</x:v>
      </x:c>
      <x:c r="AA36" s="20" t="str">
        <x:v>升力标定计算!N72</x:v>
      </x:c>
      <x:c r="AB36" s="20" t="str">
        <x:v>3000rpm!AU63:AT64</x:v>
      </x:c>
    </x:row>
    <x:row r="37">
      <x:c r="A37" s="21" t="n">
        <x:v>3000</x:v>
      </x:c>
      <x:c r="B37" s="21" t="n">
        <x:v>15</x:v>
      </x:c>
      <x:c r="C37" s="21" t="n">
        <x:v>9</x:v>
      </x:c>
      <x:c r="D37" s="22" t="n">
        <x:f>IFERROR('升力标定计算'!M73,"")</x:f>
        <x:v>0.30864661082930933</x:v>
      </x:c>
      <x:c r="E37" s="22" t="n">
        <x:f>IFERROR('升力标定计算'!M74,"")</x:f>
        <x:v>0.3063555524556177</x:v>
      </x:c>
      <x:c r="F37" s="22" t="n">
        <x:f>IF(AND(ISNUMBER(D37),ISNUMBER(E37)),AVERAGE(D37,E37),"")</x:f>
        <x:v>0.3075010816424635</x:v>
      </x:c>
      <x:c r="G37" s="22" t="n">
        <x:f>IFERROR('升力标定计算'!N73,"")</x:f>
        <x:v>0.07698998887441182</x:v>
      </x:c>
      <x:c r="H37" s="22" t="n">
        <x:f>IFERROR('升力标定计算'!N74,"")</x:f>
        <x:v>0.07867380800798053</x:v>
      </x:c>
      <x:c r="I37" s="22" t="n">
        <x:f>IF(AND(ISNUMBER(G37),ISNUMBER(H37)),AVERAGE(G37,H37),"")</x:f>
        <x:v>0.07783189844119617</x:v>
      </x:c>
      <x:c r="J37" s="22" t="n">
        <x:f>IFERROR('3000rpm'!AU58,"")</x:f>
        <x:v>0</x:v>
      </x:c>
      <x:c r="K37" s="22" t="n">
        <x:f>IFERROR('3000rpm'!AU68,"")</x:f>
        <x:v>0.4448818897637795</x:v>
      </x:c>
      <x:c r="L37" s="22" t="n">
        <x:f>IFERROR('3000rpm'!AU64,"")</x:f>
        <x:v>0.26692913385826766</x:v>
      </x:c>
      <x:c r="M37" s="22" t="n">
        <x:f>IFERROR('3000rpm'!AT64,"")</x:f>
        <x:v>0.08765593286096608</x:v>
      </x:c>
      <x:c r="N37" s="22" t="n">
        <x:f>IFERROR('3000rpm'!AU65,"")</x:f>
        <x:v>0.3114173228346457</x:v>
      </x:c>
      <x:c r="O37" s="22" t="n">
        <x:f>IFERROR('3000rpm'!AT65,"")</x:f>
        <x:v>0.08872077809601459</x:v>
      </x:c>
      <x:c r="P37" s="22" t="n">
        <x:f>IF(OR(NOT(AND(ISNUMBER(D37),ISNUMBER(E37),ISNUMBER(G37),ISNUMBER(H37))),OR(F37&lt;J37,F37&gt;K37)),"",IF(N37=L37,M37,M37+(F37-L37)*(O37-M37)/(N37-L37)))</x:f>
        <x:v>0.08862704106448448</x:v>
      </x:c>
      <x:c r="Q37" s="22" t="n">
        <x:f>IF(AND(ISNUMBER(I37),ISNUMBER(P37)),I37-P37,"")</x:f>
        <x:v>-0.010795142623288304</x:v>
      </x:c>
      <x:c r="R37" s="22" t="n">
        <x:f>IF(ISNUMBER(Q37),ABS(Q37),"")</x:f>
        <x:v>0.010795142623288304</x:v>
      </x:c>
      <x:c r="S37" s="36" t="n">
        <x:f>IF(AND(ISNUMBER(Q37),ISNUMBER(P37)),IF(ABS(P37)&lt;1E-12,"",Q37/P37),"")</x:f>
        <x:v>-0.12180416375893477</x:v>
      </x:c>
      <x:c r="T37" s="36" t="n">
        <x:f>IF(ISNUMBER(S37),ABS(S37),"")</x:f>
        <x:v>0.12180416375893477</x:v>
      </x:c>
      <x:c r="U37" s="37" t="n">
        <x:f>IF(ISNUMBER(Q37),Q37^2,"")</x:f>
        <x:v>0.00011653510425713588</x:v>
      </x:c>
      <x:c r="V37" s="21" t="str">
        <x:f>IF(NOT(AND(ISNUMBER(D37),ISNUMBER(E37),ISNUMBER(G37),ISNUMBER(H37))),"缺少配对",IF(OR(F37&lt;J37,F37&gt;K37),"超出理论J范围","有效"))</x:f>
        <x:v>有效</x:v>
      </x:c>
      <x:c r="W37" s="20" t="str">
        <x:v>升力 y=0.915708x+28.7687 → C_T_prop；实验攻角 15° ↔ 理论 alpha_p_deg 75°；原升力源 3000rpm!D38/O38</x:v>
      </x:c>
      <x:c r="X37" s="20" t="str">
        <x:v>升力标定计算!M73</x:v>
      </x:c>
      <x:c r="Y37" s="20" t="str">
        <x:v>升力标定计算!M74</x:v>
      </x:c>
      <x:c r="Z37" s="20" t="str">
        <x:v>升力标定计算!N73</x:v>
      </x:c>
      <x:c r="AA37" s="20" t="str">
        <x:v>升力标定计算!N74</x:v>
      </x:c>
      <x:c r="AB37" s="20" t="str">
        <x:v>3000rpm!AU64:AT65</x:v>
      </x:c>
    </x:row>
    <x:row r="38">
      <x:c r="A38" s="21" t="n">
        <x:v>3000</x:v>
      </x:c>
      <x:c r="B38" s="21" t="n">
        <x:v>15</x:v>
      </x:c>
      <x:c r="C38" s="21" t="n">
        <x:v>10</x:v>
      </x:c>
      <x:c r="D38" s="22" t="n">
        <x:f>IFERROR('升力标定计算'!M75,"")</x:f>
        <x:v>0.35456036402038815</x:v>
      </x:c>
      <x:c r="E38" s="22" t="n">
        <x:f>IFERROR('升力标定计算'!M76,"")</x:f>
        <x:v>0.3480093058460575</x:v>
      </x:c>
      <x:c r="F38" s="22" t="n">
        <x:f>IF(AND(ISNUMBER(D38),ISNUMBER(E38)),AVERAGE(D38,E38),"")</x:f>
        <x:v>0.3512848349332228</x:v>
      </x:c>
      <x:c r="G38" s="22" t="n">
        <x:f>IFERROR('升力标定计算'!N75,"")</x:f>
        <x:v>0.0796536759869541</x:v>
      </x:c>
      <x:c r="H38" s="22" t="n">
        <x:f>IFERROR('升力标定计算'!N76,"")</x:f>
        <x:v>0.07911219805023849</x:v>
      </x:c>
      <x:c r="I38" s="22" t="n">
        <x:f>IF(AND(ISNUMBER(G38),ISNUMBER(H38)),AVERAGE(G38,H38),"")</x:f>
        <x:v>0.07938293701859629</x:v>
      </x:c>
      <x:c r="J38" s="22" t="n">
        <x:f>IFERROR('3000rpm'!AU58,"")</x:f>
        <x:v>0</x:v>
      </x:c>
      <x:c r="K38" s="22" t="n">
        <x:f>IFERROR('3000rpm'!AU68,"")</x:f>
        <x:v>0.4448818897637795</x:v>
      </x:c>
      <x:c r="L38" s="22" t="n">
        <x:f>IFERROR('3000rpm'!AU65,"")</x:f>
        <x:v>0.3114173228346457</x:v>
      </x:c>
      <x:c r="M38" s="22" t="n">
        <x:f>IFERROR('3000rpm'!AT65,"")</x:f>
        <x:v>0.08872077809601459</x:v>
      </x:c>
      <x:c r="N38" s="22" t="n">
        <x:f>IFERROR('3000rpm'!AU66,"")</x:f>
        <x:v>0.3559055118110237</x:v>
      </x:c>
      <x:c r="O38" s="22" t="n">
        <x:f>IFERROR('3000rpm'!AT66,"")</x:f>
        <x:v>0.08961775849392146</x:v>
      </x:c>
      <x:c r="P38" s="22" t="n">
        <x:f>IF(OR(NOT(AND(ISNUMBER(D38),ISNUMBER(E38),ISNUMBER(G38),ISNUMBER(H38))),OR(F38&lt;J38,F38&gt;K38)),"",IF(N38=L38,M38,M38+(F38-L38)*(O38-M38)/(N38-L38)))</x:f>
        <x:v>0.0895245954167135</x:v>
      </x:c>
      <x:c r="Q38" s="22" t="n">
        <x:f>IF(AND(ISNUMBER(I38),ISNUMBER(P38)),I38-P38,"")</x:f>
        <x:v>-0.010141658398117204</x:v>
      </x:c>
      <x:c r="R38" s="22" t="n">
        <x:f>IF(ISNUMBER(Q38),ABS(Q38),"")</x:f>
        <x:v>0.010141658398117204</x:v>
      </x:c>
      <x:c r="S38" s="36" t="n">
        <x:f>IF(AND(ISNUMBER(Q38),ISNUMBER(P38)),IF(ABS(P38)&lt;1E-12,"",Q38/P38),"")</x:f>
        <x:v>-0.11328348763722913</x:v>
      </x:c>
      <x:c r="T38" s="36" t="n">
        <x:f>IF(ISNUMBER(S38),ABS(S38),"")</x:f>
        <x:v>0.11328348763722913</x:v>
      </x:c>
      <x:c r="U38" s="37" t="n">
        <x:f>IF(ISNUMBER(Q38),Q38^2,"")</x:f>
        <x:v>0.00010285323506410121</x:v>
      </x:c>
      <x:c r="V38" s="21" t="str">
        <x:f>IF(NOT(AND(ISNUMBER(D38),ISNUMBER(E38),ISNUMBER(G38),ISNUMBER(H38))),"缺少配对",IF(OR(F38&lt;J38,F38&gt;K38),"超出理论J范围","有效"))</x:f>
        <x:v>有效</x:v>
      </x:c>
      <x:c r="W38" s="20" t="str">
        <x:v>升力 y=0.915708x+28.7687 → C_T_prop；实验攻角 15° ↔ 理论 alpha_p_deg 75°；原升力源 3000rpm!D39/O39</x:v>
      </x:c>
      <x:c r="X38" s="20" t="str">
        <x:v>升力标定计算!M75</x:v>
      </x:c>
      <x:c r="Y38" s="20" t="str">
        <x:v>升力标定计算!M76</x:v>
      </x:c>
      <x:c r="Z38" s="20" t="str">
        <x:v>升力标定计算!N75</x:v>
      </x:c>
      <x:c r="AA38" s="20" t="str">
        <x:v>升力标定计算!N76</x:v>
      </x:c>
      <x:c r="AB38" s="20" t="str">
        <x:v>3000rpm!AU65:AT66</x:v>
      </x:c>
    </x:row>
    <x:row r="39">
      <x:c r="A39" s="21" t="n">
        <x:v>3000</x:v>
      </x:c>
      <x:c r="B39" s="21" t="n">
        <x:v>15</x:v>
      </x:c>
      <x:c r="C39" s="21" t="n">
        <x:v>11</x:v>
      </x:c>
      <x:c r="D39" s="22" t="n">
        <x:f>IFERROR('升力标定计算'!M77,"")</x:f>
        <x:v>0.4012790038551095</x:v>
      </x:c>
      <x:c r="E39" s="22" t="n">
        <x:f>IFERROR('升力标定计算'!M78,"")</x:f>
        <x:v>0.3948904390002635</x:v>
      </x:c>
      <x:c r="F39" s="22" t="n">
        <x:f>IF(AND(ISNUMBER(D39),ISNUMBER(E39)),AVERAGE(D39,E39),"")</x:f>
        <x:v>0.39808472142768647</x:v>
      </x:c>
      <x:c r="G39" s="22" t="n">
        <x:f>IFERROR('升力标定计算'!N77,"")</x:f>
        <x:v>0.08125162677212687</x:v>
      </x:c>
      <x:c r="H39" s="22" t="n">
        <x:f>IFERROR('升力标定计算'!N78,"")</x:f>
        <x:v>0.08197920220147564</x:v>
      </x:c>
      <x:c r="I39" s="22" t="n">
        <x:f>IF(AND(ISNUMBER(G39),ISNUMBER(H39)),AVERAGE(G39,H39),"")</x:f>
        <x:v>0.08161541448680126</x:v>
      </x:c>
      <x:c r="J39" s="22" t="n">
        <x:f>IFERROR('3000rpm'!AU58,"")</x:f>
        <x:v>0</x:v>
      </x:c>
      <x:c r="K39" s="22" t="n">
        <x:f>IFERROR('3000rpm'!AU68,"")</x:f>
        <x:v>0.4448818897637795</x:v>
      </x:c>
      <x:c r="L39" s="22" t="n">
        <x:f>IFERROR('3000rpm'!AU66,"")</x:f>
        <x:v>0.3559055118110237</x:v>
      </x:c>
      <x:c r="M39" s="22" t="n">
        <x:f>IFERROR('3000rpm'!AT66,"")</x:f>
        <x:v>0.08961775849392146</x:v>
      </x:c>
      <x:c r="N39" s="22" t="n">
        <x:f>IFERROR('3000rpm'!AU67,"")</x:f>
        <x:v>0.40039370078740166</x:v>
      </x:c>
      <x:c r="O39" s="22" t="n">
        <x:f>IFERROR('3000rpm'!AT67,"")</x:f>
        <x:v>0.09031625634438716</x:v>
      </x:c>
      <x:c r="P39" s="22" t="n">
        <x:f>IF(OR(NOT(AND(ISNUMBER(D39),ISNUMBER(E39),ISNUMBER(G39),ISNUMBER(H39))),OR(F39&lt;J39,F39&gt;K39)),"",IF(N39=L39,M39,M39+(F39-L39)*(O39-M39)/(N39-L39)))</x:f>
        <x:v>0.0902800036409924</x:v>
      </x:c>
      <x:c r="Q39" s="22" t="n">
        <x:f>IF(AND(ISNUMBER(I39),ISNUMBER(P39)),I39-P39,"")</x:f>
        <x:v>-0.008664589154191132</x:v>
      </x:c>
      <x:c r="R39" s="22" t="n">
        <x:f>IF(ISNUMBER(Q39),ABS(Q39),"")</x:f>
        <x:v>0.008664589154191132</x:v>
      </x:c>
      <x:c r="S39" s="36" t="n">
        <x:f>IF(AND(ISNUMBER(Q39),ISNUMBER(P39)),IF(ABS(P39)&lt;1E-12,"",Q39/P39),"")</x:f>
        <x:v>-0.0959746212311505</x:v>
      </x:c>
      <x:c r="T39" s="36" t="n">
        <x:f>IF(ISNUMBER(S39),ABS(S39),"")</x:f>
        <x:v>0.0959746212311505</x:v>
      </x:c>
      <x:c r="U39" s="37" t="n">
        <x:f>IF(ISNUMBER(Q39),Q39^2,"")</x:f>
        <x:v>0.00007507510521092661</x:v>
      </x:c>
      <x:c r="V39" s="21" t="str">
        <x:f>IF(NOT(AND(ISNUMBER(D39),ISNUMBER(E39),ISNUMBER(G39),ISNUMBER(H39))),"缺少配对",IF(OR(F39&lt;J39,F39&gt;K39),"超出理论J范围","有效"))</x:f>
        <x:v>有效</x:v>
      </x:c>
      <x:c r="W39" s="20" t="str">
        <x:v>升力 y=0.915708x+28.7687 → C_T_prop；实验攻角 15° ↔ 理论 alpha_p_deg 75°；原升力源 3000rpm!D40/O40</x:v>
      </x:c>
      <x:c r="X39" s="20" t="str">
        <x:v>升力标定计算!M77</x:v>
      </x:c>
      <x:c r="Y39" s="20" t="str">
        <x:v>升力标定计算!M78</x:v>
      </x:c>
      <x:c r="Z39" s="20" t="str">
        <x:v>升力标定计算!N77</x:v>
      </x:c>
      <x:c r="AA39" s="20" t="str">
        <x:v>升力标定计算!N78</x:v>
      </x:c>
      <x:c r="AB39" s="20" t="str">
        <x:v>3000rpm!AU66:AT67</x:v>
      </x:c>
    </x:row>
    <x:row r="40">
      <x:c r="A40" s="21" t="n">
        <x:v>3000</x:v>
      </x:c>
      <x:c r="B40" s="21" t="n">
        <x:v>15</x:v>
      </x:c>
      <x:c r="C40" s="21" t="n">
        <x:v>12</x:v>
      </x:c>
      <x:c r="D40" s="22" t="n">
        <x:f>IFERROR('升力标定计算'!M79,"")</x:f>
        <x:v>0.43941879011128243</x:v>
      </x:c>
      <x:c r="E40" s="22" t="n">
        <x:f>IFERROR('升力标定计算'!M80,"")</x:f>
        <x:v>0.4346096407664857</x:v>
      </x:c>
      <x:c r="F40" s="22" t="n">
        <x:f>IF(AND(ISNUMBER(D40),ISNUMBER(E40)),AVERAGE(D40,E40),"")</x:f>
        <x:v>0.4370142154388841</x:v>
      </x:c>
      <x:c r="G40" s="22" t="n">
        <x:f>IFERROR('升力标定计算'!N79,"")</x:f>
        <x:v>0.08100833465948605</x:v>
      </x:c>
      <x:c r="H40" s="22" t="n">
        <x:f>IFERROR('升力标定计算'!N80,"")</x:f>
        <x:v>0.08276095650569736</x:v>
      </x:c>
      <x:c r="I40" s="22" t="n">
        <x:f>IF(AND(ISNUMBER(G40),ISNUMBER(H40)),AVERAGE(G40,H40),"")</x:f>
        <x:v>0.0818846455825917</x:v>
      </x:c>
      <x:c r="J40" s="22" t="n">
        <x:f>IFERROR('3000rpm'!AU58,"")</x:f>
        <x:v>0</x:v>
      </x:c>
      <x:c r="K40" s="22" t="n">
        <x:f>IFERROR('3000rpm'!AU68,"")</x:f>
        <x:v>0.4448818897637795</x:v>
      </x:c>
      <x:c r="L40" s="22" t="n">
        <x:f>IFERROR('3000rpm'!AU67,"")</x:f>
        <x:v>0.40039370078740166</x:v>
      </x:c>
      <x:c r="M40" s="22" t="n">
        <x:f>IFERROR('3000rpm'!AT67,"")</x:f>
        <x:v>0.09031625634438716</x:v>
      </x:c>
      <x:c r="N40" s="22" t="n">
        <x:f>IFERROR('3000rpm'!AU68,"")</x:f>
        <x:v>0.4448818897637795</x:v>
      </x:c>
      <x:c r="O40" s="22" t="n">
        <x:f>IFERROR('3000rpm'!AT68,"")</x:f>
        <x:v>0.09080939368491635</x:v>
      </x:c>
      <x:c r="P40" s="22" t="n">
        <x:f>IF(OR(NOT(AND(ISNUMBER(D40),ISNUMBER(E40),ISNUMBER(G40),ISNUMBER(H40))),OR(F40&lt;J40,F40&gt;K40)),"",IF(N40=L40,M40,M40+(F40-L40)*(O40-M40)/(N40-L40)))</x:f>
        <x:v>0.09072218303233642</x:v>
      </x:c>
      <x:c r="Q40" s="22" t="n">
        <x:f>IF(AND(ISNUMBER(I40),ISNUMBER(P40)),I40-P40,"")</x:f>
        <x:v>-0.00883753744974472</x:v>
      </x:c>
      <x:c r="R40" s="22" t="n">
        <x:f>IF(ISNUMBER(Q40),ABS(Q40),"")</x:f>
        <x:v>0.00883753744974472</x:v>
      </x:c>
      <x:c r="S40" s="36" t="n">
        <x:f>IF(AND(ISNUMBER(Q40),ISNUMBER(P40)),IF(ABS(P40)&lt;1E-12,"",Q40/P40),"")</x:f>
        <x:v>-0.09741319216927051</x:v>
      </x:c>
      <x:c r="T40" s="36" t="n">
        <x:f>IF(ISNUMBER(S40),ABS(S40),"")</x:f>
        <x:v>0.09741319216927051</x:v>
      </x:c>
      <x:c r="U40" s="37" t="n">
        <x:f>IF(ISNUMBER(Q40),Q40^2,"")</x:f>
        <x:v>0.00007810206817564042</x:v>
      </x:c>
      <x:c r="V40" s="21" t="str">
        <x:f>IF(NOT(AND(ISNUMBER(D40),ISNUMBER(E40),ISNUMBER(G40),ISNUMBER(H40))),"缺少配对",IF(OR(F40&lt;J40,F40&gt;K40),"超出理论J范围","有效"))</x:f>
        <x:v>有效</x:v>
      </x:c>
      <x:c r="W40" s="20" t="str">
        <x:v>升力 y=0.915708x+28.7687 → C_T_prop；实验攻角 15° ↔ 理论 alpha_p_deg 75°；原升力源 3000rpm!D41/O41</x:v>
      </x:c>
      <x:c r="X40" s="20" t="str">
        <x:v>升力标定计算!M79</x:v>
      </x:c>
      <x:c r="Y40" s="20" t="str">
        <x:v>升力标定计算!M80</x:v>
      </x:c>
      <x:c r="Z40" s="20" t="str">
        <x:v>升力标定计算!N79</x:v>
      </x:c>
      <x:c r="AA40" s="20" t="str">
        <x:v>升力标定计算!N80</x:v>
      </x:c>
      <x:c r="AB40" s="20" t="str">
        <x:v>3000rpm!AU67:AT68</x:v>
      </x:c>
    </x:row>
    <x:row r="41">
      <x:c r="A41" s="21" t="n">
        <x:v>3000</x:v>
      </x:c>
      <x:c r="B41" s="21" t="n">
        <x:v>15</x:v>
      </x:c>
      <x:c r="C41" s="21" t="n">
        <x:v>13</x:v>
      </x:c>
      <x:c r="D41" s="22" t="n">
        <x:f>IFERROR('升力标定计算'!M81,"")</x:f>
        <x:v>0.40199729605819784</x:v>
      </x:c>
      <x:c r="E41" s="22" t="n">
        <x:f>IFERROR('升力标定计算'!M82,"")</x:f>
        <x:v>0.3953539159210348</x:v>
      </x:c>
      <x:c r="F41" s="22" t="n">
        <x:f>IF(AND(ISNUMBER(D41),ISNUMBER(E41)),AVERAGE(D41,E41),"")</x:f>
        <x:v>0.3986756059896163</x:v>
      </x:c>
      <x:c r="G41" s="22" t="n">
        <x:f>IFERROR('升力标定计算'!N81,"")</x:f>
        <x:v>0.0814065179315664</x:v>
      </x:c>
      <x:c r="H41" s="22" t="n">
        <x:f>IFERROR('升力标定计算'!N82,"")</x:f>
        <x:v>0.0814458250601583</x:v>
      </x:c>
      <x:c r="I41" s="22" t="n">
        <x:f>IF(AND(ISNUMBER(G41),ISNUMBER(H41)),AVERAGE(G41,H41),"")</x:f>
        <x:v>0.08142617149586234</x:v>
      </x:c>
      <x:c r="J41" s="22" t="n">
        <x:f>IFERROR('3000rpm'!AU58,"")</x:f>
        <x:v>0</x:v>
      </x:c>
      <x:c r="K41" s="22" t="n">
        <x:f>IFERROR('3000rpm'!AU68,"")</x:f>
        <x:v>0.4448818897637795</x:v>
      </x:c>
      <x:c r="L41" s="22" t="n">
        <x:f>IFERROR('3000rpm'!AU66,"")</x:f>
        <x:v>0.3559055118110237</x:v>
      </x:c>
      <x:c r="M41" s="22" t="n">
        <x:f>IFERROR('3000rpm'!AT66,"")</x:f>
        <x:v>0.08961775849392146</x:v>
      </x:c>
      <x:c r="N41" s="22" t="n">
        <x:f>IFERROR('3000rpm'!AU67,"")</x:f>
        <x:v>0.40039370078740166</x:v>
      </x:c>
      <x:c r="O41" s="22" t="n">
        <x:f>IFERROR('3000rpm'!AT67,"")</x:f>
        <x:v>0.09031625634438716</x:v>
      </x:c>
      <x:c r="P41" s="22" t="n">
        <x:f>IF(OR(NOT(AND(ISNUMBER(D41),ISNUMBER(E41),ISNUMBER(G41),ISNUMBER(H41))),OR(F41&lt;J41,F41&gt;K41)),"",IF(N41=L41,M41,M41+(F41-L41)*(O41-M41)/(N41-L41)))</x:f>
        <x:v>0.09028928097068097</x:v>
      </x:c>
      <x:c r="Q41" s="22" t="n">
        <x:f>IF(AND(ISNUMBER(I41),ISNUMBER(P41)),I41-P41,"")</x:f>
        <x:v>-0.008863109474818623</x:v>
      </x:c>
      <x:c r="R41" s="22" t="n">
        <x:f>IF(ISNUMBER(Q41),ABS(Q41),"")</x:f>
        <x:v>0.008863109474818623</x:v>
      </x:c>
      <x:c r="S41" s="36" t="n">
        <x:f>IF(AND(ISNUMBER(Q41),ISNUMBER(P41)),IF(ABS(P41)&lt;1E-12,"",Q41/P41),"")</x:f>
        <x:v>-0.0981634738867472</x:v>
      </x:c>
      <x:c r="T41" s="36" t="n">
        <x:f>IF(ISNUMBER(S41),ABS(S41),"")</x:f>
        <x:v>0.0981634738867472</x:v>
      </x:c>
      <x:c r="U41" s="37" t="n">
        <x:f>IF(ISNUMBER(Q41),Q41^2,"")</x:f>
        <x:v>0.00007855470956261965</x:v>
      </x:c>
      <x:c r="V41" s="21" t="str">
        <x:f>IF(NOT(AND(ISNUMBER(D41),ISNUMBER(E41),ISNUMBER(G41),ISNUMBER(H41))),"缺少配对",IF(OR(F41&lt;J41,F41&gt;K41),"超出理论J范围","有效"))</x:f>
        <x:v>有效</x:v>
      </x:c>
      <x:c r="W41" s="20" t="str">
        <x:v>升力 y=0.915708x+28.7687 → C_T_prop；实验攻角 15° ↔ 理论 alpha_p_deg 75°；原升力源 3000rpm!D42/O42</x:v>
      </x:c>
      <x:c r="X41" s="20" t="str">
        <x:v>升力标定计算!M81</x:v>
      </x:c>
      <x:c r="Y41" s="20" t="str">
        <x:v>升力标定计算!M82</x:v>
      </x:c>
      <x:c r="Z41" s="20" t="str">
        <x:v>升力标定计算!N81</x:v>
      </x:c>
      <x:c r="AA41" s="20" t="str">
        <x:v>升力标定计算!N82</x:v>
      </x:c>
      <x:c r="AB41" s="20" t="str">
        <x:v>3000rpm!AU66:AT67</x:v>
      </x:c>
    </x:row>
    <x:row r="42">
      <x:c r="A42" s="21" t="n">
        <x:v>3000</x:v>
      </x:c>
      <x:c r="B42" s="21" t="n">
        <x:v>15</x:v>
      </x:c>
      <x:c r="C42" s="21" t="n">
        <x:v>14</x:v>
      </x:c>
      <x:c r="D42" s="22" t="n">
        <x:f>IFERROR('升力标定计算'!M83,"")</x:f>
        <x:v>0.3642767795380529</x:v>
      </x:c>
      <x:c r="E42" s="22" t="n">
        <x:f>IFERROR('升力标定计算'!M84,"")</x:f>
        <x:v>0.35062510544495096</x:v>
      </x:c>
      <x:c r="F42" s="22" t="n">
        <x:f>IF(AND(ISNUMBER(D42),ISNUMBER(E42)),AVERAGE(D42,E42),"")</x:f>
        <x:v>0.3574509424915019</x:v>
      </x:c>
      <x:c r="G42" s="22" t="n">
        <x:f>IFERROR('升力标定计算'!N83,"")</x:f>
        <x:v>0.07979597939131669</x:v>
      </x:c>
      <x:c r="H42" s="22" t="n">
        <x:f>IFERROR('升力标定计算'!N84,"")</x:f>
        <x:v>0.07972657997457806</x:v>
      </x:c>
      <x:c r="I42" s="22" t="n">
        <x:f>IF(AND(ISNUMBER(G42),ISNUMBER(H42)),AVERAGE(G42,H42),"")</x:f>
        <x:v>0.07976127968294738</x:v>
      </x:c>
      <x:c r="J42" s="22" t="n">
        <x:f>IFERROR('3000rpm'!AU58,"")</x:f>
        <x:v>0</x:v>
      </x:c>
      <x:c r="K42" s="22" t="n">
        <x:f>IFERROR('3000rpm'!AU68,"")</x:f>
        <x:v>0.4448818897637795</x:v>
      </x:c>
      <x:c r="L42" s="22" t="n">
        <x:f>IFERROR('3000rpm'!AU66,"")</x:f>
        <x:v>0.3559055118110237</x:v>
      </x:c>
      <x:c r="M42" s="22" t="n">
        <x:f>IFERROR('3000rpm'!AT66,"")</x:f>
        <x:v>0.08961775849392146</x:v>
      </x:c>
      <x:c r="N42" s="22" t="n">
        <x:f>IFERROR('3000rpm'!AU67,"")</x:f>
        <x:v>0.40039370078740166</x:v>
      </x:c>
      <x:c r="O42" s="22" t="n">
        <x:f>IFERROR('3000rpm'!AT67,"")</x:f>
        <x:v>0.09031625634438716</x:v>
      </x:c>
      <x:c r="P42" s="22" t="n">
        <x:f>IF(OR(NOT(AND(ISNUMBER(D42),ISNUMBER(E42),ISNUMBER(G42),ISNUMBER(H42))),OR(F42&lt;J42,F42&gt;K42)),"",IF(N42=L42,M42,M42+(F42-L42)*(O42-M42)/(N42-L42)))</x:f>
        <x:v>0.08964202291180845</x:v>
      </x:c>
      <x:c r="Q42" s="22" t="n">
        <x:f>IF(AND(ISNUMBER(I42),ISNUMBER(P42)),I42-P42,"")</x:f>
        <x:v>-0.009880743228861066</x:v>
      </x:c>
      <x:c r="R42" s="22" t="n">
        <x:f>IF(ISNUMBER(Q42),ABS(Q42),"")</x:f>
        <x:v>0.009880743228861066</x:v>
      </x:c>
      <x:c r="S42" s="36" t="n">
        <x:f>IF(AND(ISNUMBER(Q42),ISNUMBER(P42)),IF(ABS(P42)&lt;1E-12,"",Q42/P42),"")</x:f>
        <x:v>-0.11022445620824434</x:v>
      </x:c>
      <x:c r="T42" s="36" t="n">
        <x:f>IF(ISNUMBER(S42),ABS(S42),"")</x:f>
        <x:v>0.11022445620824434</x:v>
      </x:c>
      <x:c r="U42" s="37" t="n">
        <x:f>IF(ISNUMBER(Q42),Q42^2,"")</x:f>
        <x:v>0.00009762908675468381</x:v>
      </x:c>
      <x:c r="V42" s="21" t="str">
        <x:f>IF(NOT(AND(ISNUMBER(D42),ISNUMBER(E42),ISNUMBER(G42),ISNUMBER(H42))),"缺少配对",IF(OR(F42&lt;J42,F42&gt;K42),"超出理论J范围","有效"))</x:f>
        <x:v>有效</x:v>
      </x:c>
      <x:c r="W42" s="20" t="str">
        <x:v>升力 y=0.915708x+28.7687 → C_T_prop；实验攻角 15° ↔ 理论 alpha_p_deg 75°；原升力源 3000rpm!D43/O43</x:v>
      </x:c>
      <x:c r="X42" s="20" t="str">
        <x:v>升力标定计算!M83</x:v>
      </x:c>
      <x:c r="Y42" s="20" t="str">
        <x:v>升力标定计算!M84</x:v>
      </x:c>
      <x:c r="Z42" s="20" t="str">
        <x:v>升力标定计算!N83</x:v>
      </x:c>
      <x:c r="AA42" s="20" t="str">
        <x:v>升力标定计算!N84</x:v>
      </x:c>
      <x:c r="AB42" s="20" t="str">
        <x:v>3000rpm!AU66:AT67</x:v>
      </x:c>
    </x:row>
    <x:row r="43">
      <x:c r="A43" s="21" t="n">
        <x:v>3000</x:v>
      </x:c>
      <x:c r="B43" s="21" t="n">
        <x:v>15</x:v>
      </x:c>
      <x:c r="C43" s="21" t="n">
        <x:v>15</x:v>
      </x:c>
      <x:c r="D43" s="22" t="n">
        <x:f>IFERROR('升力标定计算'!M85,"")</x:f>
        <x:v>0.3134049797284728</x:v>
      </x:c>
      <x:c r="E43" s="22" t="n">
        <x:f>IFERROR('升力标定计算'!M86,"")</x:f>
        <x:v>0.3059512821855668</x:v>
      </x:c>
      <x:c r="F43" s="22" t="n">
        <x:f>IF(AND(ISNUMBER(D43),ISNUMBER(E43)),AVERAGE(D43,E43),"")</x:f>
        <x:v>0.3096781309570198</x:v>
      </x:c>
      <x:c r="G43" s="22" t="n">
        <x:f>IFERROR('升力标定计算'!N85,"")</x:f>
        <x:v>0.07848078934949089</x:v>
      </x:c>
      <x:c r="H43" s="22" t="n">
        <x:f>IFERROR('升力标定计算'!N86,"")</x:f>
        <x:v>0.07830487115653452</x:v>
      </x:c>
      <x:c r="I43" s="22" t="n">
        <x:f>IF(AND(ISNUMBER(G43),ISNUMBER(H43)),AVERAGE(G43,H43),"")</x:f>
        <x:v>0.0783928302530127</x:v>
      </x:c>
      <x:c r="J43" s="22" t="n">
        <x:f>IFERROR('3000rpm'!AU58,"")</x:f>
        <x:v>0</x:v>
      </x:c>
      <x:c r="K43" s="22" t="n">
        <x:f>IFERROR('3000rpm'!AU68,"")</x:f>
        <x:v>0.4448818897637795</x:v>
      </x:c>
      <x:c r="L43" s="22" t="n">
        <x:f>IFERROR('3000rpm'!AU64,"")</x:f>
        <x:v>0.26692913385826766</x:v>
      </x:c>
      <x:c r="M43" s="22" t="n">
        <x:f>IFERROR('3000rpm'!AT64,"")</x:f>
        <x:v>0.08765593286096608</x:v>
      </x:c>
      <x:c r="N43" s="22" t="n">
        <x:f>IFERROR('3000rpm'!AU65,"")</x:f>
        <x:v>0.3114173228346457</x:v>
      </x:c>
      <x:c r="O43" s="22" t="n">
        <x:f>IFERROR('3000rpm'!AT65,"")</x:f>
        <x:v>0.08872077809601459</x:v>
      </x:c>
      <x:c r="P43" s="22" t="n">
        <x:f>IF(OR(NOT(AND(ISNUMBER(D43),ISNUMBER(E43),ISNUMBER(G43),ISNUMBER(H43))),OR(F43&lt;J43,F43&gt;K43)),"",IF(N43=L43,M43,M43+(F43-L43)*(O43-M43)/(N43-L43)))</x:f>
        <x:v>0.08867914973967245</x:v>
      </x:c>
      <x:c r="Q43" s="22" t="n">
        <x:f>IF(AND(ISNUMBER(I43),ISNUMBER(P43)),I43-P43,"")</x:f>
        <x:v>-0.010286319486659742</x:v>
      </x:c>
      <x:c r="R43" s="22" t="n">
        <x:f>IF(ISNUMBER(Q43),ABS(Q43),"")</x:f>
        <x:v>0.010286319486659742</x:v>
      </x:c>
      <x:c r="S43" s="36" t="n">
        <x:f>IF(AND(ISNUMBER(Q43),ISNUMBER(P43)),IF(ABS(P43)&lt;1E-12,"",Q43/P43),"")</x:f>
        <x:v>-0.11599479152491181</x:v>
      </x:c>
      <x:c r="T43" s="36" t="n">
        <x:f>IF(ISNUMBER(S43),ABS(S43),"")</x:f>
        <x:v>0.11599479152491181</x:v>
      </x:c>
      <x:c r="U43" s="37" t="n">
        <x:f>IF(ISNUMBER(Q43),Q43^2,"")</x:f>
        <x:v>0.00010580836858163594</x:v>
      </x:c>
      <x:c r="V43" s="21" t="str">
        <x:f>IF(NOT(AND(ISNUMBER(D43),ISNUMBER(E43),ISNUMBER(G43),ISNUMBER(H43))),"缺少配对",IF(OR(F43&lt;J43,F43&gt;K43),"超出理论J范围","有效"))</x:f>
        <x:v>有效</x:v>
      </x:c>
      <x:c r="W43" s="20" t="str">
        <x:v>升力 y=0.915708x+28.7687 → C_T_prop；实验攻角 15° ↔ 理论 alpha_p_deg 75°；原升力源 3000rpm!D44/O44</x:v>
      </x:c>
      <x:c r="X43" s="20" t="str">
        <x:v>升力标定计算!M85</x:v>
      </x:c>
      <x:c r="Y43" s="20" t="str">
        <x:v>升力标定计算!M86</x:v>
      </x:c>
      <x:c r="Z43" s="20" t="str">
        <x:v>升力标定计算!N85</x:v>
      </x:c>
      <x:c r="AA43" s="20" t="str">
        <x:v>升力标定计算!N86</x:v>
      </x:c>
      <x:c r="AB43" s="20" t="str">
        <x:v>3000rpm!AU64:AT65</x:v>
      </x:c>
    </x:row>
    <x:row r="44">
      <x:c r="A44" s="21" t="n">
        <x:v>3000</x:v>
      </x:c>
      <x:c r="B44" s="21" t="n">
        <x:v>15</x:v>
      </x:c>
      <x:c r="C44" s="21" t="n">
        <x:v>16</x:v>
      </x:c>
      <x:c r="D44" s="22" t="n">
        <x:f>IFERROR('升力标定计算'!M87,"")</x:f>
        <x:v>0.26880129067493186</x:v>
      </x:c>
      <x:c r="E44" s="22" t="n">
        <x:f>IFERROR('升力标定计算'!M88,"")</x:f>
        <x:v>0.26288553449541674</x:v>
      </x:c>
      <x:c r="F44" s="22" t="n">
        <x:f>IF(AND(ISNUMBER(D44),ISNUMBER(E44)),AVERAGE(D44,E44),"")</x:f>
        <x:v>0.2658434125851743</x:v>
      </x:c>
      <x:c r="G44" s="22" t="n">
        <x:f>IFERROR('升力标定计算'!N87,"")</x:f>
        <x:v>0.07755847785892436</x:v>
      </x:c>
      <x:c r="H44" s="22" t="n">
        <x:f>IFERROR('升力标定计算'!N88,"")</x:f>
        <x:v>0.07652347944203829</x:v>
      </x:c>
      <x:c r="I44" s="22" t="n">
        <x:f>IF(AND(ISNUMBER(G44),ISNUMBER(H44)),AVERAGE(G44,H44),"")</x:f>
        <x:v>0.07704097865048132</x:v>
      </x:c>
      <x:c r="J44" s="22" t="n">
        <x:f>IFERROR('3000rpm'!AU58,"")</x:f>
        <x:v>0</x:v>
      </x:c>
      <x:c r="K44" s="22" t="n">
        <x:f>IFERROR('3000rpm'!AU68,"")</x:f>
        <x:v>0.4448818897637795</x:v>
      </x:c>
      <x:c r="L44" s="22" t="n">
        <x:f>IFERROR('3000rpm'!AU63,"")</x:f>
        <x:v>0.22244094488188976</x:v>
      </x:c>
      <x:c r="M44" s="22" t="n">
        <x:f>IFERROR('3000rpm'!AT63,"")</x:f>
        <x:v>0.08646315614930984</x:v>
      </x:c>
      <x:c r="N44" s="22" t="n">
        <x:f>IFERROR('3000rpm'!AU64,"")</x:f>
        <x:v>0.26692913385826766</x:v>
      </x:c>
      <x:c r="O44" s="22" t="n">
        <x:f>IFERROR('3000rpm'!AT64,"")</x:f>
        <x:v>0.08765593286096608</x:v>
      </x:c>
      <x:c r="P44" s="22" t="n">
        <x:f>IF(OR(NOT(AND(ISNUMBER(D44),ISNUMBER(E44),ISNUMBER(G44),ISNUMBER(H44))),OR(F44&lt;J44,F44&gt;K44)),"",IF(N44=L44,M44,M44+(F44-L44)*(O44-M44)/(N44-L44)))</x:f>
        <x:v>0.08762682349329587</x:v>
      </x:c>
      <x:c r="Q44" s="22" t="n">
        <x:f>IF(AND(ISNUMBER(I44),ISNUMBER(P44)),I44-P44,"")</x:f>
        <x:v>-0.010585844842814551</x:v>
      </x:c>
      <x:c r="R44" s="22" t="n">
        <x:f>IF(ISNUMBER(Q44),ABS(Q44),"")</x:f>
        <x:v>0.010585844842814551</x:v>
      </x:c>
      <x:c r="S44" s="36" t="n">
        <x:f>IF(AND(ISNUMBER(Q44),ISNUMBER(P44)),IF(ABS(P44)&lt;1E-12,"",Q44/P44),"")</x:f>
        <x:v>-0.12080598634988121</x:v>
      </x:c>
      <x:c r="T44" s="36" t="n">
        <x:f>IF(ISNUMBER(S44),ABS(S44),"")</x:f>
        <x:v>0.12080598634988121</x:v>
      </x:c>
      <x:c r="U44" s="37" t="n">
        <x:f>IF(ISNUMBER(Q44),Q44^2,"")</x:f>
        <x:v>0.00011206011103614344</x:v>
      </x:c>
      <x:c r="V44" s="21" t="str">
        <x:f>IF(NOT(AND(ISNUMBER(D44),ISNUMBER(E44),ISNUMBER(G44),ISNUMBER(H44))),"缺少配对",IF(OR(F44&lt;J44,F44&gt;K44),"超出理论J范围","有效"))</x:f>
        <x:v>有效</x:v>
      </x:c>
      <x:c r="W44" s="20" t="str">
        <x:v>升力 y=0.915708x+28.7687 → C_T_prop；实验攻角 15° ↔ 理论 alpha_p_deg 75°；原升力源 3000rpm!D45/O45</x:v>
      </x:c>
      <x:c r="X44" s="20" t="str">
        <x:v>升力标定计算!M87</x:v>
      </x:c>
      <x:c r="Y44" s="20" t="str">
        <x:v>升力标定计算!M88</x:v>
      </x:c>
      <x:c r="Z44" s="20" t="str">
        <x:v>升力标定计算!N87</x:v>
      </x:c>
      <x:c r="AA44" s="20" t="str">
        <x:v>升力标定计算!N88</x:v>
      </x:c>
      <x:c r="AB44" s="20" t="str">
        <x:v>3000rpm!AU63:AT64</x:v>
      </x:c>
    </x:row>
    <x:row r="45">
      <x:c r="A45" s="21" t="n">
        <x:v>3000</x:v>
      </x:c>
      <x:c r="B45" s="21" t="n">
        <x:v>15</x:v>
      </x:c>
      <x:c r="C45" s="21" t="n">
        <x:v>17</x:v>
      </x:c>
      <x:c r="D45" s="22" t="n">
        <x:f>IFERROR('升力标定计算'!M89,"")</x:f>
        <x:v>0.2250047185133622</x:v>
      </x:c>
      <x:c r="E45" s="22" t="n">
        <x:f>IFERROR('升力标定计算'!M90,"")</x:f>
        <x:v>0.21919322629630536</x:v>
      </x:c>
      <x:c r="F45" s="22" t="n">
        <x:f>IF(AND(ISNUMBER(D45),ISNUMBER(E45)),AVERAGE(D45,E45),"")</x:f>
        <x:v>0.22209897240483378</x:v>
      </x:c>
      <x:c r="G45" s="22" t="n">
        <x:f>IFERROR('升力标定计算'!N89,"")</x:f>
        <x:v>0.07715201480148765</x:v>
      </x:c>
      <x:c r="H45" s="22" t="n">
        <x:f>IFERROR('升力标定计算'!N90,"")</x:f>
        <x:v>0.0762967676866524</x:v>
      </x:c>
      <x:c r="I45" s="22" t="n">
        <x:f>IF(AND(ISNUMBER(G45),ISNUMBER(H45)),AVERAGE(G45,H45),"")</x:f>
        <x:v>0.07672439124407002</x:v>
      </x:c>
      <x:c r="J45" s="22" t="n">
        <x:f>IFERROR('3000rpm'!AU58,"")</x:f>
        <x:v>0</x:v>
      </x:c>
      <x:c r="K45" s="22" t="n">
        <x:f>IFERROR('3000rpm'!AU68,"")</x:f>
        <x:v>0.4448818897637795</x:v>
      </x:c>
      <x:c r="L45" s="22" t="n">
        <x:f>IFERROR('3000rpm'!AU62,"")</x:f>
        <x:v>0.17795275590551185</x:v>
      </x:c>
      <x:c r="M45" s="22" t="n">
        <x:f>IFERROR('3000rpm'!AT62,"")</x:f>
        <x:v>0.08525404572157776</x:v>
      </x:c>
      <x:c r="N45" s="22" t="n">
        <x:f>IFERROR('3000rpm'!AU63,"")</x:f>
        <x:v>0.22244094488188976</x:v>
      </x:c>
      <x:c r="O45" s="22" t="n">
        <x:f>IFERROR('3000rpm'!AT63,"")</x:f>
        <x:v>0.08646315614930984</x:v>
      </x:c>
      <x:c r="P45" s="22" t="n">
        <x:f>IF(OR(NOT(AND(ISNUMBER(D45),ISNUMBER(E45),ISNUMBER(G45),ISNUMBER(H45))),OR(F45&lt;J45,F45&gt;K45)),"",IF(N45=L45,M45,M45+(F45-L45)*(O45-M45)/(N45-L45)))</x:f>
        <x:v>0.08645386194117237</x:v>
      </x:c>
      <x:c r="Q45" s="22" t="n">
        <x:f>IF(AND(ISNUMBER(I45),ISNUMBER(P45)),I45-P45,"")</x:f>
        <x:v>-0.009729470697102352</x:v>
      </x:c>
      <x:c r="R45" s="22" t="n">
        <x:f>IF(ISNUMBER(Q45),ABS(Q45),"")</x:f>
        <x:v>0.009729470697102352</x:v>
      </x:c>
      <x:c r="S45" s="36" t="n">
        <x:f>IF(AND(ISNUMBER(Q45),ISNUMBER(P45)),IF(ABS(P45)&lt;1E-12,"",Q45/P45),"")</x:f>
        <x:v>-0.11253945721618291</x:v>
      </x:c>
      <x:c r="T45" s="36" t="n">
        <x:f>IF(ISNUMBER(S45),ABS(S45),"")</x:f>
        <x:v>0.11253945721618291</x:v>
      </x:c>
      <x:c r="U45" s="37" t="n">
        <x:f>IF(ISNUMBER(Q45),Q45^2,"")</x:f>
        <x:v>0.00009466260004577333</x:v>
      </x:c>
      <x:c r="V45" s="21" t="str">
        <x:f>IF(NOT(AND(ISNUMBER(D45),ISNUMBER(E45),ISNUMBER(G45),ISNUMBER(H45))),"缺少配对",IF(OR(F45&lt;J45,F45&gt;K45),"超出理论J范围","有效"))</x:f>
        <x:v>有效</x:v>
      </x:c>
      <x:c r="W45" s="20" t="str">
        <x:v>升力 y=0.915708x+28.7687 → C_T_prop；实验攻角 15° ↔ 理论 alpha_p_deg 75°；原升力源 3000rpm!D46/O46</x:v>
      </x:c>
      <x:c r="X45" s="20" t="str">
        <x:v>升力标定计算!M89</x:v>
      </x:c>
      <x:c r="Y45" s="20" t="str">
        <x:v>升力标定计算!M90</x:v>
      </x:c>
      <x:c r="Z45" s="20" t="str">
        <x:v>升力标定计算!N89</x:v>
      </x:c>
      <x:c r="AA45" s="20" t="str">
        <x:v>升力标定计算!N90</x:v>
      </x:c>
      <x:c r="AB45" s="20" t="str">
        <x:v>3000rpm!AU62:AT63</x:v>
      </x:c>
    </x:row>
    <x:row r="46">
      <x:c r="A46" s="21" t="n">
        <x:v>3000</x:v>
      </x:c>
      <x:c r="B46" s="21" t="n">
        <x:v>15</x:v>
      </x:c>
      <x:c r="C46" s="21" t="n">
        <x:v>18</x:v>
      </x:c>
      <x:c r="D46" s="22" t="n">
        <x:f>IFERROR('升力标定计算'!M91,"")</x:f>
        <x:v>0.1785352887782404</x:v>
      </x:c>
      <x:c r="E46" s="22" t="n">
        <x:f>IFERROR('升力标定计算'!M92,"")</x:f>
        <x:v>0.17688283690200277</x:v>
      </x:c>
      <x:c r="F46" s="22" t="n">
        <x:f>IF(AND(ISNUMBER(D46),ISNUMBER(E46)),AVERAGE(D46,E46),"")</x:f>
        <x:v>0.17770906284012158</x:v>
      </x:c>
      <x:c r="G46" s="22" t="n">
        <x:f>IFERROR('升力标定计算'!N91,"")</x:f>
        <x:v>0.07504136676238345</x:v>
      </x:c>
      <x:c r="H46" s="22" t="n">
        <x:f>IFERROR('升力标定计算'!N92,"")</x:f>
        <x:v>0.07610486473086651</x:v>
      </x:c>
      <x:c r="I46" s="22" t="n">
        <x:f>IF(AND(ISNUMBER(G46),ISNUMBER(H46)),AVERAGE(G46,H46),"")</x:f>
        <x:v>0.07557311574662498</x:v>
      </x:c>
      <x:c r="J46" s="22" t="n">
        <x:f>IFERROR('3000rpm'!AU58,"")</x:f>
        <x:v>0</x:v>
      </x:c>
      <x:c r="K46" s="22" t="n">
        <x:f>IFERROR('3000rpm'!AU68,"")</x:f>
        <x:v>0.4448818897637795</x:v>
      </x:c>
      <x:c r="L46" s="22" t="n">
        <x:f>IFERROR('3000rpm'!AU61,"")</x:f>
        <x:v>0.13346456692913383</x:v>
      </x:c>
      <x:c r="M46" s="22" t="n">
        <x:f>IFERROR('3000rpm'!AT61,"")</x:f>
        <x:v>0.08419554210858392</x:v>
      </x:c>
      <x:c r="N46" s="22" t="n">
        <x:f>IFERROR('3000rpm'!AU62,"")</x:f>
        <x:v>0.17795275590551185</x:v>
      </x:c>
      <x:c r="O46" s="22" t="n">
        <x:f>IFERROR('3000rpm'!AT62,"")</x:f>
        <x:v>0.08525404572157776</x:v>
      </x:c>
      <x:c r="P46" s="22" t="n">
        <x:f>IF(OR(NOT(AND(ISNUMBER(D46),ISNUMBER(E46),ISNUMBER(G46),ISNUMBER(H46))),OR(F46&lt;J46,F46&gt;K46)),"",IF(N46=L46,M46,M46+(F46-L46)*(O46-M46)/(N46-L46)))</x:f>
        <x:v>0.08524824755365697</x:v>
      </x:c>
      <x:c r="Q46" s="22" t="n">
        <x:f>IF(AND(ISNUMBER(I46),ISNUMBER(P46)),I46-P46,"")</x:f>
        <x:v>-0.009675131807031986</x:v>
      </x:c>
      <x:c r="R46" s="22" t="n">
        <x:f>IF(ISNUMBER(Q46),ABS(Q46),"")</x:f>
        <x:v>0.009675131807031986</x:v>
      </x:c>
      <x:c r="S46" s="36" t="n">
        <x:f>IF(AND(ISNUMBER(Q46),ISNUMBER(P46)),IF(ABS(P46)&lt;1E-12,"",Q46/P46),"")</x:f>
        <x:v>-0.11349361523170624</x:v>
      </x:c>
      <x:c r="T46" s="36" t="n">
        <x:f>IF(ISNUMBER(S46),ABS(S46),"")</x:f>
        <x:v>0.11349361523170624</x:v>
      </x:c>
      <x:c r="U46" s="37" t="n">
        <x:f>IF(ISNUMBER(Q46),Q46^2,"")</x:f>
        <x:v>0.00009360817548344203</x:v>
      </x:c>
      <x:c r="V46" s="21" t="str">
        <x:f>IF(NOT(AND(ISNUMBER(D46),ISNUMBER(E46),ISNUMBER(G46),ISNUMBER(H46))),"缺少配对",IF(OR(F46&lt;J46,F46&gt;K46),"超出理论J范围","有效"))</x:f>
        <x:v>有效</x:v>
      </x:c>
      <x:c r="W46" s="20" t="str">
        <x:v>升力 y=0.915708x+28.7687 → C_T_prop；实验攻角 15° ↔ 理论 alpha_p_deg 75°；原升力源 3000rpm!D47/O47</x:v>
      </x:c>
      <x:c r="X46" s="20" t="str">
        <x:v>升力标定计算!M91</x:v>
      </x:c>
      <x:c r="Y46" s="20" t="str">
        <x:v>升力标定计算!M92</x:v>
      </x:c>
      <x:c r="Z46" s="20" t="str">
        <x:v>升力标定计算!N91</x:v>
      </x:c>
      <x:c r="AA46" s="20" t="str">
        <x:v>升力标定计算!N92</x:v>
      </x:c>
      <x:c r="AB46" s="20" t="str">
        <x:v>3000rpm!AU61:AT62</x:v>
      </x:c>
    </x:row>
    <x:row r="47">
      <x:c r="A47" s="21" t="n">
        <x:v>3000</x:v>
      </x:c>
      <x:c r="B47" s="21" t="n">
        <x:v>15</x:v>
      </x:c>
      <x:c r="C47" s="21" t="n">
        <x:v>19</x:v>
      </x:c>
      <x:c r="D47" s="22" t="n">
        <x:f>IFERROR('升力标定计算'!M93,"")</x:f>
        <x:v>0.13641219774705426</x:v>
      </x:c>
      <x:c r="E47" s="22" t="n">
        <x:f>IFERROR('升力标定计算'!M94,"")</x:f>
        <x:v>0.1318381919592155</x:v>
      </x:c>
      <x:c r="F47" s="22" t="n">
        <x:f>IF(AND(ISNUMBER(D47),ISNUMBER(E47)),AVERAGE(D47,E47),"")</x:f>
        <x:v>0.1341251948531349</x:v>
      </x:c>
      <x:c r="G47" s="22" t="n">
        <x:f>IFERROR('升力标定计算'!N93,"")</x:f>
        <x:v>0.0766750146787955</x:v>
      </x:c>
      <x:c r="H47" s="22" t="n">
        <x:f>IFERROR('升力标定计算'!N94,"")</x:f>
        <x:v>0.07506019896684811</x:v>
      </x:c>
      <x:c r="I47" s="22" t="n">
        <x:f>IF(AND(ISNUMBER(G47),ISNUMBER(H47)),AVERAGE(G47,H47),"")</x:f>
        <x:v>0.07586760682282181</x:v>
      </x:c>
      <x:c r="J47" s="22" t="n">
        <x:f>IFERROR('3000rpm'!AU58,"")</x:f>
        <x:v>0</x:v>
      </x:c>
      <x:c r="K47" s="22" t="n">
        <x:f>IFERROR('3000rpm'!AU68,"")</x:f>
        <x:v>0.4448818897637795</x:v>
      </x:c>
      <x:c r="L47" s="22" t="n">
        <x:f>IFERROR('3000rpm'!AU61,"")</x:f>
        <x:v>0.13346456692913383</x:v>
      </x:c>
      <x:c r="M47" s="22" t="n">
        <x:f>IFERROR('3000rpm'!AT61,"")</x:f>
        <x:v>0.08419554210858392</x:v>
      </x:c>
      <x:c r="N47" s="22" t="n">
        <x:f>IFERROR('3000rpm'!AU62,"")</x:f>
        <x:v>0.17795275590551185</x:v>
      </x:c>
      <x:c r="O47" s="22" t="n">
        <x:f>IFERROR('3000rpm'!AT62,"")</x:f>
        <x:v>0.08525404572157776</x:v>
      </x:c>
      <x:c r="P47" s="22" t="n">
        <x:f>IF(OR(NOT(AND(ISNUMBER(D47),ISNUMBER(E47),ISNUMBER(G47),ISNUMBER(H47))),OR(F47&lt;J47,F47&gt;K47)),"",IF(N47=L47,M47,M47+(F47-L47)*(O47-M47)/(N47-L47)))</x:f>
        <x:v>0.08421126037135185</x:v>
      </x:c>
      <x:c r="Q47" s="22" t="n">
        <x:f>IF(AND(ISNUMBER(I47),ISNUMBER(P47)),I47-P47,"")</x:f>
        <x:v>-0.008343653548530033</x:v>
      </x:c>
      <x:c r="R47" s="22" t="n">
        <x:f>IF(ISNUMBER(Q47),ABS(Q47),"")</x:f>
        <x:v>0.008343653548530033</x:v>
      </x:c>
      <x:c r="S47" s="36" t="n">
        <x:f>IF(AND(ISNUMBER(Q47),ISNUMBER(P47)),IF(ABS(P47)&lt;1E-12,"",Q47/P47),"")</x:f>
        <x:v>-0.09908002221717718</x:v>
      </x:c>
      <x:c r="T47" s="36" t="n">
        <x:f>IF(ISNUMBER(S47),ABS(S47),"")</x:f>
        <x:v>0.09908002221717718</x:v>
      </x:c>
      <x:c r="U47" s="37" t="n">
        <x:f>IF(ISNUMBER(Q47),Q47^2,"")</x:f>
        <x:v>0.00006961655453789781</x:v>
      </x:c>
      <x:c r="V47" s="21" t="str">
        <x:f>IF(NOT(AND(ISNUMBER(D47),ISNUMBER(E47),ISNUMBER(G47),ISNUMBER(H47))),"缺少配对",IF(OR(F47&lt;J47,F47&gt;K47),"超出理论J范围","有效"))</x:f>
        <x:v>有效</x:v>
      </x:c>
      <x:c r="W47" s="20" t="str">
        <x:v>升力 y=0.915708x+28.7687 → C_T_prop；实验攻角 15° ↔ 理论 alpha_p_deg 75°；原升力源 3000rpm!D48/O48</x:v>
      </x:c>
      <x:c r="X47" s="20" t="str">
        <x:v>升力标定计算!M93</x:v>
      </x:c>
      <x:c r="Y47" s="20" t="str">
        <x:v>升力标定计算!M94</x:v>
      </x:c>
      <x:c r="Z47" s="20" t="str">
        <x:v>升力标定计算!N93</x:v>
      </x:c>
      <x:c r="AA47" s="20" t="str">
        <x:v>升力标定计算!N94</x:v>
      </x:c>
      <x:c r="AB47" s="20" t="str">
        <x:v>3000rpm!AU61:AT62</x:v>
      </x:c>
    </x:row>
    <x:row r="48">
      <x:c r="A48" s="21" t="n">
        <x:v>3000</x:v>
      </x:c>
      <x:c r="B48" s="21" t="n">
        <x:v>15</x:v>
      </x:c>
      <x:c r="C48" s="21" t="n">
        <x:v>20</x:v>
      </x:c>
      <x:c r="D48" s="22" t="n">
        <x:f>IFERROR('升力标定计算'!M95,"")</x:f>
        <x:v>0.08976637757588848</x:v>
      </x:c>
      <x:c r="E48" s="22" t="n">
        <x:f>IFERROR('升力标定计算'!M96,"")</x:f>
        <x:v>0.08822561239735506</x:v>
      </x:c>
      <x:c r="F48" s="22" t="n">
        <x:f>IF(AND(ISNUMBER(D48),ISNUMBER(E48)),AVERAGE(D48,E48),"")</x:f>
        <x:v>0.08899599498662178</x:v>
      </x:c>
      <x:c r="G48" s="22" t="n">
        <x:f>IFERROR('升力标定计算'!N95,"")</x:f>
        <x:v>0.07570235876619398</x:v>
      </x:c>
      <x:c r="H48" s="22" t="n">
        <x:f>IFERROR('升力标定计算'!N96,"")</x:f>
        <x:v>0.0751692035975843</x:v>
      </x:c>
      <x:c r="I48" s="22" t="n">
        <x:f>IF(AND(ISNUMBER(G48),ISNUMBER(H48)),AVERAGE(G48,H48),"")</x:f>
        <x:v>0.07543578118188915</x:v>
      </x:c>
      <x:c r="J48" s="22" t="n">
        <x:f>IFERROR('3000rpm'!AU58,"")</x:f>
        <x:v>0</x:v>
      </x:c>
      <x:c r="K48" s="22" t="n">
        <x:f>IFERROR('3000rpm'!AU68,"")</x:f>
        <x:v>0.4448818897637795</x:v>
      </x:c>
      <x:c r="L48" s="22" t="n">
        <x:f>IFERROR('3000rpm'!AU60,"")</x:f>
        <x:v>0.08897637795275593</x:v>
      </x:c>
      <x:c r="M48" s="22" t="n">
        <x:f>IFERROR('3000rpm'!AT60,"")</x:f>
        <x:v>0.08351014850424789</x:v>
      </x:c>
      <x:c r="N48" s="22" t="n">
        <x:f>IFERROR('3000rpm'!AU61,"")</x:f>
        <x:v>0.13346456692913383</x:v>
      </x:c>
      <x:c r="O48" s="22" t="n">
        <x:f>IFERROR('3000rpm'!AT61,"")</x:f>
        <x:v>0.08419554210858392</x:v>
      </x:c>
      <x:c r="P48" s="22" t="n">
        <x:f>IF(OR(NOT(AND(ISNUMBER(D48),ISNUMBER(E48),ISNUMBER(G48),ISNUMBER(H48))),OR(F48&lt;J48,F48&gt;K48)),"",IF(N48=L48,M48,M48+(F48-L48)*(O48-M48)/(N48-L48)))</x:f>
        <x:v>0.08351045072804834</x:v>
      </x:c>
      <x:c r="Q48" s="22" t="n">
        <x:f>IF(AND(ISNUMBER(I48),ISNUMBER(P48)),I48-P48,"")</x:f>
        <x:v>-0.008074669546159194</x:v>
      </x:c>
      <x:c r="R48" s="22" t="n">
        <x:f>IF(ISNUMBER(Q48),ABS(Q48),"")</x:f>
        <x:v>0.008074669546159194</x:v>
      </x:c>
      <x:c r="S48" s="36" t="n">
        <x:f>IF(AND(ISNUMBER(Q48),ISNUMBER(P48)),IF(ABS(P48)&lt;1E-12,"",Q48/P48),"")</x:f>
        <x:v>-0.09669052766167366</x:v>
      </x:c>
      <x:c r="T48" s="36" t="n">
        <x:f>IF(ISNUMBER(S48),ABS(S48),"")</x:f>
        <x:v>0.09669052766167366</x:v>
      </x:c>
      <x:c r="U48" s="37" t="n">
        <x:f>IF(ISNUMBER(Q48),Q48^2,"")</x:f>
        <x:v>0.00006520028827967072</x:v>
      </x:c>
      <x:c r="V48" s="21" t="str">
        <x:f>IF(NOT(AND(ISNUMBER(D48),ISNUMBER(E48),ISNUMBER(G48),ISNUMBER(H48))),"缺少配对",IF(OR(F48&lt;J48,F48&gt;K48),"超出理论J范围","有效"))</x:f>
        <x:v>有效</x:v>
      </x:c>
      <x:c r="W48" s="20" t="str">
        <x:v>升力 y=0.915708x+28.7687 → C_T_prop；实验攻角 15° ↔ 理论 alpha_p_deg 75°；原升力源 3000rpm!D49/O49</x:v>
      </x:c>
      <x:c r="X48" s="20" t="str">
        <x:v>升力标定计算!M95</x:v>
      </x:c>
      <x:c r="Y48" s="20" t="str">
        <x:v>升力标定计算!M96</x:v>
      </x:c>
      <x:c r="Z48" s="20" t="str">
        <x:v>升力标定计算!N95</x:v>
      </x:c>
      <x:c r="AA48" s="20" t="str">
        <x:v>升力标定计算!N96</x:v>
      </x:c>
      <x:c r="AB48" s="20" t="str">
        <x:v>3000rpm!AU60:AT61</x:v>
      </x:c>
    </x:row>
    <x:row r="49">
      <x:c r="A49" s="21" t="n">
        <x:v>3000</x:v>
      </x:c>
      <x:c r="B49" s="21" t="n">
        <x:v>15</x:v>
      </x:c>
      <x:c r="C49" s="21" t="n">
        <x:v>21</x:v>
      </x:c>
      <x:c r="D49" s="22" t="n">
        <x:f>IFERROR('升力标定计算'!M97,"")</x:f>
        <x:v>0.040272378895199384</x:v>
      </x:c>
      <x:c r="E49" s="22" t="n">
        <x:f>IFERROR('升力标定计算'!M98,"")</x:f>
        <x:v>0.04413750557830327</x:v>
      </x:c>
      <x:c r="F49" s="22" t="n">
        <x:f>IF(AND(ISNUMBER(D49),ISNUMBER(E49)),AVERAGE(D49,E49),"")</x:f>
        <x:v>0.04220494223675132</x:v>
      </x:c>
      <x:c r="G49" s="22" t="n">
        <x:f>IFERROR('升力标定计算'!N97,"")</x:f>
        <x:v>0.07584092359588435</x:v>
      </x:c>
      <x:c r="H49" s="22" t="n">
        <x:f>IFERROR('升力标定计算'!N98,"")</x:f>
        <x:v>0.07540655297733385</x:v>
      </x:c>
      <x:c r="I49" s="22" t="n">
        <x:f>IF(AND(ISNUMBER(G49),ISNUMBER(H49)),AVERAGE(G49,H49),"")</x:f>
        <x:v>0.0756237382866091</x:v>
      </x:c>
      <x:c r="J49" s="22" t="n">
        <x:f>IFERROR('3000rpm'!AU58,"")</x:f>
        <x:v>0</x:v>
      </x:c>
      <x:c r="K49" s="22" t="n">
        <x:f>IFERROR('3000rpm'!AU68,"")</x:f>
        <x:v>0.4448818897637795</x:v>
      </x:c>
      <x:c r="L49" s="22" t="n">
        <x:f>IFERROR('3000rpm'!AU58,"")</x:f>
        <x:v>0</x:v>
      </x:c>
      <x:c r="M49" s="22" t="n">
        <x:f>IFERROR('3000rpm'!AT58,"")</x:f>
        <x:v>0.0846729215675782</x:v>
      </x:c>
      <x:c r="N49" s="22" t="n">
        <x:f>IFERROR('3000rpm'!AU59,"")</x:f>
        <x:v>0.04448818897637796</x:v>
      </x:c>
      <x:c r="O49" s="22" t="n">
        <x:f>IFERROR('3000rpm'!AT59,"")</x:f>
        <x:v>0.08340493875034348</x:v>
      </x:c>
      <x:c r="P49" s="22" t="n">
        <x:f>IF(OR(NOT(AND(ISNUMBER(D49),ISNUMBER(E49),ISNUMBER(G49),ISNUMBER(H49))),OR(F49&lt;J49,F49&gt;K49)),"",IF(N49=L49,M49,M49+(F49-L49)*(O49-M49)/(N49-L49)))</x:f>
        <x:v>0.08347001484581887</x:v>
      </x:c>
      <x:c r="Q49" s="22" t="n">
        <x:f>IF(AND(ISNUMBER(I49),ISNUMBER(P49)),I49-P49,"")</x:f>
        <x:v>-0.007846276559209775</x:v>
      </x:c>
      <x:c r="R49" s="22" t="n">
        <x:f>IF(ISNUMBER(Q49),ABS(Q49),"")</x:f>
        <x:v>0.007846276559209775</x:v>
      </x:c>
      <x:c r="S49" s="36" t="n">
        <x:f>IF(AND(ISNUMBER(Q49),ISNUMBER(P49)),IF(ABS(P49)&lt;1E-12,"",Q49/P49),"")</x:f>
        <x:v>-0.09400114009447556</x:v>
      </x:c>
      <x:c r="T49" s="36" t="n">
        <x:f>IF(ISNUMBER(S49),ABS(S49),"")</x:f>
        <x:v>0.09400114009447556</x:v>
      </x:c>
      <x:c r="U49" s="37" t="n">
        <x:f>IF(ISNUMBER(Q49),Q49^2,"")</x:f>
        <x:v>0.00006156405584360479</x:v>
      </x:c>
      <x:c r="V49" s="21" t="str">
        <x:f>IF(NOT(AND(ISNUMBER(D49),ISNUMBER(E49),ISNUMBER(G49),ISNUMBER(H49))),"缺少配对",IF(OR(F49&lt;J49,F49&gt;K49),"超出理论J范围","有效"))</x:f>
        <x:v>有效</x:v>
      </x:c>
      <x:c r="W49" s="20" t="str">
        <x:v>升力 y=0.915708x+28.7687 → C_T_prop；实验攻角 15° ↔ 理论 alpha_p_deg 75°；原升力源 3000rpm!D50/O50</x:v>
      </x:c>
      <x:c r="X49" s="20" t="str">
        <x:v>升力标定计算!M97</x:v>
      </x:c>
      <x:c r="Y49" s="20" t="str">
        <x:v>升力标定计算!M98</x:v>
      </x:c>
      <x:c r="Z49" s="20" t="str">
        <x:v>升力标定计算!N97</x:v>
      </x:c>
      <x:c r="AA49" s="20" t="str">
        <x:v>升力标定计算!N98</x:v>
      </x:c>
      <x:c r="AB49" s="20" t="str">
        <x:v>3000rpm!AU58:AT59</x:v>
      </x:c>
    </x:row>
    <x:row r="50">
      <x:c r="A50" s="21" t="n">
        <x:v>3000</x:v>
      </x:c>
      <x:c r="B50" s="21" t="n">
        <x:v>15</x:v>
      </x:c>
      <x:c r="C50" s="21" t="n">
        <x:v>22</x:v>
      </x:c>
      <x:c r="D50" s="22" t="n">
        <x:f>IFERROR('升力标定计算'!M99,"")</x:f>
        <x:v>0.004733108528499292</x:v>
      </x:c>
      <x:c r="E50" s="22" t="n">
        <x:f>IFERROR('升力标定计算'!M100,"")</x:f>
        <x:v>0.00461663120793417</x:v>
      </x:c>
      <x:c r="F50" s="22" t="n">
        <x:f>IF(AND(ISNUMBER(D50),ISNUMBER(E50)),AVERAGE(D50,E50),"")</x:f>
        <x:v>0.004674869868216731</x:v>
      </x:c>
      <x:c r="G50" s="22" t="n">
        <x:f>IFERROR('升力标定计算'!N99,"")</x:f>
        <x:v>0.07548378935237861</x:v>
      </x:c>
      <x:c r="H50" s="22" t="n">
        <x:f>IFERROR('升力标定计算'!N100,"")</x:f>
        <x:v>0.07583691530348668</x:v>
      </x:c>
      <x:c r="I50" s="22" t="n">
        <x:f>IF(AND(ISNUMBER(G50),ISNUMBER(H50)),AVERAGE(G50,H50),"")</x:f>
        <x:v>0.07566035232793264</x:v>
      </x:c>
      <x:c r="J50" s="22" t="n">
        <x:f>IFERROR('3000rpm'!AU58,"")</x:f>
        <x:v>0</x:v>
      </x:c>
      <x:c r="K50" s="22" t="n">
        <x:f>IFERROR('3000rpm'!AU68,"")</x:f>
        <x:v>0.4448818897637795</x:v>
      </x:c>
      <x:c r="L50" s="22" t="n">
        <x:f>IFERROR('3000rpm'!AU58,"")</x:f>
        <x:v>0</x:v>
      </x:c>
      <x:c r="M50" s="22" t="n">
        <x:f>IFERROR('3000rpm'!AT58,"")</x:f>
        <x:v>0.0846729215675782</x:v>
      </x:c>
      <x:c r="N50" s="22" t="n">
        <x:f>IFERROR('3000rpm'!AU59,"")</x:f>
        <x:v>0.04448818897637796</x:v>
      </x:c>
      <x:c r="O50" s="22" t="n">
        <x:f>IFERROR('3000rpm'!AT59,"")</x:f>
        <x:v>0.08340493875034348</x:v>
      </x:c>
      <x:c r="P50" s="22" t="n">
        <x:f>IF(OR(NOT(AND(ISNUMBER(D50),ISNUMBER(E50),ISNUMBER(G50),ISNUMBER(H50))),OR(F50&lt;J50,F50&gt;K50)),"",IF(N50=L50,M50,M50+(F50-L50)*(O50-M50)/(N50-L50)))</x:f>
        <x:v>0.08453968048040213</x:v>
      </x:c>
      <x:c r="Q50" s="22" t="n">
        <x:f>IF(AND(ISNUMBER(I50),ISNUMBER(P50)),I50-P50,"")</x:f>
        <x:v>-0.008879328152469487</x:v>
      </x:c>
      <x:c r="R50" s="22" t="n">
        <x:f>IF(ISNUMBER(Q50),ABS(Q50),"")</x:f>
        <x:v>0.008879328152469487</x:v>
      </x:c>
      <x:c r="S50" s="36" t="n">
        <x:f>IF(AND(ISNUMBER(Q50),ISNUMBER(P50)),IF(ABS(P50)&lt;1E-12,"",Q50/P50),"")</x:f>
        <x:v>-0.10503148464735304</x:v>
      </x:c>
      <x:c r="T50" s="36" t="n">
        <x:f>IF(ISNUMBER(S50),ABS(S50),"")</x:f>
        <x:v>0.10503148464735304</x:v>
      </x:c>
      <x:c r="U50" s="37" t="n">
        <x:f>IF(ISNUMBER(Q50),Q50^2,"")</x:f>
        <x:v>0.0000788424684392372</x:v>
      </x:c>
      <x:c r="V50" s="21" t="str">
        <x:f>IF(NOT(AND(ISNUMBER(D50),ISNUMBER(E50),ISNUMBER(G50),ISNUMBER(H50))),"缺少配对",IF(OR(F50&lt;J50,F50&gt;K50),"超出理论J范围","有效"))</x:f>
        <x:v>有效</x:v>
      </x:c>
      <x:c r="W50" s="20" t="str">
        <x:v>升力 y=0.915708x+28.7687 → C_T_prop；实验攻角 15° ↔ 理论 alpha_p_deg 75°；原升力源 3000rpm!D51/O51</x:v>
      </x:c>
      <x:c r="X50" s="20" t="str">
        <x:v>升力标定计算!M99</x:v>
      </x:c>
      <x:c r="Y50" s="20" t="str">
        <x:v>升力标定计算!M100</x:v>
      </x:c>
      <x:c r="Z50" s="20" t="str">
        <x:v>升力标定计算!N99</x:v>
      </x:c>
      <x:c r="AA50" s="20" t="str">
        <x:v>升力标定计算!N100</x:v>
      </x:c>
      <x:c r="AB50" s="20" t="str">
        <x:v>3000rpm!AU58:AT59</x:v>
      </x:c>
    </x:row>
    <x:row r="51">
      <x:c r="A51" s="21" t="n">
        <x:v>3000</x:v>
      </x:c>
      <x:c r="B51" s="21" t="n">
        <x:v>15</x:v>
      </x:c>
      <x:c r="C51" s="21" t="n">
        <x:v>23</x:v>
      </x:c>
      <x:c r="D51" s="22" t="str">
        <x:f>IFERROR('升力标定计算'!M101,"")</x:f>
      </x:c>
      <x:c r="E51" s="22" t="str">
        <x:f>IFERROR('升力标定计算'!M102,"")</x:f>
      </x:c>
      <x:c r="F51" s="22" t="str">
        <x:f>IF(AND(ISNUMBER(D51),ISNUMBER(E51)),AVERAGE(D51,E51),"")</x:f>
      </x:c>
      <x:c r="G51" s="22" t="str">
        <x:f>IFERROR('升力标定计算'!N101,"")</x:f>
      </x:c>
      <x:c r="H51" s="22" t="str">
        <x:f>IFERROR('升力标定计算'!N102,"")</x:f>
      </x:c>
      <x:c r="I51" s="22" t="str">
        <x:f>IF(AND(ISNUMBER(G51),ISNUMBER(H51)),AVERAGE(G51,H51),"")</x:f>
      </x:c>
      <x:c r="J51" s="22" t="n">
        <x:f>IFERROR('3000rpm'!AU58,"")</x:f>
        <x:v>0</x:v>
      </x:c>
      <x:c r="K51" s="22" t="n">
        <x:f>IFERROR('3000rpm'!AU68,"")</x:f>
        <x:v>0.4448818897637795</x:v>
      </x:c>
      <x:c r="L51" s="22" t="n">
        <x:f>IFERROR('3000rpm'!AU58,"")</x:f>
        <x:v>0</x:v>
      </x:c>
      <x:c r="M51" s="22" t="n">
        <x:f>IFERROR('3000rpm'!AT58,"")</x:f>
        <x:v>0.0846729215675782</x:v>
      </x:c>
      <x:c r="N51" s="22" t="n">
        <x:f>IFERROR('3000rpm'!AU68,"")</x:f>
        <x:v>0.4448818897637795</x:v>
      </x:c>
      <x:c r="O51" s="22" t="n">
        <x:f>IFERROR('3000rpm'!AT68,"")</x:f>
        <x:v>0.09080939368491635</x:v>
      </x:c>
      <x:c r="P51" s="22" t="str">
        <x:f>IF(OR(NOT(AND(ISNUMBER(D51),ISNUMBER(E51),ISNUMBER(G51),ISNUMBER(H51))),OR(F51&lt;J51,F51&gt;K51)),"",IF(N51=L51,M51,M51+(F51-L51)*(O51-M51)/(N51-L51)))</x:f>
      </x:c>
      <x:c r="Q51" s="22" t="str">
        <x:f>IF(AND(ISNUMBER(I51),ISNUMBER(P51)),I51-P51,"")</x:f>
      </x:c>
      <x:c r="R51" s="22" t="str">
        <x:f>IF(ISNUMBER(Q51),ABS(Q51),"")</x:f>
      </x:c>
      <x:c r="S51" s="36" t="str">
        <x:f>IF(AND(ISNUMBER(Q51),ISNUMBER(P51)),IF(ABS(P51)&lt;1E-12,"",Q51/P51),"")</x:f>
      </x:c>
      <x:c r="T51" s="36" t="str">
        <x:f>IF(ISNUMBER(S51),ABS(S51),"")</x:f>
      </x:c>
      <x:c r="U51" s="37" t="str">
        <x:f>IF(ISNUMBER(Q51),Q51^2,"")</x:f>
      </x:c>
      <x:c r="V51" s="21" t="str">
        <x:f>IF(NOT(AND(ISNUMBER(D51),ISNUMBER(E51),ISNUMBER(G51),ISNUMBER(H51))),"缺少配对",IF(OR(F51&lt;J51,F51&gt;K51),"超出理论J范围","有效"))</x:f>
        <x:v>缺少配对</x:v>
      </x:c>
      <x:c r="W51" s="20" t="str">
        <x:v>升力 y=0.915708x+28.7687 → C_T_prop；实验攻角 15° ↔ 理论 alpha_p_deg 75°；原升力源 3000rpm!D52/O52</x:v>
      </x:c>
      <x:c r="X51" s="20" t="str">
        <x:v>升力标定计算!M101</x:v>
      </x:c>
      <x:c r="Y51" s="20" t="str">
        <x:v>升力标定计算!M102</x:v>
      </x:c>
      <x:c r="Z51" s="20" t="str">
        <x:v>升力标定计算!N101</x:v>
      </x:c>
      <x:c r="AA51" s="20" t="str">
        <x:v>升力标定计算!N102</x:v>
      </x:c>
      <x:c r="AB51" s="20" t="str">
        <x:v>3000rpm!AU58:AT68</x:v>
      </x:c>
    </x:row>
    <x:row r="52">
      <x:c r="A52" s="21" t="n">
        <x:v>3000</x:v>
      </x:c>
      <x:c r="B52" s="21" t="n">
        <x:v>30</x:v>
      </x:c>
      <x:c r="C52" s="21" t="n">
        <x:v>1</x:v>
      </x:c>
      <x:c r="D52" s="22" t="str">
        <x:f>IFERROR('升力标定计算'!M103,"")</x:f>
      </x:c>
      <x:c r="E52" s="22" t="str">
        <x:f>IFERROR('升力标定计算'!M104,"")</x:f>
      </x:c>
      <x:c r="F52" s="22" t="str">
        <x:f>IF(AND(ISNUMBER(D52),ISNUMBER(E52)),AVERAGE(D52,E52),"")</x:f>
      </x:c>
      <x:c r="G52" s="22" t="str">
        <x:f>IFERROR('升力标定计算'!N103,"")</x:f>
      </x:c>
      <x:c r="H52" s="22" t="str">
        <x:f>IFERROR('升力标定计算'!N104,"")</x:f>
      </x:c>
      <x:c r="I52" s="22" t="str">
        <x:f>IF(AND(ISNUMBER(G52),ISNUMBER(H52)),AVERAGE(G52,H52),"")</x:f>
      </x:c>
      <x:c r="J52" s="22" t="n">
        <x:f>IFERROR('3000rpm'!AU47,"")</x:f>
        <x:v>0</x:v>
      </x:c>
      <x:c r="K52" s="22" t="n">
        <x:f>IFERROR('3000rpm'!AU57,"")</x:f>
        <x:v>0.4448818897637795</x:v>
      </x:c>
      <x:c r="L52" s="22" t="n">
        <x:f>IFERROR('3000rpm'!AU47,"")</x:f>
        <x:v>0</x:v>
      </x:c>
      <x:c r="M52" s="22" t="n">
        <x:f>IFERROR('3000rpm'!AT47,"")</x:f>
        <x:v>0.0846729215675782</x:v>
      </x:c>
      <x:c r="N52" s="22" t="n">
        <x:f>IFERROR('3000rpm'!AU57,"")</x:f>
        <x:v>0.4448818897637795</x:v>
      </x:c>
      <x:c r="O52" s="22" t="n">
        <x:f>IFERROR('3000rpm'!AT57,"")</x:f>
        <x:v>0.06557802679315934</x:v>
      </x:c>
      <x:c r="P52" s="22" t="str">
        <x:f>IF(OR(NOT(AND(ISNUMBER(D52),ISNUMBER(E52),ISNUMBER(G52),ISNUMBER(H52))),OR(F52&lt;J52,F52&gt;K52)),"",IF(N52=L52,M52,M52+(F52-L52)*(O52-M52)/(N52-L52)))</x:f>
      </x:c>
      <x:c r="Q52" s="22" t="str">
        <x:f>IF(AND(ISNUMBER(I52),ISNUMBER(P52)),I52-P52,"")</x:f>
      </x:c>
      <x:c r="R52" s="22" t="str">
        <x:f>IF(ISNUMBER(Q52),ABS(Q52),"")</x:f>
      </x:c>
      <x:c r="S52" s="36" t="str">
        <x:f>IF(AND(ISNUMBER(Q52),ISNUMBER(P52)),IF(ABS(P52)&lt;1E-12,"",Q52/P52),"")</x:f>
      </x:c>
      <x:c r="T52" s="36" t="str">
        <x:f>IF(ISNUMBER(S52),ABS(S52),"")</x:f>
      </x:c>
      <x:c r="U52" s="37" t="str">
        <x:f>IF(ISNUMBER(Q52),Q52^2,"")</x:f>
      </x:c>
      <x:c r="V52" s="21" t="str">
        <x:f>IF(NOT(AND(ISNUMBER(D52),ISNUMBER(E52),ISNUMBER(G52),ISNUMBER(H52))),"缺少配对",IF(OR(F52&lt;J52,F52&gt;K52),"超出理论J范围","有效"))</x:f>
        <x:v>缺少配对</x:v>
      </x:c>
      <x:c r="W52" s="20" t="str">
        <x:v>升力 y=0.915708x+28.7687 → C_T_prop；实验攻角 30° ↔ 理论 alpha_p_deg 60°；原升力源 3000rpm!C58/M58</x:v>
      </x:c>
      <x:c r="X52" s="20" t="str">
        <x:v>升力标定计算!M103</x:v>
      </x:c>
      <x:c r="Y52" s="20" t="str">
        <x:v>升力标定计算!M104</x:v>
      </x:c>
      <x:c r="Z52" s="20" t="str">
        <x:v>升力标定计算!N103</x:v>
      </x:c>
      <x:c r="AA52" s="20" t="str">
        <x:v>升力标定计算!N104</x:v>
      </x:c>
      <x:c r="AB52" s="20" t="str">
        <x:v>3000rpm!AU47:AT57</x:v>
      </x:c>
    </x:row>
    <x:row r="53">
      <x:c r="A53" s="21" t="n">
        <x:v>3000</x:v>
      </x:c>
      <x:c r="B53" s="21" t="n">
        <x:v>30</x:v>
      </x:c>
      <x:c r="C53" s="21" t="n">
        <x:v>2</x:v>
      </x:c>
      <x:c r="D53" s="22" t="n">
        <x:f>IFERROR('升力标定计算'!M105,"")</x:f>
        <x:v>0.005619537457242572</x:v>
      </x:c>
      <x:c r="E53" s="22" t="n">
        <x:f>IFERROR('升力标定计算'!M106,"")</x:f>
        <x:v>0.0031670101302206503</x:v>
      </x:c>
      <x:c r="F53" s="22" t="n">
        <x:f>IF(AND(ISNUMBER(D53),ISNUMBER(E53)),AVERAGE(D53,E53),"")</x:f>
        <x:v>0.004393273793731611</x:v>
      </x:c>
      <x:c r="G53" s="22" t="n">
        <x:f>IFERROR('升力标定计算'!N105,"")</x:f>
        <x:v>0.08028581662839882</x:v>
      </x:c>
      <x:c r="H53" s="22" t="n">
        <x:f>IFERROR('升力标定计算'!N106,"")</x:f>
        <x:v>0.07999252118831206</x:v>
      </x:c>
      <x:c r="I53" s="22" t="n">
        <x:f>IF(AND(ISNUMBER(G53),ISNUMBER(H53)),AVERAGE(G53,H53),"")</x:f>
        <x:v>0.08013916890835543</x:v>
      </x:c>
      <x:c r="J53" s="22" t="n">
        <x:f>IFERROR('3000rpm'!AU47,"")</x:f>
        <x:v>0</x:v>
      </x:c>
      <x:c r="K53" s="22" t="n">
        <x:f>IFERROR('3000rpm'!AU57,"")</x:f>
        <x:v>0.4448818897637795</x:v>
      </x:c>
      <x:c r="L53" s="22" t="n">
        <x:f>IFERROR('3000rpm'!AU47,"")</x:f>
        <x:v>0</x:v>
      </x:c>
      <x:c r="M53" s="22" t="n">
        <x:f>IFERROR('3000rpm'!AT47,"")</x:f>
        <x:v>0.0846729215675782</x:v>
      </x:c>
      <x:c r="N53" s="22" t="n">
        <x:f>IFERROR('3000rpm'!AU48,"")</x:f>
        <x:v>0.04448818897637796</x:v>
      </x:c>
      <x:c r="O53" s="22" t="n">
        <x:f>IFERROR('3000rpm'!AT48,"")</x:f>
        <x:v>0.08205577523105993</x:v>
      </x:c>
      <x:c r="P53" s="22" t="n">
        <x:f>IF(OR(NOT(AND(ISNUMBER(D53),ISNUMBER(E53),ISNUMBER(G53),ISNUMBER(H53))),OR(F53&lt;J53,F53&gt;K53)),"",IF(N53=L53,M53,M53+(F53-L53)*(O53-M53)/(N53-L53)))</x:f>
        <x:v>0.08441447453525033</x:v>
      </x:c>
      <x:c r="Q53" s="22" t="n">
        <x:f>IF(AND(ISNUMBER(I53),ISNUMBER(P53)),I53-P53,"")</x:f>
        <x:v>-0.004275305626894904</x:v>
      </x:c>
      <x:c r="R53" s="22" t="n">
        <x:f>IF(ISNUMBER(Q53),ABS(Q53),"")</x:f>
        <x:v>0.004275305626894904</x:v>
      </x:c>
      <x:c r="S53" s="36" t="n">
        <x:f>IF(AND(ISNUMBER(Q53),ISNUMBER(P53)),IF(ABS(P53)&lt;1E-12,"",Q53/P53),"")</x:f>
        <x:v>-0.050646594087481935</x:v>
      </x:c>
      <x:c r="T53" s="36" t="n">
        <x:f>IF(ISNUMBER(S53),ABS(S53),"")</x:f>
        <x:v>0.050646594087481935</x:v>
      </x:c>
      <x:c r="U53" s="37" t="n">
        <x:f>IF(ISNUMBER(Q53),Q53^2,"")</x:f>
        <x:v>0.00001827823820335923</x:v>
      </x:c>
      <x:c r="V53" s="21" t="str">
        <x:f>IF(NOT(AND(ISNUMBER(D53),ISNUMBER(E53),ISNUMBER(G53),ISNUMBER(H53))),"缺少配对",IF(OR(F53&lt;J53,F53&gt;K53),"超出理论J范围","有效"))</x:f>
        <x:v>有效</x:v>
      </x:c>
      <x:c r="W53" s="20" t="str">
        <x:v>升力 y=0.915708x+28.7687 → C_T_prop；实验攻角 30° ↔ 理论 alpha_p_deg 60°；原升力源 3000rpm!C59/M59</x:v>
      </x:c>
      <x:c r="X53" s="20" t="str">
        <x:v>升力标定计算!M105</x:v>
      </x:c>
      <x:c r="Y53" s="20" t="str">
        <x:v>升力标定计算!M106</x:v>
      </x:c>
      <x:c r="Z53" s="20" t="str">
        <x:v>升力标定计算!N105</x:v>
      </x:c>
      <x:c r="AA53" s="20" t="str">
        <x:v>升力标定计算!N106</x:v>
      </x:c>
      <x:c r="AB53" s="20" t="str">
        <x:v>3000rpm!AU47:AT48</x:v>
      </x:c>
    </x:row>
    <x:row r="54">
      <x:c r="A54" s="21" t="n">
        <x:v>3000</x:v>
      </x:c>
      <x:c r="B54" s="21" t="n">
        <x:v>30</x:v>
      </x:c>
      <x:c r="C54" s="21" t="n">
        <x:v>3</x:v>
      </x:c>
      <x:c r="D54" s="22" t="n">
        <x:f>IFERROR('升力标定计算'!M107,"")</x:f>
        <x:v>0.04375832813354642</x:v>
      </x:c>
      <x:c r="E54" s="22" t="n">
        <x:f>IFERROR('升力标定计算'!M108,"")</x:f>
        <x:v>0.04296641305604696</x:v>
      </x:c>
      <x:c r="F54" s="22" t="n">
        <x:f>IF(AND(ISNUMBER(D54),ISNUMBER(E54)),AVERAGE(D54,E54),"")</x:f>
        <x:v>0.043362370594796695</x:v>
      </x:c>
      <x:c r="G54" s="22" t="n">
        <x:f>IFERROR('升力标定计算'!N107,"")</x:f>
        <x:v>0.07786478880573028</x:v>
      </x:c>
      <x:c r="H54" s="22" t="n">
        <x:f>IFERROR('升力标定计算'!N108,"")</x:f>
        <x:v>0.07813196843827099</x:v>
      </x:c>
      <x:c r="I54" s="22" t="n">
        <x:f>IF(AND(ISNUMBER(G54),ISNUMBER(H54)),AVERAGE(G54,H54),"")</x:f>
        <x:v>0.07799837862200062</x:v>
      </x:c>
      <x:c r="J54" s="22" t="n">
        <x:f>IFERROR('3000rpm'!AU47,"")</x:f>
        <x:v>0</x:v>
      </x:c>
      <x:c r="K54" s="22" t="n">
        <x:f>IFERROR('3000rpm'!AU57,"")</x:f>
        <x:v>0.4448818897637795</x:v>
      </x:c>
      <x:c r="L54" s="22" t="n">
        <x:f>IFERROR('3000rpm'!AU47,"")</x:f>
        <x:v>0</x:v>
      </x:c>
      <x:c r="M54" s="22" t="n">
        <x:f>IFERROR('3000rpm'!AT47,"")</x:f>
        <x:v>0.0846729215675782</x:v>
      </x:c>
      <x:c r="N54" s="22" t="n">
        <x:f>IFERROR('3000rpm'!AU48,"")</x:f>
        <x:v>0.04448818897637796</x:v>
      </x:c>
      <x:c r="O54" s="22" t="n">
        <x:f>IFERROR('3000rpm'!AT48,"")</x:f>
        <x:v>0.08205577523105993</x:v>
      </x:c>
      <x:c r="P54" s="22" t="n">
        <x:f>IF(OR(NOT(AND(ISNUMBER(D54),ISNUMBER(E54),ISNUMBER(G54),ISNUMBER(H54))),OR(F54&lt;J54,F54&gt;K54)),"",IF(N54=L54,M54,M54+(F54-L54)*(O54-M54)/(N54-L54)))</x:f>
        <x:v>0.08212200475221453</x:v>
      </x:c>
      <x:c r="Q54" s="22" t="n">
        <x:f>IF(AND(ISNUMBER(I54),ISNUMBER(P54)),I54-P54,"")</x:f>
        <x:v>-0.0041236261302139005</x:v>
      </x:c>
      <x:c r="R54" s="22" t="n">
        <x:f>IF(ISNUMBER(Q54),ABS(Q54),"")</x:f>
        <x:v>0.0041236261302139005</x:v>
      </x:c>
      <x:c r="S54" s="36" t="n">
        <x:f>IF(AND(ISNUMBER(Q54),ISNUMBER(P54)),IF(ABS(P54)&lt;1E-12,"",Q54/P54),"")</x:f>
        <x:v>-0.05021341286852476</x:v>
      </x:c>
      <x:c r="T54" s="36" t="n">
        <x:f>IF(ISNUMBER(S54),ABS(S54),"")</x:f>
        <x:v>0.05021341286852476</x:v>
      </x:c>
      <x:c r="U54" s="37" t="n">
        <x:f>IF(ISNUMBER(Q54),Q54^2,"")</x:f>
        <x:v>0.000017004292461782868</x:v>
      </x:c>
      <x:c r="V54" s="21" t="str">
        <x:f>IF(NOT(AND(ISNUMBER(D54),ISNUMBER(E54),ISNUMBER(G54),ISNUMBER(H54))),"缺少配对",IF(OR(F54&lt;J54,F54&gt;K54),"超出理论J范围","有效"))</x:f>
        <x:v>有效</x:v>
      </x:c>
      <x:c r="W54" s="20" t="str">
        <x:v>升力 y=0.915708x+28.7687 → C_T_prop；实验攻角 30° ↔ 理论 alpha_p_deg 60°；原升力源 3000rpm!C60/M60</x:v>
      </x:c>
      <x:c r="X54" s="20" t="str">
        <x:v>升力标定计算!M107</x:v>
      </x:c>
      <x:c r="Y54" s="20" t="str">
        <x:v>升力标定计算!M108</x:v>
      </x:c>
      <x:c r="Z54" s="20" t="str">
        <x:v>升力标定计算!N107</x:v>
      </x:c>
      <x:c r="AA54" s="20" t="str">
        <x:v>升力标定计算!N108</x:v>
      </x:c>
      <x:c r="AB54" s="20" t="str">
        <x:v>3000rpm!AU47:AT48</x:v>
      </x:c>
    </x:row>
    <x:row r="55">
      <x:c r="A55" s="21" t="n">
        <x:v>3000</x:v>
      </x:c>
      <x:c r="B55" s="21" t="n">
        <x:v>30</x:v>
      </x:c>
      <x:c r="C55" s="21" t="n">
        <x:v>4</x:v>
      </x:c>
      <x:c r="D55" s="22" t="n">
        <x:f>IFERROR('升力标定计算'!M109,"")</x:f>
        <x:v>0.08807446180603537</x:v>
      </x:c>
      <x:c r="E55" s="22" t="n">
        <x:f>IFERROR('升力标定计算'!M110,"")</x:f>
        <x:v>0.08787092887431136</x:v>
      </x:c>
      <x:c r="F55" s="22" t="n">
        <x:f>IF(AND(ISNUMBER(D55),ISNUMBER(E55)),AVERAGE(D55,E55),"")</x:f>
        <x:v>0.08797269534017337</x:v>
      </x:c>
      <x:c r="G55" s="22" t="n">
        <x:f>IFERROR('升力标定计算'!N109,"")</x:f>
        <x:v>0.07700039012065917</x:v>
      </x:c>
      <x:c r="H55" s="22" t="n">
        <x:f>IFERROR('升力标定计算'!N110,"")</x:f>
        <x:v>0.07627194910297491</x:v>
      </x:c>
      <x:c r="I55" s="22" t="n">
        <x:f>IF(AND(ISNUMBER(G55),ISNUMBER(H55)),AVERAGE(G55,H55),"")</x:f>
        <x:v>0.07663616961181705</x:v>
      </x:c>
      <x:c r="J55" s="22" t="n">
        <x:f>IFERROR('3000rpm'!AU47,"")</x:f>
        <x:v>0</x:v>
      </x:c>
      <x:c r="K55" s="22" t="n">
        <x:f>IFERROR('3000rpm'!AU57,"")</x:f>
        <x:v>0.4448818897637795</x:v>
      </x:c>
      <x:c r="L55" s="22" t="n">
        <x:f>IFERROR('3000rpm'!AU48,"")</x:f>
        <x:v>0.04448818897637796</x:v>
      </x:c>
      <x:c r="M55" s="22" t="n">
        <x:f>IFERROR('3000rpm'!AT48,"")</x:f>
        <x:v>0.08205577523105993</x:v>
      </x:c>
      <x:c r="N55" s="22" t="n">
        <x:f>IFERROR('3000rpm'!AU49,"")</x:f>
        <x:v>0.08897637795275593</x:v>
      </x:c>
      <x:c r="O55" s="22" t="n">
        <x:f>IFERROR('3000rpm'!AT49,"")</x:f>
        <x:v>0.08049630424562942</x:v>
      </x:c>
      <x:c r="P55" s="22" t="n">
        <x:f>IF(OR(NOT(AND(ISNUMBER(D55),ISNUMBER(E55),ISNUMBER(G55),ISNUMBER(H55))),OR(F55&lt;J55,F55&gt;K55)),"",IF(N55=L55,M55,M55+(F55-L55)*(O55-M55)/(N55-L55)))</x:f>
        <x:v>0.08053148693004336</x:v>
      </x:c>
      <x:c r="Q55" s="22" t="n">
        <x:f>IF(AND(ISNUMBER(I55),ISNUMBER(P55)),I55-P55,"")</x:f>
        <x:v>-0.0038953173182263157</x:v>
      </x:c>
      <x:c r="R55" s="22" t="n">
        <x:f>IF(ISNUMBER(Q55),ABS(Q55),"")</x:f>
        <x:v>0.0038953173182263157</x:v>
      </x:c>
      <x:c r="S55" s="36" t="n">
        <x:f>IF(AND(ISNUMBER(Q55),ISNUMBER(P55)),IF(ABS(P55)&lt;1E-12,"",Q55/P55),"")</x:f>
        <x:v>-0.04837011542590945</x:v>
      </x:c>
      <x:c r="T55" s="36" t="n">
        <x:f>IF(ISNUMBER(S55),ABS(S55),"")</x:f>
        <x:v>0.04837011542590945</x:v>
      </x:c>
      <x:c r="U55" s="37" t="n">
        <x:f>IF(ISNUMBER(Q55),Q55^2,"")</x:f>
        <x:v>0.000015173497009673856</x:v>
      </x:c>
      <x:c r="V55" s="21" t="str">
        <x:f>IF(NOT(AND(ISNUMBER(D55),ISNUMBER(E55),ISNUMBER(G55),ISNUMBER(H55))),"缺少配对",IF(OR(F55&lt;J55,F55&gt;K55),"超出理论J范围","有效"))</x:f>
        <x:v>有效</x:v>
      </x:c>
      <x:c r="W55" s="20" t="str">
        <x:v>升力 y=0.915708x+28.7687 → C_T_prop；实验攻角 30° ↔ 理论 alpha_p_deg 60°；原升力源 3000rpm!C61/M61</x:v>
      </x:c>
      <x:c r="X55" s="20" t="str">
        <x:v>升力标定计算!M109</x:v>
      </x:c>
      <x:c r="Y55" s="20" t="str">
        <x:v>升力标定计算!M110</x:v>
      </x:c>
      <x:c r="Z55" s="20" t="str">
        <x:v>升力标定计算!N109</x:v>
      </x:c>
      <x:c r="AA55" s="20" t="str">
        <x:v>升力标定计算!N110</x:v>
      </x:c>
      <x:c r="AB55" s="20" t="str">
        <x:v>3000rpm!AU48:AT49</x:v>
      </x:c>
    </x:row>
    <x:row r="56">
      <x:c r="A56" s="21" t="n">
        <x:v>3000</x:v>
      </x:c>
      <x:c r="B56" s="21" t="n">
        <x:v>30</x:v>
      </x:c>
      <x:c r="C56" s="21" t="n">
        <x:v>5</x:v>
      </x:c>
      <x:c r="D56" s="22" t="n">
        <x:f>IFERROR('升力标定计算'!M111,"")</x:f>
        <x:v>0.13117473208473826</x:v>
      </x:c>
      <x:c r="E56" s="22" t="n">
        <x:f>IFERROR('升力标定计算'!M112,"")</x:f>
        <x:v>0.13254492134381318</x:v>
      </x:c>
      <x:c r="F56" s="22" t="n">
        <x:f>IF(AND(ISNUMBER(D56),ISNUMBER(E56)),AVERAGE(D56,E56),"")</x:f>
        <x:v>0.1318598267142757</x:v>
      </x:c>
      <x:c r="G56" s="22" t="n">
        <x:f>IFERROR('升力标定计算'!N111,"")</x:f>
        <x:v>0.07531881256629147</x:v>
      </x:c>
      <x:c r="H56" s="22" t="n">
        <x:f>IFERROR('升力标定计算'!N112,"")</x:f>
        <x:v>0.07596390476084623</x:v>
      </x:c>
      <x:c r="I56" s="22" t="n">
        <x:f>IF(AND(ISNUMBER(G56),ISNUMBER(H56)),AVERAGE(G56,H56),"")</x:f>
        <x:v>0.07564135866356886</x:v>
      </x:c>
      <x:c r="J56" s="22" t="n">
        <x:f>IFERROR('3000rpm'!AU47,"")</x:f>
        <x:v>0</x:v>
      </x:c>
      <x:c r="K56" s="22" t="n">
        <x:f>IFERROR('3000rpm'!AU57,"")</x:f>
        <x:v>0.4448818897637795</x:v>
      </x:c>
      <x:c r="L56" s="22" t="n">
        <x:f>IFERROR('3000rpm'!AU49,"")</x:f>
        <x:v>0.08897637795275593</x:v>
      </x:c>
      <x:c r="M56" s="22" t="n">
        <x:f>IFERROR('3000rpm'!AT49,"")</x:f>
        <x:v>0.08049630424562942</x:v>
      </x:c>
      <x:c r="N56" s="22" t="n">
        <x:f>IFERROR('3000rpm'!AU50,"")</x:f>
        <x:v>0.13346456692913383</x:v>
      </x:c>
      <x:c r="O56" s="22" t="n">
        <x:f>IFERROR('3000rpm'!AT50,"")</x:f>
        <x:v>0.07918529073473177</x:v>
      </x:c>
      <x:c r="P56" s="22" t="n">
        <x:f>IF(OR(NOT(AND(ISNUMBER(D56),ISNUMBER(E56),ISNUMBER(G56),ISNUMBER(H56))),OR(F56&lt;J56,F56&gt;K56)),"",IF(N56=L56,M56,M56+(F56-L56)*(O56-M56)/(N56-L56)))</x:f>
        <x:v>0.07923258050200634</x:v>
      </x:c>
      <x:c r="Q56" s="22" t="n">
        <x:f>IF(AND(ISNUMBER(I56),ISNUMBER(P56)),I56-P56,"")</x:f>
        <x:v>-0.0035912218384374778</x:v>
      </x:c>
      <x:c r="R56" s="22" t="n">
        <x:f>IF(ISNUMBER(Q56),ABS(Q56),"")</x:f>
        <x:v>0.0035912218384374778</x:v>
      </x:c>
      <x:c r="S56" s="36" t="n">
        <x:f>IF(AND(ISNUMBER(Q56),ISNUMBER(P56)),IF(ABS(P56)&lt;1E-12,"",Q56/P56),"")</x:f>
        <x:v>-0.045325064710552254</x:v>
      </x:c>
      <x:c r="T56" s="36" t="n">
        <x:f>IF(ISNUMBER(S56),ABS(S56),"")</x:f>
        <x:v>0.045325064710552254</x:v>
      </x:c>
      <x:c r="U56" s="37" t="n">
        <x:f>IF(ISNUMBER(Q56),Q56^2,"")</x:f>
        <x:v>0.000012896874292870258</x:v>
      </x:c>
      <x:c r="V56" s="21" t="str">
        <x:f>IF(NOT(AND(ISNUMBER(D56),ISNUMBER(E56),ISNUMBER(G56),ISNUMBER(H56))),"缺少配对",IF(OR(F56&lt;J56,F56&gt;K56),"超出理论J范围","有效"))</x:f>
        <x:v>有效</x:v>
      </x:c>
      <x:c r="W56" s="20" t="str">
        <x:v>升力 y=0.915708x+28.7687 → C_T_prop；实验攻角 30° ↔ 理论 alpha_p_deg 60°；原升力源 3000rpm!C62/M62</x:v>
      </x:c>
      <x:c r="X56" s="20" t="str">
        <x:v>升力标定计算!M111</x:v>
      </x:c>
      <x:c r="Y56" s="20" t="str">
        <x:v>升力标定计算!M112</x:v>
      </x:c>
      <x:c r="Z56" s="20" t="str">
        <x:v>升力标定计算!N111</x:v>
      </x:c>
      <x:c r="AA56" s="20" t="str">
        <x:v>升力标定计算!N112</x:v>
      </x:c>
      <x:c r="AB56" s="20" t="str">
        <x:v>3000rpm!AU49:AT50</x:v>
      </x:c>
    </x:row>
    <x:row r="57">
      <x:c r="A57" s="21" t="n">
        <x:v>3000</x:v>
      </x:c>
      <x:c r="B57" s="21" t="n">
        <x:v>30</x:v>
      </x:c>
      <x:c r="C57" s="21" t="n">
        <x:v>6</x:v>
      </x:c>
      <x:c r="D57" s="22" t="n">
        <x:f>IFERROR('升力标定计算'!M113,"")</x:f>
        <x:v>0.17523551456039405</x:v>
      </x:c>
      <x:c r="E57" s="22" t="n">
        <x:f>IFERROR('升力标定计算'!M114,"")</x:f>
        <x:v>0.17728557945176923</x:v>
      </x:c>
      <x:c r="F57" s="22" t="n">
        <x:f>IF(AND(ISNUMBER(D57),ISNUMBER(E57)),AVERAGE(D57,E57),"")</x:f>
        <x:v>0.17626054700608162</x:v>
      </x:c>
      <x:c r="G57" s="22" t="n">
        <x:f>IFERROR('升力标定计算'!N113,"")</x:f>
        <x:v>0.07426267045467168</x:v>
      </x:c>
      <x:c r="H57" s="22" t="n">
        <x:f>IFERROR('升力标定计算'!N114,"")</x:f>
        <x:v>0.07465787394774274</x:v>
      </x:c>
      <x:c r="I57" s="22" t="n">
        <x:f>IF(AND(ISNUMBER(G57),ISNUMBER(H57)),AVERAGE(G57,H57),"")</x:f>
        <x:v>0.07446027220120721</x:v>
      </x:c>
      <x:c r="J57" s="22" t="n">
        <x:f>IFERROR('3000rpm'!AU47,"")</x:f>
        <x:v>0</x:v>
      </x:c>
      <x:c r="K57" s="22" t="n">
        <x:f>IFERROR('3000rpm'!AU57,"")</x:f>
        <x:v>0.4448818897637795</x:v>
      </x:c>
      <x:c r="L57" s="22" t="n">
        <x:f>IFERROR('3000rpm'!AU50,"")</x:f>
        <x:v>0.13346456692913383</x:v>
      </x:c>
      <x:c r="M57" s="22" t="n">
        <x:f>IFERROR('3000rpm'!AT50,"")</x:f>
        <x:v>0.07918529073473177</x:v>
      </x:c>
      <x:c r="N57" s="22" t="n">
        <x:f>IFERROR('3000rpm'!AU51,"")</x:f>
        <x:v>0.17795275590551185</x:v>
      </x:c>
      <x:c r="O57" s="22" t="n">
        <x:f>IFERROR('3000rpm'!AT51,"")</x:f>
        <x:v>0.0779059397972423</x:v>
      </x:c>
      <x:c r="P57" s="22" t="n">
        <x:f>IF(OR(NOT(AND(ISNUMBER(D57),ISNUMBER(E57),ISNUMBER(G57),ISNUMBER(H57))),OR(F57&lt;J57,F57&gt;K57)),"",IF(N57=L57,M57,M57+(F57-L57)*(O57-M57)/(N57-L57)))</x:f>
        <x:v>0.07795460280402514</x:v>
      </x:c>
      <x:c r="Q57" s="22" t="n">
        <x:f>IF(AND(ISNUMBER(I57),ISNUMBER(P57)),I57-P57,"")</x:f>
        <x:v>-0.0034943306028179244</x:v>
      </x:c>
      <x:c r="R57" s="22" t="n">
        <x:f>IF(ISNUMBER(Q57),ABS(Q57),"")</x:f>
        <x:v>0.0034943306028179244</x:v>
      </x:c>
      <x:c r="S57" s="36" t="n">
        <x:f>IF(AND(ISNUMBER(Q57),ISNUMBER(P57)),IF(ABS(P57)&lt;1E-12,"",Q57/P57),"")</x:f>
        <x:v>-0.044825199245803825</x:v>
      </x:c>
      <x:c r="T57" s="36" t="n">
        <x:f>IF(ISNUMBER(S57),ABS(S57),"")</x:f>
        <x:v>0.044825199245803825</x:v>
      </x:c>
      <x:c r="U57" s="37" t="n">
        <x:f>IF(ISNUMBER(Q57),Q57^2,"")</x:f>
        <x:v>0.000012210346361789879</x:v>
      </x:c>
      <x:c r="V57" s="21" t="str">
        <x:f>IF(NOT(AND(ISNUMBER(D57),ISNUMBER(E57),ISNUMBER(G57),ISNUMBER(H57))),"缺少配对",IF(OR(F57&lt;J57,F57&gt;K57),"超出理论J范围","有效"))</x:f>
        <x:v>有效</x:v>
      </x:c>
      <x:c r="W57" s="20" t="str">
        <x:v>升力 y=0.915708x+28.7687 → C_T_prop；实验攻角 30° ↔ 理论 alpha_p_deg 60°；原升力源 3000rpm!C63/M63</x:v>
      </x:c>
      <x:c r="X57" s="20" t="str">
        <x:v>升力标定计算!M113</x:v>
      </x:c>
      <x:c r="Y57" s="20" t="str">
        <x:v>升力标定计算!M114</x:v>
      </x:c>
      <x:c r="Z57" s="20" t="str">
        <x:v>升力标定计算!N113</x:v>
      </x:c>
      <x:c r="AA57" s="20" t="str">
        <x:v>升力标定计算!N114</x:v>
      </x:c>
      <x:c r="AB57" s="20" t="str">
        <x:v>3000rpm!AU50:AT51</x:v>
      </x:c>
    </x:row>
    <x:row r="58">
      <x:c r="A58" s="21" t="n">
        <x:v>3000</x:v>
      </x:c>
      <x:c r="B58" s="21" t="n">
        <x:v>30</x:v>
      </x:c>
      <x:c r="C58" s="21" t="n">
        <x:v>7</x:v>
      </x:c>
      <x:c r="D58" s="22" t="n">
        <x:f>IFERROR('升力标定计算'!M115,"")</x:f>
        <x:v>0.21793499297323146</x:v>
      </x:c>
      <x:c r="E58" s="22" t="n">
        <x:f>IFERROR('升力标定计算'!M116,"")</x:f>
        <x:v>0.22084983969276875</x:v>
      </x:c>
      <x:c r="F58" s="22" t="n">
        <x:f>IF(AND(ISNUMBER(D58),ISNUMBER(E58)),AVERAGE(D58,E58),"")</x:f>
        <x:v>0.2193924163330001</x:v>
      </x:c>
      <x:c r="G58" s="22" t="n">
        <x:f>IFERROR('升力标定计算'!N115,"")</x:f>
        <x:v>0.07195712278522069</x:v>
      </x:c>
      <x:c r="H58" s="22" t="n">
        <x:f>IFERROR('升力标定计算'!N116,"")</x:f>
        <x:v>0.07249142012846478</x:v>
      </x:c>
      <x:c r="I58" s="22" t="n">
        <x:f>IF(AND(ISNUMBER(G58),ISNUMBER(H58)),AVERAGE(G58,H58),"")</x:f>
        <x:v>0.07222427145684274</x:v>
      </x:c>
      <x:c r="J58" s="22" t="n">
        <x:f>IFERROR('3000rpm'!AU47,"")</x:f>
        <x:v>0</x:v>
      </x:c>
      <x:c r="K58" s="22" t="n">
        <x:f>IFERROR('3000rpm'!AU57,"")</x:f>
        <x:v>0.4448818897637795</x:v>
      </x:c>
      <x:c r="L58" s="22" t="n">
        <x:f>IFERROR('3000rpm'!AU51,"")</x:f>
        <x:v>0.17795275590551185</x:v>
      </x:c>
      <x:c r="M58" s="22" t="n">
        <x:f>IFERROR('3000rpm'!AT51,"")</x:f>
        <x:v>0.0779059397972423</x:v>
      </x:c>
      <x:c r="N58" s="22" t="n">
        <x:f>IFERROR('3000rpm'!AU52,"")</x:f>
        <x:v>0.22244094488188976</x:v>
      </x:c>
      <x:c r="O58" s="22" t="n">
        <x:f>IFERROR('3000rpm'!AT52,"")</x:f>
        <x:v>0.07651816823783243</x:v>
      </x:c>
      <x:c r="P58" s="22" t="n">
        <x:f>IF(OR(NOT(AND(ISNUMBER(D58),ISNUMBER(E58),ISNUMBER(G58),ISNUMBER(H58))),OR(F58&lt;J58,F58&gt;K58)),"",IF(N58=L58,M58,M58+(F58-L58)*(O58-M58)/(N58-L58)))</x:f>
        <x:v>0.07661326451654236</x:v>
      </x:c>
      <x:c r="Q58" s="22" t="n">
        <x:f>IF(AND(ISNUMBER(I58),ISNUMBER(P58)),I58-P58,"")</x:f>
        <x:v>-0.004388993059699628</x:v>
      </x:c>
      <x:c r="R58" s="22" t="n">
        <x:f>IF(ISNUMBER(Q58),ABS(Q58),"")</x:f>
        <x:v>0.004388993059699628</x:v>
      </x:c>
      <x:c r="S58" s="36" t="n">
        <x:f>IF(AND(ISNUMBER(Q58),ISNUMBER(P58)),IF(ABS(P58)&lt;1E-12,"",Q58/P58),"")</x:f>
        <x:v>-0.05728763925406096</x:v>
      </x:c>
      <x:c r="T58" s="36" t="n">
        <x:f>IF(ISNUMBER(S58),ABS(S58),"")</x:f>
        <x:v>0.05728763925406096</x:v>
      </x:c>
      <x:c r="U58" s="37" t="n">
        <x:f>IF(ISNUMBER(Q58),Q58^2,"")</x:f>
        <x:v>0.0000192632600780915</x:v>
      </x:c>
      <x:c r="V58" s="21" t="str">
        <x:f>IF(NOT(AND(ISNUMBER(D58),ISNUMBER(E58),ISNUMBER(G58),ISNUMBER(H58))),"缺少配对",IF(OR(F58&lt;J58,F58&gt;K58),"超出理论J范围","有效"))</x:f>
        <x:v>有效</x:v>
      </x:c>
      <x:c r="W58" s="20" t="str">
        <x:v>升力 y=0.915708x+28.7687 → C_T_prop；实验攻角 30° ↔ 理论 alpha_p_deg 60°；原升力源 3000rpm!C64/M64</x:v>
      </x:c>
      <x:c r="X58" s="20" t="str">
        <x:v>升力标定计算!M115</x:v>
      </x:c>
      <x:c r="Y58" s="20" t="str">
        <x:v>升力标定计算!M116</x:v>
      </x:c>
      <x:c r="Z58" s="20" t="str">
        <x:v>升力标定计算!N115</x:v>
      </x:c>
      <x:c r="AA58" s="20" t="str">
        <x:v>升力标定计算!N116</x:v>
      </x:c>
      <x:c r="AB58" s="20" t="str">
        <x:v>3000rpm!AU51:AT52</x:v>
      </x:c>
    </x:row>
    <x:row r="59">
      <x:c r="A59" s="21" t="n">
        <x:v>3000</x:v>
      </x:c>
      <x:c r="B59" s="21" t="n">
        <x:v>30</x:v>
      </x:c>
      <x:c r="C59" s="21" t="n">
        <x:v>8</x:v>
      </x:c>
      <x:c r="D59" s="22" t="n">
        <x:f>IFERROR('升力标定计算'!M117,"")</x:f>
        <x:v>0.26426806561307675</x:v>
      </x:c>
      <x:c r="E59" s="22" t="n">
        <x:f>IFERROR('升力标定计算'!M118,"")</x:f>
        <x:v>0.2632065274481721</x:v>
      </x:c>
      <x:c r="F59" s="22" t="n">
        <x:f>IF(AND(ISNUMBER(D59),ISNUMBER(E59)),AVERAGE(D59,E59),"")</x:f>
        <x:v>0.2637372965306244</x:v>
      </x:c>
      <x:c r="G59" s="22" t="n">
        <x:f>IFERROR('升力标定计算'!N117,"")</x:f>
        <x:v>0.07181419851518585</x:v>
      </x:c>
      <x:c r="H59" s="22" t="n">
        <x:f>IFERROR('升力标定计算'!N118,"")</x:f>
        <x:v>0.06996217878975214</x:v>
      </x:c>
      <x:c r="I59" s="22" t="n">
        <x:f>IF(AND(ISNUMBER(G59),ISNUMBER(H59)),AVERAGE(G59,H59),"")</x:f>
        <x:v>0.07088818865246899</x:v>
      </x:c>
      <x:c r="J59" s="22" t="n">
        <x:f>IFERROR('3000rpm'!AU47,"")</x:f>
        <x:v>0</x:v>
      </x:c>
      <x:c r="K59" s="22" t="n">
        <x:f>IFERROR('3000rpm'!AU57,"")</x:f>
        <x:v>0.4448818897637795</x:v>
      </x:c>
      <x:c r="L59" s="22" t="n">
        <x:f>IFERROR('3000rpm'!AU52,"")</x:f>
        <x:v>0.22244094488188976</x:v>
      </x:c>
      <x:c r="M59" s="22" t="n">
        <x:f>IFERROR('3000rpm'!AT52,"")</x:f>
        <x:v>0.07651816823783243</x:v>
      </x:c>
      <x:c r="N59" s="22" t="n">
        <x:f>IFERROR('3000rpm'!AU53,"")</x:f>
        <x:v>0.26692913385826766</x:v>
      </x:c>
      <x:c r="O59" s="22" t="n">
        <x:f>IFERROR('3000rpm'!AT53,"")</x:f>
        <x:v>0.07492670154858767</x:v>
      </x:c>
      <x:c r="P59" s="22" t="n">
        <x:f>IF(OR(NOT(AND(ISNUMBER(D59),ISNUMBER(E59),ISNUMBER(G59),ISNUMBER(H59))),OR(F59&lt;J59,F59&gt;K59)),"",IF(N59=L59,M59,M59+(F59-L59)*(O59-M59)/(N59-L59)))</x:f>
        <x:v>0.07504088247843244</x:v>
      </x:c>
      <x:c r="Q59" s="22" t="n">
        <x:f>IF(AND(ISNUMBER(I59),ISNUMBER(P59)),I59-P59,"")</x:f>
        <x:v>-0.004152693825963449</x:v>
      </x:c>
      <x:c r="R59" s="22" t="n">
        <x:f>IF(ISNUMBER(Q59),ABS(Q59),"")</x:f>
        <x:v>0.004152693825963449</x:v>
      </x:c>
      <x:c r="S59" s="36" t="n">
        <x:f>IF(AND(ISNUMBER(Q59),ISNUMBER(P59)),IF(ABS(P59)&lt;1E-12,"",Q59/P59),"")</x:f>
        <x:v>-0.05533908569314838</x:v>
      </x:c>
      <x:c r="T59" s="36" t="n">
        <x:f>IF(ISNUMBER(S59),ABS(S59),"")</x:f>
        <x:v>0.05533908569314838</x:v>
      </x:c>
      <x:c r="U59" s="37" t="n">
        <x:f>IF(ISNUMBER(Q59),Q59^2,"")</x:f>
        <x:v>0.000017244866012194952</x:v>
      </x:c>
      <x:c r="V59" s="21" t="str">
        <x:f>IF(NOT(AND(ISNUMBER(D59),ISNUMBER(E59),ISNUMBER(G59),ISNUMBER(H59))),"缺少配对",IF(OR(F59&lt;J59,F59&gt;K59),"超出理论J范围","有效"))</x:f>
        <x:v>有效</x:v>
      </x:c>
      <x:c r="W59" s="20" t="str">
        <x:v>升力 y=0.915708x+28.7687 → C_T_prop；实验攻角 30° ↔ 理论 alpha_p_deg 60°；原升力源 3000rpm!C65/M65</x:v>
      </x:c>
      <x:c r="X59" s="20" t="str">
        <x:v>升力标定计算!M117</x:v>
      </x:c>
      <x:c r="Y59" s="20" t="str">
        <x:v>升力标定计算!M118</x:v>
      </x:c>
      <x:c r="Z59" s="20" t="str">
        <x:v>升力标定计算!N117</x:v>
      </x:c>
      <x:c r="AA59" s="20" t="str">
        <x:v>升力标定计算!N118</x:v>
      </x:c>
      <x:c r="AB59" s="20" t="str">
        <x:v>3000rpm!AU52:AT53</x:v>
      </x:c>
    </x:row>
    <x:row r="60">
      <x:c r="A60" s="21" t="n">
        <x:v>3000</x:v>
      </x:c>
      <x:c r="B60" s="21" t="n">
        <x:v>30</x:v>
      </x:c>
      <x:c r="C60" s="21" t="n">
        <x:v>9</x:v>
      </x:c>
      <x:c r="D60" s="22" t="n">
        <x:f>IFERROR('升力标定计算'!M119,"")</x:f>
        <x:v>0.30715887116504764</x:v>
      </x:c>
      <x:c r="E60" s="22" t="n">
        <x:f>IFERROR('升力标定计算'!M120,"")</x:f>
        <x:v>0.31137813801921427</x:v>
      </x:c>
      <x:c r="F60" s="22" t="n">
        <x:f>IF(AND(ISNUMBER(D60),ISNUMBER(E60)),AVERAGE(D60,E60),"")</x:f>
        <x:v>0.30926850459213096</x:v>
      </x:c>
      <x:c r="G60" s="22" t="n">
        <x:f>IFERROR('升力标定计算'!N119,"")</x:f>
        <x:v>0.07028373615774827</x:v>
      </x:c>
      <x:c r="H60" s="22" t="n">
        <x:f>IFERROR('升力标定计算'!N120,"")</x:f>
        <x:v>0.07050427467603985</x:v>
      </x:c>
      <x:c r="I60" s="22" t="n">
        <x:f>IF(AND(ISNUMBER(G60),ISNUMBER(H60)),AVERAGE(G60,H60),"")</x:f>
        <x:v>0.07039400541689406</x:v>
      </x:c>
      <x:c r="J60" s="22" t="n">
        <x:f>IFERROR('3000rpm'!AU47,"")</x:f>
        <x:v>0</x:v>
      </x:c>
      <x:c r="K60" s="22" t="n">
        <x:f>IFERROR('3000rpm'!AU57,"")</x:f>
        <x:v>0.4448818897637795</x:v>
      </x:c>
      <x:c r="L60" s="22" t="n">
        <x:f>IFERROR('3000rpm'!AU53,"")</x:f>
        <x:v>0.26692913385826766</x:v>
      </x:c>
      <x:c r="M60" s="22" t="n">
        <x:f>IFERROR('3000rpm'!AT53,"")</x:f>
        <x:v>0.07492670154858767</x:v>
      </x:c>
      <x:c r="N60" s="22" t="n">
        <x:f>IFERROR('3000rpm'!AU54,"")</x:f>
        <x:v>0.3114173228346457</x:v>
      </x:c>
      <x:c r="O60" s="22" t="n">
        <x:f>IFERROR('3000rpm'!AT54,"")</x:f>
        <x:v>0.07306833800911808</x:v>
      </x:c>
      <x:c r="P60" s="22" t="n">
        <x:f>IF(OR(NOT(AND(ISNUMBER(D60),ISNUMBER(E60),ISNUMBER(G60),ISNUMBER(H60))),OR(F60&lt;J60,F60&gt;K60)),"",IF(N60=L60,M60,M60+(F60-L60)*(O60-M60)/(N60-L60)))</x:f>
        <x:v>0.07315809858527812</x:v>
      </x:c>
      <x:c r="Q60" s="22" t="n">
        <x:f>IF(AND(ISNUMBER(I60),ISNUMBER(P60)),I60-P60,"")</x:f>
        <x:v>-0.002764093168384066</x:v>
      </x:c>
      <x:c r="R60" s="22" t="n">
        <x:f>IF(ISNUMBER(Q60),ABS(Q60),"")</x:f>
        <x:v>0.002764093168384066</x:v>
      </x:c>
      <x:c r="S60" s="36" t="n">
        <x:f>IF(AND(ISNUMBER(Q60),ISNUMBER(P60)),IF(ABS(P60)&lt;1E-12,"",Q60/P60),"")</x:f>
        <x:v>-0.03778246321098748</x:v>
      </x:c>
      <x:c r="T60" s="36" t="n">
        <x:f>IF(ISNUMBER(S60),ABS(S60),"")</x:f>
        <x:v>0.03778246321098748</x:v>
      </x:c>
      <x:c r="U60" s="37" t="n">
        <x:f>IF(ISNUMBER(Q60),Q60^2,"")</x:f>
        <x:v>0.000007640211043507463</x:v>
      </x:c>
      <x:c r="V60" s="21" t="str">
        <x:f>IF(NOT(AND(ISNUMBER(D60),ISNUMBER(E60),ISNUMBER(G60),ISNUMBER(H60))),"缺少配对",IF(OR(F60&lt;J60,F60&gt;K60),"超出理论J范围","有效"))</x:f>
        <x:v>有效</x:v>
      </x:c>
      <x:c r="W60" s="20" t="str">
        <x:v>升力 y=0.915708x+28.7687 → C_T_prop；实验攻角 30° ↔ 理论 alpha_p_deg 60°；原升力源 3000rpm!C66/M66</x:v>
      </x:c>
      <x:c r="X60" s="20" t="str">
        <x:v>升力标定计算!M119</x:v>
      </x:c>
      <x:c r="Y60" s="20" t="str">
        <x:v>升力标定计算!M120</x:v>
      </x:c>
      <x:c r="Z60" s="20" t="str">
        <x:v>升力标定计算!N119</x:v>
      </x:c>
      <x:c r="AA60" s="20" t="str">
        <x:v>升力标定计算!N120</x:v>
      </x:c>
      <x:c r="AB60" s="20" t="str">
        <x:v>3000rpm!AU53:AT54</x:v>
      </x:c>
    </x:row>
    <x:row r="61">
      <x:c r="A61" s="21" t="n">
        <x:v>3000</x:v>
      </x:c>
      <x:c r="B61" s="21" t="n">
        <x:v>30</x:v>
      </x:c>
      <x:c r="C61" s="21" t="n">
        <x:v>10</x:v>
      </x:c>
      <x:c r="D61" s="22" t="n">
        <x:f>IFERROR('升力标定计算'!M121,"")</x:f>
        <x:v>0.34834026614196845</x:v>
      </x:c>
      <x:c r="E61" s="22" t="n">
        <x:f>IFERROR('升力标定计算'!M122,"")</x:f>
        <x:v>0.35355196742350725</x:v>
      </x:c>
      <x:c r="F61" s="22" t="n">
        <x:f>IF(AND(ISNUMBER(D61),ISNUMBER(E61)),AVERAGE(D61,E61),"")</x:f>
        <x:v>0.35094611678273785</x:v>
      </x:c>
      <x:c r="G61" s="22" t="n">
        <x:f>IFERROR('升力标定计算'!N121,"")</x:f>
        <x:v>0.06847172538982504</x:v>
      </x:c>
      <x:c r="H61" s="22" t="n">
        <x:f>IFERROR('升力标定计算'!N122,"")</x:f>
        <x:v>0.06862585924252401</x:v>
      </x:c>
      <x:c r="I61" s="22" t="n">
        <x:f>IF(AND(ISNUMBER(G61),ISNUMBER(H61)),AVERAGE(G61,H61),"")</x:f>
        <x:v>0.06854879231617453</x:v>
      </x:c>
      <x:c r="J61" s="22" t="n">
        <x:f>IFERROR('3000rpm'!AU47,"")</x:f>
        <x:v>0</x:v>
      </x:c>
      <x:c r="K61" s="22" t="n">
        <x:f>IFERROR('3000rpm'!AU57,"")</x:f>
        <x:v>0.4448818897637795</x:v>
      </x:c>
      <x:c r="L61" s="22" t="n">
        <x:f>IFERROR('3000rpm'!AU54,"")</x:f>
        <x:v>0.3114173228346457</x:v>
      </x:c>
      <x:c r="M61" s="22" t="n">
        <x:f>IFERROR('3000rpm'!AT54,"")</x:f>
        <x:v>0.07306833800911808</x:v>
      </x:c>
      <x:c r="N61" s="22" t="n">
        <x:f>IFERROR('3000rpm'!AU55,"")</x:f>
        <x:v>0.3559055118110237</x:v>
      </x:c>
      <x:c r="O61" s="22" t="n">
        <x:f>IFERROR('3000rpm'!AT55,"")</x:f>
        <x:v>0.0708783675261028</x:v>
      </x:c>
      <x:c r="P61" s="22" t="n">
        <x:f>IF(OR(NOT(AND(ISNUMBER(D61),ISNUMBER(E61),ISNUMBER(G61),ISNUMBER(H61))),OR(F61&lt;J61,F61&gt;K61)),"",IF(N61=L61,M61,M61+(F61-L61)*(O61-M61)/(N61-L61)))</x:f>
        <x:v>0.07112249813639412</x:v>
      </x:c>
      <x:c r="Q61" s="22" t="n">
        <x:f>IF(AND(ISNUMBER(I61),ISNUMBER(P61)),I61-P61,"")</x:f>
        <x:v>-0.002573705820219596</x:v>
      </x:c>
      <x:c r="R61" s="22" t="n">
        <x:f>IF(ISNUMBER(Q61),ABS(Q61),"")</x:f>
        <x:v>0.002573705820219596</x:v>
      </x:c>
      <x:c r="S61" s="36" t="n">
        <x:f>IF(AND(ISNUMBER(Q61),ISNUMBER(P61)),IF(ABS(P61)&lt;1E-12,"",Q61/P61),"")</x:f>
        <x:v>-0.03618694348002104</x:v>
      </x:c>
      <x:c r="T61" s="36" t="n">
        <x:f>IF(ISNUMBER(S61),ABS(S61),"")</x:f>
        <x:v>0.03618694348002104</x:v>
      </x:c>
      <x:c r="U61" s="37" t="n">
        <x:f>IF(ISNUMBER(Q61),Q61^2,"")</x:f>
        <x:v>0.000006623961649032224</x:v>
      </x:c>
      <x:c r="V61" s="21" t="str">
        <x:f>IF(NOT(AND(ISNUMBER(D61),ISNUMBER(E61),ISNUMBER(G61),ISNUMBER(H61))),"缺少配对",IF(OR(F61&lt;J61,F61&gt;K61),"超出理论J范围","有效"))</x:f>
        <x:v>有效</x:v>
      </x:c>
      <x:c r="W61" s="20" t="str">
        <x:v>升力 y=0.915708x+28.7687 → C_T_prop；实验攻角 30° ↔ 理论 alpha_p_deg 60°；原升力源 3000rpm!C67/M67</x:v>
      </x:c>
      <x:c r="X61" s="20" t="str">
        <x:v>升力标定计算!M121</x:v>
      </x:c>
      <x:c r="Y61" s="20" t="str">
        <x:v>升力标定计算!M122</x:v>
      </x:c>
      <x:c r="Z61" s="20" t="str">
        <x:v>升力标定计算!N121</x:v>
      </x:c>
      <x:c r="AA61" s="20" t="str">
        <x:v>升力标定计算!N122</x:v>
      </x:c>
      <x:c r="AB61" s="20" t="str">
        <x:v>3000rpm!AU54:AT55</x:v>
      </x:c>
    </x:row>
    <x:row r="62">
      <x:c r="A62" s="21" t="n">
        <x:v>3000</x:v>
      </x:c>
      <x:c r="B62" s="21" t="n">
        <x:v>30</x:v>
      </x:c>
      <x:c r="C62" s="21" t="n">
        <x:v>11</x:v>
      </x:c>
      <x:c r="D62" s="22" t="n">
        <x:f>IFERROR('升力标定计算'!M123,"")</x:f>
        <x:v>0.39204022512027215</x:v>
      </x:c>
      <x:c r="E62" s="22" t="n">
        <x:f>IFERROR('升力标定计算'!M124,"")</x:f>
        <x:v>0.3963267166548814</x:v>
      </x:c>
      <x:c r="F62" s="22" t="n">
        <x:f>IF(AND(ISNUMBER(D62),ISNUMBER(E62)),AVERAGE(D62,E62),"")</x:f>
        <x:v>0.39418347088757677</x:v>
      </x:c>
      <x:c r="G62" s="22" t="n">
        <x:f>IFERROR('升力标定计算'!N123,"")</x:f>
        <x:v>0.06873851607325555</x:v>
      </x:c>
      <x:c r="H62" s="22" t="n">
        <x:f>IFERROR('升力标定计算'!N124,"")</x:f>
        <x:v>0.06808569910643929</x:v>
      </x:c>
      <x:c r="I62" s="22" t="n">
        <x:f>IF(AND(ISNUMBER(G62),ISNUMBER(H62)),AVERAGE(G62,H62),"")</x:f>
        <x:v>0.06841210758984742</x:v>
      </x:c>
      <x:c r="J62" s="22" t="n">
        <x:f>IFERROR('3000rpm'!AU47,"")</x:f>
        <x:v>0</x:v>
      </x:c>
      <x:c r="K62" s="22" t="n">
        <x:f>IFERROR('3000rpm'!AU57,"")</x:f>
        <x:v>0.4448818897637795</x:v>
      </x:c>
      <x:c r="L62" s="22" t="n">
        <x:f>IFERROR('3000rpm'!AU55,"")</x:f>
        <x:v>0.3559055118110237</x:v>
      </x:c>
      <x:c r="M62" s="22" t="n">
        <x:f>IFERROR('3000rpm'!AT55,"")</x:f>
        <x:v>0.0708783675261028</x:v>
      </x:c>
      <x:c r="N62" s="22" t="n">
        <x:f>IFERROR('3000rpm'!AU56,"")</x:f>
        <x:v>0.40039370078740166</x:v>
      </x:c>
      <x:c r="O62" s="22" t="n">
        <x:f>IFERROR('3000rpm'!AT56,"")</x:f>
        <x:v>0.06836066627100229</x:v>
      </x:c>
      <x:c r="P62" s="22" t="n">
        <x:f>IF(OR(NOT(AND(ISNUMBER(D62),ISNUMBER(E62),ISNUMBER(G62),ISNUMBER(H62))),OR(F62&lt;J62,F62&gt;K62)),"",IF(N62=L62,M62,M62+(F62-L62)*(O62-M62)/(N62-L62)))</x:f>
        <x:v>0.06871211918407892</x:v>
      </x:c>
      <x:c r="Q62" s="22" t="n">
        <x:f>IF(AND(ISNUMBER(I62),ISNUMBER(P62)),I62-P62,"")</x:f>
        <x:v>-0.00030001159423150014</x:v>
      </x:c>
      <x:c r="R62" s="22" t="n">
        <x:f>IF(ISNUMBER(Q62),ABS(Q62),"")</x:f>
        <x:v>0.00030001159423150014</x:v>
      </x:c>
      <x:c r="S62" s="36" t="n">
        <x:f>IF(AND(ISNUMBER(Q62),ISNUMBER(P62)),IF(ABS(P62)&lt;1E-12,"",Q62/P62),"")</x:f>
        <x:v>-0.004366210761565551</x:v>
      </x:c>
      <x:c r="T62" s="36" t="n">
        <x:f>IF(ISNUMBER(S62),ABS(S62),"")</x:f>
        <x:v>0.004366210761565551</x:v>
      </x:c>
      <x:c r="U62" s="37" t="n">
        <x:f>IF(ISNUMBER(Q62),Q62^2,"")</x:f>
        <x:v>9.00069566733263e-8</x:v>
      </x:c>
      <x:c r="V62" s="21" t="str">
        <x:f>IF(NOT(AND(ISNUMBER(D62),ISNUMBER(E62),ISNUMBER(G62),ISNUMBER(H62))),"缺少配对",IF(OR(F62&lt;J62,F62&gt;K62),"超出理论J范围","有效"))</x:f>
        <x:v>有效</x:v>
      </x:c>
      <x:c r="W62" s="20" t="str">
        <x:v>升力 y=0.915708x+28.7687 → C_T_prop；实验攻角 30° ↔ 理论 alpha_p_deg 60°；原升力源 3000rpm!C68/M68</x:v>
      </x:c>
      <x:c r="X62" s="20" t="str">
        <x:v>升力标定计算!M123</x:v>
      </x:c>
      <x:c r="Y62" s="20" t="str">
        <x:v>升力标定计算!M124</x:v>
      </x:c>
      <x:c r="Z62" s="20" t="str">
        <x:v>升力标定计算!N123</x:v>
      </x:c>
      <x:c r="AA62" s="20" t="str">
        <x:v>升力标定计算!N124</x:v>
      </x:c>
      <x:c r="AB62" s="20" t="str">
        <x:v>3000rpm!AU55:AT56</x:v>
      </x:c>
    </x:row>
    <x:row r="63">
      <x:c r="A63" s="21" t="n">
        <x:v>3000</x:v>
      </x:c>
      <x:c r="B63" s="21" t="n">
        <x:v>30</x:v>
      </x:c>
      <x:c r="C63" s="21" t="n">
        <x:v>12</x:v>
      </x:c>
      <x:c r="D63" s="22" t="n">
        <x:f>IFERROR('升力标定计算'!M125,"")</x:f>
        <x:v>0.43497506486739784</x:v>
      </x:c>
      <x:c r="E63" s="22" t="n">
        <x:f>IFERROR('升力标定计算'!M126,"")</x:f>
        <x:v>0.43926854796380504</x:v>
      </x:c>
      <x:c r="F63" s="22" t="n">
        <x:f>IF(AND(ISNUMBER(D63),ISNUMBER(E63)),AVERAGE(D63,E63),"")</x:f>
        <x:v>0.43712180641560144</x:v>
      </x:c>
      <x:c r="G63" s="22" t="n">
        <x:f>IFERROR('升力标定计算'!N125,"")</x:f>
        <x:v>0.06795789792038125</x:v>
      </x:c>
      <x:c r="H63" s="22" t="n">
        <x:f>IFERROR('升力标定计算'!N126,"")</x:f>
        <x:v>0.0676926104275098</x:v>
      </x:c>
      <x:c r="I63" s="22" t="n">
        <x:f>IF(AND(ISNUMBER(G63),ISNUMBER(H63)),AVERAGE(G63,H63),"")</x:f>
        <x:v>0.06782525417394553</x:v>
      </x:c>
      <x:c r="J63" s="22" t="n">
        <x:f>IFERROR('3000rpm'!AU47,"")</x:f>
        <x:v>0</x:v>
      </x:c>
      <x:c r="K63" s="22" t="n">
        <x:f>IFERROR('3000rpm'!AU57,"")</x:f>
        <x:v>0.4448818897637795</x:v>
      </x:c>
      <x:c r="L63" s="22" t="n">
        <x:f>IFERROR('3000rpm'!AU56,"")</x:f>
        <x:v>0.40039370078740166</x:v>
      </x:c>
      <x:c r="M63" s="22" t="n">
        <x:f>IFERROR('3000rpm'!AT56,"")</x:f>
        <x:v>0.06836066627100229</x:v>
      </x:c>
      <x:c r="N63" s="22" t="n">
        <x:f>IFERROR('3000rpm'!AU57,"")</x:f>
        <x:v>0.4448818897637795</x:v>
      </x:c>
      <x:c r="O63" s="22" t="n">
        <x:f>IFERROR('3000rpm'!AT57,"")</x:f>
        <x:v>0.06557802679315934</x:v>
      </x:c>
      <x:c r="P63" s="22" t="n">
        <x:f>IF(OR(NOT(AND(ISNUMBER(D63),ISNUMBER(E63),ISNUMBER(G63),ISNUMBER(H63))),OR(F63&lt;J63,F63&gt;K63)),"",IF(N63=L63,M63,M63+(F63-L63)*(O63-M63)/(N63-L63)))</x:f>
        <x:v>0.06606340313175244</x:v>
      </x:c>
      <x:c r="Q63" s="22" t="n">
        <x:f>IF(AND(ISNUMBER(I63),ISNUMBER(P63)),I63-P63,"")</x:f>
        <x:v>0.001761851042193091</x:v>
      </x:c>
      <x:c r="R63" s="22" t="n">
        <x:f>IF(ISNUMBER(Q63),ABS(Q63),"")</x:f>
        <x:v>0.001761851042193091</x:v>
      </x:c>
      <x:c r="S63" s="36" t="n">
        <x:f>IF(AND(ISNUMBER(Q63),ISNUMBER(P63)),IF(ABS(P63)&lt;1E-12,"",Q63/P63),"")</x:f>
        <x:v>0.026669093002662504</x:v>
      </x:c>
      <x:c r="T63" s="36" t="n">
        <x:f>IF(ISNUMBER(S63),ABS(S63),"")</x:f>
        <x:v>0.026669093002662504</x:v>
      </x:c>
      <x:c r="U63" s="37" t="n">
        <x:f>IF(ISNUMBER(Q63),Q63^2,"")</x:f>
        <x:v>0.000003104119094876881</x:v>
      </x:c>
      <x:c r="V63" s="21" t="str">
        <x:f>IF(NOT(AND(ISNUMBER(D63),ISNUMBER(E63),ISNUMBER(G63),ISNUMBER(H63))),"缺少配对",IF(OR(F63&lt;J63,F63&gt;K63),"超出理论J范围","有效"))</x:f>
        <x:v>有效</x:v>
      </x:c>
      <x:c r="W63" s="20" t="str">
        <x:v>升力 y=0.915708x+28.7687 → C_T_prop；实验攻角 30° ↔ 理论 alpha_p_deg 60°；原升力源 3000rpm!C69/M69</x:v>
      </x:c>
      <x:c r="X63" s="20" t="str">
        <x:v>升力标定计算!M125</x:v>
      </x:c>
      <x:c r="Y63" s="20" t="str">
        <x:v>升力标定计算!M126</x:v>
      </x:c>
      <x:c r="Z63" s="20" t="str">
        <x:v>升力标定计算!N125</x:v>
      </x:c>
      <x:c r="AA63" s="20" t="str">
        <x:v>升力标定计算!N126</x:v>
      </x:c>
      <x:c r="AB63" s="20" t="str">
        <x:v>3000rpm!AU56:AT57</x:v>
      </x:c>
    </x:row>
    <x:row r="64">
      <x:c r="A64" s="21" t="n">
        <x:v>3000</x:v>
      </x:c>
      <x:c r="B64" s="21" t="n">
        <x:v>30</x:v>
      </x:c>
      <x:c r="C64" s="21" t="n">
        <x:v>13</x:v>
      </x:c>
      <x:c r="D64" s="22" t="n">
        <x:f>IFERROR('升力标定计算'!M127,"")</x:f>
        <x:v>0.3931756428113373</x:v>
      </x:c>
      <x:c r="E64" s="22" t="n">
        <x:f>IFERROR('升力标定计算'!M128,"")</x:f>
        <x:v>0.3981342847676775</x:v>
      </x:c>
      <x:c r="F64" s="22" t="n">
        <x:f>IF(AND(ISNUMBER(D64),ISNUMBER(E64)),AVERAGE(D64,E64),"")</x:f>
        <x:v>0.3956549637895074</x:v>
      </x:c>
      <x:c r="G64" s="22" t="n">
        <x:f>IFERROR('升力标定计算'!N127,"")</x:f>
        <x:v>0.06860474226359688</x:v>
      </x:c>
      <x:c r="H64" s="22" t="n">
        <x:f>IFERROR('升力标定计算'!N128,"")</x:f>
        <x:v>0.06872947320420665</x:v>
      </x:c>
      <x:c r="I64" s="22" t="n">
        <x:f>IF(AND(ISNUMBER(G64),ISNUMBER(H64)),AVERAGE(G64,H64),"")</x:f>
        <x:v>0.06866710773390176</x:v>
      </x:c>
      <x:c r="J64" s="22" t="n">
        <x:f>IFERROR('3000rpm'!AU47,"")</x:f>
        <x:v>0</x:v>
      </x:c>
      <x:c r="K64" s="22" t="n">
        <x:f>IFERROR('3000rpm'!AU57,"")</x:f>
        <x:v>0.4448818897637795</x:v>
      </x:c>
      <x:c r="L64" s="22" t="n">
        <x:f>IFERROR('3000rpm'!AU55,"")</x:f>
        <x:v>0.3559055118110237</x:v>
      </x:c>
      <x:c r="M64" s="22" t="n">
        <x:f>IFERROR('3000rpm'!AT55,"")</x:f>
        <x:v>0.0708783675261028</x:v>
      </x:c>
      <x:c r="N64" s="22" t="n">
        <x:f>IFERROR('3000rpm'!AU56,"")</x:f>
        <x:v>0.40039370078740166</x:v>
      </x:c>
      <x:c r="O64" s="22" t="n">
        <x:f>IFERROR('3000rpm'!AT56,"")</x:f>
        <x:v>0.06836066627100229</x:v>
      </x:c>
      <x:c r="P64" s="22" t="n">
        <x:f>IF(OR(NOT(AND(ISNUMBER(D64),ISNUMBER(E64),ISNUMBER(G64),ISNUMBER(H64))),OR(F64&lt;J64,F64&gt;K64)),"",IF(N64=L64,M64,M64+(F64-L64)*(O64-M64)/(N64-L64)))</x:f>
        <x:v>0.06862884360889134</x:v>
      </x:c>
      <x:c r="Q64" s="22" t="n">
        <x:f>IF(AND(ISNUMBER(I64),ISNUMBER(P64)),I64-P64,"")</x:f>
        <x:v>0.00003826412501042875</x:v>
      </x:c>
      <x:c r="R64" s="22" t="n">
        <x:f>IF(ISNUMBER(Q64),ABS(Q64),"")</x:f>
        <x:v>0.00003826412501042875</x:v>
      </x:c>
      <x:c r="S64" s="36" t="n">
        <x:f>IF(AND(ISNUMBER(Q64),ISNUMBER(P64)),IF(ABS(P64)&lt;1E-12,"",Q64/P64),"")</x:f>
        <x:v>0.0005575516502724719</x:v>
      </x:c>
      <x:c r="T64" s="36" t="n">
        <x:f>IF(ISNUMBER(S64),ABS(S64),"")</x:f>
        <x:v>0.0005575516502724719</x:v>
      </x:c>
      <x:c r="U64" s="37" t="n">
        <x:f>IF(ISNUMBER(Q64),Q64^2,"")</x:f>
        <x:v>1.464143262813719e-9</x:v>
      </x:c>
      <x:c r="V64" s="21" t="str">
        <x:f>IF(NOT(AND(ISNUMBER(D64),ISNUMBER(E64),ISNUMBER(G64),ISNUMBER(H64))),"缺少配对",IF(OR(F64&lt;J64,F64&gt;K64),"超出理论J范围","有效"))</x:f>
        <x:v>有效</x:v>
      </x:c>
      <x:c r="W64" s="20" t="str">
        <x:v>升力 y=0.915708x+28.7687 → C_T_prop；实验攻角 30° ↔ 理论 alpha_p_deg 60°；原升力源 3000rpm!C70/M70</x:v>
      </x:c>
      <x:c r="X64" s="20" t="str">
        <x:v>升力标定计算!M127</x:v>
      </x:c>
      <x:c r="Y64" s="20" t="str">
        <x:v>升力标定计算!M128</x:v>
      </x:c>
      <x:c r="Z64" s="20" t="str">
        <x:v>升力标定计算!N127</x:v>
      </x:c>
      <x:c r="AA64" s="20" t="str">
        <x:v>升力标定计算!N128</x:v>
      </x:c>
      <x:c r="AB64" s="20" t="str">
        <x:v>3000rpm!AU55:AT56</x:v>
      </x:c>
    </x:row>
    <x:row r="65">
      <x:c r="A65" s="21" t="n">
        <x:v>3000</x:v>
      </x:c>
      <x:c r="B65" s="21" t="n">
        <x:v>30</x:v>
      </x:c>
      <x:c r="C65" s="21" t="n">
        <x:v>14</x:v>
      </x:c>
      <x:c r="D65" s="22" t="n">
        <x:f>IFERROR('升力标定计算'!M129,"")</x:f>
        <x:v>0.3465522410992855</x:v>
      </x:c>
      <x:c r="E65" s="22" t="n">
        <x:f>IFERROR('升力标定计算'!M130,"")</x:f>
        <x:v>0.3532491502365801</x:v>
      </x:c>
      <x:c r="F65" s="22" t="n">
        <x:f>IF(AND(ISNUMBER(D65),ISNUMBER(E65)),AVERAGE(D65,E65),"")</x:f>
        <x:v>0.3499006956679328</x:v>
      </x:c>
      <x:c r="G65" s="22" t="n">
        <x:f>IFERROR('升力标定计算'!N129,"")</x:f>
        <x:v>0.068698195262849</x:v>
      </x:c>
      <x:c r="H65" s="22" t="n">
        <x:f>IFERROR('升力标定计算'!N130,"")</x:f>
        <x:v>0.06994881913191404</x:v>
      </x:c>
      <x:c r="I65" s="22" t="n">
        <x:f>IF(AND(ISNUMBER(G65),ISNUMBER(H65)),AVERAGE(G65,H65),"")</x:f>
        <x:v>0.06932350719738152</x:v>
      </x:c>
      <x:c r="J65" s="22" t="n">
        <x:f>IFERROR('3000rpm'!AU47,"")</x:f>
        <x:v>0</x:v>
      </x:c>
      <x:c r="K65" s="22" t="n">
        <x:f>IFERROR('3000rpm'!AU57,"")</x:f>
        <x:v>0.4448818897637795</x:v>
      </x:c>
      <x:c r="L65" s="22" t="n">
        <x:f>IFERROR('3000rpm'!AU54,"")</x:f>
        <x:v>0.3114173228346457</x:v>
      </x:c>
      <x:c r="M65" s="22" t="n">
        <x:f>IFERROR('3000rpm'!AT54,"")</x:f>
        <x:v>0.07306833800911808</x:v>
      </x:c>
      <x:c r="N65" s="22" t="n">
        <x:f>IFERROR('3000rpm'!AU55,"")</x:f>
        <x:v>0.3559055118110237</x:v>
      </x:c>
      <x:c r="O65" s="22" t="n">
        <x:f>IFERROR('3000rpm'!AT55,"")</x:f>
        <x:v>0.0708783675261028</x:v>
      </x:c>
      <x:c r="P65" s="22" t="n">
        <x:f>IF(OR(NOT(AND(ISNUMBER(D65),ISNUMBER(E65),ISNUMBER(G65),ISNUMBER(H65))),OR(F65&lt;J65,F65&gt;K65)),"",IF(N65=L65,M65,M65+(F65-L65)*(O65-M65)/(N65-L65)))</x:f>
        <x:v>0.07117395991617032</x:v>
      </x:c>
      <x:c r="Q65" s="22" t="n">
        <x:f>IF(AND(ISNUMBER(I65),ISNUMBER(P65)),I65-P65,"")</x:f>
        <x:v>-0.0018504527187887948</x:v>
      </x:c>
      <x:c r="R65" s="22" t="n">
        <x:f>IF(ISNUMBER(Q65),ABS(Q65),"")</x:f>
        <x:v>0.0018504527187887948</x:v>
      </x:c>
      <x:c r="S65" s="36" t="n">
        <x:f>IF(AND(ISNUMBER(Q65),ISNUMBER(P65)),IF(ABS(P65)&lt;1E-12,"",Q65/P65),"")</x:f>
        <x:v>-0.025999013135819392</x:v>
      </x:c>
      <x:c r="T65" s="36" t="n">
        <x:f>IF(ISNUMBER(S65),ABS(S65),"")</x:f>
        <x:v>0.025999013135819392</x:v>
      </x:c>
      <x:c r="U65" s="37" t="n">
        <x:f>IF(ISNUMBER(Q65),Q65^2,"")</x:f>
        <x:v>0.0000034241752644728424</x:v>
      </x:c>
      <x:c r="V65" s="21" t="str">
        <x:f>IF(NOT(AND(ISNUMBER(D65),ISNUMBER(E65),ISNUMBER(G65),ISNUMBER(H65))),"缺少配对",IF(OR(F65&lt;J65,F65&gt;K65),"超出理论J范围","有效"))</x:f>
        <x:v>有效</x:v>
      </x:c>
      <x:c r="W65" s="20" t="str">
        <x:v>升力 y=0.915708x+28.7687 → C_T_prop；实验攻角 30° ↔ 理论 alpha_p_deg 60°；原升力源 3000rpm!C71/M71</x:v>
      </x:c>
      <x:c r="X65" s="20" t="str">
        <x:v>升力标定计算!M129</x:v>
      </x:c>
      <x:c r="Y65" s="20" t="str">
        <x:v>升力标定计算!M130</x:v>
      </x:c>
      <x:c r="Z65" s="20" t="str">
        <x:v>升力标定计算!N129</x:v>
      </x:c>
      <x:c r="AA65" s="20" t="str">
        <x:v>升力标定计算!N130</x:v>
      </x:c>
      <x:c r="AB65" s="20" t="str">
        <x:v>3000rpm!AU54:AT55</x:v>
      </x:c>
    </x:row>
    <x:row r="66">
      <x:c r="A66" s="21" t="n">
        <x:v>3000</x:v>
      </x:c>
      <x:c r="B66" s="21" t="n">
        <x:v>30</x:v>
      </x:c>
      <x:c r="C66" s="21" t="n">
        <x:v>15</x:v>
      </x:c>
      <x:c r="D66" s="22" t="n">
        <x:f>IFERROR('升力标定计算'!M131,"")</x:f>
        <x:v>0.3059431794748034</x:v>
      </x:c>
      <x:c r="E66" s="22" t="n">
        <x:f>IFERROR('升力标定计算'!M132,"")</x:f>
        <x:v>0.3081757010159016</x:v>
      </x:c>
      <x:c r="F66" s="22" t="n">
        <x:f>IF(AND(ISNUMBER(D66),ISNUMBER(E66)),AVERAGE(D66,E66),"")</x:f>
        <x:v>0.3070594402453525</x:v>
      </x:c>
      <x:c r="G66" s="22" t="n">
        <x:f>IFERROR('升力标定计算'!N131,"")</x:f>
        <x:v>0.07044031395963452</x:v>
      </x:c>
      <x:c r="H66" s="22" t="n">
        <x:f>IFERROR('升力标定计算'!N132,"")</x:f>
        <x:v>0.07004786217040955</x:v>
      </x:c>
      <x:c r="I66" s="22" t="n">
        <x:f>IF(AND(ISNUMBER(G66),ISNUMBER(H66)),AVERAGE(G66,H66),"")</x:f>
        <x:v>0.07024408806502203</x:v>
      </x:c>
      <x:c r="J66" s="22" t="n">
        <x:f>IFERROR('3000rpm'!AU47,"")</x:f>
        <x:v>0</x:v>
      </x:c>
      <x:c r="K66" s="22" t="n">
        <x:f>IFERROR('3000rpm'!AU57,"")</x:f>
        <x:v>0.4448818897637795</x:v>
      </x:c>
      <x:c r="L66" s="22" t="n">
        <x:f>IFERROR('3000rpm'!AU53,"")</x:f>
        <x:v>0.26692913385826766</x:v>
      </x:c>
      <x:c r="M66" s="22" t="n">
        <x:f>IFERROR('3000rpm'!AT53,"")</x:f>
        <x:v>0.07492670154858767</x:v>
      </x:c>
      <x:c r="N66" s="22" t="n">
        <x:f>IFERROR('3000rpm'!AU54,"")</x:f>
        <x:v>0.3114173228346457</x:v>
      </x:c>
      <x:c r="O66" s="22" t="n">
        <x:f>IFERROR('3000rpm'!AT54,"")</x:f>
        <x:v>0.07306833800911808</x:v>
      </x:c>
      <x:c r="P66" s="22" t="n">
        <x:f>IF(OR(NOT(AND(ISNUMBER(D66),ISNUMBER(E66),ISNUMBER(G66),ISNUMBER(H66))),OR(F66&lt;J66,F66&gt;K66)),"",IF(N66=L66,M66,M66+(F66-L66)*(O66-M66)/(N66-L66)))</x:f>
        <x:v>0.0732503757656456</x:v>
      </x:c>
      <x:c r="Q66" s="22" t="n">
        <x:f>IF(AND(ISNUMBER(I66),ISNUMBER(P66)),I66-P66,"")</x:f>
        <x:v>-0.0030062877006235694</x:v>
      </x:c>
      <x:c r="R66" s="22" t="n">
        <x:f>IF(ISNUMBER(Q66),ABS(Q66),"")</x:f>
        <x:v>0.0030062877006235694</x:v>
      </x:c>
      <x:c r="S66" s="36" t="n">
        <x:f>IF(AND(ISNUMBER(Q66),ISNUMBER(P66)),IF(ABS(P66)&lt;1E-12,"",Q66/P66),"")</x:f>
        <x:v>-0.04104125977785793</x:v>
      </x:c>
      <x:c r="T66" s="36" t="n">
        <x:f>IF(ISNUMBER(S66),ABS(S66),"")</x:f>
        <x:v>0.04104125977785793</x:v>
      </x:c>
      <x:c r="U66" s="37" t="n">
        <x:f>IF(ISNUMBER(Q66),Q66^2,"")</x:f>
        <x:v>0.000009037765738920548</x:v>
      </x:c>
      <x:c r="V66" s="21" t="str">
        <x:f>IF(NOT(AND(ISNUMBER(D66),ISNUMBER(E66),ISNUMBER(G66),ISNUMBER(H66))),"缺少配对",IF(OR(F66&lt;J66,F66&gt;K66),"超出理论J范围","有效"))</x:f>
        <x:v>有效</x:v>
      </x:c>
      <x:c r="W66" s="20" t="str">
        <x:v>升力 y=0.915708x+28.7687 → C_T_prop；实验攻角 30° ↔ 理论 alpha_p_deg 60°；原升力源 3000rpm!C72/M72</x:v>
      </x:c>
      <x:c r="X66" s="20" t="str">
        <x:v>升力标定计算!M131</x:v>
      </x:c>
      <x:c r="Y66" s="20" t="str">
        <x:v>升力标定计算!M132</x:v>
      </x:c>
      <x:c r="Z66" s="20" t="str">
        <x:v>升力标定计算!N131</x:v>
      </x:c>
      <x:c r="AA66" s="20" t="str">
        <x:v>升力标定计算!N132</x:v>
      </x:c>
      <x:c r="AB66" s="20" t="str">
        <x:v>3000rpm!AU53:AT54</x:v>
      </x:c>
    </x:row>
    <x:row r="67">
      <x:c r="A67" s="21" t="n">
        <x:v>3000</x:v>
      </x:c>
      <x:c r="B67" s="21" t="n">
        <x:v>30</x:v>
      </x:c>
      <x:c r="C67" s="21" t="n">
        <x:v>16</x:v>
      </x:c>
      <x:c r="D67" s="22" t="n">
        <x:f>IFERROR('升力标定计算'!M133,"")</x:f>
        <x:v>0.2623351692739913</x:v>
      </x:c>
      <x:c r="E67" s="22" t="n">
        <x:f>IFERROR('升力标定计算'!M134,"")</x:f>
        <x:v>0.26730971808926973</x:v>
      </x:c>
      <x:c r="F67" s="22" t="n">
        <x:f>IF(AND(ISNUMBER(D67),ISNUMBER(E67)),AVERAGE(D67,E67),"")</x:f>
        <x:v>0.26482244368163055</x:v>
      </x:c>
      <x:c r="G67" s="22" t="n">
        <x:f>IFERROR('升力标定计算'!N133,"")</x:f>
        <x:v>0.06998069714546534</x:v>
      </x:c>
      <x:c r="H67" s="22" t="n">
        <x:f>IFERROR('升力标定计算'!N134,"")</x:f>
        <x:v>0.0708595433048645</x:v>
      </x:c>
      <x:c r="I67" s="22" t="n">
        <x:f>IF(AND(ISNUMBER(G67),ISNUMBER(H67)),AVERAGE(G67,H67),"")</x:f>
        <x:v>0.07042012022516492</x:v>
      </x:c>
      <x:c r="J67" s="22" t="n">
        <x:f>IFERROR('3000rpm'!AU47,"")</x:f>
        <x:v>0</x:v>
      </x:c>
      <x:c r="K67" s="22" t="n">
        <x:f>IFERROR('3000rpm'!AU57,"")</x:f>
        <x:v>0.4448818897637795</x:v>
      </x:c>
      <x:c r="L67" s="22" t="n">
        <x:f>IFERROR('3000rpm'!AU52,"")</x:f>
        <x:v>0.22244094488188976</x:v>
      </x:c>
      <x:c r="M67" s="22" t="n">
        <x:f>IFERROR('3000rpm'!AT52,"")</x:f>
        <x:v>0.07651816823783243</x:v>
      </x:c>
      <x:c r="N67" s="22" t="n">
        <x:f>IFERROR('3000rpm'!AU53,"")</x:f>
        <x:v>0.26692913385826766</x:v>
      </x:c>
      <x:c r="O67" s="22" t="n">
        <x:f>IFERROR('3000rpm'!AT53,"")</x:f>
        <x:v>0.07492670154858767</x:v>
      </x:c>
      <x:c r="P67" s="22" t="n">
        <x:f>IF(OR(NOT(AND(ISNUMBER(D67),ISNUMBER(E67),ISNUMBER(G67),ISNUMBER(H67))),OR(F67&lt;J67,F67&gt;K67)),"",IF(N67=L67,M67,M67+(F67-L67)*(O67-M67)/(N67-L67)))</x:f>
        <x:v>0.07500206373612148</x:v>
      </x:c>
      <x:c r="Q67" s="22" t="n">
        <x:f>IF(AND(ISNUMBER(I67),ISNUMBER(P67)),I67-P67,"")</x:f>
        <x:v>-0.00458194351095656</x:v>
      </x:c>
      <x:c r="R67" s="22" t="n">
        <x:f>IF(ISNUMBER(Q67),ABS(Q67),"")</x:f>
        <x:v>0.00458194351095656</x:v>
      </x:c>
      <x:c r="S67" s="36" t="n">
        <x:f>IF(AND(ISNUMBER(Q67),ISNUMBER(P67)),IF(ABS(P67)&lt;1E-12,"",Q67/P67),"")</x:f>
        <x:v>-0.061090899139484164</x:v>
      </x:c>
      <x:c r="T67" s="36" t="n">
        <x:f>IF(ISNUMBER(S67),ABS(S67),"")</x:f>
        <x:v>0.061090899139484164</x:v>
      </x:c>
      <x:c r="U67" s="37" t="n">
        <x:f>IF(ISNUMBER(Q67),Q67^2,"")</x:f>
        <x:v>0.000020994206337596927</x:v>
      </x:c>
      <x:c r="V67" s="21" t="str">
        <x:f>IF(NOT(AND(ISNUMBER(D67),ISNUMBER(E67),ISNUMBER(G67),ISNUMBER(H67))),"缺少配对",IF(OR(F67&lt;J67,F67&gt;K67),"超出理论J范围","有效"))</x:f>
        <x:v>有效</x:v>
      </x:c>
      <x:c r="W67" s="20" t="str">
        <x:v>升力 y=0.915708x+28.7687 → C_T_prop；实验攻角 30° ↔ 理论 alpha_p_deg 60°；原升力源 3000rpm!C73/M73</x:v>
      </x:c>
      <x:c r="X67" s="20" t="str">
        <x:v>升力标定计算!M133</x:v>
      </x:c>
      <x:c r="Y67" s="20" t="str">
        <x:v>升力标定计算!M134</x:v>
      </x:c>
      <x:c r="Z67" s="20" t="str">
        <x:v>升力标定计算!N133</x:v>
      </x:c>
      <x:c r="AA67" s="20" t="str">
        <x:v>升力标定计算!N134</x:v>
      </x:c>
      <x:c r="AB67" s="20" t="str">
        <x:v>3000rpm!AU52:AT53</x:v>
      </x:c>
    </x:row>
    <x:row r="68">
      <x:c r="A68" s="21" t="n">
        <x:v>3000</x:v>
      </x:c>
      <x:c r="B68" s="21" t="n">
        <x:v>30</x:v>
      </x:c>
      <x:c r="C68" s="21" t="n">
        <x:v>17</x:v>
      </x:c>
      <x:c r="D68" s="22" t="n">
        <x:f>IFERROR('升力标定计算'!M135,"")</x:f>
        <x:v>0.21813875632352533</x:v>
      </x:c>
      <x:c r="E68" s="22" t="n">
        <x:f>IFERROR('升力标定计算'!M136,"")</x:f>
        <x:v>0.2213475569102523</x:v>
      </x:c>
      <x:c r="F68" s="22" t="n">
        <x:f>IF(AND(ISNUMBER(D68),ISNUMBER(E68)),AVERAGE(D68,E68),"")</x:f>
        <x:v>0.2197431566168888</x:v>
      </x:c>
      <x:c r="G68" s="22" t="n">
        <x:f>IFERROR('升力标定计算'!N135,"")</x:f>
        <x:v>0.07094942738082442</x:v>
      </x:c>
      <x:c r="H68" s="22" t="n">
        <x:f>IFERROR('升力标定计算'!N136,"")</x:f>
        <x:v>0.07149157010149547</x:v>
      </x:c>
      <x:c r="I68" s="22" t="n">
        <x:f>IF(AND(ISNUMBER(G68),ISNUMBER(H68)),AVERAGE(G68,H68),"")</x:f>
        <x:v>0.07122049874115995</x:v>
      </x:c>
      <x:c r="J68" s="22" t="n">
        <x:f>IFERROR('3000rpm'!AU47,"")</x:f>
        <x:v>0</x:v>
      </x:c>
      <x:c r="K68" s="22" t="n">
        <x:f>IFERROR('3000rpm'!AU57,"")</x:f>
        <x:v>0.4448818897637795</x:v>
      </x:c>
      <x:c r="L68" s="22" t="n">
        <x:f>IFERROR('3000rpm'!AU51,"")</x:f>
        <x:v>0.17795275590551185</x:v>
      </x:c>
      <x:c r="M68" s="22" t="n">
        <x:f>IFERROR('3000rpm'!AT51,"")</x:f>
        <x:v>0.0779059397972423</x:v>
      </x:c>
      <x:c r="N68" s="22" t="n">
        <x:f>IFERROR('3000rpm'!AU52,"")</x:f>
        <x:v>0.22244094488188976</x:v>
      </x:c>
      <x:c r="O68" s="22" t="n">
        <x:f>IFERROR('3000rpm'!AT52,"")</x:f>
        <x:v>0.07651816823783243</x:v>
      </x:c>
      <x:c r="P68" s="22" t="n">
        <x:f>IF(OR(NOT(AND(ISNUMBER(D68),ISNUMBER(E68),ISNUMBER(G68),ISNUMBER(H68))),OR(F68&lt;J68,F68&gt;K68)),"",IF(N68=L68,M68,M68+(F68-L68)*(O68-M68)/(N68-L68)))</x:f>
        <x:v>0.07660232346899876</x:v>
      </x:c>
      <x:c r="Q68" s="22" t="n">
        <x:f>IF(AND(ISNUMBER(I68),ISNUMBER(P68)),I68-P68,"")</x:f>
        <x:v>-0.00538182472783881</x:v>
      </x:c>
      <x:c r="R68" s="22" t="n">
        <x:f>IF(ISNUMBER(Q68),ABS(Q68),"")</x:f>
        <x:v>0.00538182472783881</x:v>
      </x:c>
      <x:c r="S68" s="36" t="n">
        <x:f>IF(AND(ISNUMBER(Q68),ISNUMBER(P68)),IF(ABS(P68)&lt;1E-12,"",Q68/P68),"")</x:f>
        <x:v>-0.0702566773972183</x:v>
      </x:c>
      <x:c r="T68" s="36" t="n">
        <x:f>IF(ISNUMBER(S68),ABS(S68),"")</x:f>
        <x:v>0.0702566773972183</x:v>
      </x:c>
      <x:c r="U68" s="37" t="n">
        <x:f>IF(ISNUMBER(Q68),Q68^2,"")</x:f>
        <x:v>0.000028964037401177284</x:v>
      </x:c>
      <x:c r="V68" s="21" t="str">
        <x:f>IF(NOT(AND(ISNUMBER(D68),ISNUMBER(E68),ISNUMBER(G68),ISNUMBER(H68))),"缺少配对",IF(OR(F68&lt;J68,F68&gt;K68),"超出理论J范围","有效"))</x:f>
        <x:v>有效</x:v>
      </x:c>
      <x:c r="W68" s="20" t="str">
        <x:v>升力 y=0.915708x+28.7687 → C_T_prop；实验攻角 30° ↔ 理论 alpha_p_deg 60°；原升力源 3000rpm!C74/M74</x:v>
      </x:c>
      <x:c r="X68" s="20" t="str">
        <x:v>升力标定计算!M135</x:v>
      </x:c>
      <x:c r="Y68" s="20" t="str">
        <x:v>升力标定计算!M136</x:v>
      </x:c>
      <x:c r="Z68" s="20" t="str">
        <x:v>升力标定计算!N135</x:v>
      </x:c>
      <x:c r="AA68" s="20" t="str">
        <x:v>升力标定计算!N136</x:v>
      </x:c>
      <x:c r="AB68" s="20" t="str">
        <x:v>3000rpm!AU51:AT52</x:v>
      </x:c>
    </x:row>
    <x:row r="69">
      <x:c r="A69" s="21" t="n">
        <x:v>3000</x:v>
      </x:c>
      <x:c r="B69" s="21" t="n">
        <x:v>30</x:v>
      </x:c>
      <x:c r="C69" s="21" t="n">
        <x:v>18</x:v>
      </x:c>
      <x:c r="D69" s="22" t="n">
        <x:f>IFERROR('升力标定计算'!M137,"")</x:f>
        <x:v>0.176641147272951</x:v>
      </x:c>
      <x:c r="E69" s="22" t="n">
        <x:f>IFERROR('升力标定计算'!M138,"")</x:f>
        <x:v>0.17902883675175726</x:v>
      </x:c>
      <x:c r="F69" s="22" t="n">
        <x:f>IF(AND(ISNUMBER(D69),ISNUMBER(E69)),AVERAGE(D69,E69),"")</x:f>
        <x:v>0.17783499201235414</x:v>
      </x:c>
      <x:c r="G69" s="22" t="n">
        <x:f>IFERROR('升力标定计算'!N137,"")</x:f>
        <x:v>0.07361751373228152</x:v>
      </x:c>
      <x:c r="H69" s="22" t="n">
        <x:f>IFERROR('升力标定计算'!N138,"")</x:f>
        <x:v>0.07429120282908569</x:v>
      </x:c>
      <x:c r="I69" s="22" t="n">
        <x:f>IF(AND(ISNUMBER(G69),ISNUMBER(H69)),AVERAGE(G69,H69),"")</x:f>
        <x:v>0.07395435828068361</x:v>
      </x:c>
      <x:c r="J69" s="22" t="n">
        <x:f>IFERROR('3000rpm'!AU47,"")</x:f>
        <x:v>0</x:v>
      </x:c>
      <x:c r="K69" s="22" t="n">
        <x:f>IFERROR('3000rpm'!AU57,"")</x:f>
        <x:v>0.4448818897637795</x:v>
      </x:c>
      <x:c r="L69" s="22" t="n">
        <x:f>IFERROR('3000rpm'!AU50,"")</x:f>
        <x:v>0.13346456692913383</x:v>
      </x:c>
      <x:c r="M69" s="22" t="n">
        <x:f>IFERROR('3000rpm'!AT50,"")</x:f>
        <x:v>0.07918529073473177</x:v>
      </x:c>
      <x:c r="N69" s="22" t="n">
        <x:f>IFERROR('3000rpm'!AU51,"")</x:f>
        <x:v>0.17795275590551185</x:v>
      </x:c>
      <x:c r="O69" s="22" t="n">
        <x:f>IFERROR('3000rpm'!AT51,"")</x:f>
        <x:v>0.0779059397972423</x:v>
      </x:c>
      <x:c r="P69" s="22" t="n">
        <x:f>IF(OR(NOT(AND(ISNUMBER(D69),ISNUMBER(E69),ISNUMBER(G69),ISNUMBER(H69))),OR(F69&lt;J69,F69&gt;K69)),"",IF(N69=L69,M69,M69+(F69-L69)*(O69-M69)/(N69-L69)))</x:f>
        <x:v>0.07790932634433671</x:v>
      </x:c>
      <x:c r="Q69" s="22" t="n">
        <x:f>IF(AND(ISNUMBER(I69),ISNUMBER(P69)),I69-P69,"")</x:f>
        <x:v>-0.0039549680636531</x:v>
      </x:c>
      <x:c r="R69" s="22" t="n">
        <x:f>IF(ISNUMBER(Q69),ABS(Q69),"")</x:f>
        <x:v>0.0039549680636531</x:v>
      </x:c>
      <x:c r="S69" s="36" t="n">
        <x:f>IF(AND(ISNUMBER(Q69),ISNUMBER(P69)),IF(ABS(P69)&lt;1E-12,"",Q69/P69),"")</x:f>
        <x:v>-0.05076373072683601</x:v>
      </x:c>
      <x:c r="T69" s="36" t="n">
        <x:f>IF(ISNUMBER(S69),ABS(S69),"")</x:f>
        <x:v>0.05076373072683601</x:v>
      </x:c>
      <x:c r="U69" s="37" t="n">
        <x:f>IF(ISNUMBER(Q69),Q69^2,"")</x:f>
        <x:v>0.00001564177238451595</x:v>
      </x:c>
      <x:c r="V69" s="21" t="str">
        <x:f>IF(NOT(AND(ISNUMBER(D69),ISNUMBER(E69),ISNUMBER(G69),ISNUMBER(H69))),"缺少配对",IF(OR(F69&lt;J69,F69&gt;K69),"超出理论J范围","有效"))</x:f>
        <x:v>有效</x:v>
      </x:c>
      <x:c r="W69" s="20" t="str">
        <x:v>升力 y=0.915708x+28.7687 → C_T_prop；实验攻角 30° ↔ 理论 alpha_p_deg 60°；原升力源 3000rpm!C75/M75</x:v>
      </x:c>
      <x:c r="X69" s="20" t="str">
        <x:v>升力标定计算!M137</x:v>
      </x:c>
      <x:c r="Y69" s="20" t="str">
        <x:v>升力标定计算!M138</x:v>
      </x:c>
      <x:c r="Z69" s="20" t="str">
        <x:v>升力标定计算!N137</x:v>
      </x:c>
      <x:c r="AA69" s="20" t="str">
        <x:v>升力标定计算!N138</x:v>
      </x:c>
      <x:c r="AB69" s="20" t="str">
        <x:v>3000rpm!AU50:AT51</x:v>
      </x:c>
    </x:row>
    <x:row r="70">
      <x:c r="A70" s="21" t="n">
        <x:v>3000</x:v>
      </x:c>
      <x:c r="B70" s="21" t="n">
        <x:v>30</x:v>
      </x:c>
      <x:c r="C70" s="21" t="n">
        <x:v>19</x:v>
      </x:c>
      <x:c r="D70" s="22" t="n">
        <x:f>IFERROR('升力标定计算'!M139,"")</x:f>
        <x:v>0.13224558426927505</x:v>
      </x:c>
      <x:c r="E70" s="22" t="n">
        <x:f>IFERROR('升力标定计算'!M140,"")</x:f>
        <x:v>0.134076399459511</x:v>
      </x:c>
      <x:c r="F70" s="22" t="n">
        <x:f>IF(AND(ISNUMBER(D70),ISNUMBER(E70)),AVERAGE(D70,E70),"")</x:f>
        <x:v>0.133160991864393</x:v>
      </x:c>
      <x:c r="G70" s="22" t="n">
        <x:f>IFERROR('升力标定计算'!N139,"")</x:f>
        <x:v>0.07440873440580935</x:v>
      </x:c>
      <x:c r="H70" s="22" t="n">
        <x:f>IFERROR('升力标定计算'!N140,"")</x:f>
        <x:v>0.07535642378207437</x:v>
      </x:c>
      <x:c r="I70" s="22" t="n">
        <x:f>IF(AND(ISNUMBER(G70),ISNUMBER(H70)),AVERAGE(G70,H70),"")</x:f>
        <x:v>0.07488257909394186</x:v>
      </x:c>
      <x:c r="J70" s="22" t="n">
        <x:f>IFERROR('3000rpm'!AU47,"")</x:f>
        <x:v>0</x:v>
      </x:c>
      <x:c r="K70" s="22" t="n">
        <x:f>IFERROR('3000rpm'!AU57,"")</x:f>
        <x:v>0.4448818897637795</x:v>
      </x:c>
      <x:c r="L70" s="22" t="n">
        <x:f>IFERROR('3000rpm'!AU49,"")</x:f>
        <x:v>0.08897637795275593</x:v>
      </x:c>
      <x:c r="M70" s="22" t="n">
        <x:f>IFERROR('3000rpm'!AT49,"")</x:f>
        <x:v>0.08049630424562942</x:v>
      </x:c>
      <x:c r="N70" s="22" t="n">
        <x:f>IFERROR('3000rpm'!AU50,"")</x:f>
        <x:v>0.13346456692913383</x:v>
      </x:c>
      <x:c r="O70" s="22" t="n">
        <x:f>IFERROR('3000rpm'!AT50,"")</x:f>
        <x:v>0.07918529073473177</x:v>
      </x:c>
      <x:c r="P70" s="22" t="n">
        <x:f>IF(OR(NOT(AND(ISNUMBER(D70),ISNUMBER(E70),ISNUMBER(G70),ISNUMBER(H70))),OR(F70&lt;J70,F70&gt;K70)),"",IF(N70=L70,M70,M70+(F70-L70)*(O70-M70)/(N70-L70)))</x:f>
        <x:v>0.07919423672737845</x:v>
      </x:c>
      <x:c r="Q70" s="22" t="n">
        <x:f>IF(AND(ISNUMBER(I70),ISNUMBER(P70)),I70-P70,"")</x:f>
        <x:v>-0.004311657633436591</x:v>
      </x:c>
      <x:c r="R70" s="22" t="n">
        <x:f>IF(ISNUMBER(Q70),ABS(Q70),"")</x:f>
        <x:v>0.004311657633436591</x:v>
      </x:c>
      <x:c r="S70" s="36" t="n">
        <x:f>IF(AND(ISNUMBER(Q70),ISNUMBER(P70)),IF(ABS(P70)&lt;1E-12,"",Q70/P70),"")</x:f>
        <x:v>-0.05444408345368896</x:v>
      </x:c>
      <x:c r="T70" s="36" t="n">
        <x:f>IF(ISNUMBER(S70),ABS(S70),"")</x:f>
        <x:v>0.05444408345368896</x:v>
      </x:c>
      <x:c r="U70" s="37" t="n">
        <x:f>IF(ISNUMBER(Q70),Q70^2,"")</x:f>
        <x:v>0.000018590391547972027</x:v>
      </x:c>
      <x:c r="V70" s="21" t="str">
        <x:f>IF(NOT(AND(ISNUMBER(D70),ISNUMBER(E70),ISNUMBER(G70),ISNUMBER(H70))),"缺少配对",IF(OR(F70&lt;J70,F70&gt;K70),"超出理论J范围","有效"))</x:f>
        <x:v>有效</x:v>
      </x:c>
      <x:c r="W70" s="20" t="str">
        <x:v>升力 y=0.915708x+28.7687 → C_T_prop；实验攻角 30° ↔ 理论 alpha_p_deg 60°；原升力源 3000rpm!C76/M76</x:v>
      </x:c>
      <x:c r="X70" s="20" t="str">
        <x:v>升力标定计算!M139</x:v>
      </x:c>
      <x:c r="Y70" s="20" t="str">
        <x:v>升力标定计算!M140</x:v>
      </x:c>
      <x:c r="Z70" s="20" t="str">
        <x:v>升力标定计算!N139</x:v>
      </x:c>
      <x:c r="AA70" s="20" t="str">
        <x:v>升力标定计算!N140</x:v>
      </x:c>
      <x:c r="AB70" s="20" t="str">
        <x:v>3000rpm!AU49:AT50</x:v>
      </x:c>
    </x:row>
    <x:row r="71">
      <x:c r="A71" s="21" t="n">
        <x:v>3000</x:v>
      </x:c>
      <x:c r="B71" s="21" t="n">
        <x:v>30</x:v>
      </x:c>
      <x:c r="C71" s="21" t="n">
        <x:v>20</x:v>
      </x:c>
      <x:c r="D71" s="22" t="n">
        <x:f>IFERROR('升力标定计算'!M141,"")</x:f>
        <x:v>0.0888687181657</x:v>
      </x:c>
      <x:c r="E71" s="22" t="n">
        <x:f>IFERROR('升力标定计算'!M142,"")</x:f>
        <x:v>0.08898307707770389</x:v>
      </x:c>
      <x:c r="F71" s="22" t="n">
        <x:f>IF(AND(ISNUMBER(D71),ISNUMBER(E71)),AVERAGE(D71,E71),"")</x:f>
        <x:v>0.08892589762170194</x:v>
      </x:c>
      <x:c r="G71" s="22" t="n">
        <x:f>IFERROR('升力标定计算'!N141,"")</x:f>
        <x:v>0.07695539012521403</x:v>
      </x:c>
      <x:c r="H71" s="22" t="n">
        <x:f>IFERROR('升力标定计算'!N142,"")</x:f>
        <x:v>0.07532809296344466</x:v>
      </x:c>
      <x:c r="I71" s="22" t="n">
        <x:f>IF(AND(ISNUMBER(G71),ISNUMBER(H71)),AVERAGE(G71,H71),"")</x:f>
        <x:v>0.07614174154432934</x:v>
      </x:c>
      <x:c r="J71" s="22" t="n">
        <x:f>IFERROR('3000rpm'!AU47,"")</x:f>
        <x:v>0</x:v>
      </x:c>
      <x:c r="K71" s="22" t="n">
        <x:f>IFERROR('3000rpm'!AU57,"")</x:f>
        <x:v>0.4448818897637795</x:v>
      </x:c>
      <x:c r="L71" s="22" t="n">
        <x:f>IFERROR('3000rpm'!AU48,"")</x:f>
        <x:v>0.04448818897637796</x:v>
      </x:c>
      <x:c r="M71" s="22" t="n">
        <x:f>IFERROR('3000rpm'!AT48,"")</x:f>
        <x:v>0.08205577523105993</x:v>
      </x:c>
      <x:c r="N71" s="22" t="n">
        <x:f>IFERROR('3000rpm'!AU49,"")</x:f>
        <x:v>0.08897637795275593</x:v>
      </x:c>
      <x:c r="O71" s="22" t="n">
        <x:f>IFERROR('3000rpm'!AT49,"")</x:f>
        <x:v>0.08049630424562942</x:v>
      </x:c>
      <x:c r="P71" s="22" t="n">
        <x:f>IF(OR(NOT(AND(ISNUMBER(D71),ISNUMBER(E71),ISNUMBER(G71),ISNUMBER(H71))),OR(F71&lt;J71,F71&gt;K71)),"",IF(N71=L71,M71,M71+(F71-L71)*(O71-M71)/(N71-L71)))</x:f>
        <x:v>0.08049807376274003</x:v>
      </x:c>
      <x:c r="Q71" s="22" t="n">
        <x:f>IF(AND(ISNUMBER(I71),ISNUMBER(P71)),I71-P71,"")</x:f>
        <x:v>-0.004356332218410683</x:v>
      </x:c>
      <x:c r="R71" s="22" t="n">
        <x:f>IF(ISNUMBER(Q71),ABS(Q71),"")</x:f>
        <x:v>0.004356332218410683</x:v>
      </x:c>
      <x:c r="S71" s="36" t="n">
        <x:f>IF(AND(ISNUMBER(Q71),ISNUMBER(P71)),IF(ABS(P71)&lt;1E-12,"",Q71/P71),"")</x:f>
        <x:v>-0.05411722311828894</x:v>
      </x:c>
      <x:c r="T71" s="36" t="n">
        <x:f>IF(ISNUMBER(S71),ABS(S71),"")</x:f>
        <x:v>0.05411722311828894</x:v>
      </x:c>
      <x:c r="U71" s="37" t="n">
        <x:f>IF(ISNUMBER(Q71),Q71^2,"")</x:f>
        <x:v>0.000018977630397162942</x:v>
      </x:c>
      <x:c r="V71" s="21" t="str">
        <x:f>IF(NOT(AND(ISNUMBER(D71),ISNUMBER(E71),ISNUMBER(G71),ISNUMBER(H71))),"缺少配对",IF(OR(F71&lt;J71,F71&gt;K71),"超出理论J范围","有效"))</x:f>
        <x:v>有效</x:v>
      </x:c>
      <x:c r="W71" s="20" t="str">
        <x:v>升力 y=0.915708x+28.7687 → C_T_prop；实验攻角 30° ↔ 理论 alpha_p_deg 60°；原升力源 3000rpm!C77/M77</x:v>
      </x:c>
      <x:c r="X71" s="20" t="str">
        <x:v>升力标定计算!M141</x:v>
      </x:c>
      <x:c r="Y71" s="20" t="str">
        <x:v>升力标定计算!M142</x:v>
      </x:c>
      <x:c r="Z71" s="20" t="str">
        <x:v>升力标定计算!N141</x:v>
      </x:c>
      <x:c r="AA71" s="20" t="str">
        <x:v>升力标定计算!N142</x:v>
      </x:c>
      <x:c r="AB71" s="20" t="str">
        <x:v>3000rpm!AU48:AT49</x:v>
      </x:c>
    </x:row>
    <x:row r="72">
      <x:c r="A72" s="21" t="n">
        <x:v>3000</x:v>
      </x:c>
      <x:c r="B72" s="21" t="n">
        <x:v>30</x:v>
      </x:c>
      <x:c r="C72" s="21" t="n">
        <x:v>21</x:v>
      </x:c>
      <x:c r="D72" s="22" t="n">
        <x:f>IFERROR('升力标定计算'!M143,"")</x:f>
        <x:v>0.04433631383503575</x:v>
      </x:c>
      <x:c r="E72" s="22" t="n">
        <x:f>IFERROR('升力标定计算'!M144,"")</x:f>
        <x:v>0.04519100187490511</x:v>
      </x:c>
      <x:c r="F72" s="22" t="n">
        <x:f>IF(AND(ISNUMBER(D72),ISNUMBER(E72)),AVERAGE(D72,E72),"")</x:f>
        <x:v>0.044763657854970426</x:v>
      </x:c>
      <x:c r="G72" s="22" t="n">
        <x:f>IFERROR('升力标定计算'!N143,"")</x:f>
        <x:v>0.07806179700973497</x:v>
      </x:c>
      <x:c r="H72" s="22" t="n">
        <x:f>IFERROR('升力标定计算'!N144,"")</x:f>
        <x:v>0.07946813135574503</x:v>
      </x:c>
      <x:c r="I72" s="22" t="n">
        <x:f>IF(AND(ISNUMBER(G72),ISNUMBER(H72)),AVERAGE(G72,H72),"")</x:f>
        <x:v>0.07876496418274</x:v>
      </x:c>
      <x:c r="J72" s="22" t="n">
        <x:f>IFERROR('3000rpm'!AU47,"")</x:f>
        <x:v>0</x:v>
      </x:c>
      <x:c r="K72" s="22" t="n">
        <x:f>IFERROR('3000rpm'!AU57,"")</x:f>
        <x:v>0.4448818897637795</x:v>
      </x:c>
      <x:c r="L72" s="22" t="n">
        <x:f>IFERROR('3000rpm'!AU48,"")</x:f>
        <x:v>0.04448818897637796</x:v>
      </x:c>
      <x:c r="M72" s="22" t="n">
        <x:f>IFERROR('3000rpm'!AT48,"")</x:f>
        <x:v>0.08205577523105993</x:v>
      </x:c>
      <x:c r="N72" s="22" t="n">
        <x:f>IFERROR('3000rpm'!AU49,"")</x:f>
        <x:v>0.08897637795275593</x:v>
      </x:c>
      <x:c r="O72" s="22" t="n">
        <x:f>IFERROR('3000rpm'!AT49,"")</x:f>
        <x:v>0.08049630424562942</x:v>
      </x:c>
      <x:c r="P72" s="22" t="n">
        <x:f>IF(OR(NOT(AND(ISNUMBER(D72),ISNUMBER(E72),ISNUMBER(G72),ISNUMBER(H72))),OR(F72&lt;J72,F72&gt;K72)),"",IF(N72=L72,M72,M72+(F72-L72)*(O72-M72)/(N72-L72)))</x:f>
        <x:v>0.0820461190563889</x:v>
      </x:c>
      <x:c r="Q72" s="22" t="n">
        <x:f>IF(AND(ISNUMBER(I72),ISNUMBER(P72)),I72-P72,"")</x:f>
        <x:v>-0.0032811548736488977</x:v>
      </x:c>
      <x:c r="R72" s="22" t="n">
        <x:f>IF(ISNUMBER(Q72),ABS(Q72),"")</x:f>
        <x:v>0.0032811548736488977</x:v>
      </x:c>
      <x:c r="S72" s="36" t="n">
        <x:f>IF(AND(ISNUMBER(Q72),ISNUMBER(P72)),IF(ABS(P72)&lt;1E-12,"",Q72/P72),"")</x:f>
        <x:v>-0.039991591453506975</x:v>
      </x:c>
      <x:c r="T72" s="36" t="n">
        <x:f>IF(ISNUMBER(S72),ABS(S72),"")</x:f>
        <x:v>0.039991591453506975</x:v>
      </x:c>
      <x:c r="U72" s="37" t="n">
        <x:f>IF(ISNUMBER(Q72),Q72^2,"")</x:f>
        <x:v>0.000010765977304869914</x:v>
      </x:c>
      <x:c r="V72" s="21" t="str">
        <x:f>IF(NOT(AND(ISNUMBER(D72),ISNUMBER(E72),ISNUMBER(G72),ISNUMBER(H72))),"缺少配对",IF(OR(F72&lt;J72,F72&gt;K72),"超出理论J范围","有效"))</x:f>
        <x:v>有效</x:v>
      </x:c>
      <x:c r="W72" s="20" t="str">
        <x:v>升力 y=0.915708x+28.7687 → C_T_prop；实验攻角 30° ↔ 理论 alpha_p_deg 60°；原升力源 3000rpm!C78/M78</x:v>
      </x:c>
      <x:c r="X72" s="20" t="str">
        <x:v>升力标定计算!M143</x:v>
      </x:c>
      <x:c r="Y72" s="20" t="str">
        <x:v>升力标定计算!M144</x:v>
      </x:c>
      <x:c r="Z72" s="20" t="str">
        <x:v>升力标定计算!N143</x:v>
      </x:c>
      <x:c r="AA72" s="20" t="str">
        <x:v>升力标定计算!N144</x:v>
      </x:c>
      <x:c r="AB72" s="20" t="str">
        <x:v>3000rpm!AU48:AT49</x:v>
      </x:c>
    </x:row>
    <x:row r="73">
      <x:c r="A73" s="21" t="n">
        <x:v>3000</x:v>
      </x:c>
      <x:c r="B73" s="21" t="n">
        <x:v>30</x:v>
      </x:c>
      <x:c r="C73" s="21" t="n">
        <x:v>22</x:v>
      </x:c>
      <x:c r="D73" s="22" t="n">
        <x:f>IFERROR('升力标定计算'!M145,"")</x:f>
        <x:v>0.00527951021321803</x:v>
      </x:c>
      <x:c r="E73" s="22" t="n">
        <x:f>IFERROR('升力标定计算'!M146,"")</x:f>
        <x:v>0.005690716938774568</x:v>
      </x:c>
      <x:c r="F73" s="22" t="n">
        <x:f>IF(AND(ISNUMBER(D73),ISNUMBER(E73)),AVERAGE(D73,E73),"")</x:f>
        <x:v>0.005485113575996299</x:v>
      </x:c>
      <x:c r="G73" s="22" t="n">
        <x:f>IFERROR('升力标定计算'!N145,"")</x:f>
        <x:v>0.08070993308573106</x:v>
      </x:c>
      <x:c r="H73" s="22" t="n">
        <x:f>IFERROR('升力标定计算'!N146,"")</x:f>
        <x:v>0.08060432495023537</x:v>
      </x:c>
      <x:c r="I73" s="22" t="n">
        <x:f>IF(AND(ISNUMBER(G73),ISNUMBER(H73)),AVERAGE(G73,H73),"")</x:f>
        <x:v>0.08065712901798322</x:v>
      </x:c>
      <x:c r="J73" s="22" t="n">
        <x:f>IFERROR('3000rpm'!AU47,"")</x:f>
        <x:v>0</x:v>
      </x:c>
      <x:c r="K73" s="22" t="n">
        <x:f>IFERROR('3000rpm'!AU57,"")</x:f>
        <x:v>0.4448818897637795</x:v>
      </x:c>
      <x:c r="L73" s="22" t="n">
        <x:f>IFERROR('3000rpm'!AU47,"")</x:f>
        <x:v>0</x:v>
      </x:c>
      <x:c r="M73" s="22" t="n">
        <x:f>IFERROR('3000rpm'!AT47,"")</x:f>
        <x:v>0.0846729215675782</x:v>
      </x:c>
      <x:c r="N73" s="22" t="n">
        <x:f>IFERROR('3000rpm'!AU48,"")</x:f>
        <x:v>0.04448818897637796</x:v>
      </x:c>
      <x:c r="O73" s="22" t="n">
        <x:f>IFERROR('3000rpm'!AT48,"")</x:f>
        <x:v>0.08205577523105993</x:v>
      </x:c>
      <x:c r="P73" s="22" t="n">
        <x:f>IF(OR(NOT(AND(ISNUMBER(D73),ISNUMBER(E73),ISNUMBER(G73),ISNUMBER(H73))),OR(F73&lt;J73,F73&gt;K73)),"",IF(N73=L73,M73,M73+(F73-L73)*(O73-M73)/(N73-L73)))</x:f>
        <x:v>0.0843502439034362</x:v>
      </x:c>
      <x:c r="Q73" s="22" t="n">
        <x:f>IF(AND(ISNUMBER(I73),ISNUMBER(P73)),I73-P73,"")</x:f>
        <x:v>-0.003693114885452986</x:v>
      </x:c>
      <x:c r="R73" s="22" t="n">
        <x:f>IF(ISNUMBER(Q73),ABS(Q73),"")</x:f>
        <x:v>0.003693114885452986</x:v>
      </x:c>
      <x:c r="S73" s="36" t="n">
        <x:f>IF(AND(ISNUMBER(Q73),ISNUMBER(P73)),IF(ABS(P73)&lt;1E-12,"",Q73/P73),"")</x:f>
        <x:v>-0.04378309669952879</x:v>
      </x:c>
      <x:c r="T73" s="36" t="n">
        <x:f>IF(ISNUMBER(S73),ABS(S73),"")</x:f>
        <x:v>0.04378309669952879</x:v>
      </x:c>
      <x:c r="U73" s="37" t="n">
        <x:f>IF(ISNUMBER(Q73),Q73^2,"")</x:f>
        <x:v>0.000013639097557154422</x:v>
      </x:c>
      <x:c r="V73" s="21" t="str">
        <x:f>IF(NOT(AND(ISNUMBER(D73),ISNUMBER(E73),ISNUMBER(G73),ISNUMBER(H73))),"缺少配对",IF(OR(F73&lt;J73,F73&gt;K73),"超出理论J范围","有效"))</x:f>
        <x:v>有效</x:v>
      </x:c>
      <x:c r="W73" s="20" t="str">
        <x:v>升力 y=0.915708x+28.7687 → C_T_prop；实验攻角 30° ↔ 理论 alpha_p_deg 60°；原升力源 3000rpm!C79/M79</x:v>
      </x:c>
      <x:c r="X73" s="20" t="str">
        <x:v>升力标定计算!M145</x:v>
      </x:c>
      <x:c r="Y73" s="20" t="str">
        <x:v>升力标定计算!M146</x:v>
      </x:c>
      <x:c r="Z73" s="20" t="str">
        <x:v>升力标定计算!N145</x:v>
      </x:c>
      <x:c r="AA73" s="20" t="str">
        <x:v>升力标定计算!N146</x:v>
      </x:c>
      <x:c r="AB73" s="20" t="str">
        <x:v>3000rpm!AU47:AT48</x:v>
      </x:c>
    </x:row>
    <x:row r="74">
      <x:c r="A74" s="21" t="n">
        <x:v>3000</x:v>
      </x:c>
      <x:c r="B74" s="21" t="n">
        <x:v>30</x:v>
      </x:c>
      <x:c r="C74" s="21" t="n">
        <x:v>23</x:v>
      </x:c>
      <x:c r="D74" s="22" t="str">
        <x:f>IFERROR('升力标定计算'!M147,"")</x:f>
      </x:c>
      <x:c r="E74" s="22" t="str">
        <x:f>IFERROR('升力标定计算'!M148,"")</x:f>
      </x:c>
      <x:c r="F74" s="22" t="str">
        <x:f>IF(AND(ISNUMBER(D74),ISNUMBER(E74)),AVERAGE(D74,E74),"")</x:f>
      </x:c>
      <x:c r="G74" s="22" t="str">
        <x:f>IFERROR('升力标定计算'!N147,"")</x:f>
      </x:c>
      <x:c r="H74" s="22" t="str">
        <x:f>IFERROR('升力标定计算'!N148,"")</x:f>
      </x:c>
      <x:c r="I74" s="22" t="str">
        <x:f>IF(AND(ISNUMBER(G74),ISNUMBER(H74)),AVERAGE(G74,H74),"")</x:f>
      </x:c>
      <x:c r="J74" s="22" t="n">
        <x:f>IFERROR('3000rpm'!AU47,"")</x:f>
        <x:v>0</x:v>
      </x:c>
      <x:c r="K74" s="22" t="n">
        <x:f>IFERROR('3000rpm'!AU57,"")</x:f>
        <x:v>0.4448818897637795</x:v>
      </x:c>
      <x:c r="L74" s="22" t="n">
        <x:f>IFERROR('3000rpm'!AU47,"")</x:f>
        <x:v>0</x:v>
      </x:c>
      <x:c r="M74" s="22" t="n">
        <x:f>IFERROR('3000rpm'!AT47,"")</x:f>
        <x:v>0.0846729215675782</x:v>
      </x:c>
      <x:c r="N74" s="22" t="n">
        <x:f>IFERROR('3000rpm'!AU57,"")</x:f>
        <x:v>0.4448818897637795</x:v>
      </x:c>
      <x:c r="O74" s="22" t="n">
        <x:f>IFERROR('3000rpm'!AT57,"")</x:f>
        <x:v>0.06557802679315934</x:v>
      </x:c>
      <x:c r="P74" s="22" t="str">
        <x:f>IF(OR(NOT(AND(ISNUMBER(D74),ISNUMBER(E74),ISNUMBER(G74),ISNUMBER(H74))),OR(F74&lt;J74,F74&gt;K74)),"",IF(N74=L74,M74,M74+(F74-L74)*(O74-M74)/(N74-L74)))</x:f>
      </x:c>
      <x:c r="Q74" s="22" t="str">
        <x:f>IF(AND(ISNUMBER(I74),ISNUMBER(P74)),I74-P74,"")</x:f>
      </x:c>
      <x:c r="R74" s="22" t="str">
        <x:f>IF(ISNUMBER(Q74),ABS(Q74),"")</x:f>
      </x:c>
      <x:c r="S74" s="36" t="str">
        <x:f>IF(AND(ISNUMBER(Q74),ISNUMBER(P74)),IF(ABS(P74)&lt;1E-12,"",Q74/P74),"")</x:f>
      </x:c>
      <x:c r="T74" s="36" t="str">
        <x:f>IF(ISNUMBER(S74),ABS(S74),"")</x:f>
      </x:c>
      <x:c r="U74" s="37" t="str">
        <x:f>IF(ISNUMBER(Q74),Q74^2,"")</x:f>
      </x:c>
      <x:c r="V74" s="21" t="str">
        <x:f>IF(NOT(AND(ISNUMBER(D74),ISNUMBER(E74),ISNUMBER(G74),ISNUMBER(H74))),"缺少配对",IF(OR(F74&lt;J74,F74&gt;K74),"超出理论J范围","有效"))</x:f>
        <x:v>缺少配对</x:v>
      </x:c>
      <x:c r="W74" s="20" t="str">
        <x:v>升力 y=0.915708x+28.7687 → C_T_prop；实验攻角 30° ↔ 理论 alpha_p_deg 60°；原升力源 3000rpm!C80/M80</x:v>
      </x:c>
      <x:c r="X74" s="20" t="str">
        <x:v>升力标定计算!M147</x:v>
      </x:c>
      <x:c r="Y74" s="20" t="str">
        <x:v>升力标定计算!M148</x:v>
      </x:c>
      <x:c r="Z74" s="20" t="str">
        <x:v>升力标定计算!N147</x:v>
      </x:c>
      <x:c r="AA74" s="20" t="str">
        <x:v>升力标定计算!N148</x:v>
      </x:c>
      <x:c r="AB74" s="20" t="str">
        <x:v>3000rpm!AU47:AT57</x:v>
      </x:c>
    </x:row>
    <x:row r="75">
      <x:c r="A75" s="21" t="n">
        <x:v>3000</x:v>
      </x:c>
      <x:c r="B75" s="21" t="n">
        <x:v>45</x:v>
      </x:c>
      <x:c r="C75" s="21" t="n">
        <x:v>1</x:v>
      </x:c>
      <x:c r="D75" s="22" t="str">
        <x:f>IFERROR('升力标定计算'!M149,"")</x:f>
      </x:c>
      <x:c r="E75" s="22" t="str">
        <x:f>IFERROR('升力标定计算'!M150,"")</x:f>
      </x:c>
      <x:c r="F75" s="22" t="str">
        <x:f>IF(AND(ISNUMBER(D75),ISNUMBER(E75)),AVERAGE(D75,E75),"")</x:f>
      </x:c>
      <x:c r="G75" s="22" t="str">
        <x:f>IFERROR('升力标定计算'!N149,"")</x:f>
      </x:c>
      <x:c r="H75" s="22" t="str">
        <x:f>IFERROR('升力标定计算'!N150,"")</x:f>
      </x:c>
      <x:c r="I75" s="22" t="str">
        <x:f>IF(AND(ISNUMBER(G75),ISNUMBER(H75)),AVERAGE(G75,H75),"")</x:f>
      </x:c>
      <x:c r="J75" s="22" t="n">
        <x:f>IFERROR('3000rpm'!AU36,"")</x:f>
        <x:v>0</x:v>
      </x:c>
      <x:c r="K75" s="22" t="n">
        <x:f>IFERROR('3000rpm'!AU46,"")</x:f>
        <x:v>0.4448818897637795</x:v>
      </x:c>
      <x:c r="L75" s="22" t="n">
        <x:f>IFERROR('3000rpm'!AU36,"")</x:f>
        <x:v>0</x:v>
      </x:c>
      <x:c r="M75" s="22" t="n">
        <x:f>IFERROR('3000rpm'!AT36,"")</x:f>
        <x:v>0.0846729215675782</x:v>
      </x:c>
      <x:c r="N75" s="22" t="n">
        <x:f>IFERROR('3000rpm'!AU46,"")</x:f>
        <x:v>0.4448818897637795</x:v>
      </x:c>
      <x:c r="O75" s="22" t="n">
        <x:f>IFERROR('3000rpm'!AT46,"")</x:f>
        <x:v>0.042836735674630866</x:v>
      </x:c>
      <x:c r="P75" s="22" t="str">
        <x:f>IF(OR(NOT(AND(ISNUMBER(D75),ISNUMBER(E75),ISNUMBER(G75),ISNUMBER(H75))),OR(F75&lt;J75,F75&gt;K75)),"",IF(N75=L75,M75,M75+(F75-L75)*(O75-M75)/(N75-L75)))</x:f>
      </x:c>
      <x:c r="Q75" s="22" t="str">
        <x:f>IF(AND(ISNUMBER(I75),ISNUMBER(P75)),I75-P75,"")</x:f>
      </x:c>
      <x:c r="R75" s="22" t="str">
        <x:f>IF(ISNUMBER(Q75),ABS(Q75),"")</x:f>
      </x:c>
      <x:c r="S75" s="36" t="str">
        <x:f>IF(AND(ISNUMBER(Q75),ISNUMBER(P75)),IF(ABS(P75)&lt;1E-12,"",Q75/P75),"")</x:f>
      </x:c>
      <x:c r="T75" s="36" t="str">
        <x:f>IF(ISNUMBER(S75),ABS(S75),"")</x:f>
      </x:c>
      <x:c r="U75" s="37" t="str">
        <x:f>IF(ISNUMBER(Q75),Q75^2,"")</x:f>
      </x:c>
      <x:c r="V75" s="21" t="str">
        <x:f>IF(NOT(AND(ISNUMBER(D75),ISNUMBER(E75),ISNUMBER(G75),ISNUMBER(H75))),"缺少配对",IF(OR(F75&lt;J75,F75&gt;K75),"超出理论J范围","有效"))</x:f>
        <x:v>缺少配对</x:v>
      </x:c>
      <x:c r="W75" s="20" t="str">
        <x:v>升力 y=0.915708x+28.7687 → C_T_prop（原 C_T 字段映射）；实验攻角 45° ↔ 理论 alpha_p_deg 45°；原升力源 3000rpm!C86/M86</x:v>
      </x:c>
      <x:c r="X75" s="20" t="str">
        <x:v>升力标定计算!M149</x:v>
      </x:c>
      <x:c r="Y75" s="20" t="str">
        <x:v>升力标定计算!M150</x:v>
      </x:c>
      <x:c r="Z75" s="20" t="str">
        <x:v>升力标定计算!N149</x:v>
      </x:c>
      <x:c r="AA75" s="20" t="str">
        <x:v>升力标定计算!N150</x:v>
      </x:c>
      <x:c r="AB75" s="20" t="str">
        <x:v>3000rpm!AU36:AT46</x:v>
      </x:c>
    </x:row>
    <x:row r="76">
      <x:c r="A76" s="21" t="n">
        <x:v>3000</x:v>
      </x:c>
      <x:c r="B76" s="21" t="n">
        <x:v>45</x:v>
      </x:c>
      <x:c r="C76" s="21" t="n">
        <x:v>2</x:v>
      </x:c>
      <x:c r="D76" s="22" t="n">
        <x:f>IFERROR('升力标定计算'!M151,"")</x:f>
        <x:v>0.002885613690137867</x:v>
      </x:c>
      <x:c r="E76" s="22" t="n">
        <x:f>IFERROR('升力标定计算'!M152,"")</x:f>
        <x:v>0.003480512158901672</x:v>
      </x:c>
      <x:c r="F76" s="22" t="n">
        <x:f>IF(AND(ISNUMBER(D76),ISNUMBER(E76)),AVERAGE(D76,E76),"")</x:f>
        <x:v>0.0031830629245197693</x:v>
      </x:c>
      <x:c r="G76" s="22" t="n">
        <x:f>IFERROR('升力标定计算'!N151,"")</x:f>
        <x:v>0.07826763074916016</x:v>
      </x:c>
      <x:c r="H76" s="22" t="n">
        <x:f>IFERROR('升力标定计算'!N152,"")</x:f>
        <x:v>0.07783779003712786</x:v>
      </x:c>
      <x:c r="I76" s="22" t="n">
        <x:f>IF(AND(ISNUMBER(G76),ISNUMBER(H76)),AVERAGE(G76,H76),"")</x:f>
        <x:v>0.07805271039314401</x:v>
      </x:c>
      <x:c r="J76" s="22" t="n">
        <x:f>IFERROR('3000rpm'!AU36,"")</x:f>
        <x:v>0</x:v>
      </x:c>
      <x:c r="K76" s="22" t="n">
        <x:f>IFERROR('3000rpm'!AU46,"")</x:f>
        <x:v>0.4448818897637795</x:v>
      </x:c>
      <x:c r="L76" s="22" t="n">
        <x:f>IFERROR('3000rpm'!AU36,"")</x:f>
        <x:v>0</x:v>
      </x:c>
      <x:c r="M76" s="22" t="n">
        <x:f>IFERROR('3000rpm'!AT36,"")</x:f>
        <x:v>0.0846729215675782</x:v>
      </x:c>
      <x:c r="N76" s="22" t="n">
        <x:f>IFERROR('3000rpm'!AU37,"")</x:f>
        <x:v>0.04448818897637796</x:v>
      </x:c>
      <x:c r="O76" s="22" t="n">
        <x:f>IFERROR('3000rpm'!AT37,"")</x:f>
        <x:v>0.08082894775761976</x:v>
      </x:c>
      <x:c r="P76" s="22" t="n">
        <x:f>IF(OR(NOT(AND(ISNUMBER(D76),ISNUMBER(E76),ISNUMBER(G76),ISNUMBER(H76))),OR(F76&lt;J76,F76&gt;K76)),"",IF(N76=L76,M76,M76+(F76-L76)*(O76-M76)/(N76-L76)))</x:f>
        <x:v>0.0843978910302866</x:v>
      </x:c>
      <x:c r="Q76" s="22" t="n">
        <x:f>IF(AND(ISNUMBER(I76),ISNUMBER(P76)),I76-P76,"")</x:f>
        <x:v>-0.006345180637142581</x:v>
      </x:c>
      <x:c r="R76" s="22" t="n">
        <x:f>IF(ISNUMBER(Q76),ABS(Q76),"")</x:f>
        <x:v>0.006345180637142581</x:v>
      </x:c>
      <x:c r="S76" s="36" t="n">
        <x:f>IF(AND(ISNUMBER(Q76),ISNUMBER(P76)),IF(ABS(P76)&lt;1E-12,"",Q76/P76),"")</x:f>
        <x:v>-0.07518174399483017</x:v>
      </x:c>
      <x:c r="T76" s="36" t="n">
        <x:f>IF(ISNUMBER(S76),ABS(S76),"")</x:f>
        <x:v>0.07518174399483017</x:v>
      </x:c>
      <x:c r="U76" s="37" t="n">
        <x:f>IF(ISNUMBER(Q76),Q76^2,"")</x:f>
        <x:v>0.00004026131731796913</x:v>
      </x:c>
      <x:c r="V76" s="21" t="str">
        <x:f>IF(NOT(AND(ISNUMBER(D76),ISNUMBER(E76),ISNUMBER(G76),ISNUMBER(H76))),"缺少配对",IF(OR(F76&lt;J76,F76&gt;K76),"超出理论J范围","有效"))</x:f>
        <x:v>有效</x:v>
      </x:c>
      <x:c r="W76" s="20" t="str">
        <x:v>升力 y=0.915708x+28.7687 → C_T_prop（原 C_T 字段映射）；实验攻角 45° ↔ 理论 alpha_p_deg 45°；原升力源 3000rpm!C87/M87</x:v>
      </x:c>
      <x:c r="X76" s="20" t="str">
        <x:v>升力标定计算!M151</x:v>
      </x:c>
      <x:c r="Y76" s="20" t="str">
        <x:v>升力标定计算!M152</x:v>
      </x:c>
      <x:c r="Z76" s="20" t="str">
        <x:v>升力标定计算!N151</x:v>
      </x:c>
      <x:c r="AA76" s="20" t="str">
        <x:v>升力标定计算!N152</x:v>
      </x:c>
      <x:c r="AB76" s="20" t="str">
        <x:v>3000rpm!AU36:AT37</x:v>
      </x:c>
    </x:row>
    <x:row r="77">
      <x:c r="A77" s="21" t="n">
        <x:v>3000</x:v>
      </x:c>
      <x:c r="B77" s="21" t="n">
        <x:v>45</x:v>
      </x:c>
      <x:c r="C77" s="21" t="n">
        <x:v>3</x:v>
      </x:c>
      <x:c r="D77" s="22" t="n">
        <x:f>IFERROR('升力标定计算'!M153,"")</x:f>
        <x:v>0.043227998076619166</x:v>
      </x:c>
      <x:c r="E77" s="22" t="n">
        <x:f>IFERROR('升力标定计算'!M154,"")</x:f>
        <x:v>0.04282784553121473</x:v>
      </x:c>
      <x:c r="F77" s="22" t="n">
        <x:f>IF(AND(ISNUMBER(D77),ISNUMBER(E77)),AVERAGE(D77,E77),"")</x:f>
        <x:v>0.043027921803916944</x:v>
      </x:c>
      <x:c r="G77" s="22" t="n">
        <x:f>IFERROR('升力标定计算'!N153,"")</x:f>
        <x:v>0.07529939897409452</x:v>
      </x:c>
      <x:c r="H77" s="22" t="n">
        <x:f>IFERROR('升力标定计算'!N154,"")</x:f>
        <x:v>0.07653556772506255</x:v>
      </x:c>
      <x:c r="I77" s="22" t="n">
        <x:f>IF(AND(ISNUMBER(G77),ISNUMBER(H77)),AVERAGE(G77,H77),"")</x:f>
        <x:v>0.07591748334957854</x:v>
      </x:c>
      <x:c r="J77" s="22" t="n">
        <x:f>IFERROR('3000rpm'!AU36,"")</x:f>
        <x:v>0</x:v>
      </x:c>
      <x:c r="K77" s="22" t="n">
        <x:f>IFERROR('3000rpm'!AU46,"")</x:f>
        <x:v>0.4448818897637795</x:v>
      </x:c>
      <x:c r="L77" s="22" t="n">
        <x:f>IFERROR('3000rpm'!AU36,"")</x:f>
        <x:v>0</x:v>
      </x:c>
      <x:c r="M77" s="22" t="n">
        <x:f>IFERROR('3000rpm'!AT36,"")</x:f>
        <x:v>0.0846729215675782</x:v>
      </x:c>
      <x:c r="N77" s="22" t="n">
        <x:f>IFERROR('3000rpm'!AU37,"")</x:f>
        <x:v>0.04448818897637796</x:v>
      </x:c>
      <x:c r="O77" s="22" t="n">
        <x:f>IFERROR('3000rpm'!AT37,"")</x:f>
        <x:v>0.08082894775761976</x:v>
      </x:c>
      <x:c r="P77" s="22" t="n">
        <x:f>IF(OR(NOT(AND(ISNUMBER(D77),ISNUMBER(E77),ISNUMBER(G77),ISNUMBER(H77))),OR(F77&lt;J77,F77&gt;K77)),"",IF(N77=L77,M77,M77+(F77-L77)*(O77-M77)/(N77-L77)))</x:f>
        <x:v>0.08095512121838848</x:v>
      </x:c>
      <x:c r="Q77" s="22" t="n">
        <x:f>IF(AND(ISNUMBER(I77),ISNUMBER(P77)),I77-P77,"")</x:f>
        <x:v>-0.005037637868809938</x:v>
      </x:c>
      <x:c r="R77" s="22" t="n">
        <x:f>IF(ISNUMBER(Q77),ABS(Q77),"")</x:f>
        <x:v>0.005037637868809938</x:v>
      </x:c>
      <x:c r="S77" s="36" t="n">
        <x:f>IF(AND(ISNUMBER(Q77),ISNUMBER(P77)),IF(ABS(P77)&lt;1E-12,"",Q77/P77),"")</x:f>
        <x:v>-0.06222753783815802</x:v>
      </x:c>
      <x:c r="T77" s="36" t="n">
        <x:f>IF(ISNUMBER(S77),ABS(S77),"")</x:f>
        <x:v>0.06222753783815802</x:v>
      </x:c>
      <x:c r="U77" s="37" t="n">
        <x:f>IF(ISNUMBER(Q77),Q77^2,"")</x:f>
        <x:v>0.000025377795297267937</x:v>
      </x:c>
      <x:c r="V77" s="21" t="str">
        <x:f>IF(NOT(AND(ISNUMBER(D77),ISNUMBER(E77),ISNUMBER(G77),ISNUMBER(H77))),"缺少配对",IF(OR(F77&lt;J77,F77&gt;K77),"超出理论J范围","有效"))</x:f>
        <x:v>有效</x:v>
      </x:c>
      <x:c r="W77" s="20" t="str">
        <x:v>升力 y=0.915708x+28.7687 → C_T_prop（原 C_T 字段映射）；实验攻角 45° ↔ 理论 alpha_p_deg 45°；原升力源 3000rpm!C88/M88</x:v>
      </x:c>
      <x:c r="X77" s="20" t="str">
        <x:v>升力标定计算!M153</x:v>
      </x:c>
      <x:c r="Y77" s="20" t="str">
        <x:v>升力标定计算!M154</x:v>
      </x:c>
      <x:c r="Z77" s="20" t="str">
        <x:v>升力标定计算!N153</x:v>
      </x:c>
      <x:c r="AA77" s="20" t="str">
        <x:v>升力标定计算!N154</x:v>
      </x:c>
      <x:c r="AB77" s="20" t="str">
        <x:v>3000rpm!AU36:AT37</x:v>
      </x:c>
    </x:row>
    <x:row r="78">
      <x:c r="A78" s="21" t="n">
        <x:v>3000</x:v>
      </x:c>
      <x:c r="B78" s="21" t="n">
        <x:v>45</x:v>
      </x:c>
      <x:c r="C78" s="21" t="n">
        <x:v>4</x:v>
      </x:c>
      <x:c r="D78" s="22" t="n">
        <x:f>IFERROR('升力标定计算'!M155,"")</x:f>
        <x:v>0.08823366022497141</x:v>
      </x:c>
      <x:c r="E78" s="22" t="n">
        <x:f>IFERROR('升力标定计算'!M156,"")</x:f>
        <x:v>0.08720108614742357</x:v>
      </x:c>
      <x:c r="F78" s="22" t="n">
        <x:f>IF(AND(ISNUMBER(D78),ISNUMBER(E78)),AVERAGE(D78,E78),"")</x:f>
        <x:v>0.08771737318619749</x:v>
      </x:c>
      <x:c r="G78" s="22" t="n">
        <x:f>IFERROR('升力标定计算'!N155,"")</x:f>
        <x:v>0.07238990620798431</x:v>
      </x:c>
      <x:c r="H78" s="22" t="n">
        <x:f>IFERROR('升力标定计算'!N156,"")</x:f>
        <x:v>0.0738471614737837</x:v>
      </x:c>
      <x:c r="I78" s="22" t="n">
        <x:f>IF(AND(ISNUMBER(G78),ISNUMBER(H78)),AVERAGE(G78,H78),"")</x:f>
        <x:v>0.07311853384088401</x:v>
      </x:c>
      <x:c r="J78" s="22" t="n">
        <x:f>IFERROR('3000rpm'!AU36,"")</x:f>
        <x:v>0</x:v>
      </x:c>
      <x:c r="K78" s="22" t="n">
        <x:f>IFERROR('3000rpm'!AU46,"")</x:f>
        <x:v>0.4448818897637795</x:v>
      </x:c>
      <x:c r="L78" s="22" t="n">
        <x:f>IFERROR('3000rpm'!AU37,"")</x:f>
        <x:v>0.04448818897637796</x:v>
      </x:c>
      <x:c r="M78" s="22" t="n">
        <x:f>IFERROR('3000rpm'!AT37,"")</x:f>
        <x:v>0.08082894775761976</x:v>
      </x:c>
      <x:c r="N78" s="22" t="n">
        <x:f>IFERROR('3000rpm'!AU38,"")</x:f>
        <x:v>0.08897637795275593</x:v>
      </x:c>
      <x:c r="O78" s="22" t="n">
        <x:f>IFERROR('3000rpm'!AT38,"")</x:f>
        <x:v>0.07769470979191775</x:v>
      </x:c>
      <x:c r="P78" s="22" t="n">
        <x:f>IF(OR(NOT(AND(ISNUMBER(D78),ISNUMBER(E78),ISNUMBER(G78),ISNUMBER(H78))),OR(F78&lt;J78,F78&gt;K78)),"",IF(N78=L78,M78,M78+(F78-L78)*(O78-M78)/(N78-L78)))</x:f>
        <x:v>0.07778340795269122</x:v>
      </x:c>
      <x:c r="Q78" s="22" t="n">
        <x:f>IF(AND(ISNUMBER(I78),ISNUMBER(P78)),I78-P78,"")</x:f>
        <x:v>-0.004664874111807202</x:v>
      </x:c>
      <x:c r="R78" s="22" t="n">
        <x:f>IF(ISNUMBER(Q78),ABS(Q78),"")</x:f>
        <x:v>0.004664874111807202</x:v>
      </x:c>
      <x:c r="S78" s="36" t="n">
        <x:f>IF(AND(ISNUMBER(Q78),ISNUMBER(P78)),IF(ABS(P78)&lt;1E-12,"",Q78/P78),"")</x:f>
        <x:v>-0.059972611570894827</x:v>
      </x:c>
      <x:c r="T78" s="36" t="n">
        <x:f>IF(ISNUMBER(S78),ABS(S78),"")</x:f>
        <x:v>0.059972611570894827</x:v>
      </x:c>
      <x:c r="U78" s="37" t="n">
        <x:f>IF(ISNUMBER(Q78),Q78^2,"")</x:f>
        <x:v>0.00002176105047900903</x:v>
      </x:c>
      <x:c r="V78" s="21" t="str">
        <x:f>IF(NOT(AND(ISNUMBER(D78),ISNUMBER(E78),ISNUMBER(G78),ISNUMBER(H78))),"缺少配对",IF(OR(F78&lt;J78,F78&gt;K78),"超出理论J范围","有效"))</x:f>
        <x:v>有效</x:v>
      </x:c>
      <x:c r="W78" s="20" t="str">
        <x:v>升力 y=0.915708x+28.7687 → C_T_prop（原 C_T 字段映射）；实验攻角 45° ↔ 理论 alpha_p_deg 45°；原升力源 3000rpm!C89/M89</x:v>
      </x:c>
      <x:c r="X78" s="20" t="str">
        <x:v>升力标定计算!M155</x:v>
      </x:c>
      <x:c r="Y78" s="20" t="str">
        <x:v>升力标定计算!M156</x:v>
      </x:c>
      <x:c r="Z78" s="20" t="str">
        <x:v>升力标定计算!N155</x:v>
      </x:c>
      <x:c r="AA78" s="20" t="str">
        <x:v>升力标定计算!N156</x:v>
      </x:c>
      <x:c r="AB78" s="20" t="str">
        <x:v>3000rpm!AU37:AT38</x:v>
      </x:c>
    </x:row>
    <x:row r="79">
      <x:c r="A79" s="21" t="n">
        <x:v>3000</x:v>
      </x:c>
      <x:c r="B79" s="21" t="n">
        <x:v>45</x:v>
      </x:c>
      <x:c r="C79" s="21" t="n">
        <x:v>5</x:v>
      </x:c>
      <x:c r="D79" s="22" t="n">
        <x:f>IFERROR('升力标定计算'!M157,"")</x:f>
        <x:v>0.1325097600954981</x:v>
      </x:c>
      <x:c r="E79" s="22" t="n">
        <x:f>IFERROR('升力标定计算'!M158,"")</x:f>
        <x:v>0.12071304250392245</x:v>
      </x:c>
      <x:c r="F79" s="22" t="n">
        <x:f>IF(AND(ISNUMBER(D79),ISNUMBER(E79)),AVERAGE(D79,E79),"")</x:f>
        <x:v>0.12661140129971027</x:v>
      </x:c>
      <x:c r="G79" s="22" t="n">
        <x:f>IFERROR('升力标定计算'!N157,"")</x:f>
        <x:v>0.0686387411481658</x:v>
      </x:c>
      <x:c r="H79" s="22" t="n">
        <x:f>IFERROR('升力标定计算'!N158,"")</x:f>
        <x:v>0.07016086661849423</x:v>
      </x:c>
      <x:c r="I79" s="22" t="n">
        <x:f>IF(AND(ISNUMBER(G79),ISNUMBER(H79)),AVERAGE(G79,H79),"")</x:f>
        <x:v>0.06939980388333002</x:v>
      </x:c>
      <x:c r="J79" s="22" t="n">
        <x:f>IFERROR('3000rpm'!AU36,"")</x:f>
        <x:v>0</x:v>
      </x:c>
      <x:c r="K79" s="22" t="n">
        <x:f>IFERROR('3000rpm'!AU46,"")</x:f>
        <x:v>0.4448818897637795</x:v>
      </x:c>
      <x:c r="L79" s="22" t="n">
        <x:f>IFERROR('3000rpm'!AU38,"")</x:f>
        <x:v>0.08897637795275593</x:v>
      </x:c>
      <x:c r="M79" s="22" t="n">
        <x:f>IFERROR('3000rpm'!AT38,"")</x:f>
        <x:v>0.07769470979191775</x:v>
      </x:c>
      <x:c r="N79" s="22" t="n">
        <x:f>IFERROR('3000rpm'!AU39,"")</x:f>
        <x:v>0.13346456692913383</x:v>
      </x:c>
      <x:c r="O79" s="22" t="n">
        <x:f>IFERROR('3000rpm'!AT39,"")</x:f>
        <x:v>0.07449696146226922</x:v>
      </x:c>
      <x:c r="P79" s="22" t="n">
        <x:f>IF(OR(NOT(AND(ISNUMBER(D79),ISNUMBER(E79),ISNUMBER(G79),ISNUMBER(H79))),OR(F79&lt;J79,F79&gt;K79)),"",IF(N79=L79,M79,M79+(F79-L79)*(O79-M79)/(N79-L79)))</x:f>
        <x:v>0.07498955735004362</x:v>
      </x:c>
      <x:c r="Q79" s="22" t="n">
        <x:f>IF(AND(ISNUMBER(I79),ISNUMBER(P79)),I79-P79,"")</x:f>
        <x:v>-0.005589753466713601</x:v>
      </x:c>
      <x:c r="R79" s="22" t="n">
        <x:f>IF(ISNUMBER(Q79),ABS(Q79),"")</x:f>
        <x:v>0.005589753466713601</x:v>
      </x:c>
      <x:c r="S79" s="36" t="n">
        <x:f>IF(AND(ISNUMBER(Q79),ISNUMBER(P79)),IF(ABS(P79)&lt;1E-12,"",Q79/P79),"")</x:f>
        <x:v>-0.07454042488371015</x:v>
      </x:c>
      <x:c r="T79" s="36" t="n">
        <x:f>IF(ISNUMBER(S79),ABS(S79),"")</x:f>
        <x:v>0.07454042488371015</x:v>
      </x:c>
      <x:c r="U79" s="37" t="n">
        <x:f>IF(ISNUMBER(Q79),Q79^2,"")</x:f>
        <x:v>0.000031245343818636725</x:v>
      </x:c>
      <x:c r="V79" s="21" t="str">
        <x:f>IF(NOT(AND(ISNUMBER(D79),ISNUMBER(E79),ISNUMBER(G79),ISNUMBER(H79))),"缺少配对",IF(OR(F79&lt;J79,F79&gt;K79),"超出理论J范围","有效"))</x:f>
        <x:v>有效</x:v>
      </x:c>
      <x:c r="W79" s="20" t="str">
        <x:v>升力 y=0.915708x+28.7687 → C_T_prop（原 C_T 字段映射）；实验攻角 45° ↔ 理论 alpha_p_deg 45°；原升力源 3000rpm!C90/M90</x:v>
      </x:c>
      <x:c r="X79" s="20" t="str">
        <x:v>升力标定计算!M157</x:v>
      </x:c>
      <x:c r="Y79" s="20" t="str">
        <x:v>升力标定计算!M158</x:v>
      </x:c>
      <x:c r="Z79" s="20" t="str">
        <x:v>升力标定计算!N157</x:v>
      </x:c>
      <x:c r="AA79" s="20" t="str">
        <x:v>升力标定计算!N158</x:v>
      </x:c>
      <x:c r="AB79" s="20" t="str">
        <x:v>3000rpm!AU38:AT39</x:v>
      </x:c>
    </x:row>
    <x:row r="80">
      <x:c r="A80" s="21" t="n">
        <x:v>3000</x:v>
      </x:c>
      <x:c r="B80" s="21" t="n">
        <x:v>45</x:v>
      </x:c>
      <x:c r="C80" s="21" t="n">
        <x:v>6</x:v>
      </x:c>
      <x:c r="D80" s="22" t="n">
        <x:f>IFERROR('升力标定计算'!M159,"")</x:f>
        <x:v>0.1777006412900049</x:v>
      </x:c>
      <x:c r="E80" s="22" t="n">
        <x:f>IFERROR('升力标定计算'!M160,"")</x:f>
        <x:v>0.1735205176465792</x:v>
      </x:c>
      <x:c r="F80" s="22" t="n">
        <x:f>IF(AND(ISNUMBER(D80),ISNUMBER(E80)),AVERAGE(D80,E80),"")</x:f>
        <x:v>0.17561057946829206</x:v>
      </x:c>
      <x:c r="G80" s="22" t="n">
        <x:f>IFERROR('升力标定计算'!N159,"")</x:f>
        <x:v>0.06603070462862626</x:v>
      </x:c>
      <x:c r="H80" s="22" t="n">
        <x:f>IFERROR('升力标定计算'!N160,"")</x:f>
        <x:v>0.066371373379601</x:v>
      </x:c>
      <x:c r="I80" s="22" t="n">
        <x:f>IF(AND(ISNUMBER(G80),ISNUMBER(H80)),AVERAGE(G80,H80),"")</x:f>
        <x:v>0.06620103900411363</x:v>
      </x:c>
      <x:c r="J80" s="22" t="n">
        <x:f>IFERROR('3000rpm'!AU36,"")</x:f>
        <x:v>0</x:v>
      </x:c>
      <x:c r="K80" s="22" t="n">
        <x:f>IFERROR('3000rpm'!AU46,"")</x:f>
        <x:v>0.4448818897637795</x:v>
      </x:c>
      <x:c r="L80" s="22" t="n">
        <x:f>IFERROR('3000rpm'!AU39,"")</x:f>
        <x:v>0.13346456692913383</x:v>
      </x:c>
      <x:c r="M80" s="22" t="n">
        <x:f>IFERROR('3000rpm'!AT39,"")</x:f>
        <x:v>0.07449696146226922</x:v>
      </x:c>
      <x:c r="N80" s="22" t="n">
        <x:f>IFERROR('3000rpm'!AU40,"")</x:f>
        <x:v>0.17795275590551185</x:v>
      </x:c>
      <x:c r="O80" s="22" t="n">
        <x:f>IFERROR('3000rpm'!AT40,"")</x:f>
        <x:v>0.07108954966132112</x:v>
      </x:c>
      <x:c r="P80" s="22" t="n">
        <x:f>IF(OR(NOT(AND(ISNUMBER(D80),ISNUMBER(E80),ISNUMBER(G80),ISNUMBER(H80))),OR(F80&lt;J80,F80&gt;K80)),"",IF(N80=L80,M80,M80+(F80-L80)*(O80-M80)/(N80-L80)))</x:f>
        <x:v>0.07126894018756445</x:v>
      </x:c>
      <x:c r="Q80" s="22" t="n">
        <x:f>IF(AND(ISNUMBER(I80),ISNUMBER(P80)),I80-P80,"")</x:f>
        <x:v>-0.005067901183450824</x:v>
      </x:c>
      <x:c r="R80" s="22" t="n">
        <x:f>IF(ISNUMBER(Q80),ABS(Q80),"")</x:f>
        <x:v>0.005067901183450824</x:v>
      </x:c>
      <x:c r="S80" s="36" t="n">
        <x:f>IF(AND(ISNUMBER(Q80),ISNUMBER(P80)),IF(ABS(P80)&lt;1E-12,"",Q80/P80),"")</x:f>
        <x:v>-0.07110953481436938</x:v>
      </x:c>
      <x:c r="T80" s="36" t="n">
        <x:f>IF(ISNUMBER(S80),ABS(S80),"")</x:f>
        <x:v>0.07110953481436938</x:v>
      </x:c>
      <x:c r="U80" s="37" t="n">
        <x:f>IF(ISNUMBER(Q80),Q80^2,"")</x:f>
        <x:v>0.00002568362240522226</x:v>
      </x:c>
      <x:c r="V80" s="21" t="str">
        <x:f>IF(NOT(AND(ISNUMBER(D80),ISNUMBER(E80),ISNUMBER(G80),ISNUMBER(H80))),"缺少配对",IF(OR(F80&lt;J80,F80&gt;K80),"超出理论J范围","有效"))</x:f>
        <x:v>有效</x:v>
      </x:c>
      <x:c r="W80" s="20" t="str">
        <x:v>升力 y=0.915708x+28.7687 → C_T_prop（原 C_T 字段映射）；实验攻角 45° ↔ 理论 alpha_p_deg 45°；原升力源 3000rpm!C91/M91</x:v>
      </x:c>
      <x:c r="X80" s="20" t="str">
        <x:v>升力标定计算!M159</x:v>
      </x:c>
      <x:c r="Y80" s="20" t="str">
        <x:v>升力标定计算!M160</x:v>
      </x:c>
      <x:c r="Z80" s="20" t="str">
        <x:v>升力标定计算!N159</x:v>
      </x:c>
      <x:c r="AA80" s="20" t="str">
        <x:v>升力标定计算!N160</x:v>
      </x:c>
      <x:c r="AB80" s="20" t="str">
        <x:v>3000rpm!AU39:AT40</x:v>
      </x:c>
    </x:row>
    <x:row r="81">
      <x:c r="A81" s="21" t="n">
        <x:v>3000</x:v>
      </x:c>
      <x:c r="B81" s="21" t="n">
        <x:v>45</x:v>
      </x:c>
      <x:c r="C81" s="21" t="n">
        <x:v>7</x:v>
      </x:c>
      <x:c r="D81" s="22" t="n">
        <x:f>IFERROR('升力标定计算'!M161,"")</x:f>
        <x:v>0.2215430667879414</x:v>
      </x:c>
      <x:c r="E81" s="22" t="n">
        <x:f>IFERROR('升力标定计算'!M162,"")</x:f>
        <x:v>0.21639150507211435</x:v>
      </x:c>
      <x:c r="F81" s="22" t="n">
        <x:f>IF(AND(ISNUMBER(D81),ISNUMBER(E81)),AVERAGE(D81,E81),"")</x:f>
        <x:v>0.21896728593002787</x:v>
      </x:c>
      <x:c r="G81" s="22" t="n">
        <x:f>IFERROR('升力标定计算'!N161,"")</x:f>
        <x:v>0.06271204814267384</x:v>
      </x:c>
      <x:c r="H81" s="22" t="n">
        <x:f>IFERROR('升力标定计算'!N162,"")</x:f>
        <x:v>0.06358084007811361</x:v>
      </x:c>
      <x:c r="I81" s="22" t="n">
        <x:f>IF(AND(ISNUMBER(G81),ISNUMBER(H81)),AVERAGE(G81,H81),"")</x:f>
        <x:v>0.06314644411039372</x:v>
      </x:c>
      <x:c r="J81" s="22" t="n">
        <x:f>IFERROR('3000rpm'!AU36,"")</x:f>
        <x:v>0</x:v>
      </x:c>
      <x:c r="K81" s="22" t="n">
        <x:f>IFERROR('3000rpm'!AU46,"")</x:f>
        <x:v>0.4448818897637795</x:v>
      </x:c>
      <x:c r="L81" s="22" t="n">
        <x:f>IFERROR('3000rpm'!AU40,"")</x:f>
        <x:v>0.17795275590551185</x:v>
      </x:c>
      <x:c r="M81" s="22" t="n">
        <x:f>IFERROR('3000rpm'!AT40,"")</x:f>
        <x:v>0.07108954966132112</x:v>
      </x:c>
      <x:c r="N81" s="22" t="n">
        <x:f>IFERROR('3000rpm'!AU41,"")</x:f>
        <x:v>0.22244094488188976</x:v>
      </x:c>
      <x:c r="O81" s="22" t="n">
        <x:f>IFERROR('3000rpm'!AT41,"")</x:f>
        <x:v>0.06739325615452858</x:v>
      </x:c>
      <x:c r="P81" s="22" t="n">
        <x:f>IF(OR(NOT(AND(ISNUMBER(D81),ISNUMBER(E81),ISNUMBER(G81),ISNUMBER(H81))),OR(F81&lt;J81,F81&gt;K81)),"",IF(N81=L81,M81,M81+(F81-L81)*(O81-M81)/(N81-L81)))</x:f>
        <x:v>0.06768186450933027</x:v>
      </x:c>
      <x:c r="Q81" s="22" t="n">
        <x:f>IF(AND(ISNUMBER(I81),ISNUMBER(P81)),I81-P81,"")</x:f>
        <x:v>-0.004535420398936549</x:v>
      </x:c>
      <x:c r="R81" s="22" t="n">
        <x:f>IF(ISNUMBER(Q81),ABS(Q81),"")</x:f>
        <x:v>0.004535420398936549</x:v>
      </x:c>
      <x:c r="S81" s="36" t="n">
        <x:f>IF(AND(ISNUMBER(Q81),ISNUMBER(P81)),IF(ABS(P81)&lt;1E-12,"",Q81/P81),"")</x:f>
        <x:v>-0.06701086667479912</x:v>
      </x:c>
      <x:c r="T81" s="36" t="n">
        <x:f>IF(ISNUMBER(S81),ABS(S81),"")</x:f>
        <x:v>0.06701086667479912</x:v>
      </x:c>
      <x:c r="U81" s="37" t="n">
        <x:f>IF(ISNUMBER(Q81),Q81^2,"")</x:f>
        <x:v>0.000020570038195089762</x:v>
      </x:c>
      <x:c r="V81" s="21" t="str">
        <x:f>IF(NOT(AND(ISNUMBER(D81),ISNUMBER(E81),ISNUMBER(G81),ISNUMBER(H81))),"缺少配对",IF(OR(F81&lt;J81,F81&gt;K81),"超出理论J范围","有效"))</x:f>
        <x:v>有效</x:v>
      </x:c>
      <x:c r="W81" s="20" t="str">
        <x:v>升力 y=0.915708x+28.7687 → C_T_prop（原 C_T 字段映射）；实验攻角 45° ↔ 理论 alpha_p_deg 45°；原升力源 3000rpm!C92/M92</x:v>
      </x:c>
      <x:c r="X81" s="20" t="str">
        <x:v>升力标定计算!M161</x:v>
      </x:c>
      <x:c r="Y81" s="20" t="str">
        <x:v>升力标定计算!M162</x:v>
      </x:c>
      <x:c r="Z81" s="20" t="str">
        <x:v>升力标定计算!N161</x:v>
      </x:c>
      <x:c r="AA81" s="20" t="str">
        <x:v>升力标定计算!N162</x:v>
      </x:c>
      <x:c r="AB81" s="20" t="str">
        <x:v>3000rpm!AU40:AT41</x:v>
      </x:c>
    </x:row>
    <x:row r="82">
      <x:c r="A82" s="21" t="n">
        <x:v>3000</x:v>
      </x:c>
      <x:c r="B82" s="21" t="n">
        <x:v>45</x:v>
      </x:c>
      <x:c r="C82" s="21" t="n">
        <x:v>8</x:v>
      </x:c>
      <x:c r="D82" s="22" t="n">
        <x:f>IFERROR('升力标定计算'!M163,"")</x:f>
        <x:v>0.26462251946475646</x:v>
      </x:c>
      <x:c r="E82" s="22" t="n">
        <x:f>IFERROR('升力标定计算'!M164,"")</x:f>
        <x:v>0.2583773923170212</x:v>
      </x:c>
      <x:c r="F82" s="22" t="n">
        <x:f>IF(AND(ISNUMBER(D82),ISNUMBER(E82)),AVERAGE(D82,E82),"")</x:f>
        <x:v>0.2614999558908888</x:v>
      </x:c>
      <x:c r="G82" s="22" t="n">
        <x:f>IFERROR('升力标定计算'!N163,"")</x:f>
        <x:v>0.05953357272769415</x:v>
      </x:c>
      <x:c r="H82" s="22" t="n">
        <x:f>IFERROR('升力标定计算'!N164,"")</x:f>
        <x:v>0.060359791577505276</x:v>
      </x:c>
      <x:c r="I82" s="22" t="n">
        <x:f>IF(AND(ISNUMBER(G82),ISNUMBER(H82)),AVERAGE(G82,H82),"")</x:f>
        <x:v>0.05994668215259971</x:v>
      </x:c>
      <x:c r="J82" s="22" t="n">
        <x:f>IFERROR('3000rpm'!AU36,"")</x:f>
        <x:v>0</x:v>
      </x:c>
      <x:c r="K82" s="22" t="n">
        <x:f>IFERROR('3000rpm'!AU46,"")</x:f>
        <x:v>0.4448818897637795</x:v>
      </x:c>
      <x:c r="L82" s="22" t="n">
        <x:f>IFERROR('3000rpm'!AU41,"")</x:f>
        <x:v>0.22244094488188976</x:v>
      </x:c>
      <x:c r="M82" s="22" t="n">
        <x:f>IFERROR('3000rpm'!AT41,"")</x:f>
        <x:v>0.06739325615452858</x:v>
      </x:c>
      <x:c r="N82" s="22" t="n">
        <x:f>IFERROR('3000rpm'!AU42,"")</x:f>
        <x:v>0.26692913385826766</x:v>
      </x:c>
      <x:c r="O82" s="22" t="n">
        <x:f>IFERROR('3000rpm'!AT42,"")</x:f>
        <x:v>0.06331082781459475</x:v>
      </x:c>
      <x:c r="P82" s="22" t="n">
        <x:f>IF(OR(NOT(AND(ISNUMBER(D82),ISNUMBER(E82),ISNUMBER(G82),ISNUMBER(H82))),OR(F82&lt;J82,F82&gt;K82)),"",IF(N82=L82,M82,M82+(F82-L82)*(O82-M82)/(N82-L82)))</x:f>
        <x:v>0.0638090326304469</x:v>
      </x:c>
      <x:c r="Q82" s="22" t="n">
        <x:f>IF(AND(ISNUMBER(I82),ISNUMBER(P82)),I82-P82,"")</x:f>
        <x:v>-0.003862350477847193</x:v>
      </x:c>
      <x:c r="R82" s="22" t="n">
        <x:f>IF(ISNUMBER(Q82),ABS(Q82),"")</x:f>
        <x:v>0.003862350477847193</x:v>
      </x:c>
      <x:c r="S82" s="36" t="n">
        <x:f>IF(AND(ISNUMBER(Q82),ISNUMBER(P82)),IF(ABS(P82)&lt;1E-12,"",Q82/P82),"")</x:f>
        <x:v>-0.0605298390937249</x:v>
      </x:c>
      <x:c r="T82" s="36" t="n">
        <x:f>IF(ISNUMBER(S82),ABS(S82),"")</x:f>
        <x:v>0.0605298390937249</x:v>
      </x:c>
      <x:c r="U82" s="37" t="n">
        <x:f>IF(ISNUMBER(Q82),Q82^2,"")</x:f>
        <x:v>0.000014917751213726439</x:v>
      </x:c>
      <x:c r="V82" s="21" t="str">
        <x:f>IF(NOT(AND(ISNUMBER(D82),ISNUMBER(E82),ISNUMBER(G82),ISNUMBER(H82))),"缺少配对",IF(OR(F82&lt;J82,F82&gt;K82),"超出理论J范围","有效"))</x:f>
        <x:v>有效</x:v>
      </x:c>
      <x:c r="W82" s="20" t="str">
        <x:v>升力 y=0.915708x+28.7687 → C_T_prop（原 C_T 字段映射）；实验攻角 45° ↔ 理论 alpha_p_deg 45°；原升力源 3000rpm!C93/M93</x:v>
      </x:c>
      <x:c r="X82" s="20" t="str">
        <x:v>升力标定计算!M163</x:v>
      </x:c>
      <x:c r="Y82" s="20" t="str">
        <x:v>升力标定计算!M164</x:v>
      </x:c>
      <x:c r="Z82" s="20" t="str">
        <x:v>升力标定计算!N163</x:v>
      </x:c>
      <x:c r="AA82" s="20" t="str">
        <x:v>升力标定计算!N164</x:v>
      </x:c>
      <x:c r="AB82" s="20" t="str">
        <x:v>3000rpm!AU41:AT42</x:v>
      </x:c>
    </x:row>
    <x:row r="83">
      <x:c r="A83" s="21" t="n">
        <x:v>3000</x:v>
      </x:c>
      <x:c r="B83" s="21" t="n">
        <x:v>45</x:v>
      </x:c>
      <x:c r="C83" s="21" t="n">
        <x:v>9</x:v>
      </x:c>
      <x:c r="D83" s="22" t="n">
        <x:f>IFERROR('升力标定计算'!M165,"")</x:f>
        <x:v>0.30810006676221263</x:v>
      </x:c>
      <x:c r="E83" s="22" t="n">
        <x:f>IFERROR('升力标定计算'!M166,"")</x:f>
        <x:v>0.2988480637683976</x:v>
      </x:c>
      <x:c r="F83" s="22" t="n">
        <x:f>IF(AND(ISNUMBER(D83),ISNUMBER(E83)),AVERAGE(D83,E83),"")</x:f>
        <x:v>0.3034740652653051</x:v>
      </x:c>
      <x:c r="G83" s="22" t="n">
        <x:f>IFERROR('升力标定计算'!N165,"")</x:f>
        <x:v>0.05682650513710654</x:v>
      </x:c>
      <x:c r="H83" s="22" t="n">
        <x:f>IFERROR('升力标定计算'!N166,"")</x:f>
        <x:v>0.05677895771916948</x:v>
      </x:c>
      <x:c r="I83" s="22" t="n">
        <x:f>IF(AND(ISNUMBER(G83),ISNUMBER(H83)),AVERAGE(G83,H83),"")</x:f>
        <x:v>0.056802731428138006</x:v>
      </x:c>
      <x:c r="J83" s="22" t="n">
        <x:f>IFERROR('3000rpm'!AU36,"")</x:f>
        <x:v>0</x:v>
      </x:c>
      <x:c r="K83" s="22" t="n">
        <x:f>IFERROR('3000rpm'!AU46,"")</x:f>
        <x:v>0.4448818897637795</x:v>
      </x:c>
      <x:c r="L83" s="22" t="n">
        <x:f>IFERROR('3000rpm'!AU42,"")</x:f>
        <x:v>0.26692913385826766</x:v>
      </x:c>
      <x:c r="M83" s="22" t="n">
        <x:f>IFERROR('3000rpm'!AT42,"")</x:f>
        <x:v>0.06331082781459475</x:v>
      </x:c>
      <x:c r="N83" s="22" t="n">
        <x:f>IFERROR('3000rpm'!AU43,"")</x:f>
        <x:v>0.3114173228346457</x:v>
      </x:c>
      <x:c r="O83" s="22" t="n">
        <x:f>IFERROR('3000rpm'!AT43,"")</x:f>
        <x:v>0.05881474541698717</x:v>
      </x:c>
      <x:c r="P83" s="22" t="n">
        <x:f>IF(OR(NOT(AND(ISNUMBER(D83),ISNUMBER(E83),ISNUMBER(G83),ISNUMBER(H83))),OR(F83&lt;J83,F83&gt;K83)),"",IF(N83=L83,M83,M83+(F83-L83)*(O83-M83)/(N83-L83)))</x:f>
        <x:v>0.059617509956495354</x:v>
      </x:c>
      <x:c r="Q83" s="22" t="n">
        <x:f>IF(AND(ISNUMBER(I83),ISNUMBER(P83)),I83-P83,"")</x:f>
        <x:v>-0.002814778528357348</x:v>
      </x:c>
      <x:c r="R83" s="22" t="n">
        <x:f>IF(ISNUMBER(Q83),ABS(Q83),"")</x:f>
        <x:v>0.002814778528357348</x:v>
      </x:c>
      <x:c r="S83" s="36" t="n">
        <x:f>IF(AND(ISNUMBER(Q83),ISNUMBER(P83)),IF(ABS(P83)&lt;1E-12,"",Q83/P83),"")</x:f>
        <x:v>-0.04721395661126025</x:v>
      </x:c>
      <x:c r="T83" s="36" t="n">
        <x:f>IF(ISNUMBER(S83),ABS(S83),"")</x:f>
        <x:v>0.04721395661126025</x:v>
      </x:c>
      <x:c r="U83" s="37" t="n">
        <x:f>IF(ISNUMBER(Q83),Q83^2,"")</x:f>
        <x:v>0.000007922978163701557</x:v>
      </x:c>
      <x:c r="V83" s="21" t="str">
        <x:f>IF(NOT(AND(ISNUMBER(D83),ISNUMBER(E83),ISNUMBER(G83),ISNUMBER(H83))),"缺少配对",IF(OR(F83&lt;J83,F83&gt;K83),"超出理论J范围","有效"))</x:f>
        <x:v>有效</x:v>
      </x:c>
      <x:c r="W83" s="20" t="str">
        <x:v>升力 y=0.915708x+28.7687 → C_T_prop（原 C_T 字段映射）；实验攻角 45° ↔ 理论 alpha_p_deg 45°；原升力源 3000rpm!C94/M94</x:v>
      </x:c>
      <x:c r="X83" s="20" t="str">
        <x:v>升力标定计算!M165</x:v>
      </x:c>
      <x:c r="Y83" s="20" t="str">
        <x:v>升力标定计算!M166</x:v>
      </x:c>
      <x:c r="Z83" s="20" t="str">
        <x:v>升力标定计算!N165</x:v>
      </x:c>
      <x:c r="AA83" s="20" t="str">
        <x:v>升力标定计算!N166</x:v>
      </x:c>
      <x:c r="AB83" s="20" t="str">
        <x:v>3000rpm!AU42:AT43</x:v>
      </x:c>
    </x:row>
    <x:row r="84">
      <x:c r="A84" s="21" t="n">
        <x:v>3000</x:v>
      </x:c>
      <x:c r="B84" s="21" t="n">
        <x:v>45</x:v>
      </x:c>
      <x:c r="C84" s="21" t="n">
        <x:v>10</x:v>
      </x:c>
      <x:c r="D84" s="22" t="n">
        <x:f>IFERROR('升力标定计算'!M167,"")</x:f>
        <x:v>0.3520933572844365</x:v>
      </x:c>
      <x:c r="E84" s="22" t="n">
        <x:f>IFERROR('升力标定计算'!M168,"")</x:f>
        <x:v>0.3454017968585897</x:v>
      </x:c>
      <x:c r="F84" s="22" t="n">
        <x:f>IF(AND(ISNUMBER(D84),ISNUMBER(E84)),AVERAGE(D84,E84),"")</x:f>
        <x:v>0.3487475770715131</x:v>
      </x:c>
      <x:c r="G84" s="22" t="n">
        <x:f>IFERROR('升力标定计算'!N167,"")</x:f>
        <x:v>0.054329503045408296</x:v>
      </x:c>
      <x:c r="H84" s="22" t="n">
        <x:f>IFERROR('升力标定计算'!N168,"")</x:f>
        <x:v>0.05545758685238621</x:v>
      </x:c>
      <x:c r="I84" s="22" t="n">
        <x:f>IF(AND(ISNUMBER(G84),ISNUMBER(H84)),AVERAGE(G84,H84),"")</x:f>
        <x:v>0.054893544948897255</x:v>
      </x:c>
      <x:c r="J84" s="22" t="n">
        <x:f>IFERROR('3000rpm'!AU36,"")</x:f>
        <x:v>0</x:v>
      </x:c>
      <x:c r="K84" s="22" t="n">
        <x:f>IFERROR('3000rpm'!AU46,"")</x:f>
        <x:v>0.4448818897637795</x:v>
      </x:c>
      <x:c r="L84" s="22" t="n">
        <x:f>IFERROR('3000rpm'!AU43,"")</x:f>
        <x:v>0.3114173228346457</x:v>
      </x:c>
      <x:c r="M84" s="22" t="n">
        <x:f>IFERROR('3000rpm'!AT43,"")</x:f>
        <x:v>0.05881474541698717</x:v>
      </x:c>
      <x:c r="N84" s="22" t="n">
        <x:f>IFERROR('3000rpm'!AU44,"")</x:f>
        <x:v>0.3559055118110237</x:v>
      </x:c>
      <x:c r="O84" s="22" t="n">
        <x:f>IFERROR('3000rpm'!AT44,"")</x:f>
        <x:v>0.05386847173469227</x:v>
      </x:c>
      <x:c r="P84" s="22" t="n">
        <x:f>IF(OR(NOT(AND(ISNUMBER(D84),ISNUMBER(E84),ISNUMBER(G84),ISNUMBER(H84))),OR(F84&lt;J84,F84&gt;K84)),"",IF(N84=L84,M84,M84+(F84-L84)*(O84-M84)/(N84-L84)))</x:f>
        <x:v>0.05466430328091289</x:v>
      </x:c>
      <x:c r="Q84" s="22" t="n">
        <x:f>IF(AND(ISNUMBER(I84),ISNUMBER(P84)),I84-P84,"")</x:f>
        <x:v>0.0002292416679843673</x:v>
      </x:c>
      <x:c r="R84" s="22" t="n">
        <x:f>IF(ISNUMBER(Q84),ABS(Q84),"")</x:f>
        <x:v>0.0002292416679843673</x:v>
      </x:c>
      <x:c r="S84" s="36" t="n">
        <x:f>IF(AND(ISNUMBER(Q84),ISNUMBER(P84)),IF(ABS(P84)&lt;1E-12,"",Q84/P84),"")</x:f>
        <x:v>0.004193626447707996</x:v>
      </x:c>
      <x:c r="T84" s="36" t="n">
        <x:f>IF(ISNUMBER(S84),ABS(S84),"")</x:f>
        <x:v>0.004193626447707996</x:v>
      </x:c>
      <x:c r="U84" s="37" t="n">
        <x:f>IF(ISNUMBER(Q84),Q84^2,"")</x:f>
        <x:v>5.2551742340254885e-8</x:v>
      </x:c>
      <x:c r="V84" s="21" t="str">
        <x:f>IF(NOT(AND(ISNUMBER(D84),ISNUMBER(E84),ISNUMBER(G84),ISNUMBER(H84))),"缺少配对",IF(OR(F84&lt;J84,F84&gt;K84),"超出理论J范围","有效"))</x:f>
        <x:v>有效</x:v>
      </x:c>
      <x:c r="W84" s="20" t="str">
        <x:v>升力 y=0.915708x+28.7687 → C_T_prop（原 C_T 字段映射）；实验攻角 45° ↔ 理论 alpha_p_deg 45°；原升力源 3000rpm!C95/M95</x:v>
      </x:c>
      <x:c r="X84" s="20" t="str">
        <x:v>升力标定计算!M167</x:v>
      </x:c>
      <x:c r="Y84" s="20" t="str">
        <x:v>升力标定计算!M168</x:v>
      </x:c>
      <x:c r="Z84" s="20" t="str">
        <x:v>升力标定计算!N167</x:v>
      </x:c>
      <x:c r="AA84" s="20" t="str">
        <x:v>升力标定计算!N168</x:v>
      </x:c>
      <x:c r="AB84" s="20" t="str">
        <x:v>3000rpm!AU43:AT44</x:v>
      </x:c>
    </x:row>
    <x:row r="85">
      <x:c r="A85" s="21" t="n">
        <x:v>3000</x:v>
      </x:c>
      <x:c r="B85" s="21" t="n">
        <x:v>45</x:v>
      </x:c>
      <x:c r="C85" s="21" t="n">
        <x:v>11</x:v>
      </x:c>
      <x:c r="D85" s="22" t="n">
        <x:f>IFERROR('升力标定计算'!M169,"")</x:f>
        <x:v>0.39166325162997906</x:v>
      </x:c>
      <x:c r="E85" s="22" t="n">
        <x:f>IFERROR('升力标定计算'!M170,"")</x:f>
        <x:v>0.38462245120782673</x:v>
      </x:c>
      <x:c r="F85" s="22" t="n">
        <x:f>IF(AND(ISNUMBER(D85),ISNUMBER(E85)),AVERAGE(D85,E85),"")</x:f>
        <x:v>0.3881428514189029</x:v>
      </x:c>
      <x:c r="G85" s="22" t="n">
        <x:f>IFERROR('升力标定计算'!N169,"")</x:f>
        <x:v>0.050772531581746015</x:v>
      </x:c>
      <x:c r="H85" s="22" t="n">
        <x:f>IFERROR('升力标定计算'!N170,"")</x:f>
        <x:v>0.051654579568883814</x:v>
      </x:c>
      <x:c r="I85" s="22" t="n">
        <x:f>IF(AND(ISNUMBER(G85),ISNUMBER(H85)),AVERAGE(G85,H85),"")</x:f>
        <x:v>0.051213555575314915</x:v>
      </x:c>
      <x:c r="J85" s="22" t="n">
        <x:f>IFERROR('3000rpm'!AU36,"")</x:f>
        <x:v>0</x:v>
      </x:c>
      <x:c r="K85" s="22" t="n">
        <x:f>IFERROR('3000rpm'!AU46,"")</x:f>
        <x:v>0.4448818897637795</x:v>
      </x:c>
      <x:c r="L85" s="22" t="n">
        <x:f>IFERROR('3000rpm'!AU44,"")</x:f>
        <x:v>0.3559055118110237</x:v>
      </x:c>
      <x:c r="M85" s="22" t="n">
        <x:f>IFERROR('3000rpm'!AT44,"")</x:f>
        <x:v>0.05386847173469227</x:v>
      </x:c>
      <x:c r="N85" s="22" t="n">
        <x:f>IFERROR('3000rpm'!AU45,"")</x:f>
        <x:v>0.40039370078740166</x:v>
      </x:c>
      <x:c r="O85" s="22" t="n">
        <x:f>IFERROR('3000rpm'!AT45,"")</x:f>
        <x:v>0.048535407575869445</x:v>
      </x:c>
      <x:c r="P85" s="22" t="n">
        <x:f>IF(OR(NOT(AND(ISNUMBER(D85),ISNUMBER(E85),ISNUMBER(G85),ISNUMBER(H85))),OR(F85&lt;J85,F85&gt;K85)),"",IF(N85=L85,M85,M85+(F85-L85)*(O85-M85)/(N85-L85)))</x:f>
        <x:v>0.050003989848727726</x:v>
      </x:c>
      <x:c r="Q85" s="22" t="n">
        <x:f>IF(AND(ISNUMBER(I85),ISNUMBER(P85)),I85-P85,"")</x:f>
        <x:v>0.001209565726587189</x:v>
      </x:c>
      <x:c r="R85" s="22" t="n">
        <x:f>IF(ISNUMBER(Q85),ABS(Q85),"")</x:f>
        <x:v>0.001209565726587189</x:v>
      </x:c>
      <x:c r="S85" s="36" t="n">
        <x:f>IF(AND(ISNUMBER(Q85),ISNUMBER(P85)),IF(ABS(P85)&lt;1E-12,"",Q85/P85),"")</x:f>
        <x:v>0.024189384292060936</x:v>
      </x:c>
      <x:c r="T85" s="36" t="n">
        <x:f>IF(ISNUMBER(S85),ABS(S85),"")</x:f>
        <x:v>0.024189384292060936</x:v>
      </x:c>
      <x:c r="U85" s="37" t="n">
        <x:f>IF(ISNUMBER(Q85),Q85^2,"")</x:f>
        <x:v>0.0000014630492469343944</x:v>
      </x:c>
      <x:c r="V85" s="21" t="str">
        <x:f>IF(NOT(AND(ISNUMBER(D85),ISNUMBER(E85),ISNUMBER(G85),ISNUMBER(H85))),"缺少配对",IF(OR(F85&lt;J85,F85&gt;K85),"超出理论J范围","有效"))</x:f>
        <x:v>有效</x:v>
      </x:c>
      <x:c r="W85" s="20" t="str">
        <x:v>升力 y=0.915708x+28.7687 → C_T_prop（原 C_T 字段映射）；实验攻角 45° ↔ 理论 alpha_p_deg 45°；原升力源 3000rpm!C96/M96</x:v>
      </x:c>
      <x:c r="X85" s="20" t="str">
        <x:v>升力标定计算!M169</x:v>
      </x:c>
      <x:c r="Y85" s="20" t="str">
        <x:v>升力标定计算!M170</x:v>
      </x:c>
      <x:c r="Z85" s="20" t="str">
        <x:v>升力标定计算!N169</x:v>
      </x:c>
      <x:c r="AA85" s="20" t="str">
        <x:v>升力标定计算!N170</x:v>
      </x:c>
      <x:c r="AB85" s="20" t="str">
        <x:v>3000rpm!AU44:AT45</x:v>
      </x:c>
    </x:row>
    <x:row r="86">
      <x:c r="A86" s="21" t="n">
        <x:v>3000</x:v>
      </x:c>
      <x:c r="B86" s="21" t="n">
        <x:v>45</x:v>
      </x:c>
      <x:c r="C86" s="21" t="n">
        <x:v>12</x:v>
      </x:c>
      <x:c r="D86" s="22" t="n">
        <x:f>IFERROR('升力标定计算'!M171,"")</x:f>
        <x:v>0.42958529777752463</x:v>
      </x:c>
      <x:c r="E86" s="22" t="n">
        <x:f>IFERROR('升力标定计算'!M172,"")</x:f>
        <x:v>0.4219899207112942</x:v>
      </x:c>
      <x:c r="F86" s="22" t="n">
        <x:f>IF(AND(ISNUMBER(D86),ISNUMBER(E86)),AVERAGE(D86,E86),"")</x:f>
        <x:v>0.4257876092444094</x:v>
      </x:c>
      <x:c r="G86" s="22" t="n">
        <x:f>IFERROR('升力标定计算'!N171,"")</x:f>
        <x:v>0.04686515589813081</x:v>
      </x:c>
      <x:c r="H86" s="22" t="n">
        <x:f>IFERROR('升力标定计算'!N172,"")</x:f>
        <x:v>0.04784850377649664</x:v>
      </x:c>
      <x:c r="I86" s="22" t="n">
        <x:f>IF(AND(ISNUMBER(G86),ISNUMBER(H86)),AVERAGE(G86,H86),"")</x:f>
        <x:v>0.04735682983731372</x:v>
      </x:c>
      <x:c r="J86" s="22" t="n">
        <x:f>IFERROR('3000rpm'!AU36,"")</x:f>
        <x:v>0</x:v>
      </x:c>
      <x:c r="K86" s="22" t="n">
        <x:f>IFERROR('3000rpm'!AU46,"")</x:f>
        <x:v>0.4448818897637795</x:v>
      </x:c>
      <x:c r="L86" s="22" t="n">
        <x:f>IFERROR('3000rpm'!AU45,"")</x:f>
        <x:v>0.40039370078740166</x:v>
      </x:c>
      <x:c r="M86" s="22" t="n">
        <x:f>IFERROR('3000rpm'!AT45,"")</x:f>
        <x:v>0.048535407575869445</x:v>
      </x:c>
      <x:c r="N86" s="22" t="n">
        <x:f>IFERROR('3000rpm'!AU46,"")</x:f>
        <x:v>0.4448818897637795</x:v>
      </x:c>
      <x:c r="O86" s="22" t="n">
        <x:f>IFERROR('3000rpm'!AT46,"")</x:f>
        <x:v>0.042836735674630866</x:v>
      </x:c>
      <x:c r="P86" s="22" t="n">
        <x:f>IF(OR(NOT(AND(ISNUMBER(D86),ISNUMBER(E86),ISNUMBER(G86),ISNUMBER(H86))),OR(F86&lt;J86,F86&gt;K86)),"",IF(N86=L86,M86,M86+(F86-L86)*(O86-M86)/(N86-L86)))</x:f>
        <x:v>0.04528259922569333</x:v>
      </x:c>
      <x:c r="Q86" s="22" t="n">
        <x:f>IF(AND(ISNUMBER(I86),ISNUMBER(P86)),I86-P86,"")</x:f>
        <x:v>0.0020742306116203896</x:v>
      </x:c>
      <x:c r="R86" s="22" t="n">
        <x:f>IF(ISNUMBER(Q86),ABS(Q86),"")</x:f>
        <x:v>0.0020742306116203896</x:v>
      </x:c>
      <x:c r="S86" s="36" t="n">
        <x:f>IF(AND(ISNUMBER(Q86),ISNUMBER(P86)),IF(ABS(P86)&lt;1E-12,"",Q86/P86),"")</x:f>
        <x:v>0.045806350498614305</x:v>
      </x:c>
      <x:c r="T86" s="36" t="n">
        <x:f>IF(ISNUMBER(S86),ABS(S86),"")</x:f>
        <x:v>0.045806350498614305</x:v>
      </x:c>
      <x:c r="U86" s="37" t="n">
        <x:f>IF(ISNUMBER(Q86),Q86^2,"")</x:f>
        <x:v>0.000004302432630183095</x:v>
      </x:c>
      <x:c r="V86" s="21" t="str">
        <x:f>IF(NOT(AND(ISNUMBER(D86),ISNUMBER(E86),ISNUMBER(G86),ISNUMBER(H86))),"缺少配对",IF(OR(F86&lt;J86,F86&gt;K86),"超出理论J范围","有效"))</x:f>
        <x:v>有效</x:v>
      </x:c>
      <x:c r="W86" s="20" t="str">
        <x:v>升力 y=0.915708x+28.7687 → C_T_prop（原 C_T 字段映射）；实验攻角 45° ↔ 理论 alpha_p_deg 45°；原升力源 3000rpm!C97/M97</x:v>
      </x:c>
      <x:c r="X86" s="20" t="str">
        <x:v>升力标定计算!M171</x:v>
      </x:c>
      <x:c r="Y86" s="20" t="str">
        <x:v>升力标定计算!M172</x:v>
      </x:c>
      <x:c r="Z86" s="20" t="str">
        <x:v>升力标定计算!N171</x:v>
      </x:c>
      <x:c r="AA86" s="20" t="str">
        <x:v>升力标定计算!N172</x:v>
      </x:c>
      <x:c r="AB86" s="20" t="str">
        <x:v>3000rpm!AU45:AT46</x:v>
      </x:c>
    </x:row>
    <x:row r="87">
      <x:c r="A87" s="21" t="n">
        <x:v>3000</x:v>
      </x:c>
      <x:c r="B87" s="21" t="n">
        <x:v>45</x:v>
      </x:c>
      <x:c r="C87" s="21" t="n">
        <x:v>13</x:v>
      </x:c>
      <x:c r="D87" s="22" t="n">
        <x:f>IFERROR('升力标定计算'!M173,"")</x:f>
        <x:v>0.3914239399741962</x:v>
      </x:c>
      <x:c r="E87" s="22" t="n">
        <x:f>IFERROR('升力标定计算'!M174,"")</x:f>
        <x:v>0.3847847337914405</x:v>
      </x:c>
      <x:c r="F87" s="22" t="n">
        <x:f>IF(AND(ISNUMBER(D87),ISNUMBER(E87)),AVERAGE(D87,E87),"")</x:f>
        <x:v>0.38810433688281837</x:v>
      </x:c>
      <x:c r="G87" s="22" t="n">
        <x:f>IFERROR('升力标定计算'!N173,"")</x:f>
        <x:v>0.05012241651917702</x:v>
      </x:c>
      <x:c r="H87" s="22" t="n">
        <x:f>IFERROR('升力标定计算'!N174,"")</x:f>
        <x:v>0.05066083858909093</x:v>
      </x:c>
      <x:c r="I87" s="22" t="n">
        <x:f>IF(AND(ISNUMBER(G87),ISNUMBER(H87)),AVERAGE(G87,H87),"")</x:f>
        <x:v>0.05039162755413397</x:v>
      </x:c>
      <x:c r="J87" s="22" t="n">
        <x:f>IFERROR('3000rpm'!AU36,"")</x:f>
        <x:v>0</x:v>
      </x:c>
      <x:c r="K87" s="22" t="n">
        <x:f>IFERROR('3000rpm'!AU46,"")</x:f>
        <x:v>0.4448818897637795</x:v>
      </x:c>
      <x:c r="L87" s="22" t="n">
        <x:f>IFERROR('3000rpm'!AU44,"")</x:f>
        <x:v>0.3559055118110237</x:v>
      </x:c>
      <x:c r="M87" s="22" t="n">
        <x:f>IFERROR('3000rpm'!AT44,"")</x:f>
        <x:v>0.05386847173469227</x:v>
      </x:c>
      <x:c r="N87" s="22" t="n">
        <x:f>IFERROR('3000rpm'!AU45,"")</x:f>
        <x:v>0.40039370078740166</x:v>
      </x:c>
      <x:c r="O87" s="22" t="n">
        <x:f>IFERROR('3000rpm'!AT45,"")</x:f>
        <x:v>0.048535407575869445</x:v>
      </x:c>
      <x:c r="P87" s="22" t="n">
        <x:f>IF(OR(NOT(AND(ISNUMBER(D87),ISNUMBER(E87),ISNUMBER(G87),ISNUMBER(H87))),OR(F87&lt;J87,F87&gt;K87)),"",IF(N87=L87,M87,M87+(F87-L87)*(O87-M87)/(N87-L87)))</x:f>
        <x:v>0.050008606815538745</x:v>
      </x:c>
      <x:c r="Q87" s="22" t="n">
        <x:f>IF(AND(ISNUMBER(I87),ISNUMBER(P87)),I87-P87,"")</x:f>
        <x:v>0.00038302073859522445</x:v>
      </x:c>
      <x:c r="R87" s="22" t="n">
        <x:f>IF(ISNUMBER(Q87),ABS(Q87),"")</x:f>
        <x:v>0.00038302073859522445</x:v>
      </x:c>
      <x:c r="S87" s="36" t="n">
        <x:f>IF(AND(ISNUMBER(Q87),ISNUMBER(P87)),IF(ABS(P87)&lt;1E-12,"",Q87/P87),"")</x:f>
        <x:v>0.007659096363312639</x:v>
      </x:c>
      <x:c r="T87" s="36" t="n">
        <x:f>IF(ISNUMBER(S87),ABS(S87),"")</x:f>
        <x:v>0.007659096363312639</x:v>
      </x:c>
      <x:c r="U87" s="37" t="n">
        <x:f>IF(ISNUMBER(Q87),Q87^2,"")</x:f>
        <x:v>1.4670488619403127e-7</x:v>
      </x:c>
      <x:c r="V87" s="21" t="str">
        <x:f>IF(NOT(AND(ISNUMBER(D87),ISNUMBER(E87),ISNUMBER(G87),ISNUMBER(H87))),"缺少配对",IF(OR(F87&lt;J87,F87&gt;K87),"超出理论J范围","有效"))</x:f>
        <x:v>有效</x:v>
      </x:c>
      <x:c r="W87" s="20" t="str">
        <x:v>升力 y=0.915708x+28.7687 → C_T_prop（原 C_T 字段映射）；实验攻角 45° ↔ 理论 alpha_p_deg 45°；原升力源 3000rpm!C98/M98</x:v>
      </x:c>
      <x:c r="X87" s="20" t="str">
        <x:v>升力标定计算!M173</x:v>
      </x:c>
      <x:c r="Y87" s="20" t="str">
        <x:v>升力标定计算!M174</x:v>
      </x:c>
      <x:c r="Z87" s="20" t="str">
        <x:v>升力标定计算!N173</x:v>
      </x:c>
      <x:c r="AA87" s="20" t="str">
        <x:v>升力标定计算!N174</x:v>
      </x:c>
      <x:c r="AB87" s="20" t="str">
        <x:v>3000rpm!AU44:AT45</x:v>
      </x:c>
    </x:row>
    <x:row r="88">
      <x:c r="A88" s="21" t="n">
        <x:v>3000</x:v>
      </x:c>
      <x:c r="B88" s="21" t="n">
        <x:v>45</x:v>
      </x:c>
      <x:c r="C88" s="21" t="n">
        <x:v>14</x:v>
      </x:c>
      <x:c r="D88" s="22" t="n">
        <x:f>IFERROR('升力标定计算'!M175,"")</x:f>
        <x:v>0.35026182591104127</x:v>
      </x:c>
      <x:c r="E88" s="22" t="n">
        <x:f>IFERROR('升力标定计算'!M176,"")</x:f>
        <x:v>0.34563303074791724</x:v>
      </x:c>
      <x:c r="F88" s="22" t="n">
        <x:f>IF(AND(ISNUMBER(D88),ISNUMBER(E88)),AVERAGE(D88,E88),"")</x:f>
        <x:v>0.3479474283294792</x:v>
      </x:c>
      <x:c r="G88" s="22" t="n">
        <x:f>IFERROR('升力标定计算'!N175,"")</x:f>
        <x:v>0.053439500592467215</x:v>
      </x:c>
      <x:c r="H88" s="22" t="n">
        <x:f>IFERROR('升力标定计算'!N176,"")</x:f>
        <x:v>0.054976739106204604</x:v>
      </x:c>
      <x:c r="I88" s="22" t="n">
        <x:f>IF(AND(ISNUMBER(G88),ISNUMBER(H88)),AVERAGE(G88,H88),"")</x:f>
        <x:v>0.054208119849335906</x:v>
      </x:c>
      <x:c r="J88" s="22" t="n">
        <x:f>IFERROR('3000rpm'!AU36,"")</x:f>
        <x:v>0</x:v>
      </x:c>
      <x:c r="K88" s="22" t="n">
        <x:f>IFERROR('3000rpm'!AU46,"")</x:f>
        <x:v>0.4448818897637795</x:v>
      </x:c>
      <x:c r="L88" s="22" t="n">
        <x:f>IFERROR('3000rpm'!AU43,"")</x:f>
        <x:v>0.3114173228346457</x:v>
      </x:c>
      <x:c r="M88" s="22" t="n">
        <x:f>IFERROR('3000rpm'!AT43,"")</x:f>
        <x:v>0.05881474541698717</x:v>
      </x:c>
      <x:c r="N88" s="22" t="n">
        <x:f>IFERROR('3000rpm'!AU44,"")</x:f>
        <x:v>0.3559055118110237</x:v>
      </x:c>
      <x:c r="O88" s="22" t="n">
        <x:f>IFERROR('3000rpm'!AT44,"")</x:f>
        <x:v>0.05386847173469227</x:v>
      </x:c>
      <x:c r="P88" s="22" t="n">
        <x:f>IF(OR(NOT(AND(ISNUMBER(D88),ISNUMBER(E88),ISNUMBER(G88),ISNUMBER(H88))),OR(F88&lt;J88,F88&gt;K88)),"",IF(N88=L88,M88,M88+(F88-L88)*(O88-M88)/(N88-L88)))</x:f>
        <x:v>0.054753265199923455</x:v>
      </x:c>
      <x:c r="Q88" s="22" t="n">
        <x:f>IF(AND(ISNUMBER(I88),ISNUMBER(P88)),I88-P88,"")</x:f>
        <x:v>-0.0005451453505875489</x:v>
      </x:c>
      <x:c r="R88" s="22" t="n">
        <x:f>IF(ISNUMBER(Q88),ABS(Q88),"")</x:f>
        <x:v>0.0005451453505875489</x:v>
      </x:c>
      <x:c r="S88" s="36" t="n">
        <x:f>IF(AND(ISNUMBER(Q88),ISNUMBER(P88)),IF(ABS(P88)&lt;1E-12,"",Q88/P88),"")</x:f>
        <x:v>-0.009956398921544336</x:v>
      </x:c>
      <x:c r="T88" s="36" t="n">
        <x:f>IF(ISNUMBER(S88),ABS(S88),"")</x:f>
        <x:v>0.009956398921544336</x:v>
      </x:c>
      <x:c r="U88" s="37" t="n">
        <x:f>IF(ISNUMBER(Q88),Q88^2,"")</x:f>
        <x:v>2.9718345326722163e-7</x:v>
      </x:c>
      <x:c r="V88" s="21" t="str">
        <x:f>IF(NOT(AND(ISNUMBER(D88),ISNUMBER(E88),ISNUMBER(G88),ISNUMBER(H88))),"缺少配对",IF(OR(F88&lt;J88,F88&gt;K88),"超出理论J范围","有效"))</x:f>
        <x:v>有效</x:v>
      </x:c>
      <x:c r="W88" s="20" t="str">
        <x:v>升力 y=0.915708x+28.7687 → C_T_prop（原 C_T 字段映射）；实验攻角 45° ↔ 理论 alpha_p_deg 45°；原升力源 3000rpm!C99/M99</x:v>
      </x:c>
      <x:c r="X88" s="20" t="str">
        <x:v>升力标定计算!M175</x:v>
      </x:c>
      <x:c r="Y88" s="20" t="str">
        <x:v>升力标定计算!M176</x:v>
      </x:c>
      <x:c r="Z88" s="20" t="str">
        <x:v>升力标定计算!N175</x:v>
      </x:c>
      <x:c r="AA88" s="20" t="str">
        <x:v>升力标定计算!N176</x:v>
      </x:c>
      <x:c r="AB88" s="20" t="str">
        <x:v>3000rpm!AU43:AT44</x:v>
      </x:c>
    </x:row>
    <x:row r="89">
      <x:c r="A89" s="21" t="n">
        <x:v>3000</x:v>
      </x:c>
      <x:c r="B89" s="21" t="n">
        <x:v>45</x:v>
      </x:c>
      <x:c r="C89" s="21" t="n">
        <x:v>15</x:v>
      </x:c>
      <x:c r="D89" s="22" t="n">
        <x:f>IFERROR('升力标定计算'!M177,"")</x:f>
        <x:v>0.31290381522633465</x:v>
      </x:c>
      <x:c r="E89" s="22" t="n">
        <x:f>IFERROR('升力标定计算'!M178,"")</x:f>
        <x:v>0.30379935314775414</x:v>
      </x:c>
      <x:c r="F89" s="22" t="n">
        <x:f>IF(AND(ISNUMBER(D89),ISNUMBER(E89)),AVERAGE(D89,E89),"")</x:f>
        <x:v>0.3083515841870444</x:v>
      </x:c>
      <x:c r="G89" s="22" t="n">
        <x:f>IFERROR('升力标定计算'!N177,"")</x:f>
        <x:v>0.05613597059949989</x:v>
      </x:c>
      <x:c r="H89" s="22" t="n">
        <x:f>IFERROR('升力标定计算'!N178,"")</x:f>
        <x:v>0.05778626116276205</x:v>
      </x:c>
      <x:c r="I89" s="22" t="n">
        <x:f>IF(AND(ISNUMBER(G89),ISNUMBER(H89)),AVERAGE(G89,H89),"")</x:f>
        <x:v>0.056961115881130966</x:v>
      </x:c>
      <x:c r="J89" s="22" t="n">
        <x:f>IFERROR('3000rpm'!AU36,"")</x:f>
        <x:v>0</x:v>
      </x:c>
      <x:c r="K89" s="22" t="n">
        <x:f>IFERROR('3000rpm'!AU46,"")</x:f>
        <x:v>0.4448818897637795</x:v>
      </x:c>
      <x:c r="L89" s="22" t="n">
        <x:f>IFERROR('3000rpm'!AU42,"")</x:f>
        <x:v>0.26692913385826766</x:v>
      </x:c>
      <x:c r="M89" s="22" t="n">
        <x:f>IFERROR('3000rpm'!AT42,"")</x:f>
        <x:v>0.06331082781459475</x:v>
      </x:c>
      <x:c r="N89" s="22" t="n">
        <x:f>IFERROR('3000rpm'!AU43,"")</x:f>
        <x:v>0.3114173228346457</x:v>
      </x:c>
      <x:c r="O89" s="22" t="n">
        <x:f>IFERROR('3000rpm'!AT43,"")</x:f>
        <x:v>0.05881474541698717</x:v>
      </x:c>
      <x:c r="P89" s="22" t="n">
        <x:f>IF(OR(NOT(AND(ISNUMBER(D89),ISNUMBER(E89),ISNUMBER(G89),ISNUMBER(H89))),OR(F89&lt;J89,F89&gt;K89)),"",IF(N89=L89,M89,M89+(F89-L89)*(O89-M89)/(N89-L89)))</x:f>
        <x:v>0.05912457627066531</x:v>
      </x:c>
      <x:c r="Q89" s="22" t="n">
        <x:f>IF(AND(ISNUMBER(I89),ISNUMBER(P89)),I89-P89,"")</x:f>
        <x:v>-0.0021634603895343413</x:v>
      </x:c>
      <x:c r="R89" s="22" t="n">
        <x:f>IF(ISNUMBER(Q89),ABS(Q89),"")</x:f>
        <x:v>0.0021634603895343413</x:v>
      </x:c>
      <x:c r="S89" s="36" t="n">
        <x:f>IF(AND(ISNUMBER(Q89),ISNUMBER(P89)),IF(ABS(P89)&lt;1E-12,"",Q89/P89),"")</x:f>
        <x:v>-0.03659155846851698</x:v>
      </x:c>
      <x:c r="T89" s="36" t="n">
        <x:f>IF(ISNUMBER(S89),ABS(S89),"")</x:f>
        <x:v>0.03659155846851698</x:v>
      </x:c>
      <x:c r="U89" s="37" t="n">
        <x:f>IF(ISNUMBER(Q89),Q89^2,"")</x:f>
        <x:v>0.000004680560857084084</x:v>
      </x:c>
      <x:c r="V89" s="21" t="str">
        <x:f>IF(NOT(AND(ISNUMBER(D89),ISNUMBER(E89),ISNUMBER(G89),ISNUMBER(H89))),"缺少配对",IF(OR(F89&lt;J89,F89&gt;K89),"超出理论J范围","有效"))</x:f>
        <x:v>有效</x:v>
      </x:c>
      <x:c r="W89" s="20" t="str">
        <x:v>升力 y=0.915708x+28.7687 → C_T_prop（原 C_T 字段映射）；实验攻角 45° ↔ 理论 alpha_p_deg 45°；原升力源 3000rpm!C100/M100</x:v>
      </x:c>
      <x:c r="X89" s="20" t="str">
        <x:v>升力标定计算!M177</x:v>
      </x:c>
      <x:c r="Y89" s="20" t="str">
        <x:v>升力标定计算!M178</x:v>
      </x:c>
      <x:c r="Z89" s="20" t="str">
        <x:v>升力标定计算!N177</x:v>
      </x:c>
      <x:c r="AA89" s="20" t="str">
        <x:v>升力标定计算!N178</x:v>
      </x:c>
      <x:c r="AB89" s="20" t="str">
        <x:v>3000rpm!AU42:AT43</x:v>
      </x:c>
    </x:row>
    <x:row r="90">
      <x:c r="A90" s="21" t="n">
        <x:v>3000</x:v>
      </x:c>
      <x:c r="B90" s="21" t="n">
        <x:v>45</x:v>
      </x:c>
      <x:c r="C90" s="21" t="n">
        <x:v>16</x:v>
      </x:c>
      <x:c r="D90" s="22" t="n">
        <x:f>IFERROR('升力标定计算'!M179,"")</x:f>
        <x:v>0.2663589534794623</x:v>
      </x:c>
      <x:c r="E90" s="22" t="n">
        <x:f>IFERROR('升力标定计算'!M180,"")</x:f>
        <x:v>0.2610990148192412</x:v>
      </x:c>
      <x:c r="F90" s="22" t="n">
        <x:f>IF(AND(ISNUMBER(D90),ISNUMBER(E90)),AVERAGE(D90,E90),"")</x:f>
        <x:v>0.26372898414935175</x:v>
      </x:c>
      <x:c r="G90" s="22" t="n">
        <x:f>IFERROR('升力标定计算'!N179,"")</x:f>
        <x:v>0.05976025537934131</x:v>
      </x:c>
      <x:c r="H90" s="22" t="n">
        <x:f>IFERROR('升力标定计算'!N180,"")</x:f>
        <x:v>0.06057141915152371</x:v>
      </x:c>
      <x:c r="I90" s="22" t="n">
        <x:f>IF(AND(ISNUMBER(G90),ISNUMBER(H90)),AVERAGE(G90,H90),"")</x:f>
        <x:v>0.06016583726543251</x:v>
      </x:c>
      <x:c r="J90" s="22" t="n">
        <x:f>IFERROR('3000rpm'!AU36,"")</x:f>
        <x:v>0</x:v>
      </x:c>
      <x:c r="K90" s="22" t="n">
        <x:f>IFERROR('3000rpm'!AU46,"")</x:f>
        <x:v>0.4448818897637795</x:v>
      </x:c>
      <x:c r="L90" s="22" t="n">
        <x:f>IFERROR('3000rpm'!AU41,"")</x:f>
        <x:v>0.22244094488188976</x:v>
      </x:c>
      <x:c r="M90" s="22" t="n">
        <x:f>IFERROR('3000rpm'!AT41,"")</x:f>
        <x:v>0.06739325615452858</x:v>
      </x:c>
      <x:c r="N90" s="22" t="n">
        <x:f>IFERROR('3000rpm'!AU42,"")</x:f>
        <x:v>0.26692913385826766</x:v>
      </x:c>
      <x:c r="O90" s="22" t="n">
        <x:f>IFERROR('3000rpm'!AT42,"")</x:f>
        <x:v>0.06331082781459475</x:v>
      </x:c>
      <x:c r="P90" s="22" t="n">
        <x:f>IF(OR(NOT(AND(ISNUMBER(D90),ISNUMBER(E90),ISNUMBER(G90),ISNUMBER(H90))),OR(F90&lt;J90,F90&gt;K90)),"",IF(N90=L90,M90,M90+(F90-L90)*(O90-M90)/(N90-L90)))</x:f>
        <x:v>0.06360448737153122</x:v>
      </x:c>
      <x:c r="Q90" s="22" t="n">
        <x:f>IF(AND(ISNUMBER(I90),ISNUMBER(P90)),I90-P90,"")</x:f>
        <x:v>-0.0034386501060987146</x:v>
      </x:c>
      <x:c r="R90" s="22" t="n">
        <x:f>IF(ISNUMBER(Q90),ABS(Q90),"")</x:f>
        <x:v>0.0034386501060987146</x:v>
      </x:c>
      <x:c r="S90" s="36" t="n">
        <x:f>IF(AND(ISNUMBER(Q90),ISNUMBER(P90)),IF(ABS(P90)&lt;1E-12,"",Q90/P90),"")</x:f>
        <x:v>-0.05406301108933742</x:v>
      </x:c>
      <x:c r="T90" s="36" t="n">
        <x:f>IF(ISNUMBER(S90),ABS(S90),"")</x:f>
        <x:v>0.05406301108933742</x:v>
      </x:c>
      <x:c r="U90" s="37" t="n">
        <x:f>IF(ISNUMBER(Q90),Q90^2,"")</x:f>
        <x:v>0.0000118243145521727</x:v>
      </x:c>
      <x:c r="V90" s="21" t="str">
        <x:f>IF(NOT(AND(ISNUMBER(D90),ISNUMBER(E90),ISNUMBER(G90),ISNUMBER(H90))),"缺少配对",IF(OR(F90&lt;J90,F90&gt;K90),"超出理论J范围","有效"))</x:f>
        <x:v>有效</x:v>
      </x:c>
      <x:c r="W90" s="20" t="str">
        <x:v>升力 y=0.915708x+28.7687 → C_T_prop（原 C_T 字段映射）；实验攻角 45° ↔ 理论 alpha_p_deg 45°；原升力源 3000rpm!C101/M101</x:v>
      </x:c>
      <x:c r="X90" s="20" t="str">
        <x:v>升力标定计算!M179</x:v>
      </x:c>
      <x:c r="Y90" s="20" t="str">
        <x:v>升力标定计算!M180</x:v>
      </x:c>
      <x:c r="Z90" s="20" t="str">
        <x:v>升力标定计算!N179</x:v>
      </x:c>
      <x:c r="AA90" s="20" t="str">
        <x:v>升力标定计算!N180</x:v>
      </x:c>
      <x:c r="AB90" s="20" t="str">
        <x:v>3000rpm!AU41:AT42</x:v>
      </x:c>
    </x:row>
    <x:row r="91">
      <x:c r="A91" s="21" t="n">
        <x:v>3000</x:v>
      </x:c>
      <x:c r="B91" s="21" t="n">
        <x:v>45</x:v>
      </x:c>
      <x:c r="C91" s="21" t="n">
        <x:v>17</x:v>
      </x:c>
      <x:c r="D91" s="22" t="n">
        <x:f>IFERROR('升力标定计算'!M181,"")</x:f>
        <x:v>0.2226220559440527</x:v>
      </x:c>
      <x:c r="E91" s="22" t="n">
        <x:f>IFERROR('升力标定计算'!M182,"")</x:f>
        <x:v>0.21833976954352138</x:v>
      </x:c>
      <x:c r="F91" s="22" t="n">
        <x:f>IF(AND(ISNUMBER(D91),ISNUMBER(E91)),AVERAGE(D91,E91),"")</x:f>
        <x:v>0.22048091274378706</x:v>
      </x:c>
      <x:c r="G91" s="22" t="n">
        <x:f>IFERROR('升力标定计算'!N181,"")</x:f>
        <x:v>0.0622977096361398</x:v>
      </x:c>
      <x:c r="H91" s="22" t="n">
        <x:f>IFERROR('升力标定计算'!N182,"")</x:f>
        <x:v>0.06362170859540135</x:v>
      </x:c>
      <x:c r="I91" s="22" t="n">
        <x:f>IF(AND(ISNUMBER(G91),ISNUMBER(H91)),AVERAGE(G91,H91),"")</x:f>
        <x:v>0.06295970911577058</x:v>
      </x:c>
      <x:c r="J91" s="22" t="n">
        <x:f>IFERROR('3000rpm'!AU36,"")</x:f>
        <x:v>0</x:v>
      </x:c>
      <x:c r="K91" s="22" t="n">
        <x:f>IFERROR('3000rpm'!AU46,"")</x:f>
        <x:v>0.4448818897637795</x:v>
      </x:c>
      <x:c r="L91" s="22" t="n">
        <x:f>IFERROR('3000rpm'!AU40,"")</x:f>
        <x:v>0.17795275590551185</x:v>
      </x:c>
      <x:c r="M91" s="22" t="n">
        <x:f>IFERROR('3000rpm'!AT40,"")</x:f>
        <x:v>0.07108954966132112</x:v>
      </x:c>
      <x:c r="N91" s="22" t="n">
        <x:f>IFERROR('3000rpm'!AU41,"")</x:f>
        <x:v>0.22244094488188976</x:v>
      </x:c>
      <x:c r="O91" s="22" t="n">
        <x:f>IFERROR('3000rpm'!AT41,"")</x:f>
        <x:v>0.06739325615452858</x:v>
      </x:c>
      <x:c r="P91" s="22" t="n">
        <x:f>IF(OR(NOT(AND(ISNUMBER(D91),ISNUMBER(E91),ISNUMBER(G91),ISNUMBER(H91))),OR(F91&lt;J91,F91&gt;K91)),"",IF(N91=L91,M91,M91+(F91-L91)*(O91-M91)/(N91-L91)))</x:f>
        <x:v>0.06755610508661301</x:v>
      </x:c>
      <x:c r="Q91" s="22" t="n">
        <x:f>IF(AND(ISNUMBER(I91),ISNUMBER(P91)),I91-P91,"")</x:f>
        <x:v>-0.004596395970842437</x:v>
      </x:c>
      <x:c r="R91" s="22" t="n">
        <x:f>IF(ISNUMBER(Q91),ABS(Q91),"")</x:f>
        <x:v>0.004596395970842437</x:v>
      </x:c>
      <x:c r="S91" s="36" t="n">
        <x:f>IF(AND(ISNUMBER(Q91),ISNUMBER(P91)),IF(ABS(P91)&lt;1E-12,"",Q91/P91),"")</x:f>
        <x:v>-0.06803820269018535</x:v>
      </x:c>
      <x:c r="T91" s="36" t="n">
        <x:f>IF(ISNUMBER(S91),ABS(S91),"")</x:f>
        <x:v>0.06803820269018535</x:v>
      </x:c>
      <x:c r="U91" s="37" t="n">
        <x:f>IF(ISNUMBER(Q91),Q91^2,"")</x:f>
        <x:v>0.00002112685592077659</x:v>
      </x:c>
      <x:c r="V91" s="21" t="str">
        <x:f>IF(NOT(AND(ISNUMBER(D91),ISNUMBER(E91),ISNUMBER(G91),ISNUMBER(H91))),"缺少配对",IF(OR(F91&lt;J91,F91&gt;K91),"超出理论J范围","有效"))</x:f>
        <x:v>有效</x:v>
      </x:c>
      <x:c r="W91" s="20" t="str">
        <x:v>升力 y=0.915708x+28.7687 → C_T_prop（原 C_T 字段映射）；实验攻角 45° ↔ 理论 alpha_p_deg 45°；原升力源 3000rpm!C102/M102</x:v>
      </x:c>
      <x:c r="X91" s="20" t="str">
        <x:v>升力标定计算!M181</x:v>
      </x:c>
      <x:c r="Y91" s="20" t="str">
        <x:v>升力标定计算!M182</x:v>
      </x:c>
      <x:c r="Z91" s="20" t="str">
        <x:v>升力标定计算!N181</x:v>
      </x:c>
      <x:c r="AA91" s="20" t="str">
        <x:v>升力标定计算!N182</x:v>
      </x:c>
      <x:c r="AB91" s="20" t="str">
        <x:v>3000rpm!AU40:AT41</x:v>
      </x:c>
    </x:row>
    <x:row r="92">
      <x:c r="A92" s="21" t="n">
        <x:v>3000</x:v>
      </x:c>
      <x:c r="B92" s="21" t="n">
        <x:v>45</x:v>
      </x:c>
      <x:c r="C92" s="21" t="n">
        <x:v>18</x:v>
      </x:c>
      <x:c r="D92" s="22" t="n">
        <x:f>IFERROR('升力标定计算'!M183,"")</x:f>
        <x:v>0.18345748835306835</x:v>
      </x:c>
      <x:c r="E92" s="22" t="n">
        <x:f>IFERROR('升力标定计算'!M184,"")</x:f>
        <x:v>0.17515538016486412</x:v>
      </x:c>
      <x:c r="F92" s="22" t="n">
        <x:f>IF(AND(ISNUMBER(D92),ISNUMBER(E92)),AVERAGE(D92,E92),"")</x:f>
        <x:v>0.17930643425896625</x:v>
      </x:c>
      <x:c r="G92" s="22" t="n">
        <x:f>IFERROR('升力标定计算'!N183,"")</x:f>
        <x:v>0.06576289814883633</x:v>
      </x:c>
      <x:c r="H92" s="22" t="n">
        <x:f>IFERROR('升力标定计算'!N184,"")</x:f>
        <x:v>0.06633997017654658</x:v>
      </x:c>
      <x:c r="I92" s="22" t="n">
        <x:f>IF(AND(ISNUMBER(G92),ISNUMBER(H92)),AVERAGE(G92,H92),"")</x:f>
        <x:v>0.06605143416269146</x:v>
      </x:c>
      <x:c r="J92" s="22" t="n">
        <x:f>IFERROR('3000rpm'!AU36,"")</x:f>
        <x:v>0</x:v>
      </x:c>
      <x:c r="K92" s="22" t="n">
        <x:f>IFERROR('3000rpm'!AU46,"")</x:f>
        <x:v>0.4448818897637795</x:v>
      </x:c>
      <x:c r="L92" s="22" t="n">
        <x:f>IFERROR('3000rpm'!AU40,"")</x:f>
        <x:v>0.17795275590551185</x:v>
      </x:c>
      <x:c r="M92" s="22" t="n">
        <x:f>IFERROR('3000rpm'!AT40,"")</x:f>
        <x:v>0.07108954966132112</x:v>
      </x:c>
      <x:c r="N92" s="22" t="n">
        <x:f>IFERROR('3000rpm'!AU41,"")</x:f>
        <x:v>0.22244094488188976</x:v>
      </x:c>
      <x:c r="O92" s="22" t="n">
        <x:f>IFERROR('3000rpm'!AT41,"")</x:f>
        <x:v>0.06739325615452858</x:v>
      </x:c>
      <x:c r="P92" s="22" t="n">
        <x:f>IF(OR(NOT(AND(ISNUMBER(D92),ISNUMBER(E92),ISNUMBER(G92),ISNUMBER(H92))),OR(F92&lt;J92,F92&gt;K92)),"",IF(N92=L92,M92,M92+(F92-L92)*(O92-M92)/(N92-L92)))</x:f>
        <x:v>0.07097707952883683</x:v>
      </x:c>
      <x:c r="Q92" s="22" t="n">
        <x:f>IF(AND(ISNUMBER(I92),ISNUMBER(P92)),I92-P92,"")</x:f>
        <x:v>-0.00492564536614537</x:v>
      </x:c>
      <x:c r="R92" s="22" t="n">
        <x:f>IF(ISNUMBER(Q92),ABS(Q92),"")</x:f>
        <x:v>0.00492564536614537</x:v>
      </x:c>
      <x:c r="S92" s="36" t="n">
        <x:f>IF(AND(ISNUMBER(Q92),ISNUMBER(P92)),IF(ABS(P92)&lt;1E-12,"",Q92/P92),"")</x:f>
        <x:v>-0.0693976900549164</x:v>
      </x:c>
      <x:c r="T92" s="36" t="n">
        <x:f>IF(ISNUMBER(S92),ABS(S92),"")</x:f>
        <x:v>0.0693976900549164</x:v>
      </x:c>
      <x:c r="U92" s="37" t="n">
        <x:f>IF(ISNUMBER(Q92),Q92^2,"")</x:f>
        <x:v>0.000024261982273029358</x:v>
      </x:c>
      <x:c r="V92" s="21" t="str">
        <x:f>IF(NOT(AND(ISNUMBER(D92),ISNUMBER(E92),ISNUMBER(G92),ISNUMBER(H92))),"缺少配对",IF(OR(F92&lt;J92,F92&gt;K92),"超出理论J范围","有效"))</x:f>
        <x:v>有效</x:v>
      </x:c>
      <x:c r="W92" s="20" t="str">
        <x:v>升力 y=0.915708x+28.7687 → C_T_prop（原 C_T 字段映射）；实验攻角 45° ↔ 理论 alpha_p_deg 45°；原升力源 3000rpm!C103/M103</x:v>
      </x:c>
      <x:c r="X92" s="20" t="str">
        <x:v>升力标定计算!M183</x:v>
      </x:c>
      <x:c r="Y92" s="20" t="str">
        <x:v>升力标定计算!M184</x:v>
      </x:c>
      <x:c r="Z92" s="20" t="str">
        <x:v>升力标定计算!N183</x:v>
      </x:c>
      <x:c r="AA92" s="20" t="str">
        <x:v>升力标定计算!N184</x:v>
      </x:c>
      <x:c r="AB92" s="20" t="str">
        <x:v>3000rpm!AU40:AT41</x:v>
      </x:c>
    </x:row>
    <x:row r="93">
      <x:c r="A93" s="21" t="n">
        <x:v>3000</x:v>
      </x:c>
      <x:c r="B93" s="21" t="n">
        <x:v>45</x:v>
      </x:c>
      <x:c r="C93" s="21" t="n">
        <x:v>19</x:v>
      </x:c>
      <x:c r="D93" s="22" t="n">
        <x:f>IFERROR('升力标定计算'!M185,"")</x:f>
        <x:v>0.1342658787172801</x:v>
      </x:c>
      <x:c r="E93" s="22" t="n">
        <x:f>IFERROR('升力标定计算'!M186,"")</x:f>
        <x:v>0.13186809321477208</x:v>
      </x:c>
      <x:c r="F93" s="22" t="n">
        <x:f>IF(AND(ISNUMBER(D93),ISNUMBER(E93)),AVERAGE(D93,E93),"")</x:f>
        <x:v>0.1330669859660261</x:v>
      </x:c>
      <x:c r="G93" s="22" t="n">
        <x:f>IFERROR('升力标定计算'!N185,"")</x:f>
        <x:v>0.06883206140450437</x:v>
      </x:c>
      <x:c r="H93" s="22" t="n">
        <x:f>IFERROR('升力标定计算'!N186,"")</x:f>
        <x:v>0.06953860844421089</x:v>
      </x:c>
      <x:c r="I93" s="22" t="n">
        <x:f>IF(AND(ISNUMBER(G93),ISNUMBER(H93)),AVERAGE(G93,H93),"")</x:f>
        <x:v>0.06918533492435763</x:v>
      </x:c>
      <x:c r="J93" s="22" t="n">
        <x:f>IFERROR('3000rpm'!AU36,"")</x:f>
        <x:v>0</x:v>
      </x:c>
      <x:c r="K93" s="22" t="n">
        <x:f>IFERROR('3000rpm'!AU46,"")</x:f>
        <x:v>0.4448818897637795</x:v>
      </x:c>
      <x:c r="L93" s="22" t="n">
        <x:f>IFERROR('3000rpm'!AU38,"")</x:f>
        <x:v>0.08897637795275593</x:v>
      </x:c>
      <x:c r="M93" s="22" t="n">
        <x:f>IFERROR('3000rpm'!AT38,"")</x:f>
        <x:v>0.07769470979191775</x:v>
      </x:c>
      <x:c r="N93" s="22" t="n">
        <x:f>IFERROR('3000rpm'!AU39,"")</x:f>
        <x:v>0.13346456692913383</x:v>
      </x:c>
      <x:c r="O93" s="22" t="n">
        <x:f>IFERROR('3000rpm'!AT39,"")</x:f>
        <x:v>0.07449696146226922</x:v>
      </x:c>
      <x:c r="P93" s="22" t="n">
        <x:f>IF(OR(NOT(AND(ISNUMBER(D93),ISNUMBER(E93),ISNUMBER(G93),ISNUMBER(H93))),OR(F93&lt;J93,F93&gt;K93)),"",IF(N93=L93,M93,M93+(F93-L93)*(O93-M93)/(N93-L93)))</x:f>
        <x:v>0.07452553902161543</x:v>
      </x:c>
      <x:c r="Q93" s="22" t="n">
        <x:f>IF(AND(ISNUMBER(I93),ISNUMBER(P93)),I93-P93,"")</x:f>
        <x:v>-0.0053402040972578</x:v>
      </x:c>
      <x:c r="R93" s="22" t="n">
        <x:f>IF(ISNUMBER(Q93),ABS(Q93),"")</x:f>
        <x:v>0.0053402040972578</x:v>
      </x:c>
      <x:c r="S93" s="36" t="n">
        <x:f>IF(AND(ISNUMBER(Q93),ISNUMBER(P93)),IF(ABS(P93)&lt;1E-12,"",Q93/P93),"")</x:f>
        <x:v>-0.07165602781764416</x:v>
      </x:c>
      <x:c r="T93" s="36" t="n">
        <x:f>IF(ISNUMBER(S93),ABS(S93),"")</x:f>
        <x:v>0.07165602781764416</x:v>
      </x:c>
      <x:c r="U93" s="37" t="n">
        <x:f>IF(ISNUMBER(Q93),Q93^2,"")</x:f>
        <x:v>0.000028517779800368997</x:v>
      </x:c>
      <x:c r="V93" s="21" t="str">
        <x:f>IF(NOT(AND(ISNUMBER(D93),ISNUMBER(E93),ISNUMBER(G93),ISNUMBER(H93))),"缺少配对",IF(OR(F93&lt;J93,F93&gt;K93),"超出理论J范围","有效"))</x:f>
        <x:v>有效</x:v>
      </x:c>
      <x:c r="W93" s="20" t="str">
        <x:v>升力 y=0.915708x+28.7687 → C_T_prop（原 C_T 字段映射）；实验攻角 45° ↔ 理论 alpha_p_deg 45°；原升力源 3000rpm!C104/M104</x:v>
      </x:c>
      <x:c r="X93" s="20" t="str">
        <x:v>升力标定计算!M185</x:v>
      </x:c>
      <x:c r="Y93" s="20" t="str">
        <x:v>升力标定计算!M186</x:v>
      </x:c>
      <x:c r="Z93" s="20" t="str">
        <x:v>升力标定计算!N185</x:v>
      </x:c>
      <x:c r="AA93" s="20" t="str">
        <x:v>升力标定计算!N186</x:v>
      </x:c>
      <x:c r="AB93" s="20" t="str">
        <x:v>3000rpm!AU38:AT39</x:v>
      </x:c>
    </x:row>
    <x:row r="94">
      <x:c r="A94" s="21" t="n">
        <x:v>3000</x:v>
      </x:c>
      <x:c r="B94" s="21" t="n">
        <x:v>45</x:v>
      </x:c>
      <x:c r="C94" s="21" t="n">
        <x:v>20</x:v>
      </x:c>
      <x:c r="D94" s="22" t="n">
        <x:f>IFERROR('升力标定计算'!M187,"")</x:f>
        <x:v>0.08943471883612458</x:v>
      </x:c>
      <x:c r="E94" s="22" t="n">
        <x:f>IFERROR('升力标定计算'!M188,"")</x:f>
        <x:v>0.08865070613340399</x:v>
      </x:c>
      <x:c r="F94" s="22" t="n">
        <x:f>IF(AND(ISNUMBER(D94),ISNUMBER(E94)),AVERAGE(D94,E94),"")</x:f>
        <x:v>0.08904271248476428</x:v>
      </x:c>
      <x:c r="G94" s="22" t="n">
        <x:f>IFERROR('升力标定计算'!N187,"")</x:f>
        <x:v>0.07110726035893294</x:v>
      </x:c>
      <x:c r="H94" s="22" t="n">
        <x:f>IFERROR('升力标定计算'!N188,"")</x:f>
        <x:v>0.07300172335339625</x:v>
      </x:c>
      <x:c r="I94" s="22" t="n">
        <x:f>IF(AND(ISNUMBER(G94),ISNUMBER(H94)),AVERAGE(G94,H94),"")</x:f>
        <x:v>0.0720544918561646</x:v>
      </x:c>
      <x:c r="J94" s="22" t="n">
        <x:f>IFERROR('3000rpm'!AU36,"")</x:f>
        <x:v>0</x:v>
      </x:c>
      <x:c r="K94" s="22" t="n">
        <x:f>IFERROR('3000rpm'!AU46,"")</x:f>
        <x:v>0.4448818897637795</x:v>
      </x:c>
      <x:c r="L94" s="22" t="n">
        <x:f>IFERROR('3000rpm'!AU38,"")</x:f>
        <x:v>0.08897637795275593</x:v>
      </x:c>
      <x:c r="M94" s="22" t="n">
        <x:f>IFERROR('3000rpm'!AT38,"")</x:f>
        <x:v>0.07769470979191775</x:v>
      </x:c>
      <x:c r="N94" s="22" t="n">
        <x:f>IFERROR('3000rpm'!AU39,"")</x:f>
        <x:v>0.13346456692913383</x:v>
      </x:c>
      <x:c r="O94" s="22" t="n">
        <x:f>IFERROR('3000rpm'!AT39,"")</x:f>
        <x:v>0.07449696146226922</x:v>
      </x:c>
      <x:c r="P94" s="22" t="n">
        <x:f>IF(OR(NOT(AND(ISNUMBER(D94),ISNUMBER(E94),ISNUMBER(G94),ISNUMBER(H94))),OR(F94&lt;J94,F94&gt;K94)),"",IF(N94=L94,M94,M94+(F94-L94)*(O94-M94)/(N94-L94)))</x:f>
        <x:v>0.07768994175923744</x:v>
      </x:c>
      <x:c r="Q94" s="22" t="n">
        <x:f>IF(AND(ISNUMBER(I94),ISNUMBER(P94)),I94-P94,"")</x:f>
        <x:v>-0.0056354499030728394</x:v>
      </x:c>
      <x:c r="R94" s="22" t="n">
        <x:f>IF(ISNUMBER(Q94),ABS(Q94),"")</x:f>
        <x:v>0.0056354499030728394</x:v>
      </x:c>
      <x:c r="S94" s="36" t="n">
        <x:f>IF(AND(ISNUMBER(Q94),ISNUMBER(P94)),IF(ABS(P94)&lt;1E-12,"",Q94/P94),"")</x:f>
        <x:v>-0.07253770276385588</x:v>
      </x:c>
      <x:c r="T94" s="36" t="n">
        <x:f>IF(ISNUMBER(S94),ABS(S94),"")</x:f>
        <x:v>0.07253770276385588</x:v>
      </x:c>
      <x:c r="U94" s="37" t="n">
        <x:f>IF(ISNUMBER(Q94),Q94^2,"")</x:f>
        <x:v>0.000031758295610043676</x:v>
      </x:c>
      <x:c r="V94" s="21" t="str">
        <x:f>IF(NOT(AND(ISNUMBER(D94),ISNUMBER(E94),ISNUMBER(G94),ISNUMBER(H94))),"缺少配对",IF(OR(F94&lt;J94,F94&gt;K94),"超出理论J范围","有效"))</x:f>
        <x:v>有效</x:v>
      </x:c>
      <x:c r="W94" s="20" t="str">
        <x:v>升力 y=0.915708x+28.7687 → C_T_prop（原 C_T 字段映射）；实验攻角 45° ↔ 理论 alpha_p_deg 45°；原升力源 3000rpm!C105/M105</x:v>
      </x:c>
      <x:c r="X94" s="20" t="str">
        <x:v>升力标定计算!M187</x:v>
      </x:c>
      <x:c r="Y94" s="20" t="str">
        <x:v>升力标定计算!M188</x:v>
      </x:c>
      <x:c r="Z94" s="20" t="str">
        <x:v>升力标定计算!N187</x:v>
      </x:c>
      <x:c r="AA94" s="20" t="str">
        <x:v>升力标定计算!N188</x:v>
      </x:c>
      <x:c r="AB94" s="20" t="str">
        <x:v>3000rpm!AU38:AT39</x:v>
      </x:c>
    </x:row>
    <x:row r="95">
      <x:c r="A95" s="21" t="n">
        <x:v>3000</x:v>
      </x:c>
      <x:c r="B95" s="21" t="n">
        <x:v>45</x:v>
      </x:c>
      <x:c r="C95" s="21" t="n">
        <x:v>21</x:v>
      </x:c>
      <x:c r="D95" s="22" t="n">
        <x:f>IFERROR('升力标定计算'!M189,"")</x:f>
        <x:v>0.045468737213653</x:v>
      </x:c>
      <x:c r="E95" s="22" t="n">
        <x:f>IFERROR('升力标定计算'!M190,"")</x:f>
        <x:v>0.04459078363982314</x:v>
      </x:c>
      <x:c r="F95" s="22" t="n">
        <x:f>IF(AND(ISNUMBER(D95),ISNUMBER(E95)),AVERAGE(D95,E95),"")</x:f>
        <x:v>0.04502976042673807</x:v>
      </x:c>
      <x:c r="G95" s="22" t="n">
        <x:f>IFERROR('升力标定计算'!N189,"")</x:f>
        <x:v>0.07548812213472743</x:v>
      </x:c>
      <x:c r="H95" s="22" t="n">
        <x:f>IFERROR('升力标定计算'!N190,"")</x:f>
        <x:v>0.07615335068112064</x:v>
      </x:c>
      <x:c r="I95" s="22" t="n">
        <x:f>IF(AND(ISNUMBER(G95),ISNUMBER(H95)),AVERAGE(G95,H95),"")</x:f>
        <x:v>0.07582073640792403</x:v>
      </x:c>
      <x:c r="J95" s="22" t="n">
        <x:f>IFERROR('3000rpm'!AU36,"")</x:f>
        <x:v>0</x:v>
      </x:c>
      <x:c r="K95" s="22" t="n">
        <x:f>IFERROR('3000rpm'!AU46,"")</x:f>
        <x:v>0.4448818897637795</x:v>
      </x:c>
      <x:c r="L95" s="22" t="n">
        <x:f>IFERROR('3000rpm'!AU37,"")</x:f>
        <x:v>0.04448818897637796</x:v>
      </x:c>
      <x:c r="M95" s="22" t="n">
        <x:f>IFERROR('3000rpm'!AT37,"")</x:f>
        <x:v>0.08082894775761976</x:v>
      </x:c>
      <x:c r="N95" s="22" t="n">
        <x:f>IFERROR('3000rpm'!AU38,"")</x:f>
        <x:v>0.08897637795275593</x:v>
      </x:c>
      <x:c r="O95" s="22" t="n">
        <x:f>IFERROR('3000rpm'!AT38,"")</x:f>
        <x:v>0.07769470979191775</x:v>
      </x:c>
      <x:c r="P95" s="22" t="n">
        <x:f>IF(OR(NOT(AND(ISNUMBER(D95),ISNUMBER(E95),ISNUMBER(G95),ISNUMBER(H95))),OR(F95&lt;J95,F95&gt;K95)),"",IF(N95=L95,M95,M95+(F95-L95)*(O95-M95)/(N95-L95)))</x:f>
        <x:v>0.08079079350050311</x:v>
      </x:c>
      <x:c r="Q95" s="22" t="n">
        <x:f>IF(AND(ISNUMBER(I95),ISNUMBER(P95)),I95-P95,"")</x:f>
        <x:v>-0.004970057092579083</x:v>
      </x:c>
      <x:c r="R95" s="22" t="n">
        <x:f>IF(ISNUMBER(Q95),ABS(Q95),"")</x:f>
        <x:v>0.004970057092579083</x:v>
      </x:c>
      <x:c r="S95" s="36" t="n">
        <x:f>IF(AND(ISNUMBER(Q95),ISNUMBER(P95)),IF(ABS(P95)&lt;1E-12,"",Q95/P95),"")</x:f>
        <x:v>-0.06151761701100427</x:v>
      </x:c>
      <x:c r="T95" s="36" t="n">
        <x:f>IF(ISNUMBER(S95),ABS(S95),"")</x:f>
        <x:v>0.06151761701100427</x:v>
      </x:c>
      <x:c r="U95" s="37" t="n">
        <x:f>IF(ISNUMBER(Q95),Q95^2,"")</x:f>
        <x:v>0.00002470146750349565</x:v>
      </x:c>
      <x:c r="V95" s="21" t="str">
        <x:f>IF(NOT(AND(ISNUMBER(D95),ISNUMBER(E95),ISNUMBER(G95),ISNUMBER(H95))),"缺少配对",IF(OR(F95&lt;J95,F95&gt;K95),"超出理论J范围","有效"))</x:f>
        <x:v>有效</x:v>
      </x:c>
      <x:c r="W95" s="20" t="str">
        <x:v>升力 y=0.915708x+28.7687 → C_T_prop（原 C_T 字段映射）；实验攻角 45° ↔ 理论 alpha_p_deg 45°；原升力源 3000rpm!C106/M106</x:v>
      </x:c>
      <x:c r="X95" s="20" t="str">
        <x:v>升力标定计算!M189</x:v>
      </x:c>
      <x:c r="Y95" s="20" t="str">
        <x:v>升力标定计算!M190</x:v>
      </x:c>
      <x:c r="Z95" s="20" t="str">
        <x:v>升力标定计算!N189</x:v>
      </x:c>
      <x:c r="AA95" s="20" t="str">
        <x:v>升力标定计算!N190</x:v>
      </x:c>
      <x:c r="AB95" s="20" t="str">
        <x:v>3000rpm!AU37:AT38</x:v>
      </x:c>
    </x:row>
    <x:row r="96">
      <x:c r="A96" s="21" t="n">
        <x:v>3000</x:v>
      </x:c>
      <x:c r="B96" s="21" t="n">
        <x:v>45</x:v>
      </x:c>
      <x:c r="C96" s="21" t="n">
        <x:v>22</x:v>
      </x:c>
      <x:c r="D96" s="22" t="n">
        <x:f>IFERROR('升力标定计算'!M191,"")</x:f>
        <x:v>0.005928090742116119</x:v>
      </x:c>
      <x:c r="E96" s="22" t="n">
        <x:f>IFERROR('升力标定计算'!M192,"")</x:f>
        <x:v>0.005777344816075501</x:v>
      </x:c>
      <x:c r="F96" s="22" t="n">
        <x:f>IF(AND(ISNUMBER(D96),ISNUMBER(E96)),AVERAGE(D96,E96),"")</x:f>
        <x:v>0.00585271777909581</x:v>
      </x:c>
      <x:c r="G96" s="22" t="n">
        <x:f>IFERROR('升力标定计算'!N191,"")</x:f>
        <x:v>0.07953683330297105</x:v>
      </x:c>
      <x:c r="H96" s="22" t="n">
        <x:f>IFERROR('升力标定计算'!N192,"")</x:f>
        <x:v>0.07691443455080203</x:v>
      </x:c>
      <x:c r="I96" s="22" t="n">
        <x:f>IF(AND(ISNUMBER(G96),ISNUMBER(H96)),AVERAGE(G96,H96),"")</x:f>
        <x:v>0.07822563392688654</x:v>
      </x:c>
      <x:c r="J96" s="22" t="n">
        <x:f>IFERROR('3000rpm'!AU36,"")</x:f>
        <x:v>0</x:v>
      </x:c>
      <x:c r="K96" s="22" t="n">
        <x:f>IFERROR('3000rpm'!AU46,"")</x:f>
        <x:v>0.4448818897637795</x:v>
      </x:c>
      <x:c r="L96" s="22" t="n">
        <x:f>IFERROR('3000rpm'!AU36,"")</x:f>
        <x:v>0</x:v>
      </x:c>
      <x:c r="M96" s="22" t="n">
        <x:f>IFERROR('3000rpm'!AT36,"")</x:f>
        <x:v>0.0846729215675782</x:v>
      </x:c>
      <x:c r="N96" s="22" t="n">
        <x:f>IFERROR('3000rpm'!AU37,"")</x:f>
        <x:v>0.04448818897637796</x:v>
      </x:c>
      <x:c r="O96" s="22" t="n">
        <x:f>IFERROR('3000rpm'!AT37,"")</x:f>
        <x:v>0.08082894775761976</x:v>
      </x:c>
      <x:c r="P96" s="22" t="n">
        <x:f>IF(OR(NOT(AND(ISNUMBER(D96),ISNUMBER(E96),ISNUMBER(G96),ISNUMBER(H96))),OR(F96&lt;J96,F96&gt;K96)),"",IF(N96=L96,M96,M96+(F96-L96)*(O96-M96)/(N96-L96)))</x:f>
        <x:v>0.08416722119231977</x:v>
      </x:c>
      <x:c r="Q96" s="22" t="n">
        <x:f>IF(AND(ISNUMBER(I96),ISNUMBER(P96)),I96-P96,"")</x:f>
        <x:v>-0.005941587265433229</x:v>
      </x:c>
      <x:c r="R96" s="22" t="n">
        <x:f>IF(ISNUMBER(Q96),ABS(Q96),"")</x:f>
        <x:v>0.005941587265433229</x:v>
      </x:c>
      <x:c r="S96" s="36" t="n">
        <x:f>IF(AND(ISNUMBER(Q96),ISNUMBER(P96)),IF(ABS(P96)&lt;1E-12,"",Q96/P96),"")</x:f>
        <x:v>-0.07059265093066179</x:v>
      </x:c>
      <x:c r="T96" s="36" t="n">
        <x:f>IF(ISNUMBER(S96),ABS(S96),"")</x:f>
        <x:v>0.07059265093066179</x:v>
      </x:c>
      <x:c r="U96" s="37" t="n">
        <x:f>IF(ISNUMBER(Q96),Q96^2,"")</x:f>
        <x:v>0.000035302459232758315</x:v>
      </x:c>
      <x:c r="V96" s="21" t="str">
        <x:f>IF(NOT(AND(ISNUMBER(D96),ISNUMBER(E96),ISNUMBER(G96),ISNUMBER(H96))),"缺少配对",IF(OR(F96&lt;J96,F96&gt;K96),"超出理论J范围","有效"))</x:f>
        <x:v>有效</x:v>
      </x:c>
      <x:c r="W96" s="20" t="str">
        <x:v>升力 y=0.915708x+28.7687 → C_T_prop（原 C_T 字段映射）；实验攻角 45° ↔ 理论 alpha_p_deg 45°；原升力源 3000rpm!C107/M107</x:v>
      </x:c>
      <x:c r="X96" s="20" t="str">
        <x:v>升力标定计算!M191</x:v>
      </x:c>
      <x:c r="Y96" s="20" t="str">
        <x:v>升力标定计算!M192</x:v>
      </x:c>
      <x:c r="Z96" s="20" t="str">
        <x:v>升力标定计算!N191</x:v>
      </x:c>
      <x:c r="AA96" s="20" t="str">
        <x:v>升力标定计算!N192</x:v>
      </x:c>
      <x:c r="AB96" s="20" t="str">
        <x:v>3000rpm!AU36:AT37</x:v>
      </x:c>
    </x:row>
    <x:row r="97">
      <x:c r="A97" s="21" t="n">
        <x:v>3000</x:v>
      </x:c>
      <x:c r="B97" s="21" t="n">
        <x:v>45</x:v>
      </x:c>
      <x:c r="C97" s="21" t="n">
        <x:v>23</x:v>
      </x:c>
      <x:c r="D97" s="22" t="str">
        <x:f>IFERROR('升力标定计算'!M193,"")</x:f>
      </x:c>
      <x:c r="E97" s="22" t="str">
        <x:f>IFERROR('升力标定计算'!M194,"")</x:f>
      </x:c>
      <x:c r="F97" s="22" t="str">
        <x:f>IF(AND(ISNUMBER(D97),ISNUMBER(E97)),AVERAGE(D97,E97),"")</x:f>
      </x:c>
      <x:c r="G97" s="22" t="str">
        <x:f>IFERROR('升力标定计算'!N193,"")</x:f>
      </x:c>
      <x:c r="H97" s="22" t="str">
        <x:f>IFERROR('升力标定计算'!N194,"")</x:f>
      </x:c>
      <x:c r="I97" s="22" t="str">
        <x:f>IF(AND(ISNUMBER(G97),ISNUMBER(H97)),AVERAGE(G97,H97),"")</x:f>
      </x:c>
      <x:c r="J97" s="22" t="n">
        <x:f>IFERROR('3000rpm'!AU36,"")</x:f>
        <x:v>0</x:v>
      </x:c>
      <x:c r="K97" s="22" t="n">
        <x:f>IFERROR('3000rpm'!AU46,"")</x:f>
        <x:v>0.4448818897637795</x:v>
      </x:c>
      <x:c r="L97" s="22" t="n">
        <x:f>IFERROR('3000rpm'!AU36,"")</x:f>
        <x:v>0</x:v>
      </x:c>
      <x:c r="M97" s="22" t="n">
        <x:f>IFERROR('3000rpm'!AT36,"")</x:f>
        <x:v>0.0846729215675782</x:v>
      </x:c>
      <x:c r="N97" s="22" t="n">
        <x:f>IFERROR('3000rpm'!AU46,"")</x:f>
        <x:v>0.4448818897637795</x:v>
      </x:c>
      <x:c r="O97" s="22" t="n">
        <x:f>IFERROR('3000rpm'!AT46,"")</x:f>
        <x:v>0.042836735674630866</x:v>
      </x:c>
      <x:c r="P97" s="22" t="str">
        <x:f>IF(OR(NOT(AND(ISNUMBER(D97),ISNUMBER(E97),ISNUMBER(G97),ISNUMBER(H97))),OR(F97&lt;J97,F97&gt;K97)),"",IF(N97=L97,M97,M97+(F97-L97)*(O97-M97)/(N97-L97)))</x:f>
      </x:c>
      <x:c r="Q97" s="22" t="str">
        <x:f>IF(AND(ISNUMBER(I97),ISNUMBER(P97)),I97-P97,"")</x:f>
      </x:c>
      <x:c r="R97" s="22" t="str">
        <x:f>IF(ISNUMBER(Q97),ABS(Q97),"")</x:f>
      </x:c>
      <x:c r="S97" s="36" t="str">
        <x:f>IF(AND(ISNUMBER(Q97),ISNUMBER(P97)),IF(ABS(P97)&lt;1E-12,"",Q97/P97),"")</x:f>
      </x:c>
      <x:c r="T97" s="36" t="str">
        <x:f>IF(ISNUMBER(S97),ABS(S97),"")</x:f>
      </x:c>
      <x:c r="U97" s="37" t="str">
        <x:f>IF(ISNUMBER(Q97),Q97^2,"")</x:f>
      </x:c>
      <x:c r="V97" s="21" t="str">
        <x:f>IF(NOT(AND(ISNUMBER(D97),ISNUMBER(E97),ISNUMBER(G97),ISNUMBER(H97))),"缺少配对",IF(OR(F97&lt;J97,F97&gt;K97),"超出理论J范围","有效"))</x:f>
        <x:v>缺少配对</x:v>
      </x:c>
      <x:c r="W97" s="20" t="str">
        <x:v>升力 y=0.915708x+28.7687 → C_T_prop（原 C_T 字段映射）；实验攻角 45° ↔ 理论 alpha_p_deg 45°；原升力源 3000rpm!C108/M108</x:v>
      </x:c>
      <x:c r="X97" s="20" t="str">
        <x:v>升力标定计算!M193</x:v>
      </x:c>
      <x:c r="Y97" s="20" t="str">
        <x:v>升力标定计算!M194</x:v>
      </x:c>
      <x:c r="Z97" s="20" t="str">
        <x:v>升力标定计算!N193</x:v>
      </x:c>
      <x:c r="AA97" s="20" t="str">
        <x:v>升力标定计算!N194</x:v>
      </x:c>
      <x:c r="AB97" s="20" t="str">
        <x:v>3000rpm!AU36:AT46</x:v>
      </x:c>
    </x:row>
    <x:row r="98">
      <x:c r="A98" s="21" t="n">
        <x:v>3000</x:v>
      </x:c>
      <x:c r="B98" s="21" t="n">
        <x:v>60</x:v>
      </x:c>
      <x:c r="C98" s="21" t="n">
        <x:v>1</x:v>
      </x:c>
      <x:c r="D98" s="22" t="str">
        <x:f>IFERROR('升力标定计算'!M195,"")</x:f>
      </x:c>
      <x:c r="E98" s="22" t="str">
        <x:f>IFERROR('升力标定计算'!M196,"")</x:f>
      </x:c>
      <x:c r="F98" s="22" t="str">
        <x:f>IF(AND(ISNUMBER(D98),ISNUMBER(E98)),AVERAGE(D98,E98),"")</x:f>
      </x:c>
      <x:c r="G98" s="22" t="str">
        <x:f>IFERROR('升力标定计算'!N195,"")</x:f>
      </x:c>
      <x:c r="H98" s="22" t="str">
        <x:f>IFERROR('升力标定计算'!N196,"")</x:f>
      </x:c>
      <x:c r="I98" s="22" t="str">
        <x:f>IF(AND(ISNUMBER(G98),ISNUMBER(H98)),AVERAGE(G98,H98),"")</x:f>
      </x:c>
      <x:c r="J98" s="22" t="n">
        <x:f>IFERROR('3000rpm'!AU25,"")</x:f>
        <x:v>0</x:v>
      </x:c>
      <x:c r="K98" s="22" t="n">
        <x:f>IFERROR('3000rpm'!AU35,"")</x:f>
        <x:v>0.4448818897637795</x:v>
      </x:c>
      <x:c r="L98" s="22" t="n">
        <x:f>IFERROR('3000rpm'!AU25,"")</x:f>
        <x:v>0</x:v>
      </x:c>
      <x:c r="M98" s="22" t="n">
        <x:f>IFERROR('3000rpm'!AT25,"")</x:f>
        <x:v>0.0846729215675782</x:v>
      </x:c>
      <x:c r="N98" s="22" t="n">
        <x:f>IFERROR('3000rpm'!AU35,"")</x:f>
        <x:v>0.4448818897637795</x:v>
      </x:c>
      <x:c r="O98" s="22" t="n">
        <x:f>IFERROR('3000rpm'!AT35,"")</x:f>
        <x:v>0.025032401236631672</x:v>
      </x:c>
      <x:c r="P98" s="22" t="str">
        <x:f>IF(OR(NOT(AND(ISNUMBER(D98),ISNUMBER(E98),ISNUMBER(G98),ISNUMBER(H98))),OR(F98&lt;J98,F98&gt;K98)),"",IF(N98=L98,M98,M98+(F98-L98)*(O98-M98)/(N98-L98)))</x:f>
      </x:c>
      <x:c r="Q98" s="22" t="str">
        <x:f>IF(AND(ISNUMBER(I98),ISNUMBER(P98)),I98-P98,"")</x:f>
      </x:c>
      <x:c r="R98" s="22" t="str">
        <x:f>IF(ISNUMBER(Q98),ABS(Q98),"")</x:f>
      </x:c>
      <x:c r="S98" s="36" t="str">
        <x:f>IF(AND(ISNUMBER(Q98),ISNUMBER(P98)),IF(ABS(P98)&lt;1E-12,"",Q98/P98),"")</x:f>
      </x:c>
      <x:c r="T98" s="36" t="str">
        <x:f>IF(ISNUMBER(S98),ABS(S98),"")</x:f>
      </x:c>
      <x:c r="U98" s="37" t="str">
        <x:f>IF(ISNUMBER(Q98),Q98^2,"")</x:f>
      </x:c>
      <x:c r="V98" s="21" t="str">
        <x:f>IF(NOT(AND(ISNUMBER(D98),ISNUMBER(E98),ISNUMBER(G98),ISNUMBER(H98))),"缺少配对",IF(OR(F98&lt;J98,F98&gt;K98),"超出理论J范围","有效"))</x:f>
        <x:v>缺少配对</x:v>
      </x:c>
      <x:c r="W98" s="20" t="str">
        <x:v>升力 y=0.915708x+28.7687 → C_T_prop（原 C_T 字段映射）；实验攻角 60° ↔ 理论 alpha_p_deg 30°；原升力源 3000rpm!C115/M115</x:v>
      </x:c>
      <x:c r="X98" s="20" t="str">
        <x:v>升力标定计算!M195</x:v>
      </x:c>
      <x:c r="Y98" s="20" t="str">
        <x:v>升力标定计算!M196</x:v>
      </x:c>
      <x:c r="Z98" s="20" t="str">
        <x:v>升力标定计算!N195</x:v>
      </x:c>
      <x:c r="AA98" s="20" t="str">
        <x:v>升力标定计算!N196</x:v>
      </x:c>
      <x:c r="AB98" s="20" t="str">
        <x:v>3000rpm!AU25:AT35</x:v>
      </x:c>
    </x:row>
    <x:row r="99">
      <x:c r="A99" s="21" t="n">
        <x:v>3000</x:v>
      </x:c>
      <x:c r="B99" s="21" t="n">
        <x:v>60</x:v>
      </x:c>
      <x:c r="C99" s="21" t="n">
        <x:v>2</x:v>
      </x:c>
      <x:c r="D99" s="22" t="n">
        <x:f>IFERROR('升力标定计算'!M197,"")</x:f>
        <x:v>0.004825128062662836</x:v>
      </x:c>
      <x:c r="E99" s="22" t="n">
        <x:f>IFERROR('升力标定计算'!M198,"")</x:f>
        <x:v>0.009298425754895449</x:v>
      </x:c>
      <x:c r="F99" s="22" t="n">
        <x:f>IF(AND(ISNUMBER(D99),ISNUMBER(E99)),AVERAGE(D99,E99),"")</x:f>
        <x:v>0.007061776908779143</x:v>
      </x:c>
      <x:c r="G99" s="22" t="n">
        <x:f>IFERROR('升力标定计算'!N197,"")</x:f>
        <x:v>0.07513231352081556</x:v>
      </x:c>
      <x:c r="H99" s="22" t="n">
        <x:f>IFERROR('升力标定计算'!N198,"")</x:f>
        <x:v>0.07543018974074438</x:v>
      </x:c>
      <x:c r="I99" s="22" t="n">
        <x:f>IF(AND(ISNUMBER(G99),ISNUMBER(H99)),AVERAGE(G99,H99),"")</x:f>
        <x:v>0.07528125163077998</x:v>
      </x:c>
      <x:c r="J99" s="22" t="n">
        <x:f>IFERROR('3000rpm'!AU25,"")</x:f>
        <x:v>0</x:v>
      </x:c>
      <x:c r="K99" s="22" t="n">
        <x:f>IFERROR('3000rpm'!AU35,"")</x:f>
        <x:v>0.4448818897637795</x:v>
      </x:c>
      <x:c r="L99" s="22" t="n">
        <x:f>IFERROR('3000rpm'!AU25,"")</x:f>
        <x:v>0</x:v>
      </x:c>
      <x:c r="M99" s="22" t="n">
        <x:f>IFERROR('3000rpm'!AT25,"")</x:f>
        <x:v>0.0846729215675782</x:v>
      </x:c>
      <x:c r="N99" s="22" t="n">
        <x:f>IFERROR('3000rpm'!AU26,"")</x:f>
        <x:v>0.04448818897637796</x:v>
      </x:c>
      <x:c r="O99" s="22" t="n">
        <x:f>IFERROR('3000rpm'!AT26,"")</x:f>
        <x:v>0.07984072539162981</x:v>
      </x:c>
      <x:c r="P99" s="22" t="n">
        <x:f>IF(OR(NOT(AND(ISNUMBER(D99),ISNUMBER(E99),ISNUMBER(G99),ISNUMBER(H99))),OR(F99&lt;J99,F99&gt;K99)),"",IF(N99=L99,M99,M99+(F99-L99)*(O99-M99)/(N99-L99)))</x:f>
        <x:v>0.08390588896501211</x:v>
      </x:c>
      <x:c r="Q99" s="22" t="n">
        <x:f>IF(AND(ISNUMBER(I99),ISNUMBER(P99)),I99-P99,"")</x:f>
        <x:v>-0.008624637334232133</x:v>
      </x:c>
      <x:c r="R99" s="22" t="n">
        <x:f>IF(ISNUMBER(Q99),ABS(Q99),"")</x:f>
        <x:v>0.008624637334232133</x:v>
      </x:c>
      <x:c r="S99" s="36" t="n">
        <x:f>IF(AND(ISNUMBER(Q99),ISNUMBER(P99)),IF(ABS(P99)&lt;1E-12,"",Q99/P99),"")</x:f>
        <x:v>-0.10278941610199158</x:v>
      </x:c>
      <x:c r="T99" s="36" t="n">
        <x:f>IF(ISNUMBER(S99),ABS(S99),"")</x:f>
        <x:v>0.10278941610199158</x:v>
      </x:c>
      <x:c r="U99" s="37" t="n">
        <x:f>IF(ISNUMBER(Q99),Q99^2,"")</x:f>
        <x:v>0.00007438436914703074</x:v>
      </x:c>
      <x:c r="V99" s="21" t="str">
        <x:f>IF(NOT(AND(ISNUMBER(D99),ISNUMBER(E99),ISNUMBER(G99),ISNUMBER(H99))),"缺少配对",IF(OR(F99&lt;J99,F99&gt;K99),"超出理论J范围","有效"))</x:f>
        <x:v>有效</x:v>
      </x:c>
      <x:c r="W99" s="20" t="str">
        <x:v>升力 y=0.915708x+28.7687 → C_T_prop（原 C_T 字段映射）；实验攻角 60° ↔ 理论 alpha_p_deg 30°；原升力源 3000rpm!C116/M116</x:v>
      </x:c>
      <x:c r="X99" s="20" t="str">
        <x:v>升力标定计算!M197</x:v>
      </x:c>
      <x:c r="Y99" s="20" t="str">
        <x:v>升力标定计算!M198</x:v>
      </x:c>
      <x:c r="Z99" s="20" t="str">
        <x:v>升力标定计算!N197</x:v>
      </x:c>
      <x:c r="AA99" s="20" t="str">
        <x:v>升力标定计算!N198</x:v>
      </x:c>
      <x:c r="AB99" s="20" t="str">
        <x:v>3000rpm!AU25:AT26</x:v>
      </x:c>
    </x:row>
    <x:row r="100">
      <x:c r="A100" s="21" t="n">
        <x:v>3000</x:v>
      </x:c>
      <x:c r="B100" s="21" t="n">
        <x:v>60</x:v>
      </x:c>
      <x:c r="C100" s="21" t="n">
        <x:v>3</x:v>
      </x:c>
      <x:c r="D100" s="22" t="n">
        <x:f>IFERROR('升力标定计算'!M199,"")</x:f>
        <x:v>0.0453547095099043</x:v>
      </x:c>
      <x:c r="E100" s="22" t="n">
        <x:f>IFERROR('升力标定计算'!M200,"")</x:f>
        <x:v>0.044172586993882566</x:v>
      </x:c>
      <x:c r="F100" s="22" t="n">
        <x:f>IF(AND(ISNUMBER(D100),ISNUMBER(E100)),AVERAGE(D100,E100),"")</x:f>
        <x:v>0.04476364825189343</x:v>
      </x:c>
      <x:c r="G100" s="22" t="n">
        <x:f>IFERROR('升力标定计算'!N199,"")</x:f>
        <x:v>0.07371089378729452</x:v>
      </x:c>
      <x:c r="H100" s="22" t="n">
        <x:f>IFERROR('升力标定计算'!N200,"")</x:f>
        <x:v>0.07369862781013128</x:v>
      </x:c>
      <x:c r="I100" s="22" t="n">
        <x:f>IF(AND(ISNUMBER(G100),ISNUMBER(H100)),AVERAGE(G100,H100),"")</x:f>
        <x:v>0.07370476079871291</x:v>
      </x:c>
      <x:c r="J100" s="22" t="n">
        <x:f>IFERROR('3000rpm'!AU25,"")</x:f>
        <x:v>0</x:v>
      </x:c>
      <x:c r="K100" s="22" t="n">
        <x:f>IFERROR('3000rpm'!AU35,"")</x:f>
        <x:v>0.4448818897637795</x:v>
      </x:c>
      <x:c r="L100" s="22" t="n">
        <x:f>IFERROR('3000rpm'!AU26,"")</x:f>
        <x:v>0.04448818897637796</x:v>
      </x:c>
      <x:c r="M100" s="22" t="n">
        <x:f>IFERROR('3000rpm'!AT26,"")</x:f>
        <x:v>0.07984072539162981</x:v>
      </x:c>
      <x:c r="N100" s="22" t="n">
        <x:f>IFERROR('3000rpm'!AU27,"")</x:f>
        <x:v>0.08897637795275593</x:v>
      </x:c>
      <x:c r="O100" s="22" t="n">
        <x:f>IFERROR('3000rpm'!AT27,"")</x:f>
        <x:v>0.07541729429477105</x:v>
      </x:c>
      <x:c r="P100" s="22" t="n">
        <x:f>IF(OR(NOT(AND(ISNUMBER(D100),ISNUMBER(E100),ISNUMBER(G100),ISNUMBER(H100))),OR(F100&lt;J100,F100&gt;K100)),"",IF(N100=L100,M100,M100+(F100-L100)*(O100-M100)/(N100-L100)))</x:f>
        <x:v>0.07981333665872634</x:v>
      </x:c>
      <x:c r="Q100" s="22" t="n">
        <x:f>IF(AND(ISNUMBER(I100),ISNUMBER(P100)),I100-P100,"")</x:f>
        <x:v>-0.0061085758600134266</x:v>
      </x:c>
      <x:c r="R100" s="22" t="n">
        <x:f>IF(ISNUMBER(Q100),ABS(Q100),"")</x:f>
        <x:v>0.0061085758600134266</x:v>
      </x:c>
      <x:c r="S100" s="36" t="n">
        <x:f>IF(AND(ISNUMBER(Q100),ISNUMBER(P100)),IF(ABS(P100)&lt;1E-12,"",Q100/P100),"")</x:f>
        <x:v>-0.0765357785520617</x:v>
      </x:c>
      <x:c r="T100" s="36" t="n">
        <x:f>IF(ISNUMBER(S100),ABS(S100),"")</x:f>
        <x:v>0.0765357785520617</x:v>
      </x:c>
      <x:c r="U100" s="37" t="n">
        <x:f>IF(ISNUMBER(Q100),Q100^2,"")</x:f>
        <x:v>0.00003731469903753877</x:v>
      </x:c>
      <x:c r="V100" s="21" t="str">
        <x:f>IF(NOT(AND(ISNUMBER(D100),ISNUMBER(E100),ISNUMBER(G100),ISNUMBER(H100))),"缺少配对",IF(OR(F100&lt;J100,F100&gt;K100),"超出理论J范围","有效"))</x:f>
        <x:v>有效</x:v>
      </x:c>
      <x:c r="W100" s="20" t="str">
        <x:v>升力 y=0.915708x+28.7687 → C_T_prop（原 C_T 字段映射）；实验攻角 60° ↔ 理论 alpha_p_deg 30°；原升力源 3000rpm!C117/M117</x:v>
      </x:c>
      <x:c r="X100" s="20" t="str">
        <x:v>升力标定计算!M199</x:v>
      </x:c>
      <x:c r="Y100" s="20" t="str">
        <x:v>升力标定计算!M200</x:v>
      </x:c>
      <x:c r="Z100" s="20" t="str">
        <x:v>升力标定计算!N199</x:v>
      </x:c>
      <x:c r="AA100" s="20" t="str">
        <x:v>升力标定计算!N200</x:v>
      </x:c>
      <x:c r="AB100" s="20" t="str">
        <x:v>3000rpm!AU26:AT27</x:v>
      </x:c>
    </x:row>
    <x:row r="101">
      <x:c r="A101" s="21" t="n">
        <x:v>3000</x:v>
      </x:c>
      <x:c r="B101" s="21" t="n">
        <x:v>60</x:v>
      </x:c>
      <x:c r="C101" s="21" t="n">
        <x:v>4</x:v>
      </x:c>
      <x:c r="D101" s="22" t="n">
        <x:f>IFERROR('升力标定计算'!M201,"")</x:f>
        <x:v>0.0897296094904332</x:v>
      </x:c>
      <x:c r="E101" s="22" t="n">
        <x:f>IFERROR('升力标定计算'!M202,"")</x:f>
        <x:v>0.08764033034748206</x:v>
      </x:c>
      <x:c r="F101" s="22" t="n">
        <x:f>IF(AND(ISNUMBER(D101),ISNUMBER(E101)),AVERAGE(D101,E101),"")</x:f>
        <x:v>0.08868496991895763</x:v>
      </x:c>
      <x:c r="G101" s="22" t="n">
        <x:f>IFERROR('升力标定计算'!N201,"")</x:f>
        <x:v>0.0684060401344168</x:v>
      </x:c>
      <x:c r="H101" s="22" t="n">
        <x:f>IFERROR('升力标定计算'!N202,"")</x:f>
        <x:v>0.06935770823763054</x:v>
      </x:c>
      <x:c r="I101" s="22" t="n">
        <x:f>IF(AND(ISNUMBER(G101),ISNUMBER(H101)),AVERAGE(G101,H101),"")</x:f>
        <x:v>0.06888187418602368</x:v>
      </x:c>
      <x:c r="J101" s="22" t="n">
        <x:f>IFERROR('3000rpm'!AU25,"")</x:f>
        <x:v>0</x:v>
      </x:c>
      <x:c r="K101" s="22" t="n">
        <x:f>IFERROR('3000rpm'!AU35,"")</x:f>
        <x:v>0.4448818897637795</x:v>
      </x:c>
      <x:c r="L101" s="22" t="n">
        <x:f>IFERROR('3000rpm'!AU26,"")</x:f>
        <x:v>0.04448818897637796</x:v>
      </x:c>
      <x:c r="M101" s="22" t="n">
        <x:f>IFERROR('3000rpm'!AT26,"")</x:f>
        <x:v>0.07984072539162981</x:v>
      </x:c>
      <x:c r="N101" s="22" t="n">
        <x:f>IFERROR('3000rpm'!AU27,"")</x:f>
        <x:v>0.08897637795275593</x:v>
      </x:c>
      <x:c r="O101" s="22" t="n">
        <x:f>IFERROR('3000rpm'!AT27,"")</x:f>
        <x:v>0.07541729429477105</x:v>
      </x:c>
      <x:c r="P101" s="22" t="n">
        <x:f>IF(OR(NOT(AND(ISNUMBER(D101),ISNUMBER(E101),ISNUMBER(G101),ISNUMBER(H101))),OR(F101&lt;J101,F101&gt;K101)),"",IF(N101=L101,M101,M101+(F101-L101)*(O101-M101)/(N101-L101)))</x:f>
        <x:v>0.07544626880212316</x:v>
      </x:c>
      <x:c r="Q101" s="22" t="n">
        <x:f>IF(AND(ISNUMBER(I101),ISNUMBER(P101)),I101-P101,"")</x:f>
        <x:v>-0.006564394616099478</x:v>
      </x:c>
      <x:c r="R101" s="22" t="n">
        <x:f>IF(ISNUMBER(Q101),ABS(Q101),"")</x:f>
        <x:v>0.006564394616099478</x:v>
      </x:c>
      <x:c r="S101" s="36" t="n">
        <x:f>IF(AND(ISNUMBER(Q101),ISNUMBER(P101)),IF(ABS(P101)&lt;1E-12,"",Q101/P101),"")</x:f>
        <x:v>-0.08700754484381801</x:v>
      </x:c>
      <x:c r="T101" s="36" t="n">
        <x:f>IF(ISNUMBER(S101),ABS(S101),"")</x:f>
        <x:v>0.08700754484381801</x:v>
      </x:c>
      <x:c r="U101" s="37" t="n">
        <x:f>IF(ISNUMBER(Q101),Q101^2,"")</x:f>
        <x:v>0.00004309127667587582</x:v>
      </x:c>
      <x:c r="V101" s="21" t="str">
        <x:f>IF(NOT(AND(ISNUMBER(D101),ISNUMBER(E101),ISNUMBER(G101),ISNUMBER(H101))),"缺少配对",IF(OR(F101&lt;J101,F101&gt;K101),"超出理论J范围","有效"))</x:f>
        <x:v>有效</x:v>
      </x:c>
      <x:c r="W101" s="20" t="str">
        <x:v>升力 y=0.915708x+28.7687 → C_T_prop（原 C_T 字段映射）；实验攻角 60° ↔ 理论 alpha_p_deg 30°；原升力源 3000rpm!C118/M118</x:v>
      </x:c>
      <x:c r="X101" s="20" t="str">
        <x:v>升力标定计算!M201</x:v>
      </x:c>
      <x:c r="Y101" s="20" t="str">
        <x:v>升力标定计算!M202</x:v>
      </x:c>
      <x:c r="Z101" s="20" t="str">
        <x:v>升力标定计算!N201</x:v>
      </x:c>
      <x:c r="AA101" s="20" t="str">
        <x:v>升力标定计算!N202</x:v>
      </x:c>
      <x:c r="AB101" s="20" t="str">
        <x:v>3000rpm!AU26:AT27</x:v>
      </x:c>
    </x:row>
    <x:row r="102">
      <x:c r="A102" s="21" t="n">
        <x:v>3000</x:v>
      </x:c>
      <x:c r="B102" s="21" t="n">
        <x:v>60</x:v>
      </x:c>
      <x:c r="C102" s="21" t="n">
        <x:v>5</x:v>
      </x:c>
      <x:c r="D102" s="22" t="n">
        <x:f>IFERROR('升力标定计算'!M203,"")</x:f>
        <x:v>0.13430093848881572</x:v>
      </x:c>
      <x:c r="E102" s="22" t="n">
        <x:f>IFERROR('升力标定计算'!M204,"")</x:f>
        <x:v>0.13081447920495043</x:v>
      </x:c>
      <x:c r="F102" s="22" t="n">
        <x:f>IF(AND(ISNUMBER(D102),ISNUMBER(E102)),AVERAGE(D102,E102),"")</x:f>
        <x:v>0.13255770884688306</x:v>
      </x:c>
      <x:c r="G102" s="22" t="n">
        <x:f>IFERROR('升力标定计算'!N203,"")</x:f>
        <x:v>0.06377871492759167</x:v>
      </x:c>
      <x:c r="H102" s="22" t="n">
        <x:f>IFERROR('升力标定计算'!N204,"")</x:f>
        <x:v>0.06480344122930703</x:v>
      </x:c>
      <x:c r="I102" s="22" t="n">
        <x:f>IF(AND(ISNUMBER(G102),ISNUMBER(H102)),AVERAGE(G102,H102),"")</x:f>
        <x:v>0.06429107807844936</x:v>
      </x:c>
      <x:c r="J102" s="22" t="n">
        <x:f>IFERROR('3000rpm'!AU25,"")</x:f>
        <x:v>0</x:v>
      </x:c>
      <x:c r="K102" s="22" t="n">
        <x:f>IFERROR('3000rpm'!AU35,"")</x:f>
        <x:v>0.4448818897637795</x:v>
      </x:c>
      <x:c r="L102" s="22" t="n">
        <x:f>IFERROR('3000rpm'!AU27,"")</x:f>
        <x:v>0.08897637795275593</x:v>
      </x:c>
      <x:c r="M102" s="22" t="n">
        <x:f>IFERROR('3000rpm'!AT27,"")</x:f>
        <x:v>0.07541729429477105</x:v>
      </x:c>
      <x:c r="N102" s="22" t="n">
        <x:f>IFERROR('3000rpm'!AU28,"")</x:f>
        <x:v>0.13346456692913383</x:v>
      </x:c>
      <x:c r="O102" s="22" t="n">
        <x:f>IFERROR('3000rpm'!AT28,"")</x:f>
        <x:v>0.07068765832533384</x:v>
      </x:c>
      <x:c r="P102" s="22" t="n">
        <x:f>IF(OR(NOT(AND(ISNUMBER(D102),ISNUMBER(E102),ISNUMBER(G102),ISNUMBER(H102))),OR(F102&lt;J102,F102&gt;K102)),"",IF(N102=L102,M102,M102+(F102-L102)*(O102-M102)/(N102-L102)))</x:f>
        <x:v>0.07078406837716278</x:v>
      </x:c>
      <x:c r="Q102" s="22" t="n">
        <x:f>IF(AND(ISNUMBER(I102),ISNUMBER(P102)),I102-P102,"")</x:f>
        <x:v>-0.006492990298713419</x:v>
      </x:c>
      <x:c r="R102" s="22" t="n">
        <x:f>IF(ISNUMBER(Q102),ABS(Q102),"")</x:f>
        <x:v>0.006492990298713419</x:v>
      </x:c>
      <x:c r="S102" s="36" t="n">
        <x:f>IF(AND(ISNUMBER(Q102),ISNUMBER(P102)),IF(ABS(P102)&lt;1E-12,"",Q102/P102),"")</x:f>
        <x:v>-0.0917295437741223</x:v>
      </x:c>
      <x:c r="T102" s="36" t="n">
        <x:f>IF(ISNUMBER(S102),ABS(S102),"")</x:f>
        <x:v>0.0917295437741223</x:v>
      </x:c>
      <x:c r="U102" s="37" t="n">
        <x:f>IF(ISNUMBER(Q102),Q102^2,"")</x:f>
        <x:v>0.000042158923019186574</x:v>
      </x:c>
      <x:c r="V102" s="21" t="str">
        <x:f>IF(NOT(AND(ISNUMBER(D102),ISNUMBER(E102),ISNUMBER(G102),ISNUMBER(H102))),"缺少配对",IF(OR(F102&lt;J102,F102&gt;K102),"超出理论J范围","有效"))</x:f>
        <x:v>有效</x:v>
      </x:c>
      <x:c r="W102" s="20" t="str">
        <x:v>升力 y=0.915708x+28.7687 → C_T_prop（原 C_T 字段映射）；实验攻角 60° ↔ 理论 alpha_p_deg 30°；原升力源 3000rpm!C119/M119</x:v>
      </x:c>
      <x:c r="X102" s="20" t="str">
        <x:v>升力标定计算!M203</x:v>
      </x:c>
      <x:c r="Y102" s="20" t="str">
        <x:v>升力标定计算!M204</x:v>
      </x:c>
      <x:c r="Z102" s="20" t="str">
        <x:v>升力标定计算!N203</x:v>
      </x:c>
      <x:c r="AA102" s="20" t="str">
        <x:v>升力标定计算!N204</x:v>
      </x:c>
      <x:c r="AB102" s="20" t="str">
        <x:v>3000rpm!AU27:AT28</x:v>
      </x:c>
    </x:row>
    <x:row r="103">
      <x:c r="A103" s="21" t="n">
        <x:v>3000</x:v>
      </x:c>
      <x:c r="B103" s="21" t="n">
        <x:v>60</x:v>
      </x:c>
      <x:c r="C103" s="21" t="n">
        <x:v>6</x:v>
      </x:c>
      <x:c r="D103" s="22" t="n">
        <x:f>IFERROR('升力标定计算'!M205,"")</x:f>
        <x:v>0.17769509664594504</x:v>
      </x:c>
      <x:c r="E103" s="22" t="n">
        <x:f>IFERROR('升力标定计算'!M206,"")</x:f>
        <x:v>0.17389617205050864</x:v>
      </x:c>
      <x:c r="F103" s="22" t="n">
        <x:f>IF(AND(ISNUMBER(D103),ISNUMBER(E103)),AVERAGE(D103,E103),"")</x:f>
        <x:v>0.17579563434822684</x:v>
      </x:c>
      <x:c r="G103" s="22" t="n">
        <x:f>IFERROR('升力标定计算'!N205,"")</x:f>
        <x:v>0.05865041737607121</x:v>
      </x:c>
      <x:c r="H103" s="22" t="n">
        <x:f>IFERROR('升力标定计算'!N206,"")</x:f>
        <x:v>0.060123997044725305</x:v>
      </x:c>
      <x:c r="I103" s="22" t="n">
        <x:f>IF(AND(ISNUMBER(G103),ISNUMBER(H103)),AVERAGE(G103,H103),"")</x:f>
        <x:v>0.05938720721039826</x:v>
      </x:c>
      <x:c r="J103" s="22" t="n">
        <x:f>IFERROR('3000rpm'!AU25,"")</x:f>
        <x:v>0</x:v>
      </x:c>
      <x:c r="K103" s="22" t="n">
        <x:f>IFERROR('3000rpm'!AU35,"")</x:f>
        <x:v>0.4448818897637795</x:v>
      </x:c>
      <x:c r="L103" s="22" t="n">
        <x:f>IFERROR('3000rpm'!AU28,"")</x:f>
        <x:v>0.13346456692913383</x:v>
      </x:c>
      <x:c r="M103" s="22" t="n">
        <x:f>IFERROR('3000rpm'!AT28,"")</x:f>
        <x:v>0.07068765832533384</x:v>
      </x:c>
      <x:c r="N103" s="22" t="n">
        <x:f>IFERROR('3000rpm'!AU29,"")</x:f>
        <x:v>0.17795275590551185</x:v>
      </x:c>
      <x:c r="O103" s="22" t="n">
        <x:f>IFERROR('3000rpm'!AT29,"")</x:f>
        <x:v>0.0655816917216793</x:v>
      </x:c>
      <x:c r="P103" s="22" t="n">
        <x:f>IF(OR(NOT(AND(ISNUMBER(D103),ISNUMBER(E103),ISNUMBER(G103),ISNUMBER(H103))),OR(F103&lt;J103,F103&gt;K103)),"",IF(N103=L103,M103,M103+(F103-L103)*(O103-M103)/(N103-L103)))</x:f>
        <x:v>0.06582926733410463</x:v>
      </x:c>
      <x:c r="Q103" s="22" t="n">
        <x:f>IF(AND(ISNUMBER(I103),ISNUMBER(P103)),I103-P103,"")</x:f>
        <x:v>-0.006442060123706371</x:v>
      </x:c>
      <x:c r="R103" s="22" t="n">
        <x:f>IF(ISNUMBER(Q103),ABS(Q103),"")</x:f>
        <x:v>0.006442060123706371</x:v>
      </x:c>
      <x:c r="S103" s="36" t="n">
        <x:f>IF(AND(ISNUMBER(Q103),ISNUMBER(P103)),IF(ABS(P103)&lt;1E-12,"",Q103/P103),"")</x:f>
        <x:v>-0.09786012186662889</x:v>
      </x:c>
      <x:c r="T103" s="36" t="n">
        <x:f>IF(ISNUMBER(S103),ABS(S103),"")</x:f>
        <x:v>0.09786012186662889</x:v>
      </x:c>
      <x:c r="U103" s="37" t="n">
        <x:f>IF(ISNUMBER(Q103),Q103^2,"")</x:f>
        <x:v>0.000041500138637447746</x:v>
      </x:c>
      <x:c r="V103" s="21" t="str">
        <x:f>IF(NOT(AND(ISNUMBER(D103),ISNUMBER(E103),ISNUMBER(G103),ISNUMBER(H103))),"缺少配对",IF(OR(F103&lt;J103,F103&gt;K103),"超出理论J范围","有效"))</x:f>
        <x:v>有效</x:v>
      </x:c>
      <x:c r="W103" s="20" t="str">
        <x:v>升力 y=0.915708x+28.7687 → C_T_prop（原 C_T 字段映射）；实验攻角 60° ↔ 理论 alpha_p_deg 30°；原升力源 3000rpm!C120/M120</x:v>
      </x:c>
      <x:c r="X103" s="20" t="str">
        <x:v>升力标定计算!M205</x:v>
      </x:c>
      <x:c r="Y103" s="20" t="str">
        <x:v>升力标定计算!M206</x:v>
      </x:c>
      <x:c r="Z103" s="20" t="str">
        <x:v>升力标定计算!N205</x:v>
      </x:c>
      <x:c r="AA103" s="20" t="str">
        <x:v>升力标定计算!N206</x:v>
      </x:c>
      <x:c r="AB103" s="20" t="str">
        <x:v>3000rpm!AU28:AT29</x:v>
      </x:c>
    </x:row>
    <x:row r="104">
      <x:c r="A104" s="21" t="n">
        <x:v>3000</x:v>
      </x:c>
      <x:c r="B104" s="21" t="n">
        <x:v>60</x:v>
      </x:c>
      <x:c r="C104" s="21" t="n">
        <x:v>7</x:v>
      </x:c>
      <x:c r="D104" s="22" t="n">
        <x:f>IFERROR('升力标定计算'!M207,"")</x:f>
        <x:v>0.22173587211207596</x:v>
      </x:c>
      <x:c r="E104" s="22" t="n">
        <x:f>IFERROR('升力标定计算'!M208,"")</x:f>
        <x:v>0.21644329084395267</x:v>
      </x:c>
      <x:c r="F104" s="22" t="n">
        <x:f>IF(AND(ISNUMBER(D104),ISNUMBER(E104)),AVERAGE(D104,E104),"")</x:f>
        <x:v>0.21908958147801433</x:v>
      </x:c>
      <x:c r="G104" s="22" t="n">
        <x:f>IFERROR('升力标定计算'!N207,"")</x:f>
        <x:v>0.054738501947805024</x:v>
      </x:c>
      <x:c r="H104" s="22" t="n">
        <x:f>IFERROR('升力标定计算'!N208,"")</x:f>
        <x:v>0.05580701698326343</x:v>
      </x:c>
      <x:c r="I104" s="22" t="n">
        <x:f>IF(AND(ISNUMBER(G104),ISNUMBER(H104)),AVERAGE(G104,H104),"")</x:f>
        <x:v>0.05527275946553423</x:v>
      </x:c>
      <x:c r="J104" s="22" t="n">
        <x:f>IFERROR('3000rpm'!AU25,"")</x:f>
        <x:v>0</x:v>
      </x:c>
      <x:c r="K104" s="22" t="n">
        <x:f>IFERROR('3000rpm'!AU35,"")</x:f>
        <x:v>0.4448818897637795</x:v>
      </x:c>
      <x:c r="L104" s="22" t="n">
        <x:f>IFERROR('3000rpm'!AU29,"")</x:f>
        <x:v>0.17795275590551185</x:v>
      </x:c>
      <x:c r="M104" s="22" t="n">
        <x:f>IFERROR('3000rpm'!AT29,"")</x:f>
        <x:v>0.0655816917216793</x:v>
      </x:c>
      <x:c r="N104" s="22" t="n">
        <x:f>IFERROR('3000rpm'!AU30,"")</x:f>
        <x:v>0.22244094488188976</x:v>
      </x:c>
      <x:c r="O104" s="22" t="n">
        <x:f>IFERROR('3000rpm'!AT30,"")</x:f>
        <x:v>0.05999879512122383</x:v>
      </x:c>
      <x:c r="P104" s="22" t="n">
        <x:f>IF(OR(NOT(AND(ISNUMBER(D104),ISNUMBER(E104),ISNUMBER(G104),ISNUMBER(H104))),OR(F104&lt;J104,F104&gt;K104)),"",IF(N104=L104,M104,M104+(F104-L104)*(O104-M104)/(N104-L104)))</x:f>
        <x:v>0.060419363271667574</x:v>
      </x:c>
      <x:c r="Q104" s="22" t="n">
        <x:f>IF(AND(ISNUMBER(I104),ISNUMBER(P104)),I104-P104,"")</x:f>
        <x:v>-0.005146603806133347</x:v>
      </x:c>
      <x:c r="R104" s="22" t="n">
        <x:f>IF(ISNUMBER(Q104),ABS(Q104),"")</x:f>
        <x:v>0.005146603806133347</x:v>
      </x:c>
      <x:c r="S104" s="36" t="n">
        <x:f>IF(AND(ISNUMBER(Q104),ISNUMBER(P104)),IF(ABS(P104)&lt;1E-12,"",Q104/P104),"")</x:f>
        <x:v>-0.08518136450714206</x:v>
      </x:c>
      <x:c r="T104" s="36" t="n">
        <x:f>IF(ISNUMBER(S104),ABS(S104),"")</x:f>
        <x:v>0.08518136450714206</x:v>
      </x:c>
      <x:c r="U104" s="37" t="n">
        <x:f>IF(ISNUMBER(Q104),Q104^2,"")</x:f>
        <x:v>0.000026487530737306255</x:v>
      </x:c>
      <x:c r="V104" s="21" t="str">
        <x:f>IF(NOT(AND(ISNUMBER(D104),ISNUMBER(E104),ISNUMBER(G104),ISNUMBER(H104))),"缺少配对",IF(OR(F104&lt;J104,F104&gt;K104),"超出理论J范围","有效"))</x:f>
        <x:v>有效</x:v>
      </x:c>
      <x:c r="W104" s="20" t="str">
        <x:v>升力 y=0.915708x+28.7687 → C_T_prop（原 C_T 字段映射）；实验攻角 60° ↔ 理论 alpha_p_deg 30°；原升力源 3000rpm!C121/M121</x:v>
      </x:c>
      <x:c r="X104" s="20" t="str">
        <x:v>升力标定计算!M207</x:v>
      </x:c>
      <x:c r="Y104" s="20" t="str">
        <x:v>升力标定计算!M208</x:v>
      </x:c>
      <x:c r="Z104" s="20" t="str">
        <x:v>升力标定计算!N207</x:v>
      </x:c>
      <x:c r="AA104" s="20" t="str">
        <x:v>升力标定计算!N208</x:v>
      </x:c>
      <x:c r="AB104" s="20" t="str">
        <x:v>3000rpm!AU29:AT30</x:v>
      </x:c>
    </x:row>
    <x:row r="105">
      <x:c r="A105" s="21" t="n">
        <x:v>3000</x:v>
      </x:c>
      <x:c r="B105" s="21" t="n">
        <x:v>60</x:v>
      </x:c>
      <x:c r="C105" s="21" t="n">
        <x:v>8</x:v>
      </x:c>
      <x:c r="D105" s="22" t="n">
        <x:f>IFERROR('升力标定计算'!M209,"")</x:f>
        <x:v>0.2652304666030972</x:v>
      </x:c>
      <x:c r="E105" s="22" t="n">
        <x:f>IFERROR('升力标定计算'!M210,"")</x:f>
        <x:v>0.26384538390757367</x:v>
      </x:c>
      <x:c r="F105" s="22" t="n">
        <x:f>IF(AND(ISNUMBER(D105),ISNUMBER(E105)),AVERAGE(D105,E105),"")</x:f>
        <x:v>0.2645379252553354</x:v>
      </x:c>
      <x:c r="G105" s="22" t="n">
        <x:f>IFERROR('升力标定计算'!N209,"")</x:f>
        <x:v>0.05069806199415823</x:v>
      </x:c>
      <x:c r="H105" s="22" t="n">
        <x:f>IFERROR('升力标定计算'!N210,"")</x:f>
        <x:v>0.05221015554860911</x:v>
      </x:c>
      <x:c r="I105" s="22" t="n">
        <x:f>IF(AND(ISNUMBER(G105),ISNUMBER(H105)),AVERAGE(G105,H105),"")</x:f>
        <x:v>0.05145410877138367</x:v>
      </x:c>
      <x:c r="J105" s="22" t="n">
        <x:f>IFERROR('3000rpm'!AU25,"")</x:f>
        <x:v>0</x:v>
      </x:c>
      <x:c r="K105" s="22" t="n">
        <x:f>IFERROR('3000rpm'!AU35,"")</x:f>
        <x:v>0.4448818897637795</x:v>
      </x:c>
      <x:c r="L105" s="22" t="n">
        <x:f>IFERROR('3000rpm'!AU30,"")</x:f>
        <x:v>0.22244094488188976</x:v>
      </x:c>
      <x:c r="M105" s="22" t="n">
        <x:f>IFERROR('3000rpm'!AT30,"")</x:f>
        <x:v>0.05999879512122383</x:v>
      </x:c>
      <x:c r="N105" s="22" t="n">
        <x:f>IFERROR('3000rpm'!AU31,"")</x:f>
        <x:v>0.26692913385826766</x:v>
      </x:c>
      <x:c r="O105" s="22" t="n">
        <x:f>IFERROR('3000rpm'!AT31,"")</x:f>
        <x:v>0.05391039307360651</x:v>
      </x:c>
      <x:c r="P105" s="22" t="n">
        <x:f>IF(OR(NOT(AND(ISNUMBER(D105),ISNUMBER(E105),ISNUMBER(G105),ISNUMBER(H105))),OR(F105&lt;J105,F105&gt;K105)),"",IF(N105=L105,M105,M105+(F105-L105)*(O105-M105)/(N105-L105)))</x:f>
        <x:v>0.05423764036528887</x:v>
      </x:c>
      <x:c r="Q105" s="22" t="n">
        <x:f>IF(AND(ISNUMBER(I105),ISNUMBER(P105)),I105-P105,"")</x:f>
        <x:v>-0.0027835315939052016</x:v>
      </x:c>
      <x:c r="R105" s="22" t="n">
        <x:f>IF(ISNUMBER(Q105),ABS(Q105),"")</x:f>
        <x:v>0.0027835315939052016</x:v>
      </x:c>
      <x:c r="S105" s="36" t="n">
        <x:f>IF(AND(ISNUMBER(Q105),ISNUMBER(P105)),IF(ABS(P105)&lt;1E-12,"",Q105/P105),"")</x:f>
        <x:v>-0.05132103047179413</x:v>
      </x:c>
      <x:c r="T105" s="36" t="n">
        <x:f>IF(ISNUMBER(S105),ABS(S105),"")</x:f>
        <x:v>0.05132103047179413</x:v>
      </x:c>
      <x:c r="U105" s="37" t="n">
        <x:f>IF(ISNUMBER(Q105),Q105^2,"")</x:f>
        <x:v>0.000007748048134268433</x:v>
      </x:c>
      <x:c r="V105" s="21" t="str">
        <x:f>IF(NOT(AND(ISNUMBER(D105),ISNUMBER(E105),ISNUMBER(G105),ISNUMBER(H105))),"缺少配对",IF(OR(F105&lt;J105,F105&gt;K105),"超出理论J范围","有效"))</x:f>
        <x:v>有效</x:v>
      </x:c>
      <x:c r="W105" s="20" t="str">
        <x:v>升力 y=0.915708x+28.7687 → C_T_prop（原 C_T 字段映射）；实验攻角 60° ↔ 理论 alpha_p_deg 30°；原升力源 3000rpm!C122/M122</x:v>
      </x:c>
      <x:c r="X105" s="20" t="str">
        <x:v>升力标定计算!M209</x:v>
      </x:c>
      <x:c r="Y105" s="20" t="str">
        <x:v>升力标定计算!M210</x:v>
      </x:c>
      <x:c r="Z105" s="20" t="str">
        <x:v>升力标定计算!N209</x:v>
      </x:c>
      <x:c r="AA105" s="20" t="str">
        <x:v>升力标定计算!N210</x:v>
      </x:c>
      <x:c r="AB105" s="20" t="str">
        <x:v>3000rpm!AU30:AT31</x:v>
      </x:c>
    </x:row>
    <x:row r="106">
      <x:c r="A106" s="21" t="n">
        <x:v>3000</x:v>
      </x:c>
      <x:c r="B106" s="21" t="n">
        <x:v>60</x:v>
      </x:c>
      <x:c r="C106" s="21" t="n">
        <x:v>9</x:v>
      </x:c>
      <x:c r="D106" s="22" t="n">
        <x:f>IFERROR('升力标定计算'!M211,"")</x:f>
        <x:v>0.3077925776227743</x:v>
      </x:c>
      <x:c r="E106" s="22" t="n">
        <x:f>IFERROR('升力标定计算'!M212,"")</x:f>
        <x:v>0.3064960930250748</x:v>
      </x:c>
      <x:c r="F106" s="22" t="n">
        <x:f>IF(AND(ISNUMBER(D106),ISNUMBER(E106)),AVERAGE(D106,E106),"")</x:f>
        <x:v>0.30714433532392454</x:v>
      </x:c>
      <x:c r="G106" s="22" t="n">
        <x:f>IFERROR('升力标定计算'!N211,"")</x:f>
        <x:v>0.04702628356196791</x:v>
      </x:c>
      <x:c r="H106" s="22" t="n">
        <x:f>IFERROR('升力标定计算'!N212,"")</x:f>
        <x:v>0.04862474895472073</x:v>
      </x:c>
      <x:c r="I106" s="22" t="n">
        <x:f>IF(AND(ISNUMBER(G106),ISNUMBER(H106)),AVERAGE(G106,H106),"")</x:f>
        <x:v>0.04782551625834432</x:v>
      </x:c>
      <x:c r="J106" s="22" t="n">
        <x:f>IFERROR('3000rpm'!AU25,"")</x:f>
        <x:v>0</x:v>
      </x:c>
      <x:c r="K106" s="22" t="n">
        <x:f>IFERROR('3000rpm'!AU35,"")</x:f>
        <x:v>0.4448818897637795</x:v>
      </x:c>
      <x:c r="L106" s="22" t="n">
        <x:f>IFERROR('3000rpm'!AU31,"")</x:f>
        <x:v>0.26692913385826766</x:v>
      </x:c>
      <x:c r="M106" s="22" t="n">
        <x:f>IFERROR('3000rpm'!AT31,"")</x:f>
        <x:v>0.05391039307360651</x:v>
      </x:c>
      <x:c r="N106" s="22" t="n">
        <x:f>IFERROR('3000rpm'!AU32,"")</x:f>
        <x:v>0.3114173228346457</x:v>
      </x:c>
      <x:c r="O106" s="22" t="n">
        <x:f>IFERROR('3000rpm'!AT32,"")</x:f>
        <x:v>0.04733551842088965</x:v>
      </x:c>
      <x:c r="P106" s="22" t="n">
        <x:f>IF(OR(NOT(AND(ISNUMBER(D106),ISNUMBER(E106),ISNUMBER(G106),ISNUMBER(H106))),OR(F106&lt;J106,F106&gt;K106)),"",IF(N106=L106,M106,M106+(F106-L106)*(O106-M106)/(N106-L106)))</x:f>
        <x:v>0.04796701990301412</x:v>
      </x:c>
      <x:c r="Q106" s="22" t="n">
        <x:f>IF(AND(ISNUMBER(I106),ISNUMBER(P106)),I106-P106,"")</x:f>
        <x:v>-0.0001415036446698048</x:v>
      </x:c>
      <x:c r="R106" s="22" t="n">
        <x:f>IF(ISNUMBER(Q106),ABS(Q106),"")</x:f>
        <x:v>0.0001415036446698048</x:v>
      </x:c>
      <x:c r="S106" s="36" t="n">
        <x:f>IF(AND(ISNUMBER(Q106),ISNUMBER(P106)),IF(ABS(P106)&lt;1E-12,"",Q106/P106),"")</x:f>
        <x:v>-0.0029500195124882687</x:v>
      </x:c>
      <x:c r="T106" s="36" t="n">
        <x:f>IF(ISNUMBER(S106),ABS(S106),"")</x:f>
        <x:v>0.0029500195124882687</x:v>
      </x:c>
      <x:c r="U106" s="37" t="n">
        <x:f>IF(ISNUMBER(Q106),Q106^2,"")</x:f>
        <x:v>2.002328145483838e-8</x:v>
      </x:c>
      <x:c r="V106" s="21" t="str">
        <x:f>IF(NOT(AND(ISNUMBER(D106),ISNUMBER(E106),ISNUMBER(G106),ISNUMBER(H106))),"缺少配对",IF(OR(F106&lt;J106,F106&gt;K106),"超出理论J范围","有效"))</x:f>
        <x:v>有效</x:v>
      </x:c>
      <x:c r="W106" s="20" t="str">
        <x:v>升力 y=0.915708x+28.7687 → C_T_prop（原 C_T 字段映射）；实验攻角 60° ↔ 理论 alpha_p_deg 30°；原升力源 3000rpm!C123/M123</x:v>
      </x:c>
      <x:c r="X106" s="20" t="str">
        <x:v>升力标定计算!M211</x:v>
      </x:c>
      <x:c r="Y106" s="20" t="str">
        <x:v>升力标定计算!M212</x:v>
      </x:c>
      <x:c r="Z106" s="20" t="str">
        <x:v>升力标定计算!N211</x:v>
      </x:c>
      <x:c r="AA106" s="20" t="str">
        <x:v>升力标定计算!N212</x:v>
      </x:c>
      <x:c r="AB106" s="20" t="str">
        <x:v>3000rpm!AU31:AT32</x:v>
      </x:c>
    </x:row>
    <x:row r="107">
      <x:c r="A107" s="21" t="n">
        <x:v>3000</x:v>
      </x:c>
      <x:c r="B107" s="21" t="n">
        <x:v>60</x:v>
      </x:c>
      <x:c r="C107" s="21" t="n">
        <x:v>10</x:v>
      </x:c>
      <x:c r="D107" s="22" t="n">
        <x:f>IFERROR('升力标定计算'!M213,"")</x:f>
        <x:v>0.3496814659211415</x:v>
      </x:c>
      <x:c r="E107" s="22" t="n">
        <x:f>IFERROR('升力标定计算'!M214,"")</x:f>
        <x:v>0.336237544394199</x:v>
      </x:c>
      <x:c r="F107" s="22" t="n">
        <x:f>IF(AND(ISNUMBER(D107),ISNUMBER(E107)),AVERAGE(D107,E107),"")</x:f>
        <x:v>0.34295950515767026</x:v>
      </x:c>
      <x:c r="G107" s="22" t="n">
        <x:f>IFERROR('升力标定计算'!N213,"")</x:f>
        <x:v>0.04331103516141582</x:v>
      </x:c>
      <x:c r="H107" s="22" t="n">
        <x:f>IFERROR('升力标定计算'!N214,"")</x:f>
        <x:v>0.043143872384819384</x:v>
      </x:c>
      <x:c r="I107" s="22" t="n">
        <x:f>IF(AND(ISNUMBER(G107),ISNUMBER(H107)),AVERAGE(G107,H107),"")</x:f>
        <x:v>0.043227453773117604</x:v>
      </x:c>
      <x:c r="J107" s="22" t="n">
        <x:f>IFERROR('3000rpm'!AU25,"")</x:f>
        <x:v>0</x:v>
      </x:c>
      <x:c r="K107" s="22" t="n">
        <x:f>IFERROR('3000rpm'!AU35,"")</x:f>
        <x:v>0.4448818897637795</x:v>
      </x:c>
      <x:c r="L107" s="22" t="n">
        <x:f>IFERROR('3000rpm'!AU32,"")</x:f>
        <x:v>0.3114173228346457</x:v>
      </x:c>
      <x:c r="M107" s="22" t="n">
        <x:f>IFERROR('3000rpm'!AT32,"")</x:f>
        <x:v>0.04733551842088965</x:v>
      </x:c>
      <x:c r="N107" s="22" t="n">
        <x:f>IFERROR('3000rpm'!AU33,"")</x:f>
        <x:v>0.3559055118110237</x:v>
      </x:c>
      <x:c r="O107" s="22" t="n">
        <x:f>IFERROR('3000rpm'!AT33,"")</x:f>
        <x:v>0.04026928994492276</x:v>
      </x:c>
      <x:c r="P107" s="22" t="n">
        <x:f>IF(OR(NOT(AND(ISNUMBER(D107),ISNUMBER(E107),ISNUMBER(G107),ISNUMBER(H107))),OR(F107&lt;J107,F107&gt;K107)),"",IF(N107=L107,M107,M107+(F107-L107)*(O107-M107)/(N107-L107)))</x:f>
        <x:v>0.042325553482927325</x:v>
      </x:c>
      <x:c r="Q107" s="22" t="n">
        <x:f>IF(AND(ISNUMBER(I107),ISNUMBER(P107)),I107-P107,"")</x:f>
        <x:v>0.0009019002901902787</x:v>
      </x:c>
      <x:c r="R107" s="22" t="n">
        <x:f>IF(ISNUMBER(Q107),ABS(Q107),"")</x:f>
        <x:v>0.0009019002901902787</x:v>
      </x:c>
      <x:c r="S107" s="36" t="n">
        <x:f>IF(AND(ISNUMBER(Q107),ISNUMBER(P107)),IF(ABS(P107)&lt;1E-12,"",Q107/P107),"")</x:f>
        <x:v>0.021308647282169017</x:v>
      </x:c>
      <x:c r="T107" s="36" t="n">
        <x:f>IF(ISNUMBER(S107),ABS(S107),"")</x:f>
        <x:v>0.021308647282169017</x:v>
      </x:c>
      <x:c r="U107" s="37" t="n">
        <x:f>IF(ISNUMBER(Q107),Q107^2,"")</x:f>
        <x:v>8.134241334453089e-7</x:v>
      </x:c>
      <x:c r="V107" s="21" t="str">
        <x:f>IF(NOT(AND(ISNUMBER(D107),ISNUMBER(E107),ISNUMBER(G107),ISNUMBER(H107))),"缺少配对",IF(OR(F107&lt;J107,F107&gt;K107),"超出理论J范围","有效"))</x:f>
        <x:v>有效</x:v>
      </x:c>
      <x:c r="W107" s="20" t="str">
        <x:v>升力 y=0.915708x+28.7687 → C_T_prop（原 C_T 字段映射）；实验攻角 60° ↔ 理论 alpha_p_deg 30°；原升力源 3000rpm!C124/M124</x:v>
      </x:c>
      <x:c r="X107" s="20" t="str">
        <x:v>升力标定计算!M213</x:v>
      </x:c>
      <x:c r="Y107" s="20" t="str">
        <x:v>升力标定计算!M214</x:v>
      </x:c>
      <x:c r="Z107" s="20" t="str">
        <x:v>升力标定计算!N213</x:v>
      </x:c>
      <x:c r="AA107" s="20" t="str">
        <x:v>升力标定计算!N214</x:v>
      </x:c>
      <x:c r="AB107" s="20" t="str">
        <x:v>3000rpm!AU32:AT33</x:v>
      </x:c>
    </x:row>
    <x:row r="108">
      <x:c r="A108" s="21" t="n">
        <x:v>3000</x:v>
      </x:c>
      <x:c r="B108" s="21" t="n">
        <x:v>60</x:v>
      </x:c>
      <x:c r="C108" s="21" t="n">
        <x:v>11</x:v>
      </x:c>
      <x:c r="D108" s="22" t="n">
        <x:f>IFERROR('升力标定计算'!M215,"")</x:f>
        <x:v>0.3902105906056363</x:v>
      </x:c>
      <x:c r="E108" s="22" t="n">
        <x:f>IFERROR('升力标定计算'!M216,"")</x:f>
        <x:v>0.38091633734412456</x:v>
      </x:c>
      <x:c r="F108" s="22" t="n">
        <x:f>IF(AND(ISNUMBER(D108),ISNUMBER(E108)),AVERAGE(D108,E108),"")</x:f>
        <x:v>0.3855634639748804</x:v>
      </x:c>
      <x:c r="G108" s="22" t="n">
        <x:f>IFERROR('升力标定计算'!N215,"")</x:f>
        <x:v>0.03877763468451077</x:v>
      </x:c>
      <x:c r="H108" s="22" t="n">
        <x:f>IFERROR('升力标定计算'!N216,"")</x:f>
        <x:v>0.040354997885267516</x:v>
      </x:c>
      <x:c r="I108" s="22" t="n">
        <x:f>IF(AND(ISNUMBER(G108),ISNUMBER(H108)),AVERAGE(G108,H108),"")</x:f>
        <x:v>0.039566316284889144</x:v>
      </x:c>
      <x:c r="J108" s="22" t="n">
        <x:f>IFERROR('3000rpm'!AU25,"")</x:f>
        <x:v>0</x:v>
      </x:c>
      <x:c r="K108" s="22" t="n">
        <x:f>IFERROR('3000rpm'!AU35,"")</x:f>
        <x:v>0.4448818897637795</x:v>
      </x:c>
      <x:c r="L108" s="22" t="n">
        <x:f>IFERROR('3000rpm'!AU33,"")</x:f>
        <x:v>0.3559055118110237</x:v>
      </x:c>
      <x:c r="M108" s="22" t="n">
        <x:f>IFERROR('3000rpm'!AT33,"")</x:f>
        <x:v>0.04026928994492276</x:v>
      </x:c>
      <x:c r="N108" s="22" t="n">
        <x:f>IFERROR('3000rpm'!AU34,"")</x:f>
        <x:v>0.40039370078740166</x:v>
      </x:c>
      <x:c r="O108" s="22" t="n">
        <x:f>IFERROR('3000rpm'!AT34,"")</x:f>
        <x:v>0.032826464592897606</x:v>
      </x:c>
      <x:c r="P108" s="22" t="n">
        <x:f>IF(OR(NOT(AND(ISNUMBER(D108),ISNUMBER(E108),ISNUMBER(G108),ISNUMBER(H108))),OR(F108&lt;J108,F108&gt;K108)),"",IF(N108=L108,M108,M108+(F108-L108)*(O108-M108)/(N108-L108)))</x:f>
        <x:v>0.03530754698947208</x:v>
      </x:c>
      <x:c r="Q108" s="22" t="n">
        <x:f>IF(AND(ISNUMBER(I108),ISNUMBER(P108)),I108-P108,"")</x:f>
        <x:v>0.004258769295417061</x:v>
      </x:c>
      <x:c r="R108" s="22" t="n">
        <x:f>IF(ISNUMBER(Q108),ABS(Q108),"")</x:f>
        <x:v>0.004258769295417061</x:v>
      </x:c>
      <x:c r="S108" s="36" t="n">
        <x:f>IF(AND(ISNUMBER(Q108),ISNUMBER(P108)),IF(ABS(P108)&lt;1E-12,"",Q108/P108),"")</x:f>
        <x:v>0.12061923465504218</x:v>
      </x:c>
      <x:c r="T108" s="36" t="n">
        <x:f>IF(ISNUMBER(S108),ABS(S108),"")</x:f>
        <x:v>0.12061923465504218</x:v>
      </x:c>
      <x:c r="U108" s="37" t="n">
        <x:f>IF(ISNUMBER(Q108),Q108^2,"")</x:f>
        <x:v>0.000018137115911587135</x:v>
      </x:c>
      <x:c r="V108" s="21" t="str">
        <x:f>IF(NOT(AND(ISNUMBER(D108),ISNUMBER(E108),ISNUMBER(G108),ISNUMBER(H108))),"缺少配对",IF(OR(F108&lt;J108,F108&gt;K108),"超出理论J范围","有效"))</x:f>
        <x:v>有效</x:v>
      </x:c>
      <x:c r="W108" s="20" t="str">
        <x:v>升力 y=0.915708x+28.7687 → C_T_prop（原 C_T 字段映射）；实验攻角 60° ↔ 理论 alpha_p_deg 30°；原升力源 3000rpm!C125/M125</x:v>
      </x:c>
      <x:c r="X108" s="20" t="str">
        <x:v>升力标定计算!M215</x:v>
      </x:c>
      <x:c r="Y108" s="20" t="str">
        <x:v>升力标定计算!M216</x:v>
      </x:c>
      <x:c r="Z108" s="20" t="str">
        <x:v>升力标定计算!N215</x:v>
      </x:c>
      <x:c r="AA108" s="20" t="str">
        <x:v>升力标定计算!N216</x:v>
      </x:c>
      <x:c r="AB108" s="20" t="str">
        <x:v>3000rpm!AU33:AT34</x:v>
      </x:c>
    </x:row>
    <x:row r="109">
      <x:c r="A109" s="21" t="n">
        <x:v>3000</x:v>
      </x:c>
      <x:c r="B109" s="21" t="n">
        <x:v>60</x:v>
      </x:c>
      <x:c r="C109" s="21" t="n">
        <x:v>12</x:v>
      </x:c>
      <x:c r="D109" s="22" t="n">
        <x:f>IFERROR('升力标定计算'!M217,"")</x:f>
        <x:v>0.42893873405984323</x:v>
      </x:c>
      <x:c r="E109" s="22" t="n">
        <x:f>IFERROR('升力标定计算'!M218,"")</x:f>
        <x:v>0.4139353470758495</x:v>
      </x:c>
      <x:c r="F109" s="22" t="n">
        <x:f>IF(AND(ISNUMBER(D109),ISNUMBER(E109)),AVERAGE(D109,E109),"")</x:f>
        <x:v>0.42143704056784637</x:v>
      </x:c>
      <x:c r="G109" s="22" t="n">
        <x:f>IFERROR('升力标定计算'!N217,"")</x:f>
        <x:v>0.035004084900116424</x:v>
      </x:c>
      <x:c r="H109" s="22" t="n">
        <x:f>IFERROR('升力标定计算'!N218,"")</x:f>
        <x:v>0.03528579340768037</x:v>
      </x:c>
      <x:c r="I109" s="22" t="n">
        <x:f>IF(AND(ISNUMBER(G109),ISNUMBER(H109)),AVERAGE(G109,H109),"")</x:f>
        <x:v>0.035144939153898394</x:v>
      </x:c>
      <x:c r="J109" s="22" t="n">
        <x:f>IFERROR('3000rpm'!AU25,"")</x:f>
        <x:v>0</x:v>
      </x:c>
      <x:c r="K109" s="22" t="n">
        <x:f>IFERROR('3000rpm'!AU35,"")</x:f>
        <x:v>0.4448818897637795</x:v>
      </x:c>
      <x:c r="L109" s="22" t="n">
        <x:f>IFERROR('3000rpm'!AU34,"")</x:f>
        <x:v>0.40039370078740166</x:v>
      </x:c>
      <x:c r="M109" s="22" t="n">
        <x:f>IFERROR('3000rpm'!AT34,"")</x:f>
        <x:v>0.032826464592897606</x:v>
      </x:c>
      <x:c r="N109" s="22" t="n">
        <x:f>IFERROR('3000rpm'!AU35,"")</x:f>
        <x:v>0.4448818897637795</x:v>
      </x:c>
      <x:c r="O109" s="22" t="n">
        <x:f>IFERROR('3000rpm'!AT35,"")</x:f>
        <x:v>0.025032401236631672</x:v>
      </x:c>
      <x:c r="P109" s="22" t="n">
        <x:f>IF(OR(NOT(AND(ISNUMBER(D109),ISNUMBER(E109),ISNUMBER(G109),ISNUMBER(H109))),OR(F109&lt;J109,F109&gt;K109)),"",IF(N109=L109,M109,M109+(F109-L109)*(O109-M109)/(N109-L109)))</x:f>
        <x:v>0.029139797923609174</x:v>
      </x:c>
      <x:c r="Q109" s="22" t="n">
        <x:f>IF(AND(ISNUMBER(I109),ISNUMBER(P109)),I109-P109,"")</x:f>
        <x:v>0.00600514123028922</x:v>
      </x:c>
      <x:c r="R109" s="22" t="n">
        <x:f>IF(ISNUMBER(Q109),ABS(Q109),"")</x:f>
        <x:v>0.00600514123028922</x:v>
      </x:c>
      <x:c r="S109" s="36" t="n">
        <x:f>IF(AND(ISNUMBER(Q109),ISNUMBER(P109)),IF(ABS(P109)&lt;1E-12,"",Q109/P109),"")</x:f>
        <x:v>0.20608040062706928</x:v>
      </x:c>
      <x:c r="T109" s="36" t="n">
        <x:f>IF(ISNUMBER(S109),ABS(S109),"")</x:f>
        <x:v>0.20608040062706928</x:v>
      </x:c>
      <x:c r="U109" s="37" t="n">
        <x:f>IF(ISNUMBER(Q109),Q109^2,"")</x:f>
        <x:v>0.00003606172119571953</x:v>
      </x:c>
      <x:c r="V109" s="21" t="str">
        <x:f>IF(NOT(AND(ISNUMBER(D109),ISNUMBER(E109),ISNUMBER(G109),ISNUMBER(H109))),"缺少配对",IF(OR(F109&lt;J109,F109&gt;K109),"超出理论J范围","有效"))</x:f>
        <x:v>有效</x:v>
      </x:c>
      <x:c r="W109" s="20" t="str">
        <x:v>升力 y=0.915708x+28.7687 → C_T_prop（原 C_T 字段映射）；实验攻角 60° ↔ 理论 alpha_p_deg 30°；原升力源 3000rpm!C126/M126</x:v>
      </x:c>
      <x:c r="X109" s="20" t="str">
        <x:v>升力标定计算!M217</x:v>
      </x:c>
      <x:c r="Y109" s="20" t="str">
        <x:v>升力标定计算!M218</x:v>
      </x:c>
      <x:c r="Z109" s="20" t="str">
        <x:v>升力标定计算!N217</x:v>
      </x:c>
      <x:c r="AA109" s="20" t="str">
        <x:v>升力标定计算!N218</x:v>
      </x:c>
      <x:c r="AB109" s="20" t="str">
        <x:v>3000rpm!AU34:AT35</x:v>
      </x:c>
    </x:row>
    <x:row r="110">
      <x:c r="A110" s="21" t="n">
        <x:v>3000</x:v>
      </x:c>
      <x:c r="B110" s="21" t="n">
        <x:v>60</x:v>
      </x:c>
      <x:c r="C110" s="21" t="n">
        <x:v>13</x:v>
      </x:c>
      <x:c r="D110" s="22" t="n">
        <x:f>IFERROR('升力标定计算'!M219,"")</x:f>
        <x:v>0.3902171261384088</x:v>
      </x:c>
      <x:c r="E110" s="22" t="n">
        <x:f>IFERROR('升力标定计算'!M220,"")</x:f>
        <x:v>0.38030252938807324</x:v>
      </x:c>
      <x:c r="F110" s="22" t="n">
        <x:f>IF(AND(ISNUMBER(D110),ISNUMBER(E110)),AVERAGE(D110,E110),"")</x:f>
        <x:v>0.385259827763241</x:v>
      </x:c>
      <x:c r="G110" s="22" t="n">
        <x:f>IFERROR('升力标定计算'!N219,"")</x:f>
        <x:v>0.03822084136380326</x:v>
      </x:c>
      <x:c r="H110" s="22" t="n">
        <x:f>IFERROR('升力标定计算'!N220,"")</x:f>
        <x:v>0.03923676149830239</x:v>
      </x:c>
      <x:c r="I110" s="22" t="n">
        <x:f>IF(AND(ISNUMBER(G110),ISNUMBER(H110)),AVERAGE(G110,H110),"")</x:f>
        <x:v>0.038728801431052826</x:v>
      </x:c>
      <x:c r="J110" s="22" t="n">
        <x:f>IFERROR('3000rpm'!AU25,"")</x:f>
        <x:v>0</x:v>
      </x:c>
      <x:c r="K110" s="22" t="n">
        <x:f>IFERROR('3000rpm'!AU35,"")</x:f>
        <x:v>0.4448818897637795</x:v>
      </x:c>
      <x:c r="L110" s="22" t="n">
        <x:f>IFERROR('3000rpm'!AU33,"")</x:f>
        <x:v>0.3559055118110237</x:v>
      </x:c>
      <x:c r="M110" s="22" t="n">
        <x:f>IFERROR('3000rpm'!AT33,"")</x:f>
        <x:v>0.04026928994492276</x:v>
      </x:c>
      <x:c r="N110" s="22" t="n">
        <x:f>IFERROR('3000rpm'!AU34,"")</x:f>
        <x:v>0.40039370078740166</x:v>
      </x:c>
      <x:c r="O110" s="22" t="n">
        <x:f>IFERROR('3000rpm'!AT34,"")</x:f>
        <x:v>0.032826464592897606</x:v>
      </x:c>
      <x:c r="P110" s="22" t="n">
        <x:f>IF(OR(NOT(AND(ISNUMBER(D110),ISNUMBER(E110),ISNUMBER(G110),ISNUMBER(H110))),OR(F110&lt;J110,F110&gt;K110)),"",IF(N110=L110,M110,M110+(F110-L110)*(O110-M110)/(N110-L110)))</x:f>
        <x:v>0.03535834499554471</x:v>
      </x:c>
      <x:c r="Q110" s="22" t="n">
        <x:f>IF(AND(ISNUMBER(I110),ISNUMBER(P110)),I110-P110,"")</x:f>
        <x:v>0.0033704564355081165</x:v>
      </x:c>
      <x:c r="R110" s="22" t="n">
        <x:f>IF(ISNUMBER(Q110),ABS(Q110),"")</x:f>
        <x:v>0.0033704564355081165</x:v>
      </x:c>
      <x:c r="S110" s="36" t="n">
        <x:f>IF(AND(ISNUMBER(Q110),ISNUMBER(P110)),IF(ABS(P110)&lt;1E-12,"",Q110/P110),"")</x:f>
        <x:v>0.09532279963705335</x:v>
      </x:c>
      <x:c r="T110" s="36" t="n">
        <x:f>IF(ISNUMBER(S110),ABS(S110),"")</x:f>
        <x:v>0.09532279963705335</x:v>
      </x:c>
      <x:c r="U110" s="37" t="n">
        <x:f>IF(ISNUMBER(Q110),Q110^2,"")</x:f>
        <x:v>0.000011359976583658078</x:v>
      </x:c>
      <x:c r="V110" s="21" t="str">
        <x:f>IF(NOT(AND(ISNUMBER(D110),ISNUMBER(E110),ISNUMBER(G110),ISNUMBER(H110))),"缺少配对",IF(OR(F110&lt;J110,F110&gt;K110),"超出理论J范围","有效"))</x:f>
        <x:v>有效</x:v>
      </x:c>
      <x:c r="W110" s="20" t="str">
        <x:v>升力 y=0.915708x+28.7687 → C_T_prop（原 C_T 字段映射）；实验攻角 60° ↔ 理论 alpha_p_deg 30°；原升力源 3000rpm!C127/M127</x:v>
      </x:c>
      <x:c r="X110" s="20" t="str">
        <x:v>升力标定计算!M219</x:v>
      </x:c>
      <x:c r="Y110" s="20" t="str">
        <x:v>升力标定计算!M220</x:v>
      </x:c>
      <x:c r="Z110" s="20" t="str">
        <x:v>升力标定计算!N219</x:v>
      </x:c>
      <x:c r="AA110" s="20" t="str">
        <x:v>升力标定计算!N220</x:v>
      </x:c>
      <x:c r="AB110" s="20" t="str">
        <x:v>3000rpm!AU33:AT34</x:v>
      </x:c>
    </x:row>
    <x:row r="111">
      <x:c r="A111" s="21" t="n">
        <x:v>3000</x:v>
      </x:c>
      <x:c r="B111" s="21" t="n">
        <x:v>60</x:v>
      </x:c>
      <x:c r="C111" s="21" t="n">
        <x:v>14</x:v>
      </x:c>
      <x:c r="D111" s="22" t="n">
        <x:f>IFERROR('升力标定计算'!M221,"")</x:f>
        <x:v>0.3503647695211081</x:v>
      </x:c>
      <x:c r="E111" s="22" t="n">
        <x:f>IFERROR('升力标定计算'!M222,"")</x:f>
        <x:v>0.3432818167303302</x:v>
      </x:c>
      <x:c r="F111" s="22" t="n">
        <x:f>IF(AND(ISNUMBER(D111),ISNUMBER(E111)),AVERAGE(D111,E111),"")</x:f>
        <x:v>0.34682329312571913</x:v>
      </x:c>
      <x:c r="G111" s="22" t="n">
        <x:f>IFERROR('升力标定计算'!N221,"")</x:f>
        <x:v>0.04257173633740174</x:v>
      </x:c>
      <x:c r="H111" s="22" t="n">
        <x:f>IFERROR('升力标定计算'!N222,"")</x:f>
        <x:v>0.0439647899684472</x:v>
      </x:c>
      <x:c r="I111" s="22" t="n">
        <x:f>IF(AND(ISNUMBER(G111),ISNUMBER(H111)),AVERAGE(G111,H111),"")</x:f>
        <x:v>0.043268263152924466</x:v>
      </x:c>
      <x:c r="J111" s="22" t="n">
        <x:f>IFERROR('3000rpm'!AU25,"")</x:f>
        <x:v>0</x:v>
      </x:c>
      <x:c r="K111" s="22" t="n">
        <x:f>IFERROR('3000rpm'!AU35,"")</x:f>
        <x:v>0.4448818897637795</x:v>
      </x:c>
      <x:c r="L111" s="22" t="n">
        <x:f>IFERROR('3000rpm'!AU32,"")</x:f>
        <x:v>0.3114173228346457</x:v>
      </x:c>
      <x:c r="M111" s="22" t="n">
        <x:f>IFERROR('3000rpm'!AT32,"")</x:f>
        <x:v>0.04733551842088965</x:v>
      </x:c>
      <x:c r="N111" s="22" t="n">
        <x:f>IFERROR('3000rpm'!AU33,"")</x:f>
        <x:v>0.3559055118110237</x:v>
      </x:c>
      <x:c r="O111" s="22" t="n">
        <x:f>IFERROR('3000rpm'!AT33,"")</x:f>
        <x:v>0.04026928994492276</x:v>
      </x:c>
      <x:c r="P111" s="22" t="n">
        <x:f>IF(OR(NOT(AND(ISNUMBER(D111),ISNUMBER(E111),ISNUMBER(G111),ISNUMBER(H111))),OR(F111&lt;J111,F111&gt;K111)),"",IF(N111=L111,M111,M111+(F111-L111)*(O111-M111)/(N111-L111)))</x:f>
        <x:v>0.04171185332580423</x:v>
      </x:c>
      <x:c r="Q111" s="22" t="n">
        <x:f>IF(AND(ISNUMBER(I111),ISNUMBER(P111)),I111-P111,"")</x:f>
        <x:v>0.001556409827120235</x:v>
      </x:c>
      <x:c r="R111" s="22" t="n">
        <x:f>IF(ISNUMBER(Q111),ABS(Q111),"")</x:f>
        <x:v>0.001556409827120235</x:v>
      </x:c>
      <x:c r="S111" s="36" t="n">
        <x:f>IF(AND(ISNUMBER(Q111),ISNUMBER(P111)),IF(ABS(P111)&lt;1E-12,"",Q111/P111),"")</x:f>
        <x:v>0.037313370253855206</x:v>
      </x:c>
      <x:c r="T111" s="36" t="n">
        <x:f>IF(ISNUMBER(S111),ABS(S111),"")</x:f>
        <x:v>0.037313370253855206</x:v>
      </x:c>
      <x:c r="U111" s="37" t="n">
        <x:f>IF(ISNUMBER(Q111),Q111^2,"")</x:f>
        <x:v>0.00000242241154995644</x:v>
      </x:c>
      <x:c r="V111" s="21" t="str">
        <x:f>IF(NOT(AND(ISNUMBER(D111),ISNUMBER(E111),ISNUMBER(G111),ISNUMBER(H111))),"缺少配对",IF(OR(F111&lt;J111,F111&gt;K111),"超出理论J范围","有效"))</x:f>
        <x:v>有效</x:v>
      </x:c>
      <x:c r="W111" s="20" t="str">
        <x:v>升力 y=0.915708x+28.7687 → C_T_prop（原 C_T 字段映射）；实验攻角 60° ↔ 理论 alpha_p_deg 30°；原升力源 3000rpm!C128/M128</x:v>
      </x:c>
      <x:c r="X111" s="20" t="str">
        <x:v>升力标定计算!M221</x:v>
      </x:c>
      <x:c r="Y111" s="20" t="str">
        <x:v>升力标定计算!M222</x:v>
      </x:c>
      <x:c r="Z111" s="20" t="str">
        <x:v>升力标定计算!N221</x:v>
      </x:c>
      <x:c r="AA111" s="20" t="str">
        <x:v>升力标定计算!N222</x:v>
      </x:c>
      <x:c r="AB111" s="20" t="str">
        <x:v>3000rpm!AU32:AT33</x:v>
      </x:c>
    </x:row>
    <x:row r="112">
      <x:c r="A112" s="21" t="n">
        <x:v>3000</x:v>
      </x:c>
      <x:c r="B112" s="21" t="n">
        <x:v>60</x:v>
      </x:c>
      <x:c r="C112" s="21" t="n">
        <x:v>15</x:v>
      </x:c>
      <x:c r="D112" s="22" t="n">
        <x:f>IFERROR('升力标定计算'!M223,"")</x:f>
        <x:v>0.30951683287212856</x:v>
      </x:c>
      <x:c r="E112" s="22" t="n">
        <x:f>IFERROR('升力标定计算'!M224,"")</x:f>
        <x:v>0.2992782189588094</x:v>
      </x:c>
      <x:c r="F112" s="22" t="n">
        <x:f>IF(AND(ISNUMBER(D112),ISNUMBER(E112)),AVERAGE(D112,E112),"")</x:f>
        <x:v>0.304397525915469</x:v>
      </x:c>
      <x:c r="G112" s="22" t="n">
        <x:f>IFERROR('升力标定计算'!N223,"")</x:f>
        <x:v>0.04684334448521326</x:v>
      </x:c>
      <x:c r="H112" s="22" t="n">
        <x:f>IFERROR('升力标定计算'!N224,"")</x:f>
        <x:v>0.04752724519570894</x:v>
      </x:c>
      <x:c r="I112" s="22" t="n">
        <x:f>IF(AND(ISNUMBER(G112),ISNUMBER(H112)),AVERAGE(G112,H112),"")</x:f>
        <x:v>0.0471852948404611</x:v>
      </x:c>
      <x:c r="J112" s="22" t="n">
        <x:f>IFERROR('3000rpm'!AU25,"")</x:f>
        <x:v>0</x:v>
      </x:c>
      <x:c r="K112" s="22" t="n">
        <x:f>IFERROR('3000rpm'!AU35,"")</x:f>
        <x:v>0.4448818897637795</x:v>
      </x:c>
      <x:c r="L112" s="22" t="n">
        <x:f>IFERROR('3000rpm'!AU31,"")</x:f>
        <x:v>0.26692913385826766</x:v>
      </x:c>
      <x:c r="M112" s="22" t="n">
        <x:f>IFERROR('3000rpm'!AT31,"")</x:f>
        <x:v>0.05391039307360651</x:v>
      </x:c>
      <x:c r="N112" s="22" t="n">
        <x:f>IFERROR('3000rpm'!AU32,"")</x:f>
        <x:v>0.3114173228346457</x:v>
      </x:c>
      <x:c r="O112" s="22" t="n">
        <x:f>IFERROR('3000rpm'!AT32,"")</x:f>
        <x:v>0.04733551842088965</x:v>
      </x:c>
      <x:c r="P112" s="22" t="n">
        <x:f>IF(OR(NOT(AND(ISNUMBER(D112),ISNUMBER(E112),ISNUMBER(G112),ISNUMBER(H112))),OR(F112&lt;J112,F112&gt;K112)),"",IF(N112=L112,M112,M112+(F112-L112)*(O112-M112)/(N112-L112)))</x:f>
        <x:v>0.04837296871709347</x:v>
      </x:c>
      <x:c r="Q112" s="22" t="n">
        <x:f>IF(AND(ISNUMBER(I112),ISNUMBER(P112)),I112-P112,"")</x:f>
        <x:v>-0.001187673876632371</x:v>
      </x:c>
      <x:c r="R112" s="22" t="n">
        <x:f>IF(ISNUMBER(Q112),ABS(Q112),"")</x:f>
        <x:v>0.001187673876632371</x:v>
      </x:c>
      <x:c r="S112" s="36" t="n">
        <x:f>IF(AND(ISNUMBER(Q112),ISNUMBER(P112)),IF(ABS(P112)&lt;1E-12,"",Q112/P112),"")</x:f>
        <x:v>-0.024552428931505395</x:v>
      </x:c>
      <x:c r="T112" s="36" t="n">
        <x:f>IF(ISNUMBER(S112),ABS(S112),"")</x:f>
        <x:v>0.024552428931505395</x:v>
      </x:c>
      <x:c r="U112" s="37" t="n">
        <x:f>IF(ISNUMBER(Q112),Q112^2,"")</x:f>
        <x:v>0.0000014105692372349646</x:v>
      </x:c>
      <x:c r="V112" s="21" t="str">
        <x:f>IF(NOT(AND(ISNUMBER(D112),ISNUMBER(E112),ISNUMBER(G112),ISNUMBER(H112))),"缺少配对",IF(OR(F112&lt;J112,F112&gt;K112),"超出理论J范围","有效"))</x:f>
        <x:v>有效</x:v>
      </x:c>
      <x:c r="W112" s="20" t="str">
        <x:v>升力 y=0.915708x+28.7687 → C_T_prop（原 C_T 字段映射）；实验攻角 60° ↔ 理论 alpha_p_deg 30°；原升力源 3000rpm!C129/M129</x:v>
      </x:c>
      <x:c r="X112" s="20" t="str">
        <x:v>升力标定计算!M223</x:v>
      </x:c>
      <x:c r="Y112" s="20" t="str">
        <x:v>升力标定计算!M224</x:v>
      </x:c>
      <x:c r="Z112" s="20" t="str">
        <x:v>升力标定计算!N223</x:v>
      </x:c>
      <x:c r="AA112" s="20" t="str">
        <x:v>升力标定计算!N224</x:v>
      </x:c>
      <x:c r="AB112" s="20" t="str">
        <x:v>3000rpm!AU31:AT32</x:v>
      </x:c>
    </x:row>
    <x:row r="113">
      <x:c r="A113" s="21" t="n">
        <x:v>3000</x:v>
      </x:c>
      <x:c r="B113" s="21" t="n">
        <x:v>60</x:v>
      </x:c>
      <x:c r="C113" s="21" t="n">
        <x:v>16</x:v>
      </x:c>
      <x:c r="D113" s="22" t="n">
        <x:f>IFERROR('升力标定计算'!M225,"")</x:f>
        <x:v>0.26838741846735076</x:v>
      </x:c>
      <x:c r="E113" s="22" t="n">
        <x:f>IFERROR('升力标定计算'!M226,"")</x:f>
        <x:v>0.2591321254625019</x:v>
      </x:c>
      <x:c r="F113" s="22" t="n">
        <x:f>IF(AND(ISNUMBER(D113),ISNUMBER(E113)),AVERAGE(D113,E113),"")</x:f>
        <x:v>0.26375977196492634</x:v>
      </x:c>
      <x:c r="G113" s="22" t="n">
        <x:f>IFERROR('升力标定计算'!N225,"")</x:f>
        <x:v>0.05152356663264733</x:v>
      </x:c>
      <x:c r="H113" s="22" t="n">
        <x:f>IFERROR('升力标定计算'!N226,"")</x:f>
        <x:v>0.05182972382522318</x:v>
      </x:c>
      <x:c r="I113" s="22" t="n">
        <x:f>IF(AND(ISNUMBER(G113),ISNUMBER(H113)),AVERAGE(G113,H113),"")</x:f>
        <x:v>0.05167664522893525</x:v>
      </x:c>
      <x:c r="J113" s="22" t="n">
        <x:f>IFERROR('3000rpm'!AU25,"")</x:f>
        <x:v>0</x:v>
      </x:c>
      <x:c r="K113" s="22" t="n">
        <x:f>IFERROR('3000rpm'!AU35,"")</x:f>
        <x:v>0.4448818897637795</x:v>
      </x:c>
      <x:c r="L113" s="22" t="n">
        <x:f>IFERROR('3000rpm'!AU30,"")</x:f>
        <x:v>0.22244094488188976</x:v>
      </x:c>
      <x:c r="M113" s="22" t="n">
        <x:f>IFERROR('3000rpm'!AT30,"")</x:f>
        <x:v>0.05999879512122383</x:v>
      </x:c>
      <x:c r="N113" s="22" t="n">
        <x:f>IFERROR('3000rpm'!AU31,"")</x:f>
        <x:v>0.26692913385826766</x:v>
      </x:c>
      <x:c r="O113" s="22" t="n">
        <x:f>IFERROR('3000rpm'!AT31,"")</x:f>
        <x:v>0.05391039307360651</x:v>
      </x:c>
      <x:c r="P113" s="22" t="n">
        <x:f>IF(OR(NOT(AND(ISNUMBER(D113),ISNUMBER(E113),ISNUMBER(G113),ISNUMBER(H113))),OR(F113&lt;J113,F113&gt;K113)),"",IF(N113=L113,M113,M113+(F113-L113)*(O113-M113)/(N113-L113)))</x:f>
        <x:v>0.05434413402564449</x:v>
      </x:c>
      <x:c r="Q113" s="22" t="n">
        <x:f>IF(AND(ISNUMBER(I113),ISNUMBER(P113)),I113-P113,"")</x:f>
        <x:v>-0.002667488796709236</x:v>
      </x:c>
      <x:c r="R113" s="22" t="n">
        <x:f>IF(ISNUMBER(Q113),ABS(Q113),"")</x:f>
        <x:v>0.002667488796709236</x:v>
      </x:c>
      <x:c r="S113" s="36" t="n">
        <x:f>IF(AND(ISNUMBER(Q113),ISNUMBER(P113)),IF(ABS(P113)&lt;1E-12,"",Q113/P113),"")</x:f>
        <x:v>-0.04908512840503582</x:v>
      </x:c>
      <x:c r="T113" s="36" t="n">
        <x:f>IF(ISNUMBER(S113),ABS(S113),"")</x:f>
        <x:v>0.04908512840503582</x:v>
      </x:c>
      <x:c r="U113" s="37" t="n">
        <x:f>IF(ISNUMBER(Q113),Q113^2,"")</x:f>
        <x:v>0.000007115496480569287</x:v>
      </x:c>
      <x:c r="V113" s="21" t="str">
        <x:f>IF(NOT(AND(ISNUMBER(D113),ISNUMBER(E113),ISNUMBER(G113),ISNUMBER(H113))),"缺少配对",IF(OR(F113&lt;J113,F113&gt;K113),"超出理论J范围","有效"))</x:f>
        <x:v>有效</x:v>
      </x:c>
      <x:c r="W113" s="20" t="str">
        <x:v>升力 y=0.915708x+28.7687 → C_T_prop（原 C_T 字段映射）；实验攻角 60° ↔ 理论 alpha_p_deg 30°；原升力源 3000rpm!C130/M130</x:v>
      </x:c>
      <x:c r="X113" s="20" t="str">
        <x:v>升力标定计算!M225</x:v>
      </x:c>
      <x:c r="Y113" s="20" t="str">
        <x:v>升力标定计算!M226</x:v>
      </x:c>
      <x:c r="Z113" s="20" t="str">
        <x:v>升力标定计算!N225</x:v>
      </x:c>
      <x:c r="AA113" s="20" t="str">
        <x:v>升力标定计算!N226</x:v>
      </x:c>
      <x:c r="AB113" s="20" t="str">
        <x:v>3000rpm!AU30:AT31</x:v>
      </x:c>
    </x:row>
    <x:row r="114">
      <x:c r="A114" s="21" t="n">
        <x:v>3000</x:v>
      </x:c>
      <x:c r="B114" s="21" t="n">
        <x:v>60</x:v>
      </x:c>
      <x:c r="C114" s="21" t="n">
        <x:v>17</x:v>
      </x:c>
      <x:c r="D114" s="22" t="n">
        <x:f>IFERROR('升力标定计算'!M227,"")</x:f>
        <x:v>0.22297060342040984</x:v>
      </x:c>
      <x:c r="E114" s="22" t="n">
        <x:f>IFERROR('升力标定计算'!M228,"")</x:f>
        <x:v>0.2182686485149779</x:v>
      </x:c>
      <x:c r="F114" s="22" t="n">
        <x:f>IF(AND(ISNUMBER(D114),ISNUMBER(E114)),AVERAGE(D114,E114),"")</x:f>
        <x:v>0.22061962596769386</x:v>
      </x:c>
      <x:c r="G114" s="22" t="n">
        <x:f>IFERROR('升力标定计算'!N227,"")</x:f>
        <x:v>0.05466523260357025</x:v>
      </x:c>
      <x:c r="H114" s="22" t="n">
        <x:f>IFERROR('升力标定计算'!N228,"")</x:f>
        <x:v>0.05633030782087048</x:v>
      </x:c>
      <x:c r="I114" s="22" t="n">
        <x:f>IF(AND(ISNUMBER(G114),ISNUMBER(H114)),AVERAGE(G114,H114),"")</x:f>
        <x:v>0.05549777021222037</x:v>
      </x:c>
      <x:c r="J114" s="22" t="n">
        <x:f>IFERROR('3000rpm'!AU25,"")</x:f>
        <x:v>0</x:v>
      </x:c>
      <x:c r="K114" s="22" t="n">
        <x:f>IFERROR('3000rpm'!AU35,"")</x:f>
        <x:v>0.4448818897637795</x:v>
      </x:c>
      <x:c r="L114" s="22" t="n">
        <x:f>IFERROR('3000rpm'!AU29,"")</x:f>
        <x:v>0.17795275590551185</x:v>
      </x:c>
      <x:c r="M114" s="22" t="n">
        <x:f>IFERROR('3000rpm'!AT29,"")</x:f>
        <x:v>0.0655816917216793</x:v>
      </x:c>
      <x:c r="N114" s="22" t="n">
        <x:f>IFERROR('3000rpm'!AU30,"")</x:f>
        <x:v>0.22244094488188976</x:v>
      </x:c>
      <x:c r="O114" s="22" t="n">
        <x:f>IFERROR('3000rpm'!AT30,"")</x:f>
        <x:v>0.05999879512122383</x:v>
      </x:c>
      <x:c r="P114" s="22" t="n">
        <x:f>IF(OR(NOT(AND(ISNUMBER(D114),ISNUMBER(E114),ISNUMBER(G114),ISNUMBER(H114))),OR(F114&lt;J114,F114&gt;K114)),"",IF(N114=L114,M114,M114+(F114-L114)*(O114-M114)/(N114-L114)))</x:f>
        <x:v>0.06022735545169286</x:v>
      </x:c>
      <x:c r="Q114" s="22" t="n">
        <x:f>IF(AND(ISNUMBER(I114),ISNUMBER(P114)),I114-P114,"")</x:f>
        <x:v>-0.004729585239472492</x:v>
      </x:c>
      <x:c r="R114" s="22" t="n">
        <x:f>IF(ISNUMBER(Q114),ABS(Q114),"")</x:f>
        <x:v>0.004729585239472492</x:v>
      </x:c>
      <x:c r="S114" s="36" t="n">
        <x:f>IF(AND(ISNUMBER(Q114),ISNUMBER(P114)),IF(ABS(P114)&lt;1E-12,"",Q114/P114),"")</x:f>
        <x:v>-0.07852885460438316</x:v>
      </x:c>
      <x:c r="T114" s="36" t="n">
        <x:f>IF(ISNUMBER(S114),ABS(S114),"")</x:f>
        <x:v>0.07852885460438316</x:v>
      </x:c>
      <x:c r="U114" s="37" t="n">
        <x:f>IF(ISNUMBER(Q114),Q114^2,"")</x:f>
        <x:v>0.00002236897653743607</x:v>
      </x:c>
      <x:c r="V114" s="21" t="str">
        <x:f>IF(NOT(AND(ISNUMBER(D114),ISNUMBER(E114),ISNUMBER(G114),ISNUMBER(H114))),"缺少配对",IF(OR(F114&lt;J114,F114&gt;K114),"超出理论J范围","有效"))</x:f>
        <x:v>有效</x:v>
      </x:c>
      <x:c r="W114" s="20" t="str">
        <x:v>升力 y=0.915708x+28.7687 → C_T_prop（原 C_T 字段映射）；实验攻角 60° ↔ 理论 alpha_p_deg 30°；原升力源 3000rpm!C131/M131</x:v>
      </x:c>
      <x:c r="X114" s="20" t="str">
        <x:v>升力标定计算!M227</x:v>
      </x:c>
      <x:c r="Y114" s="20" t="str">
        <x:v>升力标定计算!M228</x:v>
      </x:c>
      <x:c r="Z114" s="20" t="str">
        <x:v>升力标定计算!N227</x:v>
      </x:c>
      <x:c r="AA114" s="20" t="str">
        <x:v>升力标定计算!N228</x:v>
      </x:c>
      <x:c r="AB114" s="20" t="str">
        <x:v>3000rpm!AU29:AT30</x:v>
      </x:c>
    </x:row>
    <x:row r="115">
      <x:c r="A115" s="21" t="n">
        <x:v>3000</x:v>
      </x:c>
      <x:c r="B115" s="21" t="n">
        <x:v>60</x:v>
      </x:c>
      <x:c r="C115" s="21" t="n">
        <x:v>18</x:v>
      </x:c>
      <x:c r="D115" s="22" t="n">
        <x:f>IFERROR('升力标定计算'!M229,"")</x:f>
        <x:v>0.1808254532824923</x:v>
      </x:c>
      <x:c r="E115" s="22" t="n">
        <x:f>IFERROR('升力标定计算'!M230,"")</x:f>
        <x:v>0.17472493558125146</x:v>
      </x:c>
      <x:c r="F115" s="22" t="n">
        <x:f>IF(AND(ISNUMBER(D115),ISNUMBER(E115)),AVERAGE(D115,E115),"")</x:f>
        <x:v>0.1777751944318719</x:v>
      </x:c>
      <x:c r="G115" s="22" t="n">
        <x:f>IFERROR('升力标定计算'!N229,"")</x:f>
        <x:v>0.059638417537702396</x:v>
      </x:c>
      <x:c r="H115" s="22" t="n">
        <x:f>IFERROR('升力标定计算'!N230,"")</x:f>
        <x:v>0.059879819425336184</x:v>
      </x:c>
      <x:c r="I115" s="22" t="n">
        <x:f>IF(AND(ISNUMBER(G115),ISNUMBER(H115)),AVERAGE(G115,H115),"")</x:f>
        <x:v>0.05975911848151929</x:v>
      </x:c>
      <x:c r="J115" s="22" t="n">
        <x:f>IFERROR('3000rpm'!AU25,"")</x:f>
        <x:v>0</x:v>
      </x:c>
      <x:c r="K115" s="22" t="n">
        <x:f>IFERROR('3000rpm'!AU35,"")</x:f>
        <x:v>0.4448818897637795</x:v>
      </x:c>
      <x:c r="L115" s="22" t="n">
        <x:f>IFERROR('3000rpm'!AU28,"")</x:f>
        <x:v>0.13346456692913383</x:v>
      </x:c>
      <x:c r="M115" s="22" t="n">
        <x:f>IFERROR('3000rpm'!AT28,"")</x:f>
        <x:v>0.07068765832533384</x:v>
      </x:c>
      <x:c r="N115" s="22" t="n">
        <x:f>IFERROR('3000rpm'!AU29,"")</x:f>
        <x:v>0.17795275590551185</x:v>
      </x:c>
      <x:c r="O115" s="22" t="n">
        <x:f>IFERROR('3000rpm'!AT29,"")</x:f>
        <x:v>0.0655816917216793</x:v>
      </x:c>
      <x:c r="P115" s="22" t="n">
        <x:f>IF(OR(NOT(AND(ISNUMBER(D115),ISNUMBER(E115),ISNUMBER(G115),ISNUMBER(H115))),OR(F115&lt;J115,F115&gt;K115)),"",IF(N115=L115,M115,M115+(F115-L115)*(O115-M115)/(N115-L115)))</x:f>
        <x:v>0.06560207068012561</x:v>
      </x:c>
      <x:c r="Q115" s="22" t="n">
        <x:f>IF(AND(ISNUMBER(I115),ISNUMBER(P115)),I115-P115,"")</x:f>
        <x:v>-0.005842952198606317</x:v>
      </x:c>
      <x:c r="R115" s="22" t="n">
        <x:f>IF(ISNUMBER(Q115),ABS(Q115),"")</x:f>
        <x:v>0.005842952198606317</x:v>
      </x:c>
      <x:c r="S115" s="36" t="n">
        <x:f>IF(AND(ISNUMBER(Q115),ISNUMBER(P115)),IF(ABS(P115)&lt;1E-12,"",Q115/P115),"")</x:f>
        <x:v>-0.08906658186288717</x:v>
      </x:c>
      <x:c r="T115" s="36" t="n">
        <x:f>IF(ISNUMBER(S115),ABS(S115),"")</x:f>
        <x:v>0.08906658186288717</x:v>
      </x:c>
      <x:c r="U115" s="37" t="n">
        <x:f>IF(ISNUMBER(Q115),Q115^2,"")</x:f>
        <x:v>0.000034140090395198395</x:v>
      </x:c>
      <x:c r="V115" s="21" t="str">
        <x:f>IF(NOT(AND(ISNUMBER(D115),ISNUMBER(E115),ISNUMBER(G115),ISNUMBER(H115))),"缺少配对",IF(OR(F115&lt;J115,F115&gt;K115),"超出理论J范围","有效"))</x:f>
        <x:v>有效</x:v>
      </x:c>
      <x:c r="W115" s="20" t="str">
        <x:v>升力 y=0.915708x+28.7687 → C_T_prop（原 C_T 字段映射）；实验攻角 60° ↔ 理论 alpha_p_deg 30°；原升力源 3000rpm!C132/M132</x:v>
      </x:c>
      <x:c r="X115" s="20" t="str">
        <x:v>升力标定计算!M229</x:v>
      </x:c>
      <x:c r="Y115" s="20" t="str">
        <x:v>升力标定计算!M230</x:v>
      </x:c>
      <x:c r="Z115" s="20" t="str">
        <x:v>升力标定计算!N229</x:v>
      </x:c>
      <x:c r="AA115" s="20" t="str">
        <x:v>升力标定计算!N230</x:v>
      </x:c>
      <x:c r="AB115" s="20" t="str">
        <x:v>3000rpm!AU28:AT29</x:v>
      </x:c>
    </x:row>
    <x:row r="116">
      <x:c r="A116" s="21" t="n">
        <x:v>3000</x:v>
      </x:c>
      <x:c r="B116" s="21" t="n">
        <x:v>60</x:v>
      </x:c>
      <x:c r="C116" s="21" t="n">
        <x:v>19</x:v>
      </x:c>
      <x:c r="D116" s="22" t="n">
        <x:f>IFERROR('升力标定计算'!M231,"")</x:f>
        <x:v>0.13611401203056103</x:v>
      </x:c>
      <x:c r="E116" s="22" t="n">
        <x:f>IFERROR('升力标定计算'!M232,"")</x:f>
        <x:v>0.1314808274584522</x:v>
      </x:c>
      <x:c r="F116" s="22" t="n">
        <x:f>IF(AND(ISNUMBER(D116),ISNUMBER(E116)),AVERAGE(D116,E116),"")</x:f>
        <x:v>0.1337974197445066</x:v>
      </x:c>
      <x:c r="G116" s="22" t="n">
        <x:f>IFERROR('升力标定计算'!N231,"")</x:f>
        <x:v>0.06392020765750972</x:v>
      </x:c>
      <x:c r="H116" s="22" t="n">
        <x:f>IFERROR('升力标定计算'!N232,"")</x:f>
        <x:v>0.06392732342810564</x:v>
      </x:c>
      <x:c r="I116" s="22" t="n">
        <x:f>IF(AND(ISNUMBER(G116),ISNUMBER(H116)),AVERAGE(G116,H116),"")</x:f>
        <x:v>0.06392376554280768</x:v>
      </x:c>
      <x:c r="J116" s="22" t="n">
        <x:f>IFERROR('3000rpm'!AU25,"")</x:f>
        <x:v>0</x:v>
      </x:c>
      <x:c r="K116" s="22" t="n">
        <x:f>IFERROR('3000rpm'!AU35,"")</x:f>
        <x:v>0.4448818897637795</x:v>
      </x:c>
      <x:c r="L116" s="22" t="n">
        <x:f>IFERROR('3000rpm'!AU28,"")</x:f>
        <x:v>0.13346456692913383</x:v>
      </x:c>
      <x:c r="M116" s="22" t="n">
        <x:f>IFERROR('3000rpm'!AT28,"")</x:f>
        <x:v>0.07068765832533384</x:v>
      </x:c>
      <x:c r="N116" s="22" t="n">
        <x:f>IFERROR('3000rpm'!AU29,"")</x:f>
        <x:v>0.17795275590551185</x:v>
      </x:c>
      <x:c r="O116" s="22" t="n">
        <x:f>IFERROR('3000rpm'!AT29,"")</x:f>
        <x:v>0.0655816917216793</x:v>
      </x:c>
      <x:c r="P116" s="22" t="n">
        <x:f>IF(OR(NOT(AND(ISNUMBER(D116),ISNUMBER(E116),ISNUMBER(G116),ISNUMBER(H116))),OR(F116&lt;J116,F116&gt;K116)),"",IF(N116=L116,M116,M116+(F116-L116)*(O116-M116)/(N116-L116)))</x:f>
        <x:v>0.07064945638009107</x:v>
      </x:c>
      <x:c r="Q116" s="22" t="n">
        <x:f>IF(AND(ISNUMBER(I116),ISNUMBER(P116)),I116-P116,"")</x:f>
        <x:v>-0.006725690837283388</x:v>
      </x:c>
      <x:c r="R116" s="22" t="n">
        <x:f>IF(ISNUMBER(Q116),ABS(Q116),"")</x:f>
        <x:v>0.006725690837283388</x:v>
      </x:c>
      <x:c r="S116" s="36" t="n">
        <x:f>IF(AND(ISNUMBER(Q116),ISNUMBER(P116)),IF(ABS(P116)&lt;1E-12,"",Q116/P116),"")</x:f>
        <x:v>-0.09519805504375656</x:v>
      </x:c>
      <x:c r="T116" s="36" t="n">
        <x:f>IF(ISNUMBER(S116),ABS(S116),"")</x:f>
        <x:v>0.09519805504375656</x:v>
      </x:c>
      <x:c r="U116" s="37" t="n">
        <x:f>IF(ISNUMBER(Q116),Q116^2,"")</x:f>
        <x:v>0.00004523491723871772</x:v>
      </x:c>
      <x:c r="V116" s="21" t="str">
        <x:f>IF(NOT(AND(ISNUMBER(D116),ISNUMBER(E116),ISNUMBER(G116),ISNUMBER(H116))),"缺少配对",IF(OR(F116&lt;J116,F116&gt;K116),"超出理论J范围","有效"))</x:f>
        <x:v>有效</x:v>
      </x:c>
      <x:c r="W116" s="20" t="str">
        <x:v>升力 y=0.915708x+28.7687 → C_T_prop（原 C_T 字段映射）；实验攻角 60° ↔ 理论 alpha_p_deg 30°；原升力源 3000rpm!C133/M133</x:v>
      </x:c>
      <x:c r="X116" s="20" t="str">
        <x:v>升力标定计算!M231</x:v>
      </x:c>
      <x:c r="Y116" s="20" t="str">
        <x:v>升力标定计算!M232</x:v>
      </x:c>
      <x:c r="Z116" s="20" t="str">
        <x:v>升力标定计算!N231</x:v>
      </x:c>
      <x:c r="AA116" s="20" t="str">
        <x:v>升力标定计算!N232</x:v>
      </x:c>
      <x:c r="AB116" s="20" t="str">
        <x:v>3000rpm!AU28:AT29</x:v>
      </x:c>
    </x:row>
    <x:row r="117">
      <x:c r="A117" s="21" t="n">
        <x:v>3000</x:v>
      </x:c>
      <x:c r="B117" s="21" t="n">
        <x:v>60</x:v>
      </x:c>
      <x:c r="C117" s="21" t="n">
        <x:v>20</x:v>
      </x:c>
      <x:c r="D117" s="22" t="n">
        <x:f>IFERROR('升力标定计算'!M233,"")</x:f>
        <x:v>0.09124052631805961</x:v>
      </x:c>
      <x:c r="E117" s="22" t="n">
        <x:f>IFERROR('升力标定计算'!M234,"")</x:f>
        <x:v>0.08872759418638346</x:v>
      </x:c>
      <x:c r="F117" s="22" t="n">
        <x:f>IF(AND(ISNUMBER(D117),ISNUMBER(E117)),AVERAGE(D117,E117),"")</x:f>
        <x:v>0.08998406025222153</x:v>
      </x:c>
      <x:c r="G117" s="22" t="n">
        <x:f>IFERROR('升力标定计算'!N233,"")</x:f>
        <x:v>0.06839972172365225</x:v>
      </x:c>
      <x:c r="H117" s="22" t="n">
        <x:f>IFERROR('升力标定计算'!N234,"")</x:f>
        <x:v>0.06927986456892983</x:v>
      </x:c>
      <x:c r="I117" s="22" t="n">
        <x:f>IF(AND(ISNUMBER(G117),ISNUMBER(H117)),AVERAGE(G117,H117),"")</x:f>
        <x:v>0.06883979314629105</x:v>
      </x:c>
      <x:c r="J117" s="22" t="n">
        <x:f>IFERROR('3000rpm'!AU25,"")</x:f>
        <x:v>0</x:v>
      </x:c>
      <x:c r="K117" s="22" t="n">
        <x:f>IFERROR('3000rpm'!AU35,"")</x:f>
        <x:v>0.4448818897637795</x:v>
      </x:c>
      <x:c r="L117" s="22" t="n">
        <x:f>IFERROR('3000rpm'!AU27,"")</x:f>
        <x:v>0.08897637795275593</x:v>
      </x:c>
      <x:c r="M117" s="22" t="n">
        <x:f>IFERROR('3000rpm'!AT27,"")</x:f>
        <x:v>0.07541729429477105</x:v>
      </x:c>
      <x:c r="N117" s="22" t="n">
        <x:f>IFERROR('3000rpm'!AU28,"")</x:f>
        <x:v>0.13346456692913383</x:v>
      </x:c>
      <x:c r="O117" s="22" t="n">
        <x:f>IFERROR('3000rpm'!AT28,"")</x:f>
        <x:v>0.07068765832533384</x:v>
      </x:c>
      <x:c r="P117" s="22" t="n">
        <x:f>IF(OR(NOT(AND(ISNUMBER(D117),ISNUMBER(E117),ISNUMBER(G117),ISNUMBER(H117))),OR(F117&lt;J117,F117&gt;K117)),"",IF(N117=L117,M117,M117+(F117-L117)*(O117-M117)/(N117-L117)))</x:f>
        <x:v>0.0753101654014855</x:v>
      </x:c>
      <x:c r="Q117" s="22" t="n">
        <x:f>IF(AND(ISNUMBER(I117),ISNUMBER(P117)),I117-P117,"")</x:f>
        <x:v>-0.006470372255194451</x:v>
      </x:c>
      <x:c r="R117" s="22" t="n">
        <x:f>IF(ISNUMBER(Q117),ABS(Q117),"")</x:f>
        <x:v>0.006470372255194451</x:v>
      </x:c>
      <x:c r="S117" s="36" t="n">
        <x:f>IF(AND(ISNUMBER(Q117),ISNUMBER(P117)),IF(ABS(P117)&lt;1E-12,"",Q117/P117),"")</x:f>
        <x:v>-0.08591631980490674</x:v>
      </x:c>
      <x:c r="T117" s="36" t="n">
        <x:f>IF(ISNUMBER(S117),ABS(S117),"")</x:f>
        <x:v>0.08591631980490674</x:v>
      </x:c>
      <x:c r="U117" s="37" t="n">
        <x:f>IF(ISNUMBER(Q117),Q117^2,"")</x:f>
        <x:v>0.000041865717120790125</x:v>
      </x:c>
      <x:c r="V117" s="21" t="str">
        <x:f>IF(NOT(AND(ISNUMBER(D117),ISNUMBER(E117),ISNUMBER(G117),ISNUMBER(H117))),"缺少配对",IF(OR(F117&lt;J117,F117&gt;K117),"超出理论J范围","有效"))</x:f>
        <x:v>有效</x:v>
      </x:c>
      <x:c r="W117" s="20" t="str">
        <x:v>升力 y=0.915708x+28.7687 → C_T_prop（原 C_T 字段映射）；实验攻角 60° ↔ 理论 alpha_p_deg 30°；原升力源 3000rpm!C134/M134</x:v>
      </x:c>
      <x:c r="X117" s="20" t="str">
        <x:v>升力标定计算!M233</x:v>
      </x:c>
      <x:c r="Y117" s="20" t="str">
        <x:v>升力标定计算!M234</x:v>
      </x:c>
      <x:c r="Z117" s="20" t="str">
        <x:v>升力标定计算!N233</x:v>
      </x:c>
      <x:c r="AA117" s="20" t="str">
        <x:v>升力标定计算!N234</x:v>
      </x:c>
      <x:c r="AB117" s="20" t="str">
        <x:v>3000rpm!AU27:AT28</x:v>
      </x:c>
    </x:row>
    <x:row r="118">
      <x:c r="A118" s="21" t="n">
        <x:v>3000</x:v>
      </x:c>
      <x:c r="B118" s="21" t="n">
        <x:v>60</x:v>
      </x:c>
      <x:c r="C118" s="21" t="n">
        <x:v>21</x:v>
      </x:c>
      <x:c r="D118" s="22" t="n">
        <x:f>IFERROR('升力标定计算'!M235,"")</x:f>
        <x:v>0.04639901601511358</x:v>
      </x:c>
      <x:c r="E118" s="22" t="n">
        <x:f>IFERROR('升力标定计算'!M236,"")</x:f>
        <x:v>0.044176396714314184</x:v>
      </x:c>
      <x:c r="F118" s="22" t="n">
        <x:f>IF(AND(ISNUMBER(D118),ISNUMBER(E118)),AVERAGE(D118,E118),"")</x:f>
        <x:v>0.04528770636471388</x:v>
      </x:c>
      <x:c r="G118" s="22" t="n">
        <x:f>IFERROR('升力标定计算'!N235,"")</x:f>
        <x:v>0.07413193677171394</x:v>
      </x:c>
      <x:c r="H118" s="22" t="n">
        <x:f>IFERROR('升力标定计算'!N236,"")</x:f>
        <x:v>0.07344715747452266</x:v>
      </x:c>
      <x:c r="I118" s="22" t="n">
        <x:f>IF(AND(ISNUMBER(G118),ISNUMBER(H118)),AVERAGE(G118,H118),"")</x:f>
        <x:v>0.0737895471231183</x:v>
      </x:c>
      <x:c r="J118" s="22" t="n">
        <x:f>IFERROR('3000rpm'!AU25,"")</x:f>
        <x:v>0</x:v>
      </x:c>
      <x:c r="K118" s="22" t="n">
        <x:f>IFERROR('3000rpm'!AU35,"")</x:f>
        <x:v>0.4448818897637795</x:v>
      </x:c>
      <x:c r="L118" s="22" t="n">
        <x:f>IFERROR('3000rpm'!AU26,"")</x:f>
        <x:v>0.04448818897637796</x:v>
      </x:c>
      <x:c r="M118" s="22" t="n">
        <x:f>IFERROR('3000rpm'!AT26,"")</x:f>
        <x:v>0.07984072539162981</x:v>
      </x:c>
      <x:c r="N118" s="22" t="n">
        <x:f>IFERROR('3000rpm'!AU27,"")</x:f>
        <x:v>0.08897637795275593</x:v>
      </x:c>
      <x:c r="O118" s="22" t="n">
        <x:f>IFERROR('3000rpm'!AT27,"")</x:f>
        <x:v>0.07541729429477105</x:v>
      </x:c>
      <x:c r="P118" s="22" t="n">
        <x:f>IF(OR(NOT(AND(ISNUMBER(D118),ISNUMBER(E118),ISNUMBER(G118),ISNUMBER(H118))),OR(F118&lt;J118,F118&gt;K118)),"",IF(N118=L118,M118,M118+(F118-L118)*(O118-M118)/(N118-L118)))</x:f>
        <x:v>0.07976122990845962</x:v>
      </x:c>
      <x:c r="Q118" s="22" t="n">
        <x:f>IF(AND(ISNUMBER(I118),ISNUMBER(P118)),I118-P118,"")</x:f>
        <x:v>-0.005971682785341312</x:v>
      </x:c>
      <x:c r="R118" s="22" t="n">
        <x:f>IF(ISNUMBER(Q118),ABS(Q118),"")</x:f>
        <x:v>0.005971682785341312</x:v>
      </x:c>
      <x:c r="S118" s="36" t="n">
        <x:f>IF(AND(ISNUMBER(Q118),ISNUMBER(P118)),IF(ABS(P118)&lt;1E-12,"",Q118/P118),"")</x:f>
        <x:v>-0.074869492260775</x:v>
      </x:c>
      <x:c r="T118" s="36" t="n">
        <x:f>IF(ISNUMBER(S118),ABS(S118),"")</x:f>
        <x:v>0.074869492260775</x:v>
      </x:c>
      <x:c r="U118" s="37" t="n">
        <x:f>IF(ISNUMBER(Q118),Q118^2,"")</x:f>
        <x:v>0.00003566099528874177</x:v>
      </x:c>
      <x:c r="V118" s="21" t="str">
        <x:f>IF(NOT(AND(ISNUMBER(D118),ISNUMBER(E118),ISNUMBER(G118),ISNUMBER(H118))),"缺少配对",IF(OR(F118&lt;J118,F118&gt;K118),"超出理论J范围","有效"))</x:f>
        <x:v>有效</x:v>
      </x:c>
      <x:c r="W118" s="20" t="str">
        <x:v>升力 y=0.915708x+28.7687 → C_T_prop（原 C_T 字段映射）；实验攻角 60° ↔ 理论 alpha_p_deg 30°；原升力源 3000rpm!C135/M135</x:v>
      </x:c>
      <x:c r="X118" s="20" t="str">
        <x:v>升力标定计算!M235</x:v>
      </x:c>
      <x:c r="Y118" s="20" t="str">
        <x:v>升力标定计算!M236</x:v>
      </x:c>
      <x:c r="Z118" s="20" t="str">
        <x:v>升力标定计算!N235</x:v>
      </x:c>
      <x:c r="AA118" s="20" t="str">
        <x:v>升力标定计算!N236</x:v>
      </x:c>
      <x:c r="AB118" s="20" t="str">
        <x:v>3000rpm!AU26:AT27</x:v>
      </x:c>
    </x:row>
    <x:row r="119">
      <x:c r="A119" s="21" t="n">
        <x:v>3000</x:v>
      </x:c>
      <x:c r="B119" s="21" t="n">
        <x:v>60</x:v>
      </x:c>
      <x:c r="C119" s="21" t="n">
        <x:v>22</x:v>
      </x:c>
      <x:c r="D119" s="22" t="n">
        <x:f>IFERROR('升力标定计算'!M237,"")</x:f>
        <x:v>0.010221424575086076</x:v>
      </x:c>
      <x:c r="E119" s="22" t="n">
        <x:f>IFERROR('升力标定计算'!M238,"")</x:f>
        <x:v>0.010354171000218916</x:v>
      </x:c>
      <x:c r="F119" s="22" t="n">
        <x:f>IF(AND(ISNUMBER(D119),ISNUMBER(E119)),AVERAGE(D119,E119),"")</x:f>
        <x:v>0.010287797787652497</x:v>
      </x:c>
      <x:c r="G119" s="22" t="n">
        <x:f>IFERROR('升力标定计算'!N237,"")</x:f>
        <x:v>0.07484254434545959</x:v>
      </x:c>
      <x:c r="H119" s="22" t="n">
        <x:f>IFERROR('升力标定计算'!N238,"")</x:f>
        <x:v>0.07814579557385416</x:v>
      </x:c>
      <x:c r="I119" s="22" t="n">
        <x:f>IF(AND(ISNUMBER(G119),ISNUMBER(H119)),AVERAGE(G119,H119),"")</x:f>
        <x:v>0.07649416995965688</x:v>
      </x:c>
      <x:c r="J119" s="22" t="n">
        <x:f>IFERROR('3000rpm'!AU25,"")</x:f>
        <x:v>0</x:v>
      </x:c>
      <x:c r="K119" s="22" t="n">
        <x:f>IFERROR('3000rpm'!AU35,"")</x:f>
        <x:v>0.4448818897637795</x:v>
      </x:c>
      <x:c r="L119" s="22" t="n">
        <x:f>IFERROR('3000rpm'!AU25,"")</x:f>
        <x:v>0</x:v>
      </x:c>
      <x:c r="M119" s="22" t="n">
        <x:f>IFERROR('3000rpm'!AT25,"")</x:f>
        <x:v>0.0846729215675782</x:v>
      </x:c>
      <x:c r="N119" s="22" t="n">
        <x:f>IFERROR('3000rpm'!AU26,"")</x:f>
        <x:v>0.04448818897637796</x:v>
      </x:c>
      <x:c r="O119" s="22" t="n">
        <x:f>IFERROR('3000rpm'!AT26,"")</x:f>
        <x:v>0.07984072539162981</x:v>
      </x:c>
      <x:c r="P119" s="22" t="n">
        <x:f>IF(OR(NOT(AND(ISNUMBER(D119),ISNUMBER(E119),ISNUMBER(G119),ISNUMBER(H119))),OR(F119&lt;J119,F119&gt;K119)),"",IF(N119=L119,M119,M119+(F119-L119)*(O119-M119)/(N119-L119)))</x:f>
        <x:v>0.08355548661973573</x:v>
      </x:c>
      <x:c r="Q119" s="22" t="n">
        <x:f>IF(AND(ISNUMBER(I119),ISNUMBER(P119)),I119-P119,"")</x:f>
        <x:v>-0.007061316660078851</x:v>
      </x:c>
      <x:c r="R119" s="22" t="n">
        <x:f>IF(ISNUMBER(Q119),ABS(Q119),"")</x:f>
        <x:v>0.007061316660078851</x:v>
      </x:c>
      <x:c r="S119" s="36" t="n">
        <x:f>IF(AND(ISNUMBER(Q119),ISNUMBER(P119)),IF(ABS(P119)&lt;1E-12,"",Q119/P119),"")</x:f>
        <x:v>-0.08451050847462808</x:v>
      </x:c>
      <x:c r="T119" s="36" t="n">
        <x:f>IF(ISNUMBER(S119),ABS(S119),"")</x:f>
        <x:v>0.08451050847462808</x:v>
      </x:c>
      <x:c r="U119" s="37" t="n">
        <x:f>IF(ISNUMBER(Q119),Q119^2,"")</x:f>
        <x:v>0.000049862192973907136</x:v>
      </x:c>
      <x:c r="V119" s="21" t="str">
        <x:f>IF(NOT(AND(ISNUMBER(D119),ISNUMBER(E119),ISNUMBER(G119),ISNUMBER(H119))),"缺少配对",IF(OR(F119&lt;J119,F119&gt;K119),"超出理论J范围","有效"))</x:f>
        <x:v>有效</x:v>
      </x:c>
      <x:c r="W119" s="20" t="str">
        <x:v>升力 y=0.915708x+28.7687 → C_T_prop（原 C_T 字段映射）；实验攻角 60° ↔ 理论 alpha_p_deg 30°；原升力源 3000rpm!C136/M136</x:v>
      </x:c>
      <x:c r="X119" s="20" t="str">
        <x:v>升力标定计算!M237</x:v>
      </x:c>
      <x:c r="Y119" s="20" t="str">
        <x:v>升力标定计算!M238</x:v>
      </x:c>
      <x:c r="Z119" s="20" t="str">
        <x:v>升力标定计算!N237</x:v>
      </x:c>
      <x:c r="AA119" s="20" t="str">
        <x:v>升力标定计算!N238</x:v>
      </x:c>
      <x:c r="AB119" s="20" t="str">
        <x:v>3000rpm!AU25:AT26</x:v>
      </x:c>
    </x:row>
    <x:row r="120">
      <x:c r="A120" s="21" t="n">
        <x:v>3000</x:v>
      </x:c>
      <x:c r="B120" s="21" t="n">
        <x:v>60</x:v>
      </x:c>
      <x:c r="C120" s="21" t="n">
        <x:v>23</x:v>
      </x:c>
      <x:c r="D120" s="22" t="str">
        <x:f>IFERROR('升力标定计算'!M239,"")</x:f>
      </x:c>
      <x:c r="E120" s="22" t="str">
        <x:f>IFERROR('升力标定计算'!M240,"")</x:f>
      </x:c>
      <x:c r="F120" s="22" t="str">
        <x:f>IF(AND(ISNUMBER(D120),ISNUMBER(E120)),AVERAGE(D120,E120),"")</x:f>
      </x:c>
      <x:c r="G120" s="22" t="str">
        <x:f>IFERROR('升力标定计算'!N239,"")</x:f>
      </x:c>
      <x:c r="H120" s="22" t="str">
        <x:f>IFERROR('升力标定计算'!N240,"")</x:f>
      </x:c>
      <x:c r="I120" s="22" t="str">
        <x:f>IF(AND(ISNUMBER(G120),ISNUMBER(H120)),AVERAGE(G120,H120),"")</x:f>
      </x:c>
      <x:c r="J120" s="22" t="n">
        <x:f>IFERROR('3000rpm'!AU25,"")</x:f>
        <x:v>0</x:v>
      </x:c>
      <x:c r="K120" s="22" t="n">
        <x:f>IFERROR('3000rpm'!AU35,"")</x:f>
        <x:v>0.4448818897637795</x:v>
      </x:c>
      <x:c r="L120" s="22" t="n">
        <x:f>IFERROR('3000rpm'!AU25,"")</x:f>
        <x:v>0</x:v>
      </x:c>
      <x:c r="M120" s="22" t="n">
        <x:f>IFERROR('3000rpm'!AT25,"")</x:f>
        <x:v>0.0846729215675782</x:v>
      </x:c>
      <x:c r="N120" s="22" t="n">
        <x:f>IFERROR('3000rpm'!AU35,"")</x:f>
        <x:v>0.4448818897637795</x:v>
      </x:c>
      <x:c r="O120" s="22" t="n">
        <x:f>IFERROR('3000rpm'!AT35,"")</x:f>
        <x:v>0.025032401236631672</x:v>
      </x:c>
      <x:c r="P120" s="22" t="str">
        <x:f>IF(OR(NOT(AND(ISNUMBER(D120),ISNUMBER(E120),ISNUMBER(G120),ISNUMBER(H120))),OR(F120&lt;J120,F120&gt;K120)),"",IF(N120=L120,M120,M120+(F120-L120)*(O120-M120)/(N120-L120)))</x:f>
      </x:c>
      <x:c r="Q120" s="22" t="str">
        <x:f>IF(AND(ISNUMBER(I120),ISNUMBER(P120)),I120-P120,"")</x:f>
      </x:c>
      <x:c r="R120" s="22" t="str">
        <x:f>IF(ISNUMBER(Q120),ABS(Q120),"")</x:f>
      </x:c>
      <x:c r="S120" s="36" t="str">
        <x:f>IF(AND(ISNUMBER(Q120),ISNUMBER(P120)),IF(ABS(P120)&lt;1E-12,"",Q120/P120),"")</x:f>
      </x:c>
      <x:c r="T120" s="36" t="str">
        <x:f>IF(ISNUMBER(S120),ABS(S120),"")</x:f>
      </x:c>
      <x:c r="U120" s="37" t="str">
        <x:f>IF(ISNUMBER(Q120),Q120^2,"")</x:f>
      </x:c>
      <x:c r="V120" s="21" t="str">
        <x:f>IF(NOT(AND(ISNUMBER(D120),ISNUMBER(E120),ISNUMBER(G120),ISNUMBER(H120))),"缺少配对",IF(OR(F120&lt;J120,F120&gt;K120),"超出理论J范围","有效"))</x:f>
        <x:v>缺少配对</x:v>
      </x:c>
      <x:c r="W120" s="20" t="str">
        <x:v>升力 y=0.915708x+28.7687 → C_T_prop（原 C_T 字段映射）；实验攻角 60° ↔ 理论 alpha_p_deg 30°；原升力源 3000rpm!C137/M137</x:v>
      </x:c>
      <x:c r="X120" s="20" t="str">
        <x:v>升力标定计算!M239</x:v>
      </x:c>
      <x:c r="Y120" s="20" t="str">
        <x:v>升力标定计算!M240</x:v>
      </x:c>
      <x:c r="Z120" s="20" t="str">
        <x:v>升力标定计算!N239</x:v>
      </x:c>
      <x:c r="AA120" s="20" t="str">
        <x:v>升力标定计算!N240</x:v>
      </x:c>
      <x:c r="AB120" s="20" t="str">
        <x:v>3000rpm!AU25:AT35</x:v>
      </x:c>
    </x:row>
    <x:row r="121">
      <x:c r="A121" s="21" t="n">
        <x:v>3000</x:v>
      </x:c>
      <x:c r="B121" s="21" t="n">
        <x:v>75</x:v>
      </x:c>
      <x:c r="C121" s="21" t="n">
        <x:v>1</x:v>
      </x:c>
      <x:c r="D121" s="22" t="str">
        <x:f>IFERROR('升力标定计算'!M241,"")</x:f>
      </x:c>
      <x:c r="E121" s="22" t="str">
        <x:f>IFERROR('升力标定计算'!M242,"")</x:f>
      </x:c>
      <x:c r="F121" s="22" t="str">
        <x:f>IF(AND(ISNUMBER(D121),ISNUMBER(E121)),AVERAGE(D121,E121),"")</x:f>
      </x:c>
      <x:c r="G121" s="22" t="str">
        <x:f>IFERROR('升力标定计算'!N241,"")</x:f>
      </x:c>
      <x:c r="H121" s="22" t="str">
        <x:f>IFERROR('升力标定计算'!N242,"")</x:f>
      </x:c>
      <x:c r="I121" s="22" t="str">
        <x:f>IF(AND(ISNUMBER(G121),ISNUMBER(H121)),AVERAGE(G121,H121),"")</x:f>
      </x:c>
      <x:c r="J121" s="22" t="n">
        <x:f>IFERROR('3000rpm'!AU14,"")</x:f>
        <x:v>0</x:v>
      </x:c>
      <x:c r="K121" s="22" t="n">
        <x:f>IFERROR('3000rpm'!AU24,"")</x:f>
        <x:v>0.4448818897637795</x:v>
      </x:c>
      <x:c r="L121" s="22" t="n">
        <x:f>IFERROR('3000rpm'!AU14,"")</x:f>
        <x:v>0</x:v>
      </x:c>
      <x:c r="M121" s="22" t="n">
        <x:f>IFERROR('3000rpm'!AT14,"")</x:f>
        <x:v>0.0846729215675782</x:v>
      </x:c>
      <x:c r="N121" s="22" t="n">
        <x:f>IFERROR('3000rpm'!AU24,"")</x:f>
        <x:v>0.4448818897637795</x:v>
      </x:c>
      <x:c r="O121" s="22" t="n">
        <x:f>IFERROR('3000rpm'!AT24,"")</x:f>
        <x:v>0.013962627096064105</x:v>
      </x:c>
      <x:c r="P121" s="22" t="str">
        <x:f>IF(OR(NOT(AND(ISNUMBER(D121),ISNUMBER(E121),ISNUMBER(G121),ISNUMBER(H121))),OR(F121&lt;J121,F121&gt;K121)),"",IF(N121=L121,M121,M121+(F121-L121)*(O121-M121)/(N121-L121)))</x:f>
      </x:c>
      <x:c r="Q121" s="22" t="str">
        <x:f>IF(AND(ISNUMBER(I121),ISNUMBER(P121)),I121-P121,"")</x:f>
      </x:c>
      <x:c r="R121" s="22" t="str">
        <x:f>IF(ISNUMBER(Q121),ABS(Q121),"")</x:f>
      </x:c>
      <x:c r="S121" s="36" t="str">
        <x:f>IF(AND(ISNUMBER(Q121),ISNUMBER(P121)),IF(ABS(P121)&lt;1E-12,"",Q121/P121),"")</x:f>
      </x:c>
      <x:c r="T121" s="36" t="str">
        <x:f>IF(ISNUMBER(S121),ABS(S121),"")</x:f>
      </x:c>
      <x:c r="U121" s="37" t="str">
        <x:f>IF(ISNUMBER(Q121),Q121^2,"")</x:f>
      </x:c>
      <x:c r="V121" s="21" t="str">
        <x:f>IF(NOT(AND(ISNUMBER(D121),ISNUMBER(E121),ISNUMBER(G121),ISNUMBER(H121))),"缺少配对",IF(OR(F121&lt;J121,F121&gt;K121),"超出理论J范围","有效"))</x:f>
        <x:v>缺少配对</x:v>
      </x:c>
      <x:c r="W121" s="20" t="str">
        <x:v>升力 y=0.915708x+28.7687 → C_T_prop（原 C_T 字段映射）；实验攻角 75° ↔ 理论 alpha_p_deg 15°；原升力源 3000rpm!D144/N144</x:v>
      </x:c>
      <x:c r="X121" s="20" t="str">
        <x:v>升力标定计算!M241</x:v>
      </x:c>
      <x:c r="Y121" s="20" t="str">
        <x:v>升力标定计算!M242</x:v>
      </x:c>
      <x:c r="Z121" s="20" t="str">
        <x:v>升力标定计算!N241</x:v>
      </x:c>
      <x:c r="AA121" s="20" t="str">
        <x:v>升力标定计算!N242</x:v>
      </x:c>
      <x:c r="AB121" s="20" t="str">
        <x:v>3000rpm!AU14:AT24</x:v>
      </x:c>
    </x:row>
    <x:row r="122">
      <x:c r="A122" s="21" t="n">
        <x:v>3000</x:v>
      </x:c>
      <x:c r="B122" s="21" t="n">
        <x:v>75</x:v>
      </x:c>
      <x:c r="C122" s="21" t="n">
        <x:v>2</x:v>
      </x:c>
      <x:c r="D122" s="22" t="n">
        <x:f>IFERROR('升力标定计算'!M243,"")</x:f>
        <x:v>0.004701009624743484</x:v>
      </x:c>
      <x:c r="E122" s="22" t="n">
        <x:f>IFERROR('升力标定计算'!M244,"")</x:f>
        <x:v>0.004641072033485924</x:v>
      </x:c>
      <x:c r="F122" s="22" t="n">
        <x:f>IF(AND(ISNUMBER(D122),ISNUMBER(E122)),AVERAGE(D122,E122),"")</x:f>
        <x:v>0.0046710408291147035</x:v>
      </x:c>
      <x:c r="G122" s="22" t="n">
        <x:f>IFERROR('升力标定计算'!N243,"")</x:f>
        <x:v>0.07500128956154604</x:v>
      </x:c>
      <x:c r="H122" s="22" t="n">
        <x:f>IFERROR('升力标定计算'!N244,"")</x:f>
        <x:v>0.07523873025179892</x:v>
      </x:c>
      <x:c r="I122" s="22" t="n">
        <x:f>IF(AND(ISNUMBER(G122),ISNUMBER(H122)),AVERAGE(G122,H122),"")</x:f>
        <x:v>0.07512000990667247</x:v>
      </x:c>
      <x:c r="J122" s="22" t="n">
        <x:f>IFERROR('3000rpm'!AU14,"")</x:f>
        <x:v>0</x:v>
      </x:c>
      <x:c r="K122" s="22" t="n">
        <x:f>IFERROR('3000rpm'!AU24,"")</x:f>
        <x:v>0.4448818897637795</x:v>
      </x:c>
      <x:c r="L122" s="22" t="n">
        <x:f>IFERROR('3000rpm'!AU14,"")</x:f>
        <x:v>0</x:v>
      </x:c>
      <x:c r="M122" s="22" t="n">
        <x:f>IFERROR('3000rpm'!AT14,"")</x:f>
        <x:v>0.0846729215675782</x:v>
      </x:c>
      <x:c r="N122" s="22" t="n">
        <x:f>IFERROR('3000rpm'!AU15,"")</x:f>
        <x:v>0.04448818897637796</x:v>
      </x:c>
      <x:c r="O122" s="22" t="n">
        <x:f>IFERROR('3000rpm'!AT15,"")</x:f>
        <x:v>0.07918829994838127</x:v>
      </x:c>
      <x:c r="P122" s="22" t="n">
        <x:f>IF(OR(NOT(AND(ISNUMBER(D122),ISNUMBER(E122),ISNUMBER(G122),ISNUMBER(H122))),OR(F122&lt;J122,F122&gt;K122)),"",IF(N122=L122,M122,M122+(F122-L122)*(O122-M122)/(N122-L122)))</x:f>
        <x:v>0.08409706329811444</x:v>
      </x:c>
      <x:c r="Q122" s="22" t="n">
        <x:f>IF(AND(ISNUMBER(I122),ISNUMBER(P122)),I122-P122,"")</x:f>
        <x:v>-0.008977053391441961</x:v>
      </x:c>
      <x:c r="R122" s="22" t="n">
        <x:f>IF(ISNUMBER(Q122),ABS(Q122),"")</x:f>
        <x:v>0.008977053391441961</x:v>
      </x:c>
      <x:c r="S122" s="36" t="n">
        <x:f>IF(AND(ISNUMBER(Q122),ISNUMBER(P122)),IF(ABS(P122)&lt;1E-12,"",Q122/P122),"")</x:f>
        <x:v>-0.10674633619035348</x:v>
      </x:c>
      <x:c r="T122" s="36" t="n">
        <x:f>IF(ISNUMBER(S122),ABS(S122),"")</x:f>
        <x:v>0.10674633619035348</x:v>
      </x:c>
      <x:c r="U122" s="37" t="n">
        <x:f>IF(ISNUMBER(Q122),Q122^2,"")</x:f>
        <x:v>0.00008058748759279961</x:v>
      </x:c>
      <x:c r="V122" s="21" t="str">
        <x:f>IF(NOT(AND(ISNUMBER(D122),ISNUMBER(E122),ISNUMBER(G122),ISNUMBER(H122))),"缺少配对",IF(OR(F122&lt;J122,F122&gt;K122),"超出理论J范围","有效"))</x:f>
        <x:v>有效</x:v>
      </x:c>
      <x:c r="W122" s="20" t="str">
        <x:v>升力 y=0.915708x+28.7687 → C_T_prop（原 C_T 字段映射）；实验攻角 75° ↔ 理论 alpha_p_deg 15°；原升力源 3000rpm!D145/N145</x:v>
      </x:c>
      <x:c r="X122" s="20" t="str">
        <x:v>升力标定计算!M243</x:v>
      </x:c>
      <x:c r="Y122" s="20" t="str">
        <x:v>升力标定计算!M244</x:v>
      </x:c>
      <x:c r="Z122" s="20" t="str">
        <x:v>升力标定计算!N243</x:v>
      </x:c>
      <x:c r="AA122" s="20" t="str">
        <x:v>升力标定计算!N244</x:v>
      </x:c>
      <x:c r="AB122" s="20" t="str">
        <x:v>3000rpm!AU14:AT15</x:v>
      </x:c>
    </x:row>
    <x:row r="123">
      <x:c r="A123" s="21" t="n">
        <x:v>3000</x:v>
      </x:c>
      <x:c r="B123" s="21" t="n">
        <x:v>75</x:v>
      </x:c>
      <x:c r="C123" s="21" t="n">
        <x:v>3</x:v>
      </x:c>
      <x:c r="D123" s="22" t="n">
        <x:f>IFERROR('升力标定计算'!M245,"")</x:f>
        <x:v>0.04302233033684923</x:v>
      </x:c>
      <x:c r="E123" s="22" t="n">
        <x:f>IFERROR('升力标定计算'!M246,"")</x:f>
        <x:v>0.04398896963878561</x:v>
      </x:c>
      <x:c r="F123" s="22" t="n">
        <x:f>IF(AND(ISNUMBER(D123),ISNUMBER(E123)),AVERAGE(D123,E123),"")</x:f>
        <x:v>0.04350564998781742</x:v>
      </x:c>
      <x:c r="G123" s="22" t="n">
        <x:f>IFERROR('升力标定计算'!N245,"")</x:f>
        <x:v>0.07217878572477746</x:v>
      </x:c>
      <x:c r="H123" s="22" t="n">
        <x:f>IFERROR('升力标定计算'!N246,"")</x:f>
        <x:v>0.07140208088746648</x:v>
      </x:c>
      <x:c r="I123" s="22" t="n">
        <x:f>IF(AND(ISNUMBER(G123),ISNUMBER(H123)),AVERAGE(G123,H123),"")</x:f>
        <x:v>0.07179043330612198</x:v>
      </x:c>
      <x:c r="J123" s="22" t="n">
        <x:f>IFERROR('3000rpm'!AU14,"")</x:f>
        <x:v>0</x:v>
      </x:c>
      <x:c r="K123" s="22" t="n">
        <x:f>IFERROR('3000rpm'!AU24,"")</x:f>
        <x:v>0.4448818897637795</x:v>
      </x:c>
      <x:c r="L123" s="22" t="n">
        <x:f>IFERROR('3000rpm'!AU14,"")</x:f>
        <x:v>0</x:v>
      </x:c>
      <x:c r="M123" s="22" t="n">
        <x:f>IFERROR('3000rpm'!AT14,"")</x:f>
        <x:v>0.0846729215675782</x:v>
      </x:c>
      <x:c r="N123" s="22" t="n">
        <x:f>IFERROR('3000rpm'!AU15,"")</x:f>
        <x:v>0.04448818897637796</x:v>
      </x:c>
      <x:c r="O123" s="22" t="n">
        <x:f>IFERROR('3000rpm'!AT15,"")</x:f>
        <x:v>0.07918829994838127</x:v>
      </x:c>
      <x:c r="P123" s="22" t="n">
        <x:f>IF(OR(NOT(AND(ISNUMBER(D123),ISNUMBER(E123),ISNUMBER(G123),ISNUMBER(H123))),OR(F123&lt;J123,F123&gt;K123)),"",IF(N123=L123,M123,M123+(F123-L123)*(O123-M123)/(N123-L123)))</x:f>
        <x:v>0.079309429953948</x:v>
      </x:c>
      <x:c r="Q123" s="22" t="n">
        <x:f>IF(AND(ISNUMBER(I123),ISNUMBER(P123)),I123-P123,"")</x:f>
        <x:v>-0.007518996647826029</x:v>
      </x:c>
      <x:c r="R123" s="22" t="n">
        <x:f>IF(ISNUMBER(Q123),ABS(Q123),"")</x:f>
        <x:v>0.007518996647826029</x:v>
      </x:c>
      <x:c r="S123" s="36" t="n">
        <x:f>IF(AND(ISNUMBER(Q123),ISNUMBER(P123)),IF(ABS(P123)&lt;1E-12,"",Q123/P123),"")</x:f>
        <x:v>-0.0948058339618886</x:v>
      </x:c>
      <x:c r="T123" s="36" t="n">
        <x:f>IF(ISNUMBER(S123),ABS(S123),"")</x:f>
        <x:v>0.0948058339618886</x:v>
      </x:c>
      <x:c r="U123" s="37" t="n">
        <x:f>IF(ISNUMBER(Q123),Q123^2,"")</x:f>
        <x:v>0.00005653531059001906</x:v>
      </x:c>
      <x:c r="V123" s="21" t="str">
        <x:f>IF(NOT(AND(ISNUMBER(D123),ISNUMBER(E123),ISNUMBER(G123),ISNUMBER(H123))),"缺少配对",IF(OR(F123&lt;J123,F123&gt;K123),"超出理论J范围","有效"))</x:f>
        <x:v>有效</x:v>
      </x:c>
      <x:c r="W123" s="20" t="str">
        <x:v>升力 y=0.915708x+28.7687 → C_T_prop（原 C_T 字段映射）；实验攻角 75° ↔ 理论 alpha_p_deg 15°；原升力源 3000rpm!D146/N146</x:v>
      </x:c>
      <x:c r="X123" s="20" t="str">
        <x:v>升力标定计算!M245</x:v>
      </x:c>
      <x:c r="Y123" s="20" t="str">
        <x:v>升力标定计算!M246</x:v>
      </x:c>
      <x:c r="Z123" s="20" t="str">
        <x:v>升力标定计算!N245</x:v>
      </x:c>
      <x:c r="AA123" s="20" t="str">
        <x:v>升力标定计算!N246</x:v>
      </x:c>
      <x:c r="AB123" s="20" t="str">
        <x:v>3000rpm!AU14:AT15</x:v>
      </x:c>
    </x:row>
    <x:row r="124">
      <x:c r="A124" s="21" t="n">
        <x:v>3000</x:v>
      </x:c>
      <x:c r="B124" s="21" t="n">
        <x:v>75</x:v>
      </x:c>
      <x:c r="C124" s="21" t="n">
        <x:v>4</x:v>
      </x:c>
      <x:c r="D124" s="22" t="n">
        <x:f>IFERROR('升力标定计算'!M247,"")</x:f>
        <x:v>0.08650549637732302</x:v>
      </x:c>
      <x:c r="E124" s="22" t="n">
        <x:f>IFERROR('升力标定计算'!M248,"")</x:f>
        <x:v>0.0927415405628069</x:v>
      </x:c>
      <x:c r="F124" s="22" t="n">
        <x:f>IF(AND(ISNUMBER(D124),ISNUMBER(E124)),AVERAGE(D124,E124),"")</x:f>
        <x:v>0.08962351847006496</x:v>
      </x:c>
      <x:c r="G124" s="22" t="n">
        <x:f>IFERROR('升力标定计算'!N247,"")</x:f>
        <x:v>0.06674370001645222</x:v>
      </x:c>
      <x:c r="H124" s="22" t="n">
        <x:f>IFERROR('升力标定计算'!N248,"")</x:f>
        <x:v>0.06474219600518816</x:v>
      </x:c>
      <x:c r="I124" s="22" t="n">
        <x:f>IF(AND(ISNUMBER(G124),ISNUMBER(H124)),AVERAGE(G124,H124),"")</x:f>
        <x:v>0.06574294801082019</x:v>
      </x:c>
      <x:c r="J124" s="22" t="n">
        <x:f>IFERROR('3000rpm'!AU14,"")</x:f>
        <x:v>0</x:v>
      </x:c>
      <x:c r="K124" s="22" t="n">
        <x:f>IFERROR('3000rpm'!AU24,"")</x:f>
        <x:v>0.4448818897637795</x:v>
      </x:c>
      <x:c r="L124" s="22" t="n">
        <x:f>IFERROR('3000rpm'!AU16,"")</x:f>
        <x:v>0.08897637795275593</x:v>
      </x:c>
      <x:c r="M124" s="22" t="n">
        <x:f>IFERROR('3000rpm'!AT16,"")</x:f>
        <x:v>0.07391207233125573</x:v>
      </x:c>
      <x:c r="N124" s="22" t="n">
        <x:f>IFERROR('3000rpm'!AU17,"")</x:f>
        <x:v>0.13346456692913383</x:v>
      </x:c>
      <x:c r="O124" s="22" t="n">
        <x:f>IFERROR('3000rpm'!AT17,"")</x:f>
        <x:v>0.06818017627654385</x:v>
      </x:c>
      <x:c r="P124" s="22" t="n">
        <x:f>IF(OR(NOT(AND(ISNUMBER(D124),ISNUMBER(E124),ISNUMBER(G124),ISNUMBER(H124))),OR(F124&lt;J124,F124&gt;K124)),"",IF(N124=L124,M124,M124+(F124-L124)*(O124-M124)/(N124-L124)))</x:f>
        <x:v>0.07382869419734299</x:v>
      </x:c>
      <x:c r="Q124" s="22" t="n">
        <x:f>IF(AND(ISNUMBER(I124),ISNUMBER(P124)),I124-P124,"")</x:f>
        <x:v>-0.008085746186522802</x:v>
      </x:c>
      <x:c r="R124" s="22" t="n">
        <x:f>IF(ISNUMBER(Q124),ABS(Q124),"")</x:f>
        <x:v>0.008085746186522802</x:v>
      </x:c>
      <x:c r="S124" s="36" t="n">
        <x:f>IF(AND(ISNUMBER(Q124),ISNUMBER(P124)),IF(ABS(P124)&lt;1E-12,"",Q124/P124),"")</x:f>
        <x:v>-0.1095203738117015</x:v>
      </x:c>
      <x:c r="T124" s="36" t="n">
        <x:f>IF(ISNUMBER(S124),ABS(S124),"")</x:f>
        <x:v>0.1095203738117015</x:v>
      </x:c>
      <x:c r="U124" s="37" t="n">
        <x:f>IF(ISNUMBER(Q124),Q124^2,"")</x:f>
        <x:v>0.00006537929139286803</x:v>
      </x:c>
      <x:c r="V124" s="21" t="str">
        <x:f>IF(NOT(AND(ISNUMBER(D124),ISNUMBER(E124),ISNUMBER(G124),ISNUMBER(H124))),"缺少配对",IF(OR(F124&lt;J124,F124&gt;K124),"超出理论J范围","有效"))</x:f>
        <x:v>有效</x:v>
      </x:c>
      <x:c r="W124" s="20" t="str">
        <x:v>升力 y=0.915708x+28.7687 → C_T_prop（原 C_T 字段映射）；实验攻角 75° ↔ 理论 alpha_p_deg 15°；原升力源 3000rpm!D147/N147</x:v>
      </x:c>
      <x:c r="X124" s="20" t="str">
        <x:v>升力标定计算!M247</x:v>
      </x:c>
      <x:c r="Y124" s="20" t="str">
        <x:v>升力标定计算!M248</x:v>
      </x:c>
      <x:c r="Z124" s="20" t="str">
        <x:v>升力标定计算!N247</x:v>
      </x:c>
      <x:c r="AA124" s="20" t="str">
        <x:v>升力标定计算!N248</x:v>
      </x:c>
      <x:c r="AB124" s="20" t="str">
        <x:v>3000rpm!AU16:AT17</x:v>
      </x:c>
    </x:row>
    <x:row r="125">
      <x:c r="A125" s="21" t="n">
        <x:v>3000</x:v>
      </x:c>
      <x:c r="B125" s="21" t="n">
        <x:v>75</x:v>
      </x:c>
      <x:c r="C125" s="21" t="n">
        <x:v>5</x:v>
      </x:c>
      <x:c r="D125" s="22" t="n">
        <x:f>IFERROR('升力标定计算'!M249,"")</x:f>
        <x:v>0.1281812002974702</x:v>
      </x:c>
      <x:c r="E125" s="22" t="n">
        <x:f>IFERROR('升力标定计算'!M250,"")</x:f>
        <x:v>0.13225237188798253</x:v>
      </x:c>
      <x:c r="F125" s="22" t="n">
        <x:f>IF(AND(ISNUMBER(D125),ISNUMBER(E125)),AVERAGE(D125,E125),"")</x:f>
        <x:v>0.13021678609272636</x:v>
      </x:c>
      <x:c r="G125" s="22" t="n">
        <x:f>IFERROR('升力标定计算'!N249,"")</x:f>
        <x:v>0.059665234883205055</x:v>
      </x:c>
      <x:c r="H125" s="22" t="n">
        <x:f>IFERROR('升力标定计算'!N250,"")</x:f>
        <x:v>0.05912461154398598</x:v>
      </x:c>
      <x:c r="I125" s="22" t="n">
        <x:f>IF(AND(ISNUMBER(G125),ISNUMBER(H125)),AVERAGE(G125,H125),"")</x:f>
        <x:v>0.05939492321359552</x:v>
      </x:c>
      <x:c r="J125" s="22" t="n">
        <x:f>IFERROR('3000rpm'!AU14,"")</x:f>
        <x:v>0</x:v>
      </x:c>
      <x:c r="K125" s="22" t="n">
        <x:f>IFERROR('3000rpm'!AU24,"")</x:f>
        <x:v>0.4448818897637795</x:v>
      </x:c>
      <x:c r="L125" s="22" t="n">
        <x:f>IFERROR('3000rpm'!AU16,"")</x:f>
        <x:v>0.08897637795275593</x:v>
      </x:c>
      <x:c r="M125" s="22" t="n">
        <x:f>IFERROR('3000rpm'!AT16,"")</x:f>
        <x:v>0.07391207233125573</x:v>
      </x:c>
      <x:c r="N125" s="22" t="n">
        <x:f>IFERROR('3000rpm'!AU17,"")</x:f>
        <x:v>0.13346456692913383</x:v>
      </x:c>
      <x:c r="O125" s="22" t="n">
        <x:f>IFERROR('3000rpm'!AT17,"")</x:f>
        <x:v>0.06818017627654385</x:v>
      </x:c>
      <x:c r="P125" s="22" t="n">
        <x:f>IF(OR(NOT(AND(ISNUMBER(D125),ISNUMBER(E125),ISNUMBER(G125),ISNUMBER(H125))),OR(F125&lt;J125,F125&gt;K125)),"",IF(N125=L125,M125,M125+(F125-L125)*(O125-M125)/(N125-L125)))</x:f>
        <x:v>0.06859862311807875</x:v>
      </x:c>
      <x:c r="Q125" s="22" t="n">
        <x:f>IF(AND(ISNUMBER(I125),ISNUMBER(P125)),I125-P125,"")</x:f>
        <x:v>-0.009203699904483234</x:v>
      </x:c>
      <x:c r="R125" s="22" t="n">
        <x:f>IF(ISNUMBER(Q125),ABS(Q125),"")</x:f>
        <x:v>0.009203699904483234</x:v>
      </x:c>
      <x:c r="S125" s="36" t="n">
        <x:f>IF(AND(ISNUMBER(Q125),ISNUMBER(P125)),IF(ABS(P125)&lt;1E-12,"",Q125/P125),"")</x:f>
        <x:v>-0.13416741453601647</x:v>
      </x:c>
      <x:c r="T125" s="36" t="n">
        <x:f>IF(ISNUMBER(S125),ABS(S125),"")</x:f>
        <x:v>0.13416741453601647</x:v>
      </x:c>
      <x:c r="U125" s="37" t="n">
        <x:f>IF(ISNUMBER(Q125),Q125^2,"")</x:f>
        <x:v>0.0000847080919317847</x:v>
      </x:c>
      <x:c r="V125" s="21" t="str">
        <x:f>IF(NOT(AND(ISNUMBER(D125),ISNUMBER(E125),ISNUMBER(G125),ISNUMBER(H125))),"缺少配对",IF(OR(F125&lt;J125,F125&gt;K125),"超出理论J范围","有效"))</x:f>
        <x:v>有效</x:v>
      </x:c>
      <x:c r="W125" s="20" t="str">
        <x:v>升力 y=0.915708x+28.7687 → C_T_prop（原 C_T 字段映射）；实验攻角 75° ↔ 理论 alpha_p_deg 15°；原升力源 3000rpm!D148/N148</x:v>
      </x:c>
      <x:c r="X125" s="20" t="str">
        <x:v>升力标定计算!M249</x:v>
      </x:c>
      <x:c r="Y125" s="20" t="str">
        <x:v>升力标定计算!M250</x:v>
      </x:c>
      <x:c r="Z125" s="20" t="str">
        <x:v>升力标定计算!N249</x:v>
      </x:c>
      <x:c r="AA125" s="20" t="str">
        <x:v>升力标定计算!N250</x:v>
      </x:c>
      <x:c r="AB125" s="20" t="str">
        <x:v>3000rpm!AU16:AT17</x:v>
      </x:c>
    </x:row>
    <x:row r="126">
      <x:c r="A126" s="21" t="n">
        <x:v>3000</x:v>
      </x:c>
      <x:c r="B126" s="21" t="n">
        <x:v>75</x:v>
      </x:c>
      <x:c r="C126" s="21" t="n">
        <x:v>6</x:v>
      </x:c>
      <x:c r="D126" s="22" t="n">
        <x:f>IFERROR('升力标定计算'!M251,"")</x:f>
        <x:v>0.17107540004415947</x:v>
      </x:c>
      <x:c r="E126" s="22" t="n">
        <x:f>IFERROR('升力标定计算'!M252,"")</x:f>
        <x:v>0.1757060710424296</x:v>
      </x:c>
      <x:c r="F126" s="22" t="n">
        <x:f>IF(AND(ISNUMBER(D126),ISNUMBER(E126)),AVERAGE(D126,E126),"")</x:f>
        <x:v>0.17339073554329454</x:v>
      </x:c>
      <x:c r="G126" s="22" t="n">
        <x:f>IFERROR('升力标定计算'!N251,"")</x:f>
        <x:v>0.054149360377594755</x:v>
      </x:c>
      <x:c r="H126" s="22" t="n">
        <x:f>IFERROR('升力标定计算'!N252,"")</x:f>
        <x:v>0.053012139669441335</x:v>
      </x:c>
      <x:c r="I126" s="22" t="n">
        <x:f>IF(AND(ISNUMBER(G126),ISNUMBER(H126)),AVERAGE(G126,H126),"")</x:f>
        <x:v>0.053580750023518045</x:v>
      </x:c>
      <x:c r="J126" s="22" t="n">
        <x:f>IFERROR('3000rpm'!AU14,"")</x:f>
        <x:v>0</x:v>
      </x:c>
      <x:c r="K126" s="22" t="n">
        <x:f>IFERROR('3000rpm'!AU24,"")</x:f>
        <x:v>0.4448818897637795</x:v>
      </x:c>
      <x:c r="L126" s="22" t="n">
        <x:f>IFERROR('3000rpm'!AU17,"")</x:f>
        <x:v>0.13346456692913383</x:v>
      </x:c>
      <x:c r="M126" s="22" t="n">
        <x:f>IFERROR('3000rpm'!AT17,"")</x:f>
        <x:v>0.06818017627654385</x:v>
      </x:c>
      <x:c r="N126" s="22" t="n">
        <x:f>IFERROR('3000rpm'!AU18,"")</x:f>
        <x:v>0.17795275590551185</x:v>
      </x:c>
      <x:c r="O126" s="22" t="n">
        <x:f>IFERROR('3000rpm'!AT18,"")</x:f>
        <x:v>0.061954065375399915</x:v>
      </x:c>
      <x:c r="P126" s="22" t="n">
        <x:f>IF(OR(NOT(AND(ISNUMBER(D126),ISNUMBER(E126),ISNUMBER(G126),ISNUMBER(H126))),OR(F126&lt;J126,F126&gt;K126)),"",IF(N126=L126,M126,M126+(F126-L126)*(O126-M126)/(N126-L126)))</x:f>
        <x:v>0.06259251898212065</x:v>
      </x:c>
      <x:c r="Q126" s="22" t="n">
        <x:f>IF(AND(ISNUMBER(I126),ISNUMBER(P126)),I126-P126,"")</x:f>
        <x:v>-0.009011768958602603</x:v>
      </x:c>
      <x:c r="R126" s="22" t="n">
        <x:f>IF(ISNUMBER(Q126),ABS(Q126),"")</x:f>
        <x:v>0.009011768958602603</x:v>
      </x:c>
      <x:c r="S126" s="36" t="n">
        <x:f>IF(AND(ISNUMBER(Q126),ISNUMBER(P126)),IF(ABS(P126)&lt;1E-12,"",Q126/P126),"")</x:f>
        <x:v>-0.1439751763493779</x:v>
      </x:c>
      <x:c r="T126" s="36" t="n">
        <x:f>IF(ISNUMBER(S126),ABS(S126),"")</x:f>
        <x:v>0.1439751763493779</x:v>
      </x:c>
      <x:c r="U126" s="37" t="n">
        <x:f>IF(ISNUMBER(Q126),Q126^2,"")</x:f>
        <x:v>0.00008121197976323345</x:v>
      </x:c>
      <x:c r="V126" s="21" t="str">
        <x:f>IF(NOT(AND(ISNUMBER(D126),ISNUMBER(E126),ISNUMBER(G126),ISNUMBER(H126))),"缺少配对",IF(OR(F126&lt;J126,F126&gt;K126),"超出理论J范围","有效"))</x:f>
        <x:v>有效</x:v>
      </x:c>
      <x:c r="W126" s="20" t="str">
        <x:v>升力 y=0.915708x+28.7687 → C_T_prop（原 C_T 字段映射）；实验攻角 75° ↔ 理论 alpha_p_deg 15°；原升力源 3000rpm!D149/N149</x:v>
      </x:c>
      <x:c r="X126" s="20" t="str">
        <x:v>升力标定计算!M251</x:v>
      </x:c>
      <x:c r="Y126" s="20" t="str">
        <x:v>升力标定计算!M252</x:v>
      </x:c>
      <x:c r="Z126" s="20" t="str">
        <x:v>升力标定计算!N251</x:v>
      </x:c>
      <x:c r="AA126" s="20" t="str">
        <x:v>升力标定计算!N252</x:v>
      </x:c>
      <x:c r="AB126" s="20" t="str">
        <x:v>3000rpm!AU17:AT18</x:v>
      </x:c>
    </x:row>
    <x:row r="127">
      <x:c r="A127" s="21" t="n">
        <x:v>3000</x:v>
      </x:c>
      <x:c r="B127" s="21" t="n">
        <x:v>75</x:v>
      </x:c>
      <x:c r="C127" s="21" t="n">
        <x:v>7</x:v>
      </x:c>
      <x:c r="D127" s="22" t="n">
        <x:f>IFERROR('升力标定计算'!M253,"")</x:f>
        <x:v>0.21373094334992265</x:v>
      </x:c>
      <x:c r="E127" s="22" t="n">
        <x:f>IFERROR('升力标定计算'!M254,"")</x:f>
        <x:v>0.2186583684487423</x:v>
      </x:c>
      <x:c r="F127" s="22" t="n">
        <x:f>IF(AND(ISNUMBER(D127),ISNUMBER(E127)),AVERAGE(D127,E127),"")</x:f>
        <x:v>0.21619465589933248</x:v>
      </x:c>
      <x:c r="G127" s="22" t="n">
        <x:f>IFERROR('升力标定计算'!N253,"")</x:f>
        <x:v>0.048807036802200304</x:v>
      </x:c>
      <x:c r="H127" s="22" t="n">
        <x:f>IFERROR('升力标定计算'!N254,"")</x:f>
        <x:v>0.047618631569601215</x:v>
      </x:c>
      <x:c r="I127" s="22" t="n">
        <x:f>IF(AND(ISNUMBER(G127),ISNUMBER(H127)),AVERAGE(G127,H127),"")</x:f>
        <x:v>0.04821283418590076</x:v>
      </x:c>
      <x:c r="J127" s="22" t="n">
        <x:f>IFERROR('3000rpm'!AU14,"")</x:f>
        <x:v>0</x:v>
      </x:c>
      <x:c r="K127" s="22" t="n">
        <x:f>IFERROR('3000rpm'!AU24,"")</x:f>
        <x:v>0.4448818897637795</x:v>
      </x:c>
      <x:c r="L127" s="22" t="n">
        <x:f>IFERROR('3000rpm'!AU18,"")</x:f>
        <x:v>0.17795275590551185</x:v>
      </x:c>
      <x:c r="M127" s="22" t="n">
        <x:f>IFERROR('3000rpm'!AT18,"")</x:f>
        <x:v>0.061954065375399915</x:v>
      </x:c>
      <x:c r="N127" s="22" t="n">
        <x:f>IFERROR('3000rpm'!AU19,"")</x:f>
        <x:v>0.22244094488188976</x:v>
      </x:c>
      <x:c r="O127" s="22" t="n">
        <x:f>IFERROR('3000rpm'!AT19,"")</x:f>
        <x:v>0.055176801934408076</x:v>
      </x:c>
      <x:c r="P127" s="22" t="n">
        <x:f>IF(OR(NOT(AND(ISNUMBER(D127),ISNUMBER(E127),ISNUMBER(G127),ISNUMBER(H127))),OR(F127&lt;J127,F127&gt;K127)),"",IF(N127=L127,M127,M127+(F127-L127)*(O127-M127)/(N127-L127)))</x:f>
        <x:v>0.0561283521534074</x:v>
      </x:c>
      <x:c r="Q127" s="22" t="n">
        <x:f>IF(AND(ISNUMBER(I127),ISNUMBER(P127)),I127-P127,"")</x:f>
        <x:v>-0.007915517967506634</x:v>
      </x:c>
      <x:c r="R127" s="22" t="n">
        <x:f>IF(ISNUMBER(Q127),ABS(Q127),"")</x:f>
        <x:v>0.007915517967506634</x:v>
      </x:c>
      <x:c r="S127" s="36" t="n">
        <x:f>IF(AND(ISNUMBER(Q127),ISNUMBER(P127)),IF(ABS(P127)&lt;1E-12,"",Q127/P127),"")</x:f>
        <x:v>-0.14102530474923455</x:v>
      </x:c>
      <x:c r="T127" s="36" t="n">
        <x:f>IF(ISNUMBER(S127),ABS(S127),"")</x:f>
        <x:v>0.14102530474923455</x:v>
      </x:c>
      <x:c r="U127" s="37" t="n">
        <x:f>IF(ISNUMBER(Q127),Q127^2,"")</x:f>
        <x:v>0.00006265542469392036</x:v>
      </x:c>
      <x:c r="V127" s="21" t="str">
        <x:f>IF(NOT(AND(ISNUMBER(D127),ISNUMBER(E127),ISNUMBER(G127),ISNUMBER(H127))),"缺少配对",IF(OR(F127&lt;J127,F127&gt;K127),"超出理论J范围","有效"))</x:f>
        <x:v>有效</x:v>
      </x:c>
      <x:c r="W127" s="20" t="str">
        <x:v>升力 y=0.915708x+28.7687 → C_T_prop（原 C_T 字段映射）；实验攻角 75° ↔ 理论 alpha_p_deg 15°；原升力源 3000rpm!D150/N150</x:v>
      </x:c>
      <x:c r="X127" s="20" t="str">
        <x:v>升力标定计算!M253</x:v>
      </x:c>
      <x:c r="Y127" s="20" t="str">
        <x:v>升力标定计算!M254</x:v>
      </x:c>
      <x:c r="Z127" s="20" t="str">
        <x:v>升力标定计算!N253</x:v>
      </x:c>
      <x:c r="AA127" s="20" t="str">
        <x:v>升力标定计算!N254</x:v>
      </x:c>
      <x:c r="AB127" s="20" t="str">
        <x:v>3000rpm!AU18:AT19</x:v>
      </x:c>
    </x:row>
    <x:row r="128">
      <x:c r="A128" s="21" t="n">
        <x:v>3000</x:v>
      </x:c>
      <x:c r="B128" s="21" t="n">
        <x:v>75</x:v>
      </x:c>
      <x:c r="C128" s="21" t="n">
        <x:v>8</x:v>
      </x:c>
      <x:c r="D128" s="22" t="n">
        <x:f>IFERROR('升力标定计算'!M255,"")</x:f>
        <x:v>0.25394108725733805</x:v>
      </x:c>
      <x:c r="E128" s="22" t="n">
        <x:f>IFERROR('升力标定计算'!M256,"")</x:f>
        <x:v>0.26005406712793233</x:v>
      </x:c>
      <x:c r="F128" s="22" t="n">
        <x:f>IF(AND(ISNUMBER(D128),ISNUMBER(E128)),AVERAGE(D128,E128),"")</x:f>
        <x:v>0.25699757719263516</x:v>
      </x:c>
      <x:c r="G128" s="22" t="n">
        <x:f>IFERROR('升力标定计算'!N255,"")</x:f>
        <x:v>0.04252462334660332</x:v>
      </x:c>
      <x:c r="H128" s="22" t="n">
        <x:f>IFERROR('升力标定计算'!N256,"")</x:f>
        <x:v>0.04154669719391199</x:v>
      </x:c>
      <x:c r="I128" s="22" t="n">
        <x:f>IF(AND(ISNUMBER(G128),ISNUMBER(H128)),AVERAGE(G128,H128),"")</x:f>
        <x:v>0.04203566027025765</x:v>
      </x:c>
      <x:c r="J128" s="22" t="n">
        <x:f>IFERROR('3000rpm'!AU14,"")</x:f>
        <x:v>0</x:v>
      </x:c>
      <x:c r="K128" s="22" t="n">
        <x:f>IFERROR('3000rpm'!AU24,"")</x:f>
        <x:v>0.4448818897637795</x:v>
      </x:c>
      <x:c r="L128" s="22" t="n">
        <x:f>IFERROR('3000rpm'!AU19,"")</x:f>
        <x:v>0.22244094488188976</x:v>
      </x:c>
      <x:c r="M128" s="22" t="n">
        <x:f>IFERROR('3000rpm'!AT19,"")</x:f>
        <x:v>0.055176801934408076</x:v>
      </x:c>
      <x:c r="N128" s="22" t="n">
        <x:f>IFERROR('3000rpm'!AU20,"")</x:f>
        <x:v>0.26692913385826766</x:v>
      </x:c>
      <x:c r="O128" s="22" t="n">
        <x:f>IFERROR('3000rpm'!AT20,"")</x:f>
        <x:v>0.04787765983806524</x:v>
      </x:c>
      <x:c r="P128" s="22" t="n">
        <x:f>IF(OR(NOT(AND(ISNUMBER(D128),ISNUMBER(E128),ISNUMBER(G128),ISNUMBER(H128))),OR(F128&lt;J128,F128&gt;K128)),"",IF(N128=L128,M128,M128+(F128-L128)*(O128-M128)/(N128-L128)))</x:f>
        <x:v>0.04950712251137891</x:v>
      </x:c>
      <x:c r="Q128" s="22" t="n">
        <x:f>IF(AND(ISNUMBER(I128),ISNUMBER(P128)),I128-P128,"")</x:f>
        <x:v>-0.00747146224112126</x:v>
      </x:c>
      <x:c r="R128" s="22" t="n">
        <x:f>IF(ISNUMBER(Q128),ABS(Q128),"")</x:f>
        <x:v>0.00747146224112126</x:v>
      </x:c>
      <x:c r="S128" s="36" t="n">
        <x:f>IF(AND(ISNUMBER(Q128),ISNUMBER(P128)),IF(ABS(P128)&lt;1E-12,"",Q128/P128),"")</x:f>
        <x:v>-0.15091691583173694</x:v>
      </x:c>
      <x:c r="T128" s="36" t="n">
        <x:f>IF(ISNUMBER(S128),ABS(S128),"")</x:f>
        <x:v>0.15091691583173694</x:v>
      </x:c>
      <x:c r="U128" s="37" t="n">
        <x:f>IF(ISNUMBER(Q128),Q128^2,"")</x:f>
        <x:v>0.00005582274802050072</x:v>
      </x:c>
      <x:c r="V128" s="21" t="str">
        <x:f>IF(NOT(AND(ISNUMBER(D128),ISNUMBER(E128),ISNUMBER(G128),ISNUMBER(H128))),"缺少配对",IF(OR(F128&lt;J128,F128&gt;K128),"超出理论J范围","有效"))</x:f>
        <x:v>有效</x:v>
      </x:c>
      <x:c r="W128" s="20" t="str">
        <x:v>升力 y=0.915708x+28.7687 → C_T_prop（原 C_T 字段映射）；实验攻角 75° ↔ 理论 alpha_p_deg 15°；原升力源 3000rpm!D151/N151</x:v>
      </x:c>
      <x:c r="X128" s="20" t="str">
        <x:v>升力标定计算!M255</x:v>
      </x:c>
      <x:c r="Y128" s="20" t="str">
        <x:v>升力标定计算!M256</x:v>
      </x:c>
      <x:c r="Z128" s="20" t="str">
        <x:v>升力标定计算!N255</x:v>
      </x:c>
      <x:c r="AA128" s="20" t="str">
        <x:v>升力标定计算!N256</x:v>
      </x:c>
      <x:c r="AB128" s="20" t="str">
        <x:v>3000rpm!AU19:AT20</x:v>
      </x:c>
    </x:row>
    <x:row r="129">
      <x:c r="A129" s="21" t="n">
        <x:v>3000</x:v>
      </x:c>
      <x:c r="B129" s="21" t="n">
        <x:v>75</x:v>
      </x:c>
      <x:c r="C129" s="21" t="n">
        <x:v>9</x:v>
      </x:c>
      <x:c r="D129" s="22" t="n">
        <x:f>IFERROR('升力标定计算'!M257,"")</x:f>
        <x:v>0.2966899177321022</x:v>
      </x:c>
      <x:c r="E129" s="22" t="n">
        <x:f>IFERROR('升力标定计算'!M258,"")</x:f>
        <x:v>0.30156016611579484</x:v>
      </x:c>
      <x:c r="F129" s="22" t="n">
        <x:f>IF(AND(ISNUMBER(D129),ISNUMBER(E129)),AVERAGE(D129,E129),"")</x:f>
        <x:v>0.2991250419239485</x:v>
      </x:c>
      <x:c r="G129" s="22" t="n">
        <x:f>IFERROR('升力标定计算'!N257,"")</x:f>
        <x:v>0.03598691563939945</x:v>
      </x:c>
      <x:c r="H129" s="22" t="n">
        <x:f>IFERROR('升力标定计算'!N258,"")</x:f>
        <x:v>0.03569911416607791</x:v>
      </x:c>
      <x:c r="I129" s="22" t="n">
        <x:f>IF(AND(ISNUMBER(G129),ISNUMBER(H129)),AVERAGE(G129,H129),"")</x:f>
        <x:v>0.03584301490273868</x:v>
      </x:c>
      <x:c r="J129" s="22" t="n">
        <x:f>IFERROR('3000rpm'!AU14,"")</x:f>
        <x:v>0</x:v>
      </x:c>
      <x:c r="K129" s="22" t="n">
        <x:f>IFERROR('3000rpm'!AU24,"")</x:f>
        <x:v>0.4448818897637795</x:v>
      </x:c>
      <x:c r="L129" s="22" t="n">
        <x:f>IFERROR('3000rpm'!AU20,"")</x:f>
        <x:v>0.26692913385826766</x:v>
      </x:c>
      <x:c r="M129" s="22" t="n">
        <x:f>IFERROR('3000rpm'!AT20,"")</x:f>
        <x:v>0.04787765983806524</x:v>
      </x:c>
      <x:c r="N129" s="22" t="n">
        <x:f>IFERROR('3000rpm'!AU21,"")</x:f>
        <x:v>0.3114173228346457</x:v>
      </x:c>
      <x:c r="O129" s="22" t="n">
        <x:f>IFERROR('3000rpm'!AT21,"")</x:f>
        <x:v>0.04003544875576512</x:v>
      </x:c>
      <x:c r="P129" s="22" t="n">
        <x:f>IF(OR(NOT(AND(ISNUMBER(D129),ISNUMBER(E129),ISNUMBER(G129),ISNUMBER(H129))),OR(F129&lt;J129,F129&gt;K129)),"",IF(N129=L129,M129,M129+(F129-L129)*(O129-M129)/(N129-L129)))</x:f>
        <x:v>0.042202285927667095</x:v>
      </x:c>
      <x:c r="Q129" s="22" t="n">
        <x:f>IF(AND(ISNUMBER(I129),ISNUMBER(P129)),I129-P129,"")</x:f>
        <x:v>-0.006359271024928413</x:v>
      </x:c>
      <x:c r="R129" s="22" t="n">
        <x:f>IF(ISNUMBER(Q129),ABS(Q129),"")</x:f>
        <x:v>0.006359271024928413</x:v>
      </x:c>
      <x:c r="S129" s="36" t="n">
        <x:f>IF(AND(ISNUMBER(Q129),ISNUMBER(P129)),IF(ABS(P129)&lt;1E-12,"",Q129/P129),"")</x:f>
        <x:v>-0.15068546371701122</x:v>
      </x:c>
      <x:c r="T129" s="36" t="n">
        <x:f>IF(ISNUMBER(S129),ABS(S129),"")</x:f>
        <x:v>0.15068546371701122</x:v>
      </x:c>
      <x:c r="U129" s="37" t="n">
        <x:f>IF(ISNUMBER(Q129),Q129^2,"")</x:f>
        <x:v>0.00004044032796849407</x:v>
      </x:c>
      <x:c r="V129" s="21" t="str">
        <x:f>IF(NOT(AND(ISNUMBER(D129),ISNUMBER(E129),ISNUMBER(G129),ISNUMBER(H129))),"缺少配对",IF(OR(F129&lt;J129,F129&gt;K129),"超出理论J范围","有效"))</x:f>
        <x:v>有效</x:v>
      </x:c>
      <x:c r="W129" s="20" t="str">
        <x:v>升力 y=0.915708x+28.7687 → C_T_prop（原 C_T 字段映射）；实验攻角 75° ↔ 理论 alpha_p_deg 15°；原升力源 3000rpm!D152/N152</x:v>
      </x:c>
      <x:c r="X129" s="20" t="str">
        <x:v>升力标定计算!M257</x:v>
      </x:c>
      <x:c r="Y129" s="20" t="str">
        <x:v>升力标定计算!M258</x:v>
      </x:c>
      <x:c r="Z129" s="20" t="str">
        <x:v>升力标定计算!N257</x:v>
      </x:c>
      <x:c r="AA129" s="20" t="str">
        <x:v>升力标定计算!N258</x:v>
      </x:c>
      <x:c r="AB129" s="20" t="str">
        <x:v>3000rpm!AU20:AT21</x:v>
      </x:c>
    </x:row>
    <x:row r="130">
      <x:c r="A130" s="21" t="n">
        <x:v>3000</x:v>
      </x:c>
      <x:c r="B130" s="21" t="n">
        <x:v>75</x:v>
      </x:c>
      <x:c r="C130" s="21" t="n">
        <x:v>10</x:v>
      </x:c>
      <x:c r="D130" s="22" t="n">
        <x:f>IFERROR('升力标定计算'!M259,"")</x:f>
        <x:v>0.3320727479051989</x:v>
      </x:c>
      <x:c r="E130" s="22" t="n">
        <x:f>IFERROR('升力标定计算'!M260,"")</x:f>
        <x:v>0.33979926816127526</x:v>
      </x:c>
      <x:c r="F130" s="22" t="n">
        <x:f>IF(AND(ISNUMBER(D130),ISNUMBER(E130)),AVERAGE(D130,E130),"")</x:f>
        <x:v>0.3359360080332371</x:v>
      </x:c>
      <x:c r="G130" s="22" t="n">
        <x:f>IFERROR('升力标定计算'!N259,"")</x:f>
        <x:v>0.031487911365638686</x:v>
      </x:c>
      <x:c r="H130" s="22" t="n">
        <x:f>IFERROR('升力标定计算'!N260,"")</x:f>
        <x:v>0.029774744317542415</x:v>
      </x:c>
      <x:c r="I130" s="22" t="n">
        <x:f>IF(AND(ISNUMBER(G130),ISNUMBER(H130)),AVERAGE(G130,H130),"")</x:f>
        <x:v>0.03063132784159055</x:v>
      </x:c>
      <x:c r="J130" s="22" t="n">
        <x:f>IFERROR('3000rpm'!AU14,"")</x:f>
        <x:v>0</x:v>
      </x:c>
      <x:c r="K130" s="22" t="n">
        <x:f>IFERROR('3000rpm'!AU24,"")</x:f>
        <x:v>0.4448818897637795</x:v>
      </x:c>
      <x:c r="L130" s="22" t="n">
        <x:f>IFERROR('3000rpm'!AU21,"")</x:f>
        <x:v>0.3114173228346457</x:v>
      </x:c>
      <x:c r="M130" s="22" t="n">
        <x:f>IFERROR('3000rpm'!AT21,"")</x:f>
        <x:v>0.04003544875576512</x:v>
      </x:c>
      <x:c r="N130" s="22" t="n">
        <x:f>IFERROR('3000rpm'!AU22,"")</x:f>
        <x:v>0.3559055118110237</x:v>
      </x:c>
      <x:c r="O130" s="22" t="n">
        <x:f>IFERROR('3000rpm'!AT22,"")</x:f>
        <x:v>0.031756883166355034</x:v>
      </x:c>
      <x:c r="P130" s="22" t="n">
        <x:f>IF(OR(NOT(AND(ISNUMBER(D130),ISNUMBER(E130),ISNUMBER(G130),ISNUMBER(H130))),OR(F130&lt;J130,F130&gt;K130)),"",IF(N130=L130,M130,M130+(F130-L130)*(O130-M130)/(N130-L130)))</x:f>
        <x:v>0.03547289972302266</x:v>
      </x:c>
      <x:c r="Q130" s="22" t="n">
        <x:f>IF(AND(ISNUMBER(I130),ISNUMBER(P130)),I130-P130,"")</x:f>
        <x:v>-0.004841571881432107</x:v>
      </x:c>
      <x:c r="R130" s="22" t="n">
        <x:f>IF(ISNUMBER(Q130),ABS(Q130),"")</x:f>
        <x:v>0.004841571881432107</x:v>
      </x:c>
      <x:c r="S130" s="36" t="n">
        <x:f>IF(AND(ISNUMBER(Q130),ISNUMBER(P130)),IF(ABS(P130)&lt;1E-12,"",Q130/P130),"")</x:f>
        <x:v>-0.13648649868592008</x:v>
      </x:c>
      <x:c r="T130" s="36" t="n">
        <x:f>IF(ISNUMBER(S130),ABS(S130),"")</x:f>
        <x:v>0.13648649868592008</x:v>
      </x:c>
      <x:c r="U130" s="37" t="n">
        <x:f>IF(ISNUMBER(Q130),Q130^2,"")</x:f>
        <x:v>0.000023440818283074034</x:v>
      </x:c>
      <x:c r="V130" s="21" t="str">
        <x:f>IF(NOT(AND(ISNUMBER(D130),ISNUMBER(E130),ISNUMBER(G130),ISNUMBER(H130))),"缺少配对",IF(OR(F130&lt;J130,F130&gt;K130),"超出理论J范围","有效"))</x:f>
        <x:v>有效</x:v>
      </x:c>
      <x:c r="W130" s="20" t="str">
        <x:v>升力 y=0.915708x+28.7687 → C_T_prop（原 C_T 字段映射）；实验攻角 75° ↔ 理论 alpha_p_deg 15°；原升力源 3000rpm!D153/N153</x:v>
      </x:c>
      <x:c r="X130" s="20" t="str">
        <x:v>升力标定计算!M259</x:v>
      </x:c>
      <x:c r="Y130" s="20" t="str">
        <x:v>升力标定计算!M260</x:v>
      </x:c>
      <x:c r="Z130" s="20" t="str">
        <x:v>升力标定计算!N259</x:v>
      </x:c>
      <x:c r="AA130" s="20" t="str">
        <x:v>升力标定计算!N260</x:v>
      </x:c>
      <x:c r="AB130" s="20" t="str">
        <x:v>3000rpm!AU21:AT22</x:v>
      </x:c>
    </x:row>
    <x:row r="131">
      <x:c r="A131" s="21" t="n">
        <x:v>3000</x:v>
      </x:c>
      <x:c r="B131" s="21" t="n">
        <x:v>75</x:v>
      </x:c>
      <x:c r="C131" s="21" t="n">
        <x:v>11</x:v>
      </x:c>
      <x:c r="D131" s="22" t="n">
        <x:f>IFERROR('升力标定计算'!M261,"")</x:f>
        <x:v>0.3713577377011262</x:v>
      </x:c>
      <x:c r="E131" s="22" t="n">
        <x:f>IFERROR('升力标定计算'!M262,"")</x:f>
        <x:v>0.3787686739841286</x:v>
      </x:c>
      <x:c r="F131" s="22" t="n">
        <x:f>IF(AND(ISNUMBER(D131),ISNUMBER(E131)),AVERAGE(D131,E131),"")</x:f>
        <x:v>0.3750632058426274</x:v>
      </x:c>
      <x:c r="G131" s="22" t="n">
        <x:f>IFERROR('升力标定计算'!N261,"")</x:f>
        <x:v>0.025385378653552355</x:v>
      </x:c>
      <x:c r="H131" s="22" t="n">
        <x:f>IFERROR('升力标定计算'!N262,"")</x:f>
        <x:v>0.023590373364566323</x:v>
      </x:c>
      <x:c r="I131" s="22" t="n">
        <x:f>IF(AND(ISNUMBER(G131),ISNUMBER(H131)),AVERAGE(G131,H131),"")</x:f>
        <x:v>0.02448787600905934</x:v>
      </x:c>
      <x:c r="J131" s="22" t="n">
        <x:f>IFERROR('3000rpm'!AU14,"")</x:f>
        <x:v>0</x:v>
      </x:c>
      <x:c r="K131" s="22" t="n">
        <x:f>IFERROR('3000rpm'!AU24,"")</x:f>
        <x:v>0.4448818897637795</x:v>
      </x:c>
      <x:c r="L131" s="22" t="n">
        <x:f>IFERROR('3000rpm'!AU22,"")</x:f>
        <x:v>0.3559055118110237</x:v>
      </x:c>
      <x:c r="M131" s="22" t="n">
        <x:f>IFERROR('3000rpm'!AT22,"")</x:f>
        <x:v>0.031756883166355034</x:v>
      </x:c>
      <x:c r="N131" s="22" t="n">
        <x:f>IFERROR('3000rpm'!AU23,"")</x:f>
        <x:v>0.40039370078740166</x:v>
      </x:c>
      <x:c r="O131" s="22" t="n">
        <x:f>IFERROR('3000rpm'!AT23,"")</x:f>
        <x:v>0.023070460292602263</x:v>
      </x:c>
      <x:c r="P131" s="22" t="n">
        <x:f>IF(OR(NOT(AND(ISNUMBER(D131),ISNUMBER(E131),ISNUMBER(G131),ISNUMBER(H131))),OR(F131&lt;J131,F131&gt;K131)),"",IF(N131=L131,M131,M131+(F131-L131)*(O131-M131)/(N131-L131)))</x:f>
        <x:v>0.028016298632045494</x:v>
      </x:c>
      <x:c r="Q131" s="22" t="n">
        <x:f>IF(AND(ISNUMBER(I131),ISNUMBER(P131)),I131-P131,"")</x:f>
        <x:v>-0.0035284226229861555</x:v>
      </x:c>
      <x:c r="R131" s="22" t="n">
        <x:f>IF(ISNUMBER(Q131),ABS(Q131),"")</x:f>
        <x:v>0.0035284226229861555</x:v>
      </x:c>
      <x:c r="S131" s="36" t="n">
        <x:f>IF(AND(ISNUMBER(Q131),ISNUMBER(P131)),IF(ABS(P131)&lt;1E-12,"",Q131/P131),"")</x:f>
        <x:v>-0.12594178372121895</x:v>
      </x:c>
      <x:c r="T131" s="36" t="n">
        <x:f>IF(ISNUMBER(S131),ABS(S131),"")</x:f>
        <x:v>0.12594178372121895</x:v>
      </x:c>
      <x:c r="U131" s="37" t="n">
        <x:f>IF(ISNUMBER(Q131),Q131^2,"")</x:f>
        <x:v>0.000012449766206400502</x:v>
      </x:c>
      <x:c r="V131" s="21" t="str">
        <x:f>IF(NOT(AND(ISNUMBER(D131),ISNUMBER(E131),ISNUMBER(G131),ISNUMBER(H131))),"缺少配对",IF(OR(F131&lt;J131,F131&gt;K131),"超出理论J范围","有效"))</x:f>
        <x:v>有效</x:v>
      </x:c>
      <x:c r="W131" s="20" t="str">
        <x:v>升力 y=0.915708x+28.7687 → C_T_prop（原 C_T 字段映射）；实验攻角 75° ↔ 理论 alpha_p_deg 15°；原升力源 3000rpm!D154/N154</x:v>
      </x:c>
      <x:c r="X131" s="20" t="str">
        <x:v>升力标定计算!M261</x:v>
      </x:c>
      <x:c r="Y131" s="20" t="str">
        <x:v>升力标定计算!M262</x:v>
      </x:c>
      <x:c r="Z131" s="20" t="str">
        <x:v>升力标定计算!N261</x:v>
      </x:c>
      <x:c r="AA131" s="20" t="str">
        <x:v>升力标定计算!N262</x:v>
      </x:c>
      <x:c r="AB131" s="20" t="str">
        <x:v>3000rpm!AU22:AT23</x:v>
      </x:c>
    </x:row>
    <x:row r="132">
      <x:c r="A132" s="21" t="n">
        <x:v>3000</x:v>
      </x:c>
      <x:c r="B132" s="21" t="n">
        <x:v>75</x:v>
      </x:c>
      <x:c r="C132" s="21" t="n">
        <x:v>12</x:v>
      </x:c>
      <x:c r="D132" s="22" t="n">
        <x:f>IFERROR('升力标定计算'!M263,"")</x:f>
        <x:v>0.4048360554793806</x:v>
      </x:c>
      <x:c r="E132" s="22" t="n">
        <x:f>IFERROR('升力标定计算'!M264,"")</x:f>
        <x:v>0.40981066249093795</x:v>
      </x:c>
      <x:c r="F132" s="22" t="n">
        <x:f>IF(AND(ISNUMBER(D132),ISNUMBER(E132)),AVERAGE(D132,E132),"")</x:f>
        <x:v>0.40732335898515926</x:v>
      </x:c>
      <x:c r="G132" s="22" t="n">
        <x:f>IFERROR('升力标定计算'!N263,"")</x:f>
        <x:v>0.01979080343678693</x:v>
      </x:c>
      <x:c r="H132" s="22" t="n">
        <x:f>IFERROR('升力标定计算'!N264,"")</x:f>
        <x:v>0.017642586183752137</x:v>
      </x:c>
      <x:c r="I132" s="22" t="n">
        <x:f>IF(AND(ISNUMBER(G132),ISNUMBER(H132)),AVERAGE(G132,H132),"")</x:f>
        <x:v>0.01871669481026953</x:v>
      </x:c>
      <x:c r="J132" s="22" t="n">
        <x:f>IFERROR('3000rpm'!AU14,"")</x:f>
        <x:v>0</x:v>
      </x:c>
      <x:c r="K132" s="22" t="n">
        <x:f>IFERROR('3000rpm'!AU24,"")</x:f>
        <x:v>0.4448818897637795</x:v>
      </x:c>
      <x:c r="L132" s="22" t="n">
        <x:f>IFERROR('3000rpm'!AU23,"")</x:f>
        <x:v>0.40039370078740166</x:v>
      </x:c>
      <x:c r="M132" s="22" t="n">
        <x:f>IFERROR('3000rpm'!AT23,"")</x:f>
        <x:v>0.023070460292602263</x:v>
      </x:c>
      <x:c r="N132" s="22" t="n">
        <x:f>IFERROR('3000rpm'!AU24,"")</x:f>
        <x:v>0.4448818897637795</x:v>
      </x:c>
      <x:c r="O132" s="22" t="n">
        <x:f>IFERROR('3000rpm'!AT24,"")</x:f>
        <x:v>0.013962627096064105</x:v>
      </x:c>
      <x:c r="P132" s="22" t="n">
        <x:f>IF(OR(NOT(AND(ISNUMBER(D132),ISNUMBER(E132),ISNUMBER(G132),ISNUMBER(H132))),OR(F132&lt;J132,F132&gt;K132)),"",IF(N132=L132,M132,M132+(F132-L132)*(O132-M132)/(N132-L132)))</x:f>
        <x:v>0.021651787776899016</x:v>
      </x:c>
      <x:c r="Q132" s="22" t="n">
        <x:f>IF(AND(ISNUMBER(I132),ISNUMBER(P132)),I132-P132,"")</x:f>
        <x:v>-0.002935092966629485</x:v>
      </x:c>
      <x:c r="R132" s="22" t="n">
        <x:f>IF(ISNUMBER(Q132),ABS(Q132),"")</x:f>
        <x:v>0.002935092966629485</x:v>
      </x:c>
      <x:c r="S132" s="36" t="n">
        <x:f>IF(AND(ISNUMBER(Q132),ISNUMBER(P132)),IF(ABS(P132)&lt;1E-12,"",Q132/P132),"")</x:f>
        <x:v>-0.1355589199780089</x:v>
      </x:c>
      <x:c r="T132" s="36" t="n">
        <x:f>IF(ISNUMBER(S132),ABS(S132),"")</x:f>
        <x:v>0.1355589199780089</x:v>
      </x:c>
      <x:c r="U132" s="37" t="n">
        <x:f>IF(ISNUMBER(Q132),Q132^2,"")</x:f>
        <x:v>0.000008614770722757871</x:v>
      </x:c>
      <x:c r="V132" s="21" t="str">
        <x:f>IF(NOT(AND(ISNUMBER(D132),ISNUMBER(E132),ISNUMBER(G132),ISNUMBER(H132))),"缺少配对",IF(OR(F132&lt;J132,F132&gt;K132),"超出理论J范围","有效"))</x:f>
        <x:v>有效</x:v>
      </x:c>
      <x:c r="W132" s="20" t="str">
        <x:v>升力 y=0.915708x+28.7687 → C_T_prop（原 C_T 字段映射）；实验攻角 75° ↔ 理论 alpha_p_deg 15°；原升力源 3000rpm!D155/N155</x:v>
      </x:c>
      <x:c r="X132" s="20" t="str">
        <x:v>升力标定计算!M263</x:v>
      </x:c>
      <x:c r="Y132" s="20" t="str">
        <x:v>升力标定计算!M264</x:v>
      </x:c>
      <x:c r="Z132" s="20" t="str">
        <x:v>升力标定计算!N263</x:v>
      </x:c>
      <x:c r="AA132" s="20" t="str">
        <x:v>升力标定计算!N264</x:v>
      </x:c>
      <x:c r="AB132" s="20" t="str">
        <x:v>3000rpm!AU23:AT24</x:v>
      </x:c>
    </x:row>
    <x:row r="133">
      <x:c r="A133" s="21" t="n">
        <x:v>3000</x:v>
      </x:c>
      <x:c r="B133" s="21" t="n">
        <x:v>75</x:v>
      </x:c>
      <x:c r="C133" s="21" t="n">
        <x:v>13</x:v>
      </x:c>
      <x:c r="D133" s="22" t="n">
        <x:f>IFERROR('升力标定计算'!M265,"")</x:f>
        <x:v>0.3676381897384628</x:v>
      </x:c>
      <x:c r="E133" s="22" t="n">
        <x:f>IFERROR('升力标定计算'!M266,"")</x:f>
        <x:v>0.37745131526770026</x:v>
      </x:c>
      <x:c r="F133" s="22" t="n">
        <x:f>IF(AND(ISNUMBER(D133),ISNUMBER(E133)),AVERAGE(D133,E133),"")</x:f>
        <x:v>0.3725447525030815</x:v>
      </x:c>
      <x:c r="G133" s="22" t="n">
        <x:f>IFERROR('升力标定计算'!N265,"")</x:f>
        <x:v>0.025514255018647618</x:v>
      </x:c>
      <x:c r="H133" s="22" t="n">
        <x:f>IFERROR('升力标定计算'!N266,"")</x:f>
        <x:v>0.02297238285222117</x:v>
      </x:c>
      <x:c r="I133" s="22" t="n">
        <x:f>IF(AND(ISNUMBER(G133),ISNUMBER(H133)),AVERAGE(G133,H133),"")</x:f>
        <x:v>0.024243318935434396</x:v>
      </x:c>
      <x:c r="J133" s="22" t="n">
        <x:f>IFERROR('3000rpm'!AU14,"")</x:f>
        <x:v>0</x:v>
      </x:c>
      <x:c r="K133" s="22" t="n">
        <x:f>IFERROR('3000rpm'!AU24,"")</x:f>
        <x:v>0.4448818897637795</x:v>
      </x:c>
      <x:c r="L133" s="22" t="n">
        <x:f>IFERROR('3000rpm'!AU22,"")</x:f>
        <x:v>0.3559055118110237</x:v>
      </x:c>
      <x:c r="M133" s="22" t="n">
        <x:f>IFERROR('3000rpm'!AT22,"")</x:f>
        <x:v>0.031756883166355034</x:v>
      </x:c>
      <x:c r="N133" s="22" t="n">
        <x:f>IFERROR('3000rpm'!AU23,"")</x:f>
        <x:v>0.40039370078740166</x:v>
      </x:c>
      <x:c r="O133" s="22" t="n">
        <x:f>IFERROR('3000rpm'!AT23,"")</x:f>
        <x:v>0.023070460292602263</x:v>
      </x:c>
      <x:c r="P133" s="22" t="n">
        <x:f>IF(OR(NOT(AND(ISNUMBER(D133),ISNUMBER(E133),ISNUMBER(G133),ISNUMBER(H133))),OR(F133&lt;J133,F133&gt;K133)),"",IF(N133=L133,M133,M133+(F133-L133)*(O133-M133)/(N133-L133)))</x:f>
        <x:v>0.02850803253262586</x:v>
      </x:c>
      <x:c r="Q133" s="22" t="n">
        <x:f>IF(AND(ISNUMBER(I133),ISNUMBER(P133)),I133-P133,"")</x:f>
        <x:v>-0.004264713597191463</x:v>
      </x:c>
      <x:c r="R133" s="22" t="n">
        <x:f>IF(ISNUMBER(Q133),ABS(Q133),"")</x:f>
        <x:v>0.004264713597191463</x:v>
      </x:c>
      <x:c r="S133" s="36" t="n">
        <x:f>IF(AND(ISNUMBER(Q133),ISNUMBER(P133)),IF(ABS(P133)&lt;1E-12,"",Q133/P133),"")</x:f>
        <x:v>-0.14959691070615747</x:v>
      </x:c>
      <x:c r="T133" s="36" t="n">
        <x:f>IF(ISNUMBER(S133),ABS(S133),"")</x:f>
        <x:v>0.14959691070615747</x:v>
      </x:c>
      <x:c r="U133" s="37" t="n">
        <x:f>IF(ISNUMBER(Q133),Q133^2,"")</x:f>
        <x:v>0.000018187782066069745</x:v>
      </x:c>
      <x:c r="V133" s="21" t="str">
        <x:f>IF(NOT(AND(ISNUMBER(D133),ISNUMBER(E133),ISNUMBER(G133),ISNUMBER(H133))),"缺少配对",IF(OR(F133&lt;J133,F133&gt;K133),"超出理论J范围","有效"))</x:f>
        <x:v>有效</x:v>
      </x:c>
      <x:c r="W133" s="20" t="str">
        <x:v>升力 y=0.915708x+28.7687 → C_T_prop（原 C_T 字段映射）；实验攻角 75° ↔ 理论 alpha_p_deg 15°；原升力源 3000rpm!D156/N156</x:v>
      </x:c>
      <x:c r="X133" s="20" t="str">
        <x:v>升力标定计算!M265</x:v>
      </x:c>
      <x:c r="Y133" s="20" t="str">
        <x:v>升力标定计算!M266</x:v>
      </x:c>
      <x:c r="Z133" s="20" t="str">
        <x:v>升力标定计算!N265</x:v>
      </x:c>
      <x:c r="AA133" s="20" t="str">
        <x:v>升力标定计算!N266</x:v>
      </x:c>
      <x:c r="AB133" s="20" t="str">
        <x:v>3000rpm!AU22:AT23</x:v>
      </x:c>
    </x:row>
    <x:row r="134">
      <x:c r="A134" s="21" t="n">
        <x:v>3000</x:v>
      </x:c>
      <x:c r="B134" s="21" t="n">
        <x:v>75</x:v>
      </x:c>
      <x:c r="C134" s="21" t="n">
        <x:v>14</x:v>
      </x:c>
      <x:c r="D134" s="22" t="n">
        <x:f>IFERROR('升力标定计算'!M267,"")</x:f>
        <x:v>0.33228970380534745</x:v>
      </x:c>
      <x:c r="E134" s="22" t="n">
        <x:f>IFERROR('升力标定计算'!M268,"")</x:f>
        <x:v>0.3354154648833919</x:v>
      </x:c>
      <x:c r="F134" s="22" t="n">
        <x:f>IF(AND(ISNUMBER(D134),ISNUMBER(E134)),AVERAGE(D134,E134),"")</x:f>
        <x:v>0.3338525843443697</x:v>
      </x:c>
      <x:c r="G134" s="22" t="n">
        <x:f>IFERROR('升力标定计算'!N267,"")</x:f>
        <x:v>0.03182198956946262</x:v>
      </x:c>
      <x:c r="H134" s="22" t="n">
        <x:f>IFERROR('升力标定计算'!N268,"")</x:f>
        <x:v>0.029222557888176886</x:v>
      </x:c>
      <x:c r="I134" s="22" t="n">
        <x:f>IF(AND(ISNUMBER(G134),ISNUMBER(H134)),AVERAGE(G134,H134),"")</x:f>
        <x:v>0.03052227372881975</x:v>
      </x:c>
      <x:c r="J134" s="22" t="n">
        <x:f>IFERROR('3000rpm'!AU14,"")</x:f>
        <x:v>0</x:v>
      </x:c>
      <x:c r="K134" s="22" t="n">
        <x:f>IFERROR('3000rpm'!AU24,"")</x:f>
        <x:v>0.4448818897637795</x:v>
      </x:c>
      <x:c r="L134" s="22" t="n">
        <x:f>IFERROR('3000rpm'!AU21,"")</x:f>
        <x:v>0.3114173228346457</x:v>
      </x:c>
      <x:c r="M134" s="22" t="n">
        <x:f>IFERROR('3000rpm'!AT21,"")</x:f>
        <x:v>0.04003544875576512</x:v>
      </x:c>
      <x:c r="N134" s="22" t="n">
        <x:f>IFERROR('3000rpm'!AU22,"")</x:f>
        <x:v>0.3559055118110237</x:v>
      </x:c>
      <x:c r="O134" s="22" t="n">
        <x:f>IFERROR('3000rpm'!AT22,"")</x:f>
        <x:v>0.031756883166355034</x:v>
      </x:c>
      <x:c r="P134" s="22" t="n">
        <x:f>IF(OR(NOT(AND(ISNUMBER(D134),ISNUMBER(E134),ISNUMBER(G134),ISNUMBER(H134))),OR(F134&lt;J134,F134&gt;K134)),"",IF(N134=L134,M134,M134+(F134-L134)*(O134-M134)/(N134-L134)))</x:f>
        <x:v>0.03586059272774302</x:v>
      </x:c>
      <x:c r="Q134" s="22" t="n">
        <x:f>IF(AND(ISNUMBER(I134),ISNUMBER(P134)),I134-P134,"")</x:f>
        <x:v>-0.005338318998923272</x:v>
      </x:c>
      <x:c r="R134" s="22" t="n">
        <x:f>IF(ISNUMBER(Q134),ABS(Q134),"")</x:f>
        <x:v>0.005338318998923272</x:v>
      </x:c>
      <x:c r="S134" s="36" t="n">
        <x:f>IF(AND(ISNUMBER(Q134),ISNUMBER(P134)),IF(ABS(P134)&lt;1E-12,"",Q134/P134),"")</x:f>
        <x:v>-0.148863099934022</x:v>
      </x:c>
      <x:c r="T134" s="36" t="n">
        <x:f>IF(ISNUMBER(S134),ABS(S134),"")</x:f>
        <x:v>0.148863099934022</x:v>
      </x:c>
      <x:c r="U134" s="37" t="n">
        <x:f>IF(ISNUMBER(Q134),Q134^2,"")</x:f>
        <x:v>0.000028497649734265164</x:v>
      </x:c>
      <x:c r="V134" s="21" t="str">
        <x:f>IF(NOT(AND(ISNUMBER(D134),ISNUMBER(E134),ISNUMBER(G134),ISNUMBER(H134))),"缺少配对",IF(OR(F134&lt;J134,F134&gt;K134),"超出理论J范围","有效"))</x:f>
        <x:v>有效</x:v>
      </x:c>
      <x:c r="W134" s="20" t="str">
        <x:v>升力 y=0.915708x+28.7687 → C_T_prop（原 C_T 字段映射）；实验攻角 75° ↔ 理论 alpha_p_deg 15°；原升力源 3000rpm!D157/N157</x:v>
      </x:c>
      <x:c r="X134" s="20" t="str">
        <x:v>升力标定计算!M267</x:v>
      </x:c>
      <x:c r="Y134" s="20" t="str">
        <x:v>升力标定计算!M268</x:v>
      </x:c>
      <x:c r="Z134" s="20" t="str">
        <x:v>升力标定计算!N267</x:v>
      </x:c>
      <x:c r="AA134" s="20" t="str">
        <x:v>升力标定计算!N268</x:v>
      </x:c>
      <x:c r="AB134" s="20" t="str">
        <x:v>3000rpm!AU21:AT22</x:v>
      </x:c>
    </x:row>
    <x:row r="135">
      <x:c r="A135" s="21" t="n">
        <x:v>3000</x:v>
      </x:c>
      <x:c r="B135" s="21" t="n">
        <x:v>75</x:v>
      </x:c>
      <x:c r="C135" s="21" t="n">
        <x:v>15</x:v>
      </x:c>
      <x:c r="D135" s="22" t="n">
        <x:f>IFERROR('升力标定计算'!M269,"")</x:f>
        <x:v>0.2934466673539308</x:v>
      </x:c>
      <x:c r="E135" s="22" t="n">
        <x:f>IFERROR('升力标定计算'!M270,"")</x:f>
        <x:v>0.30301224931284476</x:v>
      </x:c>
      <x:c r="F135" s="22" t="n">
        <x:f>IF(AND(ISNUMBER(D135),ISNUMBER(E135)),AVERAGE(D135,E135),"")</x:f>
        <x:v>0.29822945833338776</x:v>
      </x:c>
      <x:c r="G135" s="22" t="n">
        <x:f>IFERROR('升力标定计算'!N269,"")</x:f>
        <x:v>0.03656185132739337</x:v>
      </x:c>
      <x:c r="H135" s="22" t="n">
        <x:f>IFERROR('升力标定计算'!N270,"")</x:f>
        <x:v>0.035350978177207275</x:v>
      </x:c>
      <x:c r="I135" s="22" t="n">
        <x:f>IF(AND(ISNUMBER(G135),ISNUMBER(H135)),AVERAGE(G135,H135),"")</x:f>
        <x:v>0.035956414752300325</x:v>
      </x:c>
      <x:c r="J135" s="22" t="n">
        <x:f>IFERROR('3000rpm'!AU14,"")</x:f>
        <x:v>0</x:v>
      </x:c>
      <x:c r="K135" s="22" t="n">
        <x:f>IFERROR('3000rpm'!AU24,"")</x:f>
        <x:v>0.4448818897637795</x:v>
      </x:c>
      <x:c r="L135" s="22" t="n">
        <x:f>IFERROR('3000rpm'!AU20,"")</x:f>
        <x:v>0.26692913385826766</x:v>
      </x:c>
      <x:c r="M135" s="22" t="n">
        <x:f>IFERROR('3000rpm'!AT20,"")</x:f>
        <x:v>0.04787765983806524</x:v>
      </x:c>
      <x:c r="N135" s="22" t="n">
        <x:f>IFERROR('3000rpm'!AU21,"")</x:f>
        <x:v>0.3114173228346457</x:v>
      </x:c>
      <x:c r="O135" s="22" t="n">
        <x:f>IFERROR('3000rpm'!AT21,"")</x:f>
        <x:v>0.04003544875576512</x:v>
      </x:c>
      <x:c r="P135" s="22" t="n">
        <x:f>IF(OR(NOT(AND(ISNUMBER(D135),ISNUMBER(E135),ISNUMBER(G135),ISNUMBER(H135))),OR(F135&lt;J135,F135&gt;K135)),"",IF(N135=L135,M135,M135+(F135-L135)*(O135-M135)/(N135-L135)))</x:f>
        <x:v>0.04236015604377254</x:v>
      </x:c>
      <x:c r="Q135" s="22" t="n">
        <x:f>IF(AND(ISNUMBER(I135),ISNUMBER(P135)),I135-P135,"")</x:f>
        <x:v>-0.006403741291472212</x:v>
      </x:c>
      <x:c r="R135" s="22" t="n">
        <x:f>IF(ISNUMBER(Q135),ABS(Q135),"")</x:f>
        <x:v>0.006403741291472212</x:v>
      </x:c>
      <x:c r="S135" s="36" t="n">
        <x:f>IF(AND(ISNUMBER(Q135),ISNUMBER(P135)),IF(ABS(P135)&lt;1E-12,"",Q135/P135),"")</x:f>
        <x:v>-0.1511736945646507</x:v>
      </x:c>
      <x:c r="T135" s="36" t="n">
        <x:f>IF(ISNUMBER(S135),ABS(S135),"")</x:f>
        <x:v>0.1511736945646507</x:v>
      </x:c>
      <x:c r="U135" s="37" t="n">
        <x:f>IF(ISNUMBER(Q135),Q135^2,"")</x:f>
        <x:v>0.000041007902528106194</x:v>
      </x:c>
      <x:c r="V135" s="21" t="str">
        <x:f>IF(NOT(AND(ISNUMBER(D135),ISNUMBER(E135),ISNUMBER(G135),ISNUMBER(H135))),"缺少配对",IF(OR(F135&lt;J135,F135&gt;K135),"超出理论J范围","有效"))</x:f>
        <x:v>有效</x:v>
      </x:c>
      <x:c r="W135" s="20" t="str">
        <x:v>升力 y=0.915708x+28.7687 → C_T_prop（原 C_T 字段映射）；实验攻角 75° ↔ 理论 alpha_p_deg 15°；原升力源 3000rpm!D158/N158</x:v>
      </x:c>
      <x:c r="X135" s="20" t="str">
        <x:v>升力标定计算!M269</x:v>
      </x:c>
      <x:c r="Y135" s="20" t="str">
        <x:v>升力标定计算!M270</x:v>
      </x:c>
      <x:c r="Z135" s="20" t="str">
        <x:v>升力标定计算!N269</x:v>
      </x:c>
      <x:c r="AA135" s="20" t="str">
        <x:v>升力标定计算!N270</x:v>
      </x:c>
      <x:c r="AB135" s="20" t="str">
        <x:v>3000rpm!AU20:AT21</x:v>
      </x:c>
    </x:row>
    <x:row r="136">
      <x:c r="A136" s="21" t="n">
        <x:v>3000</x:v>
      </x:c>
      <x:c r="B136" s="21" t="n">
        <x:v>75</x:v>
      </x:c>
      <x:c r="C136" s="21" t="n">
        <x:v>16</x:v>
      </x:c>
      <x:c r="D136" s="22" t="n">
        <x:f>IFERROR('升力标定计算'!M271,"")</x:f>
        <x:v>0.25384474992422834</x:v>
      </x:c>
      <x:c r="E136" s="22" t="n">
        <x:f>IFERROR('升力标定计算'!M272,"")</x:f>
        <x:v>0.2609898672938096</x:v>
      </x:c>
      <x:c r="F136" s="22" t="n">
        <x:f>IF(AND(ISNUMBER(D136),ISNUMBER(E136)),AVERAGE(D136,E136),"")</x:f>
        <x:v>0.25741730860901896</x:v>
      </x:c>
      <x:c r="G136" s="22" t="n">
        <x:f>IFERROR('升力标定计算'!N271,"")</x:f>
        <x:v>0.042607256287060004</x:v>
      </x:c>
      <x:c r="H136" s="22" t="n">
        <x:f>IFERROR('升力标定计算'!N272,"")</x:f>
        <x:v>0.041263255196467556</x:v>
      </x:c>
      <x:c r="I136" s="22" t="n">
        <x:f>IF(AND(ISNUMBER(G136),ISNUMBER(H136)),AVERAGE(G136,H136),"")</x:f>
        <x:v>0.04193525574176378</x:v>
      </x:c>
      <x:c r="J136" s="22" t="n">
        <x:f>IFERROR('3000rpm'!AU14,"")</x:f>
        <x:v>0</x:v>
      </x:c>
      <x:c r="K136" s="22" t="n">
        <x:f>IFERROR('3000rpm'!AU24,"")</x:f>
        <x:v>0.4448818897637795</x:v>
      </x:c>
      <x:c r="L136" s="22" t="n">
        <x:f>IFERROR('3000rpm'!AU19,"")</x:f>
        <x:v>0.22244094488188976</x:v>
      </x:c>
      <x:c r="M136" s="22" t="n">
        <x:f>IFERROR('3000rpm'!AT19,"")</x:f>
        <x:v>0.055176801934408076</x:v>
      </x:c>
      <x:c r="N136" s="22" t="n">
        <x:f>IFERROR('3000rpm'!AU20,"")</x:f>
        <x:v>0.26692913385826766</x:v>
      </x:c>
      <x:c r="O136" s="22" t="n">
        <x:f>IFERROR('3000rpm'!AT20,"")</x:f>
        <x:v>0.04787765983806524</x:v>
      </x:c>
      <x:c r="P136" s="22" t="n">
        <x:f>IF(OR(NOT(AND(ISNUMBER(D136),ISNUMBER(E136),ISNUMBER(G136),ISNUMBER(H136))),OR(F136&lt;J136,F136&gt;K136)),"",IF(N136=L136,M136,M136+(F136-L136)*(O136-M136)/(N136-L136)))</x:f>
        <x:v>0.0494382575087574</x:v>
      </x:c>
      <x:c r="Q136" s="22" t="n">
        <x:f>IF(AND(ISNUMBER(I136),ISNUMBER(P136)),I136-P136,"")</x:f>
        <x:v>-0.007503001766993617</x:v>
      </x:c>
      <x:c r="R136" s="22" t="n">
        <x:f>IF(ISNUMBER(Q136),ABS(Q136),"")</x:f>
        <x:v>0.007503001766993617</x:v>
      </x:c>
      <x:c r="S136" s="36" t="n">
        <x:f>IF(AND(ISNUMBER(Q136),ISNUMBER(P136)),IF(ABS(P136)&lt;1E-12,"",Q136/P136),"")</x:f>
        <x:v>-0.15176509337256777</x:v>
      </x:c>
      <x:c r="T136" s="36" t="n">
        <x:f>IF(ISNUMBER(S136),ABS(S136),"")</x:f>
        <x:v>0.15176509337256777</x:v>
      </x:c>
      <x:c r="U136" s="37" t="n">
        <x:f>IF(ISNUMBER(Q136),Q136^2,"")</x:f>
        <x:v>0.00005629503551550933</x:v>
      </x:c>
      <x:c r="V136" s="21" t="str">
        <x:f>IF(NOT(AND(ISNUMBER(D136),ISNUMBER(E136),ISNUMBER(G136),ISNUMBER(H136))),"缺少配对",IF(OR(F136&lt;J136,F136&gt;K136),"超出理论J范围","有效"))</x:f>
        <x:v>有效</x:v>
      </x:c>
      <x:c r="W136" s="20" t="str">
        <x:v>升力 y=0.915708x+28.7687 → C_T_prop（原 C_T 字段映射）；实验攻角 75° ↔ 理论 alpha_p_deg 15°；原升力源 3000rpm!D159/N159</x:v>
      </x:c>
      <x:c r="X136" s="20" t="str">
        <x:v>升力标定计算!M271</x:v>
      </x:c>
      <x:c r="Y136" s="20" t="str">
        <x:v>升力标定计算!M272</x:v>
      </x:c>
      <x:c r="Z136" s="20" t="str">
        <x:v>升力标定计算!N271</x:v>
      </x:c>
      <x:c r="AA136" s="20" t="str">
        <x:v>升力标定计算!N272</x:v>
      </x:c>
      <x:c r="AB136" s="20" t="str">
        <x:v>3000rpm!AU19:AT20</x:v>
      </x:c>
    </x:row>
    <x:row r="137">
      <x:c r="A137" s="21" t="n">
        <x:v>3000</x:v>
      </x:c>
      <x:c r="B137" s="21" t="n">
        <x:v>75</x:v>
      </x:c>
      <x:c r="C137" s="21" t="n">
        <x:v>17</x:v>
      </x:c>
      <x:c r="D137" s="22" t="n">
        <x:f>IFERROR('升力标定计算'!M273,"")</x:f>
        <x:v>0.20913508941900003</x:v>
      </x:c>
      <x:c r="E137" s="22" t="n">
        <x:f>IFERROR('升力标定计算'!M274,"")</x:f>
        <x:v>0.21952073960010482</x:v>
      </x:c>
      <x:c r="F137" s="22" t="n">
        <x:f>IF(AND(ISNUMBER(D137),ISNUMBER(E137)),AVERAGE(D137,E137),"")</x:f>
        <x:v>0.2143279145095524</x:v>
      </x:c>
      <x:c r="G137" s="22" t="n">
        <x:f>IFERROR('升力标定计算'!N273,"")</x:f>
        <x:v>0.04901655375119518</x:v>
      </x:c>
      <x:c r="H137" s="22" t="n">
        <x:f>IFERROR('升力标定计算'!N274,"")</x:f>
        <x:v>0.04714753946848935</x:v>
      </x:c>
      <x:c r="I137" s="22" t="n">
        <x:f>IF(AND(ISNUMBER(G137),ISNUMBER(H137)),AVERAGE(G137,H137),"")</x:f>
        <x:v>0.04808204660984226</x:v>
      </x:c>
      <x:c r="J137" s="22" t="n">
        <x:f>IFERROR('3000rpm'!AU14,"")</x:f>
        <x:v>0</x:v>
      </x:c>
      <x:c r="K137" s="22" t="n">
        <x:f>IFERROR('3000rpm'!AU24,"")</x:f>
        <x:v>0.4448818897637795</x:v>
      </x:c>
      <x:c r="L137" s="22" t="n">
        <x:f>IFERROR('3000rpm'!AU18,"")</x:f>
        <x:v>0.17795275590551185</x:v>
      </x:c>
      <x:c r="M137" s="22" t="n">
        <x:f>IFERROR('3000rpm'!AT18,"")</x:f>
        <x:v>0.061954065375399915</x:v>
      </x:c>
      <x:c r="N137" s="22" t="n">
        <x:f>IFERROR('3000rpm'!AU19,"")</x:f>
        <x:v>0.22244094488188976</x:v>
      </x:c>
      <x:c r="O137" s="22" t="n">
        <x:f>IFERROR('3000rpm'!AT19,"")</x:f>
        <x:v>0.055176801934408076</x:v>
      </x:c>
      <x:c r="P137" s="22" t="n">
        <x:f>IF(OR(NOT(AND(ISNUMBER(D137),ISNUMBER(E137),ISNUMBER(G137),ISNUMBER(H137))),OR(F137&lt;J137,F137&gt;K137)),"",IF(N137=L137,M137,M137+(F137-L137)*(O137-M137)/(N137-L137)))</x:f>
        <x:v>0.0564127287141494</x:v>
      </x:c>
      <x:c r="Q137" s="22" t="n">
        <x:f>IF(AND(ISNUMBER(I137),ISNUMBER(P137)),I137-P137,"")</x:f>
        <x:v>-0.008330682104307138</x:v>
      </x:c>
      <x:c r="R137" s="22" t="n">
        <x:f>IF(ISNUMBER(Q137),ABS(Q137),"")</x:f>
        <x:v>0.008330682104307138</x:v>
      </x:c>
      <x:c r="S137" s="36" t="n">
        <x:f>IF(AND(ISNUMBER(Q137),ISNUMBER(P137)),IF(ABS(P137)&lt;1E-12,"",Q137/P137),"")</x:f>
        <x:v>-0.1476738015372343</x:v>
      </x:c>
      <x:c r="T137" s="36" t="n">
        <x:f>IF(ISNUMBER(S137),ABS(S137),"")</x:f>
        <x:v>0.1476738015372343</x:v>
      </x:c>
      <x:c r="U137" s="37" t="n">
        <x:f>IF(ISNUMBER(Q137),Q137^2,"")</x:f>
        <x:v>0.0000694002643230232</x:v>
      </x:c>
      <x:c r="V137" s="21" t="str">
        <x:f>IF(NOT(AND(ISNUMBER(D137),ISNUMBER(E137),ISNUMBER(G137),ISNUMBER(H137))),"缺少配对",IF(OR(F137&lt;J137,F137&gt;K137),"超出理论J范围","有效"))</x:f>
        <x:v>有效</x:v>
      </x:c>
      <x:c r="W137" s="20" t="str">
        <x:v>升力 y=0.915708x+28.7687 → C_T_prop（原 C_T 字段映射）；实验攻角 75° ↔ 理论 alpha_p_deg 15°；原升力源 3000rpm!D160/N160</x:v>
      </x:c>
      <x:c r="X137" s="20" t="str">
        <x:v>升力标定计算!M273</x:v>
      </x:c>
      <x:c r="Y137" s="20" t="str">
        <x:v>升力标定计算!M274</x:v>
      </x:c>
      <x:c r="Z137" s="20" t="str">
        <x:v>升力标定计算!N273</x:v>
      </x:c>
      <x:c r="AA137" s="20" t="str">
        <x:v>升力标定计算!N274</x:v>
      </x:c>
      <x:c r="AB137" s="20" t="str">
        <x:v>3000rpm!AU18:AT19</x:v>
      </x:c>
    </x:row>
    <x:row r="138">
      <x:c r="A138" s="21" t="n">
        <x:v>3000</x:v>
      </x:c>
      <x:c r="B138" s="21" t="n">
        <x:v>75</x:v>
      </x:c>
      <x:c r="C138" s="21" t="n">
        <x:v>18</x:v>
      </x:c>
      <x:c r="D138" s="22" t="n">
        <x:f>IFERROR('升力标定计算'!M275,"")</x:f>
        <x:v>0.17263546354438333</x:v>
      </x:c>
      <x:c r="E138" s="22" t="n">
        <x:f>IFERROR('升力标定计算'!M276,"")</x:f>
        <x:v>0.177200029795958</x:v>
      </x:c>
      <x:c r="F138" s="22" t="n">
        <x:f>IF(AND(ISNUMBER(D138),ISNUMBER(E138)),AVERAGE(D138,E138),"")</x:f>
        <x:v>0.17491774667017068</x:v>
      </x:c>
      <x:c r="G138" s="22" t="n">
        <x:f>IFERROR('升力标定计算'!N275,"")</x:f>
        <x:v>0.05456666372344165</x:v>
      </x:c>
      <x:c r="H138" s="22" t="n">
        <x:f>IFERROR('升力标定计算'!N276,"")</x:f>
        <x:v>0.053012525110929465</x:v>
      </x:c>
      <x:c r="I138" s="22" t="n">
        <x:f>IF(AND(ISNUMBER(G138),ISNUMBER(H138)),AVERAGE(G138,H138),"")</x:f>
        <x:v>0.05378959441718556</x:v>
      </x:c>
      <x:c r="J138" s="22" t="n">
        <x:f>IFERROR('3000rpm'!AU14,"")</x:f>
        <x:v>0</x:v>
      </x:c>
      <x:c r="K138" s="22" t="n">
        <x:f>IFERROR('3000rpm'!AU24,"")</x:f>
        <x:v>0.4448818897637795</x:v>
      </x:c>
      <x:c r="L138" s="22" t="n">
        <x:f>IFERROR('3000rpm'!AU17,"")</x:f>
        <x:v>0.13346456692913383</x:v>
      </x:c>
      <x:c r="M138" s="22" t="n">
        <x:f>IFERROR('3000rpm'!AT17,"")</x:f>
        <x:v>0.06818017627654385</x:v>
      </x:c>
      <x:c r="N138" s="22" t="n">
        <x:f>IFERROR('3000rpm'!AU18,"")</x:f>
        <x:v>0.17795275590551185</x:v>
      </x:c>
      <x:c r="O138" s="22" t="n">
        <x:f>IFERROR('3000rpm'!AT18,"")</x:f>
        <x:v>0.061954065375399915</x:v>
      </x:c>
      <x:c r="P138" s="22" t="n">
        <x:f>IF(OR(NOT(AND(ISNUMBER(D138),ISNUMBER(E138),ISNUMBER(G138),ISNUMBER(H138))),OR(F138&lt;J138,F138&gt;K138)),"",IF(N138=L138,M138,M138+(F138-L138)*(O138-M138)/(N138-L138)))</x:f>
        <x:v>0.0623788141574927</x:v>
      </x:c>
      <x:c r="Q138" s="22" t="n">
        <x:f>IF(AND(ISNUMBER(I138),ISNUMBER(P138)),I138-P138,"")</x:f>
        <x:v>-0.008589219740307137</x:v>
      </x:c>
      <x:c r="R138" s="22" t="n">
        <x:f>IF(ISNUMBER(Q138),ABS(Q138),"")</x:f>
        <x:v>0.008589219740307137</x:v>
      </x:c>
      <x:c r="S138" s="36" t="n">
        <x:f>IF(AND(ISNUMBER(Q138),ISNUMBER(P138)),IF(ABS(P138)&lt;1E-12,"",Q138/P138),"")</x:f>
        <x:v>-0.13769450183232498</x:v>
      </x:c>
      <x:c r="T138" s="36" t="n">
        <x:f>IF(ISNUMBER(S138),ABS(S138),"")</x:f>
        <x:v>0.13769450183232498</x:v>
      </x:c>
      <x:c r="U138" s="37" t="n">
        <x:f>IF(ISNUMBER(Q138),Q138^2,"")</x:f>
        <x:v>0.00007377469574728181</x:v>
      </x:c>
      <x:c r="V138" s="21" t="str">
        <x:f>IF(NOT(AND(ISNUMBER(D138),ISNUMBER(E138),ISNUMBER(G138),ISNUMBER(H138))),"缺少配对",IF(OR(F138&lt;J138,F138&gt;K138),"超出理论J范围","有效"))</x:f>
        <x:v>有效</x:v>
      </x:c>
      <x:c r="W138" s="20" t="str">
        <x:v>升力 y=0.915708x+28.7687 → C_T_prop（原 C_T 字段映射）；实验攻角 75° ↔ 理论 alpha_p_deg 15°；原升力源 3000rpm!D161/N161</x:v>
      </x:c>
      <x:c r="X138" s="20" t="str">
        <x:v>升力标定计算!M275</x:v>
      </x:c>
      <x:c r="Y138" s="20" t="str">
        <x:v>升力标定计算!M276</x:v>
      </x:c>
      <x:c r="Z138" s="20" t="str">
        <x:v>升力标定计算!N275</x:v>
      </x:c>
      <x:c r="AA138" s="20" t="str">
        <x:v>升力标定计算!N276</x:v>
      </x:c>
      <x:c r="AB138" s="20" t="str">
        <x:v>3000rpm!AU17:AT18</x:v>
      </x:c>
    </x:row>
    <x:row r="139">
      <x:c r="A139" s="21" t="n">
        <x:v>3000</x:v>
      </x:c>
      <x:c r="B139" s="21" t="n">
        <x:v>75</x:v>
      </x:c>
      <x:c r="C139" s="21" t="n">
        <x:v>19</x:v>
      </x:c>
      <x:c r="D139" s="22" t="n">
        <x:f>IFERROR('升力标定计算'!M277,"")</x:f>
        <x:v>0.1307514600032652</x:v>
      </x:c>
      <x:c r="E139" s="22" t="n">
        <x:f>IFERROR('升力标定计算'!M278,"")</x:f>
        <x:v>0.1336489142912332</x:v>
      </x:c>
      <x:c r="F139" s="22" t="n">
        <x:f>IF(AND(ISNUMBER(D139),ISNUMBER(E139)),AVERAGE(D139,E139),"")</x:f>
        <x:v>0.1322001871472492</x:v>
      </x:c>
      <x:c r="G139" s="22" t="n">
        <x:f>IFERROR('升力标定计算'!N277,"")</x:f>
        <x:v>0.060922583534747936</x:v>
      </x:c>
      <x:c r="H139" s="22" t="n">
        <x:f>IFERROR('升力标定计算'!N278,"")</x:f>
        <x:v>0.05892393720009722</x:v>
      </x:c>
      <x:c r="I139" s="22" t="n">
        <x:f>IF(AND(ISNUMBER(G139),ISNUMBER(H139)),AVERAGE(G139,H139),"")</x:f>
        <x:v>0.05992326036742258</x:v>
      </x:c>
      <x:c r="J139" s="22" t="n">
        <x:f>IFERROR('3000rpm'!AU14,"")</x:f>
        <x:v>0</x:v>
      </x:c>
      <x:c r="K139" s="22" t="n">
        <x:f>IFERROR('3000rpm'!AU24,"")</x:f>
        <x:v>0.4448818897637795</x:v>
      </x:c>
      <x:c r="L139" s="22" t="n">
        <x:f>IFERROR('3000rpm'!AU16,"")</x:f>
        <x:v>0.08897637795275593</x:v>
      </x:c>
      <x:c r="M139" s="22" t="n">
        <x:f>IFERROR('3000rpm'!AT16,"")</x:f>
        <x:v>0.07391207233125573</x:v>
      </x:c>
      <x:c r="N139" s="22" t="n">
        <x:f>IFERROR('3000rpm'!AU17,"")</x:f>
        <x:v>0.13346456692913383</x:v>
      </x:c>
      <x:c r="O139" s="22" t="n">
        <x:f>IFERROR('3000rpm'!AT17,"")</x:f>
        <x:v>0.06818017627654385</x:v>
      </x:c>
      <x:c r="P139" s="22" t="n">
        <x:f>IF(OR(NOT(AND(ISNUMBER(D139),ISNUMBER(E139),ISNUMBER(G139),ISNUMBER(H139))),OR(F139&lt;J139,F139&gt;K139)),"",IF(N139=L139,M139,M139+(F139-L139)*(O139-M139)/(N139-L139)))</x:f>
        <x:v>0.06834308004156989</x:v>
      </x:c>
      <x:c r="Q139" s="22" t="n">
        <x:f>IF(AND(ISNUMBER(I139),ISNUMBER(P139)),I139-P139,"")</x:f>
        <x:v>-0.00841981967414731</x:v>
      </x:c>
      <x:c r="R139" s="22" t="n">
        <x:f>IF(ISNUMBER(Q139),ABS(Q139),"")</x:f>
        <x:v>0.00841981967414731</x:v>
      </x:c>
      <x:c r="S139" s="36" t="n">
        <x:f>IF(AND(ISNUMBER(Q139),ISNUMBER(P139)),IF(ABS(P139)&lt;1E-12,"",Q139/P139),"")</x:f>
        <x:v>-0.12319930077816113</x:v>
      </x:c>
      <x:c r="T139" s="36" t="n">
        <x:f>IF(ISNUMBER(S139),ABS(S139),"")</x:f>
        <x:v>0.12319930077816113</x:v>
      </x:c>
      <x:c r="U139" s="37" t="n">
        <x:f>IF(ISNUMBER(Q139),Q139^2,"")</x:f>
        <x:v>0.0000708933633451581</x:v>
      </x:c>
      <x:c r="V139" s="21" t="str">
        <x:f>IF(NOT(AND(ISNUMBER(D139),ISNUMBER(E139),ISNUMBER(G139),ISNUMBER(H139))),"缺少配对",IF(OR(F139&lt;J139,F139&gt;K139),"超出理论J范围","有效"))</x:f>
        <x:v>有效</x:v>
      </x:c>
      <x:c r="W139" s="20" t="str">
        <x:v>升力 y=0.915708x+28.7687 → C_T_prop（原 C_T 字段映射）；实验攻角 75° ↔ 理论 alpha_p_deg 15°；原升力源 3000rpm!D162/N162</x:v>
      </x:c>
      <x:c r="X139" s="20" t="str">
        <x:v>升力标定计算!M277</x:v>
      </x:c>
      <x:c r="Y139" s="20" t="str">
        <x:v>升力标定计算!M278</x:v>
      </x:c>
      <x:c r="Z139" s="20" t="str">
        <x:v>升力标定计算!N277</x:v>
      </x:c>
      <x:c r="AA139" s="20" t="str">
        <x:v>升力标定计算!N278</x:v>
      </x:c>
      <x:c r="AB139" s="20" t="str">
        <x:v>3000rpm!AU16:AT17</x:v>
      </x:c>
    </x:row>
    <x:row r="140">
      <x:c r="A140" s="21" t="n">
        <x:v>3000</x:v>
      </x:c>
      <x:c r="B140" s="21" t="n">
        <x:v>75</x:v>
      </x:c>
      <x:c r="C140" s="21" t="n">
        <x:v>20</x:v>
      </x:c>
      <x:c r="D140" s="22" t="n">
        <x:f>IFERROR('升力标定计算'!M279,"")</x:f>
        <x:v>0.08738190846251122</x:v>
      </x:c>
      <x:c r="E140" s="22" t="n">
        <x:f>IFERROR('升力标定计算'!M280,"")</x:f>
        <x:v>0.08938892766670696</x:v>
      </x:c>
      <x:c r="F140" s="22" t="n">
        <x:f>IF(AND(ISNUMBER(D140),ISNUMBER(E140)),AVERAGE(D140,E140),"")</x:f>
        <x:v>0.08838541806460909</x:v>
      </x:c>
      <x:c r="G140" s="22" t="n">
        <x:f>IFERROR('升力标定计算'!N279,"")</x:f>
        <x:v>0.06584444631031787</x:v>
      </x:c>
      <x:c r="H140" s="22" t="n">
        <x:f>IFERROR('升力标定计算'!N280,"")</x:f>
        <x:v>0.06462228295289799</x:v>
      </x:c>
      <x:c r="I140" s="22" t="n">
        <x:f>IF(AND(ISNUMBER(G140),ISNUMBER(H140)),AVERAGE(G140,H140),"")</x:f>
        <x:v>0.06523336463160792</x:v>
      </x:c>
      <x:c r="J140" s="22" t="n">
        <x:f>IFERROR('3000rpm'!AU14,"")</x:f>
        <x:v>0</x:v>
      </x:c>
      <x:c r="K140" s="22" t="n">
        <x:f>IFERROR('3000rpm'!AU24,"")</x:f>
        <x:v>0.4448818897637795</x:v>
      </x:c>
      <x:c r="L140" s="22" t="n">
        <x:f>IFERROR('3000rpm'!AU15,"")</x:f>
        <x:v>0.04448818897637796</x:v>
      </x:c>
      <x:c r="M140" s="22" t="n">
        <x:f>IFERROR('3000rpm'!AT15,"")</x:f>
        <x:v>0.07918829994838127</x:v>
      </x:c>
      <x:c r="N140" s="22" t="n">
        <x:f>IFERROR('3000rpm'!AU16,"")</x:f>
        <x:v>0.08897637795275593</x:v>
      </x:c>
      <x:c r="O140" s="22" t="n">
        <x:f>IFERROR('3000rpm'!AT16,"")</x:f>
        <x:v>0.07391207233125573</x:v>
      </x:c>
      <x:c r="P140" s="22" t="n">
        <x:f>IF(OR(NOT(AND(ISNUMBER(D140),ISNUMBER(E140),ISNUMBER(G140),ISNUMBER(H140))),OR(F140&lt;J140,F140&gt;K140)),"",IF(N140=L140,M140,M140+(F140-L140)*(O140-M140)/(N140-L140)))</x:f>
        <x:v>0.07398215922294982</x:v>
      </x:c>
      <x:c r="Q140" s="22" t="n">
        <x:f>IF(AND(ISNUMBER(I140),ISNUMBER(P140)),I140-P140,"")</x:f>
        <x:v>-0.008748794591341896</x:v>
      </x:c>
      <x:c r="R140" s="22" t="n">
        <x:f>IF(ISNUMBER(Q140),ABS(Q140),"")</x:f>
        <x:v>0.008748794591341896</x:v>
      </x:c>
      <x:c r="S140" s="36" t="n">
        <x:f>IF(AND(ISNUMBER(Q140),ISNUMBER(P140)),IF(ABS(P140)&lt;1E-12,"",Q140/P140),"")</x:f>
        <x:v>-0.11825546433400061</x:v>
      </x:c>
      <x:c r="T140" s="36" t="n">
        <x:f>IF(ISNUMBER(S140),ABS(S140),"")</x:f>
        <x:v>0.11825546433400061</x:v>
      </x:c>
      <x:c r="U140" s="37" t="n">
        <x:f>IF(ISNUMBER(Q140),Q140^2,"")</x:f>
        <x:v>0.00007654140680149322</x:v>
      </x:c>
      <x:c r="V140" s="21" t="str">
        <x:f>IF(NOT(AND(ISNUMBER(D140),ISNUMBER(E140),ISNUMBER(G140),ISNUMBER(H140))),"缺少配对",IF(OR(F140&lt;J140,F140&gt;K140),"超出理论J范围","有效"))</x:f>
        <x:v>有效</x:v>
      </x:c>
      <x:c r="W140" s="20" t="str">
        <x:v>升力 y=0.915708x+28.7687 → C_T_prop（原 C_T 字段映射）；实验攻角 75° ↔ 理论 alpha_p_deg 15°；原升力源 3000rpm!D163/N163</x:v>
      </x:c>
      <x:c r="X140" s="20" t="str">
        <x:v>升力标定计算!M279</x:v>
      </x:c>
      <x:c r="Y140" s="20" t="str">
        <x:v>升力标定计算!M280</x:v>
      </x:c>
      <x:c r="Z140" s="20" t="str">
        <x:v>升力标定计算!N279</x:v>
      </x:c>
      <x:c r="AA140" s="20" t="str">
        <x:v>升力标定计算!N280</x:v>
      </x:c>
      <x:c r="AB140" s="20" t="str">
        <x:v>3000rpm!AU15:AT16</x:v>
      </x:c>
    </x:row>
    <x:row r="141">
      <x:c r="A141" s="21" t="n">
        <x:v>3000</x:v>
      </x:c>
      <x:c r="B141" s="21" t="n">
        <x:v>75</x:v>
      </x:c>
      <x:c r="C141" s="21" t="n">
        <x:v>21</x:v>
      </x:c>
      <x:c r="D141" s="22" t="n">
        <x:f>IFERROR('升力标定计算'!M281,"")</x:f>
        <x:v>0.04468469251425649</x:v>
      </x:c>
      <x:c r="E141" s="22" t="n">
        <x:f>IFERROR('升力标定计算'!M282,"")</x:f>
        <x:v>0.04557499848543727</x:v>
      </x:c>
      <x:c r="F141" s="22" t="n">
        <x:f>IF(AND(ISNUMBER(D141),ISNUMBER(E141)),AVERAGE(D141,E141),"")</x:f>
        <x:v>0.04512984549984688</x:v>
      </x:c>
      <x:c r="G141" s="22" t="n">
        <x:f>IFERROR('升力标定计算'!N281,"")</x:f>
        <x:v>0.07209849747942063</x:v>
      </x:c>
      <x:c r="H141" s="22" t="n">
        <x:f>IFERROR('升力标定计算'!N282,"")</x:f>
        <x:v>0.07080047739201294</x:v>
      </x:c>
      <x:c r="I141" s="22" t="n">
        <x:f>IF(AND(ISNUMBER(G141),ISNUMBER(H141)),AVERAGE(G141,H141),"")</x:f>
        <x:v>0.07144948743571677</x:v>
      </x:c>
      <x:c r="J141" s="22" t="n">
        <x:f>IFERROR('3000rpm'!AU14,"")</x:f>
        <x:v>0</x:v>
      </x:c>
      <x:c r="K141" s="22" t="n">
        <x:f>IFERROR('3000rpm'!AU24,"")</x:f>
        <x:v>0.4448818897637795</x:v>
      </x:c>
      <x:c r="L141" s="22" t="n">
        <x:f>IFERROR('3000rpm'!AU15,"")</x:f>
        <x:v>0.04448818897637796</x:v>
      </x:c>
      <x:c r="M141" s="22" t="n">
        <x:f>IFERROR('3000rpm'!AT15,"")</x:f>
        <x:v>0.07918829994838127</x:v>
      </x:c>
      <x:c r="N141" s="22" t="n">
        <x:f>IFERROR('3000rpm'!AU16,"")</x:f>
        <x:v>0.08897637795275593</x:v>
      </x:c>
      <x:c r="O141" s="22" t="n">
        <x:f>IFERROR('3000rpm'!AT16,"")</x:f>
        <x:v>0.07391207233125573</x:v>
      </x:c>
      <x:c r="P141" s="22" t="n">
        <x:f>IF(OR(NOT(AND(ISNUMBER(D141),ISNUMBER(E141),ISNUMBER(G141),ISNUMBER(H141))),OR(F141&lt;J141,F141&gt;K141)),"",IF(N141=L141,M141,M141+(F141-L141)*(O141-M141)/(N141-L141)))</x:f>
        <x:v>0.07911220051732479</x:v>
      </x:c>
      <x:c r="Q141" s="22" t="n">
        <x:f>IF(AND(ISNUMBER(I141),ISNUMBER(P141)),I141-P141,"")</x:f>
        <x:v>-0.0076627130816080136</x:v>
      </x:c>
      <x:c r="R141" s="22" t="n">
        <x:f>IF(ISNUMBER(Q141),ABS(Q141),"")</x:f>
        <x:v>0.0076627130816080136</x:v>
      </x:c>
      <x:c r="S141" s="36" t="n">
        <x:f>IF(AND(ISNUMBER(Q141),ISNUMBER(P141)),IF(ABS(P141)&lt;1E-12,"",Q141/P141),"")</x:f>
        <x:v>-0.09685880346521211</x:v>
      </x:c>
      <x:c r="T141" s="36" t="n">
        <x:f>IF(ISNUMBER(S141),ABS(S141),"")</x:f>
        <x:v>0.09685880346521211</x:v>
      </x:c>
      <x:c r="U141" s="37" t="n">
        <x:f>IF(ISNUMBER(Q141),Q141^2,"")</x:f>
        <x:v>0.00005871717177104658</x:v>
      </x:c>
      <x:c r="V141" s="21" t="str">
        <x:f>IF(NOT(AND(ISNUMBER(D141),ISNUMBER(E141),ISNUMBER(G141),ISNUMBER(H141))),"缺少配对",IF(OR(F141&lt;J141,F141&gt;K141),"超出理论J范围","有效"))</x:f>
        <x:v>有效</x:v>
      </x:c>
      <x:c r="W141" s="20" t="str">
        <x:v>升力 y=0.915708x+28.7687 → C_T_prop（原 C_T 字段映射）；实验攻角 75° ↔ 理论 alpha_p_deg 15°；原升力源 3000rpm!D164/N164</x:v>
      </x:c>
      <x:c r="X141" s="20" t="str">
        <x:v>升力标定计算!M281</x:v>
      </x:c>
      <x:c r="Y141" s="20" t="str">
        <x:v>升力标定计算!M282</x:v>
      </x:c>
      <x:c r="Z141" s="20" t="str">
        <x:v>升力标定计算!N281</x:v>
      </x:c>
      <x:c r="AA141" s="20" t="str">
        <x:v>升力标定计算!N282</x:v>
      </x:c>
      <x:c r="AB141" s="20" t="str">
        <x:v>3000rpm!AU15:AT16</x:v>
      </x:c>
    </x:row>
    <x:row r="142">
      <x:c r="A142" s="21" t="n">
        <x:v>3000</x:v>
      </x:c>
      <x:c r="B142" s="21" t="n">
        <x:v>75</x:v>
      </x:c>
      <x:c r="C142" s="21" t="n">
        <x:v>22</x:v>
      </x:c>
      <x:c r="D142" s="22" t="n">
        <x:f>IFERROR('升力标定计算'!M283,"")</x:f>
        <x:v>0.0065782499550072525</x:v>
      </x:c>
      <x:c r="E142" s="22" t="n">
        <x:f>IFERROR('升力标定计算'!M284,"")</x:f>
        <x:v>0.00661271597662773</x:v>
      </x:c>
      <x:c r="F142" s="22" t="n">
        <x:f>IF(AND(ISNUMBER(D142),ISNUMBER(E142)),AVERAGE(D142,E142),"")</x:f>
        <x:v>0.006595482965817492</x:v>
      </x:c>
      <x:c r="G142" s="22" t="n">
        <x:f>IFERROR('升力标定计算'!N283,"")</x:f>
        <x:v>0.07582667063715272</x:v>
      </x:c>
      <x:c r="H142" s="22" t="n">
        <x:f>IFERROR('升力标定计算'!N284,"")</x:f>
        <x:v>0.0759112363561664</x:v>
      </x:c>
      <x:c r="I142" s="22" t="n">
        <x:f>IF(AND(ISNUMBER(G142),ISNUMBER(H142)),AVERAGE(G142,H142),"")</x:f>
        <x:v>0.07586895349665956</x:v>
      </x:c>
      <x:c r="J142" s="22" t="n">
        <x:f>IFERROR('3000rpm'!AU14,"")</x:f>
        <x:v>0</x:v>
      </x:c>
      <x:c r="K142" s="22" t="n">
        <x:f>IFERROR('3000rpm'!AU24,"")</x:f>
        <x:v>0.4448818897637795</x:v>
      </x:c>
      <x:c r="L142" s="22" t="n">
        <x:f>IFERROR('3000rpm'!AU14,"")</x:f>
        <x:v>0</x:v>
      </x:c>
      <x:c r="M142" s="22" t="n">
        <x:f>IFERROR('3000rpm'!AT14,"")</x:f>
        <x:v>0.0846729215675782</x:v>
      </x:c>
      <x:c r="N142" s="22" t="n">
        <x:f>IFERROR('3000rpm'!AU15,"")</x:f>
        <x:v>0.04448818897637796</x:v>
      </x:c>
      <x:c r="O142" s="22" t="n">
        <x:f>IFERROR('3000rpm'!AT15,"")</x:f>
        <x:v>0.07918829994838127</x:v>
      </x:c>
      <x:c r="P142" s="22" t="n">
        <x:f>IF(OR(NOT(AND(ISNUMBER(D142),ISNUMBER(E142),ISNUMBER(G142),ISNUMBER(H142))),OR(F142&lt;J142,F142&gt;K142)),"",IF(N142=L142,M142,M142+(F142-L142)*(O142-M142)/(N142-L142)))</x:f>
        <x:v>0.0838598129808795</x:v>
      </x:c>
      <x:c r="Q142" s="22" t="n">
        <x:f>IF(AND(ISNUMBER(I142),ISNUMBER(P142)),I142-P142,"")</x:f>
        <x:v>-0.007990859484219931</x:v>
      </x:c>
      <x:c r="R142" s="22" t="n">
        <x:f>IF(ISNUMBER(Q142),ABS(Q142),"")</x:f>
        <x:v>0.007990859484219931</x:v>
      </x:c>
      <x:c r="S142" s="36" t="n">
        <x:f>IF(AND(ISNUMBER(Q142),ISNUMBER(P142)),IF(ABS(P142)&lt;1E-12,"",Q142/P142),"")</x:f>
        <x:v>-0.09528830556826894</x:v>
      </x:c>
      <x:c r="T142" s="36" t="n">
        <x:f>IF(ISNUMBER(S142),ABS(S142),"")</x:f>
        <x:v>0.09528830556826894</x:v>
      </x:c>
      <x:c r="U142" s="37" t="n">
        <x:f>IF(ISNUMBER(Q142),Q142^2,"")</x:f>
        <x:v>0.00006385383529654761</x:v>
      </x:c>
      <x:c r="V142" s="21" t="str">
        <x:f>IF(NOT(AND(ISNUMBER(D142),ISNUMBER(E142),ISNUMBER(G142),ISNUMBER(H142))),"缺少配对",IF(OR(F142&lt;J142,F142&gt;K142),"超出理论J范围","有效"))</x:f>
        <x:v>有效</x:v>
      </x:c>
      <x:c r="W142" s="20" t="str">
        <x:v>升力 y=0.915708x+28.7687 → C_T_prop（原 C_T 字段映射）；实验攻角 75° ↔ 理论 alpha_p_deg 15°；原升力源 3000rpm!D165/N165</x:v>
      </x:c>
      <x:c r="X142" s="20" t="str">
        <x:v>升力标定计算!M283</x:v>
      </x:c>
      <x:c r="Y142" s="20" t="str">
        <x:v>升力标定计算!M284</x:v>
      </x:c>
      <x:c r="Z142" s="20" t="str">
        <x:v>升力标定计算!N283</x:v>
      </x:c>
      <x:c r="AA142" s="20" t="str">
        <x:v>升力标定计算!N284</x:v>
      </x:c>
      <x:c r="AB142" s="20" t="str">
        <x:v>3000rpm!AU14:AT15</x:v>
      </x:c>
    </x:row>
    <x:row r="143">
      <x:c r="A143" s="21" t="n">
        <x:v>3000</x:v>
      </x:c>
      <x:c r="B143" s="21" t="n">
        <x:v>75</x:v>
      </x:c>
      <x:c r="C143" s="21" t="n">
        <x:v>23</x:v>
      </x:c>
      <x:c r="D143" s="22" t="str">
        <x:f>IFERROR('升力标定计算'!M285,"")</x:f>
      </x:c>
      <x:c r="E143" s="22" t="str">
        <x:f>IFERROR('升力标定计算'!M286,"")</x:f>
      </x:c>
      <x:c r="F143" s="22" t="str">
        <x:f>IF(AND(ISNUMBER(D143),ISNUMBER(E143)),AVERAGE(D143,E143),"")</x:f>
      </x:c>
      <x:c r="G143" s="22" t="str">
        <x:f>IFERROR('升力标定计算'!N285,"")</x:f>
      </x:c>
      <x:c r="H143" s="22" t="str">
        <x:f>IFERROR('升力标定计算'!N286,"")</x:f>
      </x:c>
      <x:c r="I143" s="22" t="str">
        <x:f>IF(AND(ISNUMBER(G143),ISNUMBER(H143)),AVERAGE(G143,H143),"")</x:f>
      </x:c>
      <x:c r="J143" s="22" t="n">
        <x:f>IFERROR('3000rpm'!AU14,"")</x:f>
        <x:v>0</x:v>
      </x:c>
      <x:c r="K143" s="22" t="n">
        <x:f>IFERROR('3000rpm'!AU24,"")</x:f>
        <x:v>0.4448818897637795</x:v>
      </x:c>
      <x:c r="L143" s="22" t="n">
        <x:f>IFERROR('3000rpm'!AU14,"")</x:f>
        <x:v>0</x:v>
      </x:c>
      <x:c r="M143" s="22" t="n">
        <x:f>IFERROR('3000rpm'!AT14,"")</x:f>
        <x:v>0.0846729215675782</x:v>
      </x:c>
      <x:c r="N143" s="22" t="n">
        <x:f>IFERROR('3000rpm'!AU24,"")</x:f>
        <x:v>0.4448818897637795</x:v>
      </x:c>
      <x:c r="O143" s="22" t="n">
        <x:f>IFERROR('3000rpm'!AT24,"")</x:f>
        <x:v>0.013962627096064105</x:v>
      </x:c>
      <x:c r="P143" s="22" t="str">
        <x:f>IF(OR(NOT(AND(ISNUMBER(D143),ISNUMBER(E143),ISNUMBER(G143),ISNUMBER(H143))),OR(F143&lt;J143,F143&gt;K143)),"",IF(N143=L143,M143,M143+(F143-L143)*(O143-M143)/(N143-L143)))</x:f>
      </x:c>
      <x:c r="Q143" s="22" t="str">
        <x:f>IF(AND(ISNUMBER(I143),ISNUMBER(P143)),I143-P143,"")</x:f>
      </x:c>
      <x:c r="R143" s="22" t="str">
        <x:f>IF(ISNUMBER(Q143),ABS(Q143),"")</x:f>
      </x:c>
      <x:c r="S143" s="36" t="str">
        <x:f>IF(AND(ISNUMBER(Q143),ISNUMBER(P143)),IF(ABS(P143)&lt;1E-12,"",Q143/P143),"")</x:f>
      </x:c>
      <x:c r="T143" s="36" t="str">
        <x:f>IF(ISNUMBER(S143),ABS(S143),"")</x:f>
      </x:c>
      <x:c r="U143" s="37" t="str">
        <x:f>IF(ISNUMBER(Q143),Q143^2,"")</x:f>
      </x:c>
      <x:c r="V143" s="21" t="str">
        <x:f>IF(NOT(AND(ISNUMBER(D143),ISNUMBER(E143),ISNUMBER(G143),ISNUMBER(H143))),"缺少配对",IF(OR(F143&lt;J143,F143&gt;K143),"超出理论J范围","有效"))</x:f>
        <x:v>缺少配对</x:v>
      </x:c>
      <x:c r="W143" s="20" t="str">
        <x:v>升力 y=0.915708x+28.7687 → C_T_prop（原 C_T 字段映射）；实验攻角 75° ↔ 理论 alpha_p_deg 15°；原升力源 3000rpm!D166/N166</x:v>
      </x:c>
      <x:c r="X143" s="20" t="str">
        <x:v>升力标定计算!M285</x:v>
      </x:c>
      <x:c r="Y143" s="20" t="str">
        <x:v>升力标定计算!M286</x:v>
      </x:c>
      <x:c r="Z143" s="20" t="str">
        <x:v>升力标定计算!N285</x:v>
      </x:c>
      <x:c r="AA143" s="20" t="str">
        <x:v>升力标定计算!N286</x:v>
      </x:c>
      <x:c r="AB143" s="20" t="str">
        <x:v>3000rpm!AU14:AT24</x:v>
      </x:c>
    </x:row>
    <x:row r="144">
      <x:c r="A144" s="21" t="n">
        <x:v>3000</x:v>
      </x:c>
      <x:c r="B144" s="21" t="n">
        <x:v>90</x:v>
      </x:c>
      <x:c r="C144" s="21" t="n">
        <x:v>1</x:v>
      </x:c>
      <x:c r="D144" s="22" t="str">
        <x:f>IFERROR('升力标定计算'!M287,"")</x:f>
      </x:c>
      <x:c r="E144" s="22" t="str">
        <x:f>IFERROR('升力标定计算'!M288,"")</x:f>
      </x:c>
      <x:c r="F144" s="22" t="str">
        <x:f>IF(AND(ISNUMBER(D144),ISNUMBER(E144)),AVERAGE(D144,E144),"")</x:f>
      </x:c>
      <x:c r="G144" s="22" t="str">
        <x:f>IFERROR('升力标定计算'!N287,"")</x:f>
      </x:c>
      <x:c r="H144" s="22" t="str">
        <x:f>IFERROR('升力标定计算'!N288,"")</x:f>
      </x:c>
      <x:c r="I144" s="22" t="str">
        <x:f>IF(AND(ISNUMBER(G144),ISNUMBER(H144)),AVERAGE(G144,H144),"")</x:f>
      </x:c>
      <x:c r="J144" s="22" t="n">
        <x:f>IFERROR('3000rpm'!AU3,"")</x:f>
        <x:v>0</x:v>
      </x:c>
      <x:c r="K144" s="22" t="n">
        <x:f>IFERROR('3000rpm'!AU13,"")</x:f>
        <x:v>0.4448818897637795</x:v>
      </x:c>
      <x:c r="L144" s="22" t="n">
        <x:f>IFERROR('3000rpm'!AU3,"")</x:f>
        <x:v>0</x:v>
      </x:c>
      <x:c r="M144" s="22" t="n">
        <x:f>IFERROR('3000rpm'!AT3,"")</x:f>
        <x:v>0.0846729215675782</x:v>
      </x:c>
      <x:c r="N144" s="22" t="n">
        <x:f>IFERROR('3000rpm'!AU13,"")</x:f>
        <x:v>0.4448818897637795</x:v>
      </x:c>
      <x:c r="O144" s="22" t="n">
        <x:f>IFERROR('3000rpm'!AT13,"")</x:f>
        <x:v>0.010158930685807283</x:v>
      </x:c>
      <x:c r="P144" s="22" t="str">
        <x:f>IF(OR(NOT(AND(ISNUMBER(D144),ISNUMBER(E144),ISNUMBER(G144),ISNUMBER(H144))),OR(F144&lt;J144,F144&gt;K144)),"",IF(N144=L144,M144,M144+(F144-L144)*(O144-M144)/(N144-L144)))</x:f>
      </x:c>
      <x:c r="Q144" s="22" t="str">
        <x:f>IF(AND(ISNUMBER(I144),ISNUMBER(P144)),I144-P144,"")</x:f>
      </x:c>
      <x:c r="R144" s="22" t="str">
        <x:f>IF(ISNUMBER(Q144),ABS(Q144),"")</x:f>
      </x:c>
      <x:c r="S144" s="36" t="str">
        <x:f>IF(AND(ISNUMBER(Q144),ISNUMBER(P144)),IF(ABS(P144)&lt;1E-12,"",Q144/P144),"")</x:f>
      </x:c>
      <x:c r="T144" s="36" t="str">
        <x:f>IF(ISNUMBER(S144),ABS(S144),"")</x:f>
      </x:c>
      <x:c r="U144" s="37" t="str">
        <x:f>IF(ISNUMBER(Q144),Q144^2,"")</x:f>
      </x:c>
      <x:c r="V144" s="21" t="str">
        <x:f>IF(NOT(AND(ISNUMBER(D144),ISNUMBER(E144),ISNUMBER(G144),ISNUMBER(H144))),"缺少配对",IF(OR(F144&lt;J144,F144&gt;K144),"超出理论J范围","有效"))</x:f>
        <x:v>缺少配对</x:v>
      </x:c>
      <x:c r="W144" s="20" t="str">
        <x:v>升力 y=0.915708x+28.7687 → C_T_prop（原 C_T 字段映射）；实验攻角 90° ↔ 理论 alpha_p_deg 0°；原升力源 3000rpm!D174/N174</x:v>
      </x:c>
      <x:c r="X144" s="20" t="str">
        <x:v>升力标定计算!M287</x:v>
      </x:c>
      <x:c r="Y144" s="20" t="str">
        <x:v>升力标定计算!M288</x:v>
      </x:c>
      <x:c r="Z144" s="20" t="str">
        <x:v>升力标定计算!N287</x:v>
      </x:c>
      <x:c r="AA144" s="20" t="str">
        <x:v>升力标定计算!N288</x:v>
      </x:c>
      <x:c r="AB144" s="20" t="str">
        <x:v>3000rpm!AU3:AT13</x:v>
      </x:c>
    </x:row>
    <x:row r="145">
      <x:c r="A145" s="21" t="n">
        <x:v>3000</x:v>
      </x:c>
      <x:c r="B145" s="21" t="n">
        <x:v>90</x:v>
      </x:c>
      <x:c r="C145" s="21" t="n">
        <x:v>2</x:v>
      </x:c>
      <x:c r="D145" s="22" t="n">
        <x:f>IFERROR('升力标定计算'!M289,"")</x:f>
        <x:v>0.00387434546856492</x:v>
      </x:c>
      <x:c r="E145" s="22" t="n">
        <x:f>IFERROR('升力标定计算'!M290,"")</x:f>
        <x:v>0.0031007335425476245</x:v>
      </x:c>
      <x:c r="F145" s="22" t="n">
        <x:f>IF(AND(ISNUMBER(D145),ISNUMBER(E145)),AVERAGE(D145,E145),"")</x:f>
        <x:v>0.003487539505556272</x:v>
      </x:c>
      <x:c r="G145" s="22" t="n">
        <x:f>IFERROR('升力标定计算'!N289,"")</x:f>
        <x:v>0.0758442235896692</x:v>
      </x:c>
      <x:c r="H145" s="22" t="n">
        <x:f>IFERROR('升力标定计算'!N290,"")</x:f>
        <x:v>0.07629557981403291</x:v>
      </x:c>
      <x:c r="I145" s="22" t="n">
        <x:f>IF(AND(ISNUMBER(G145),ISNUMBER(H145)),AVERAGE(G145,H145),"")</x:f>
        <x:v>0.07606990170185106</x:v>
      </x:c>
      <x:c r="J145" s="22" t="n">
        <x:f>IFERROR('3000rpm'!AU3,"")</x:f>
        <x:v>0</x:v>
      </x:c>
      <x:c r="K145" s="22" t="n">
        <x:f>IFERROR('3000rpm'!AU13,"")</x:f>
        <x:v>0.4448818897637795</x:v>
      </x:c>
      <x:c r="L145" s="22" t="n">
        <x:f>IFERROR('3000rpm'!AU3,"")</x:f>
        <x:v>0</x:v>
      </x:c>
      <x:c r="M145" s="22" t="n">
        <x:f>IFERROR('3000rpm'!AT3,"")</x:f>
        <x:v>0.0846729215675782</x:v>
      </x:c>
      <x:c r="N145" s="22" t="n">
        <x:f>IFERROR('3000rpm'!AU4,"")</x:f>
        <x:v>0.04448818897637796</x:v>
      </x:c>
      <x:c r="O145" s="22" t="n">
        <x:f>IFERROR('3000rpm'!AT4,"")</x:f>
        <x:v>0.07957105583158262</x:v>
      </x:c>
      <x:c r="P145" s="22" t="n">
        <x:f>IF(OR(NOT(AND(ISNUMBER(D145),ISNUMBER(E145),ISNUMBER(G145),ISNUMBER(H145))),OR(F145&lt;J145,F145&gt;K145)),"",IF(N145=L145,M145,M145+(F145-L145)*(O145-M145)/(N145-L145)))</x:f>
        <x:v>0.08427297365520586</x:v>
      </x:c>
      <x:c r="Q145" s="22" t="n">
        <x:f>IF(AND(ISNUMBER(I145),ISNUMBER(P145)),I145-P145,"")</x:f>
        <x:v>-0.008203071953354804</x:v>
      </x:c>
      <x:c r="R145" s="22" t="n">
        <x:f>IF(ISNUMBER(Q145),ABS(Q145),"")</x:f>
        <x:v>0.008203071953354804</x:v>
      </x:c>
      <x:c r="S145" s="36" t="n">
        <x:f>IF(AND(ISNUMBER(Q145),ISNUMBER(P145)),IF(ABS(P145)&lt;1E-12,"",Q145/P145),"")</x:f>
        <x:v>-0.09733929630769673</x:v>
      </x:c>
      <x:c r="T145" s="36" t="n">
        <x:f>IF(ISNUMBER(S145),ABS(S145),"")</x:f>
        <x:v>0.09733929630769673</x:v>
      </x:c>
      <x:c r="U145" s="37" t="n">
        <x:f>IF(ISNUMBER(Q145),Q145^2,"")</x:f>
        <x:v>0.0000672903894719162</x:v>
      </x:c>
      <x:c r="V145" s="21" t="str">
        <x:f>IF(NOT(AND(ISNUMBER(D145),ISNUMBER(E145),ISNUMBER(G145),ISNUMBER(H145))),"缺少配对",IF(OR(F145&lt;J145,F145&gt;K145),"超出理论J范围","有效"))</x:f>
        <x:v>有效</x:v>
      </x:c>
      <x:c r="W145" s="20" t="str">
        <x:v>升力 y=0.915708x+28.7687 → C_T_prop（原 C_T 字段映射）；实验攻角 90° ↔ 理论 alpha_p_deg 0°；原升力源 3000rpm!D175/N175</x:v>
      </x:c>
      <x:c r="X145" s="20" t="str">
        <x:v>升力标定计算!M289</x:v>
      </x:c>
      <x:c r="Y145" s="20" t="str">
        <x:v>升力标定计算!M290</x:v>
      </x:c>
      <x:c r="Z145" s="20" t="str">
        <x:v>升力标定计算!N289</x:v>
      </x:c>
      <x:c r="AA145" s="20" t="str">
        <x:v>升力标定计算!N290</x:v>
      </x:c>
      <x:c r="AB145" s="20" t="str">
        <x:v>3000rpm!AU3:AT4</x:v>
      </x:c>
    </x:row>
    <x:row r="146">
      <x:c r="A146" s="21" t="n">
        <x:v>3000</x:v>
      </x:c>
      <x:c r="B146" s="21" t="n">
        <x:v>90</x:v>
      </x:c>
      <x:c r="C146" s="21" t="n">
        <x:v>3</x:v>
      </x:c>
      <x:c r="D146" s="22" t="n">
        <x:f>IFERROR('升力标定计算'!M291,"")</x:f>
        <x:v>0.043752766751729746</x:v>
      </x:c>
      <x:c r="E146" s="22" t="n">
        <x:f>IFERROR('升力标定计算'!M292,"")</x:f>
        <x:v>0.04466101071471472</x:v>
      </x:c>
      <x:c r="F146" s="22" t="n">
        <x:f>IF(AND(ISNUMBER(D146),ISNUMBER(E146)),AVERAGE(D146,E146),"")</x:f>
        <x:v>0.04420688873322223</x:v>
      </x:c>
      <x:c r="G146" s="22" t="n">
        <x:f>IFERROR('升力标定计算'!N291,"")</x:f>
        <x:v>0.0720334684842075</x:v>
      </x:c>
      <x:c r="H146" s="22" t="n">
        <x:f>IFERROR('升力标定计算'!N292,"")</x:f>
        <x:v>0.07405560004795364</x:v>
      </x:c>
      <x:c r="I146" s="22" t="n">
        <x:f>IF(AND(ISNUMBER(G146),ISNUMBER(H146)),AVERAGE(G146,H146),"")</x:f>
        <x:v>0.07304453426608057</x:v>
      </x:c>
      <x:c r="J146" s="22" t="n">
        <x:f>IFERROR('3000rpm'!AU3,"")</x:f>
        <x:v>0</x:v>
      </x:c>
      <x:c r="K146" s="22" t="n">
        <x:f>IFERROR('3000rpm'!AU13,"")</x:f>
        <x:v>0.4448818897637795</x:v>
      </x:c>
      <x:c r="L146" s="22" t="n">
        <x:f>IFERROR('3000rpm'!AU3,"")</x:f>
        <x:v>0</x:v>
      </x:c>
      <x:c r="M146" s="22" t="n">
        <x:f>IFERROR('3000rpm'!AT3,"")</x:f>
        <x:v>0.0846729215675782</x:v>
      </x:c>
      <x:c r="N146" s="22" t="n">
        <x:f>IFERROR('3000rpm'!AU4,"")</x:f>
        <x:v>0.04448818897637796</x:v>
      </x:c>
      <x:c r="O146" s="22" t="n">
        <x:f>IFERROR('3000rpm'!AT4,"")</x:f>
        <x:v>0.07957105583158262</x:v>
      </x:c>
      <x:c r="P146" s="22" t="n">
        <x:f>IF(OR(NOT(AND(ISNUMBER(D146),ISNUMBER(E146),ISNUMBER(G146),ISNUMBER(H146))),OR(F146&lt;J146,F146&gt;K146)),"",IF(N146=L146,M146,M146+(F146-L146)*(O146-M146)/(N146-L146)))</x:f>
        <x:v>0.07960331509196397</x:v>
      </x:c>
      <x:c r="Q146" s="22" t="n">
        <x:f>IF(AND(ISNUMBER(I146),ISNUMBER(P146)),I146-P146,"")</x:f>
        <x:v>-0.0065587808258834035</x:v>
      </x:c>
      <x:c r="R146" s="22" t="n">
        <x:f>IF(ISNUMBER(Q146),ABS(Q146),"")</x:f>
        <x:v>0.0065587808258834035</x:v>
      </x:c>
      <x:c r="S146" s="36" t="n">
        <x:f>IF(AND(ISNUMBER(Q146),ISNUMBER(P146)),IF(ABS(P146)&lt;1E-12,"",Q146/P146),"")</x:f>
        <x:v>-0.08239331261903084</x:v>
      </x:c>
      <x:c r="T146" s="36" t="n">
        <x:f>IF(ISNUMBER(S146),ABS(S146),"")</x:f>
        <x:v>0.08239331261903084</x:v>
      </x:c>
      <x:c r="U146" s="37" t="n">
        <x:f>IF(ISNUMBER(Q146),Q146^2,"")</x:f>
        <x:v>0.00004301760592197578</x:v>
      </x:c>
      <x:c r="V146" s="21" t="str">
        <x:f>IF(NOT(AND(ISNUMBER(D146),ISNUMBER(E146),ISNUMBER(G146),ISNUMBER(H146))),"缺少配对",IF(OR(F146&lt;J146,F146&gt;K146),"超出理论J范围","有效"))</x:f>
        <x:v>有效</x:v>
      </x:c>
      <x:c r="W146" s="20" t="str">
        <x:v>升力 y=0.915708x+28.7687 → C_T_prop（原 C_T 字段映射）；实验攻角 90° ↔ 理论 alpha_p_deg 0°；原升力源 3000rpm!D176/N176</x:v>
      </x:c>
      <x:c r="X146" s="20" t="str">
        <x:v>升力标定计算!M291</x:v>
      </x:c>
      <x:c r="Y146" s="20" t="str">
        <x:v>升力标定计算!M292</x:v>
      </x:c>
      <x:c r="Z146" s="20" t="str">
        <x:v>升力标定计算!N291</x:v>
      </x:c>
      <x:c r="AA146" s="20" t="str">
        <x:v>升力标定计算!N292</x:v>
      </x:c>
      <x:c r="AB146" s="20" t="str">
        <x:v>3000rpm!AU3:AT4</x:v>
      </x:c>
    </x:row>
    <x:row r="147">
      <x:c r="A147" s="21" t="n">
        <x:v>3000</x:v>
      </x:c>
      <x:c r="B147" s="21" t="n">
        <x:v>90</x:v>
      </x:c>
      <x:c r="C147" s="21" t="n">
        <x:v>4</x:v>
      </x:c>
      <x:c r="D147" s="22" t="n">
        <x:f>IFERROR('升力标定计算'!M293,"")</x:f>
        <x:v>0.08779319420209065</x:v>
      </x:c>
      <x:c r="E147" s="22" t="n">
        <x:f>IFERROR('升力标定计算'!M294,"")</x:f>
        <x:v>0.08957649620896492</x:v>
      </x:c>
      <x:c r="F147" s="22" t="n">
        <x:f>IF(AND(ISNUMBER(D147),ISNUMBER(E147)),AVERAGE(D147,E147),"")</x:f>
        <x:v>0.08868484520552779</x:v>
      </x:c>
      <x:c r="G147" s="22" t="n">
        <x:f>IFERROR('升力标定计算'!N293,"")</x:f>
        <x:v>0.06533505687691502</x:v>
      </x:c>
      <x:c r="H147" s="22" t="n">
        <x:f>IFERROR('升力标定计算'!N294,"")</x:f>
        <x:v>0.06674896224659886</x:v>
      </x:c>
      <x:c r="I147" s="22" t="n">
        <x:f>IF(AND(ISNUMBER(G147),ISNUMBER(H147)),AVERAGE(G147,H147),"")</x:f>
        <x:v>0.06604200956175693</x:v>
      </x:c>
      <x:c r="J147" s="22" t="n">
        <x:f>IFERROR('3000rpm'!AU3,"")</x:f>
        <x:v>0</x:v>
      </x:c>
      <x:c r="K147" s="22" t="n">
        <x:f>IFERROR('3000rpm'!AU13,"")</x:f>
        <x:v>0.4448818897637795</x:v>
      </x:c>
      <x:c r="L147" s="22" t="n">
        <x:f>IFERROR('3000rpm'!AU4,"")</x:f>
        <x:v>0.04448818897637796</x:v>
      </x:c>
      <x:c r="M147" s="22" t="n">
        <x:f>IFERROR('3000rpm'!AT4,"")</x:f>
        <x:v>0.07957105583158262</x:v>
      </x:c>
      <x:c r="N147" s="22" t="n">
        <x:f>IFERROR('3000rpm'!AU5,"")</x:f>
        <x:v>0.08897637795275593</x:v>
      </x:c>
      <x:c r="O147" s="22" t="n">
        <x:f>IFERROR('3000rpm'!AT5,"")</x:f>
        <x:v>0.07393634595023914</x:v>
      </x:c>
      <x:c r="P147" s="22" t="n">
        <x:f>IF(OR(NOT(AND(ISNUMBER(D147),ISNUMBER(E147),ISNUMBER(G147),ISNUMBER(H147))),OR(F147&lt;J147,F147&gt;K147)),"",IF(N147=L147,M147,M147+(F147-L147)*(O147-M147)/(N147-L147)))</x:f>
        <x:v>0.07397327041242423</x:v>
      </x:c>
      <x:c r="Q147" s="22" t="n">
        <x:f>IF(AND(ISNUMBER(I147),ISNUMBER(P147)),I147-P147,"")</x:f>
        <x:v>-0.007931260850667296</x:v>
      </x:c>
      <x:c r="R147" s="22" t="n">
        <x:f>IF(ISNUMBER(Q147),ABS(Q147),"")</x:f>
        <x:v>0.007931260850667296</x:v>
      </x:c>
      <x:c r="S147" s="36" t="n">
        <x:f>IF(AND(ISNUMBER(Q147),ISNUMBER(P147)),IF(ABS(P147)&lt;1E-12,"",Q147/P147),"")</x:f>
        <x:v>-0.10721792894173834</x:v>
      </x:c>
      <x:c r="T147" s="36" t="n">
        <x:f>IF(ISNUMBER(S147),ABS(S147),"")</x:f>
        <x:v>0.10721792894173834</x:v>
      </x:c>
      <x:c r="U147" s="37" t="n">
        <x:f>IF(ISNUMBER(Q147),Q147^2,"")</x:f>
        <x:v>0.00006290489868132773</x:v>
      </x:c>
      <x:c r="V147" s="21" t="str">
        <x:f>IF(NOT(AND(ISNUMBER(D147),ISNUMBER(E147),ISNUMBER(G147),ISNUMBER(H147))),"缺少配对",IF(OR(F147&lt;J147,F147&gt;K147),"超出理论J范围","有效"))</x:f>
        <x:v>有效</x:v>
      </x:c>
      <x:c r="W147" s="20" t="str">
        <x:v>升力 y=0.915708x+28.7687 → C_T_prop（原 C_T 字段映射）；实验攻角 90° ↔ 理论 alpha_p_deg 0°；原升力源 3000rpm!D177/N177</x:v>
      </x:c>
      <x:c r="X147" s="20" t="str">
        <x:v>升力标定计算!M293</x:v>
      </x:c>
      <x:c r="Y147" s="20" t="str">
        <x:v>升力标定计算!M294</x:v>
      </x:c>
      <x:c r="Z147" s="20" t="str">
        <x:v>升力标定计算!N293</x:v>
      </x:c>
      <x:c r="AA147" s="20" t="str">
        <x:v>升力标定计算!N294</x:v>
      </x:c>
      <x:c r="AB147" s="20" t="str">
        <x:v>3000rpm!AU4:AT5</x:v>
      </x:c>
    </x:row>
    <x:row r="148">
      <x:c r="A148" s="21" t="n">
        <x:v>3000</x:v>
      </x:c>
      <x:c r="B148" s="21" t="n">
        <x:v>90</x:v>
      </x:c>
      <x:c r="C148" s="21" t="n">
        <x:v>5</x:v>
      </x:c>
      <x:c r="D148" s="22" t="n">
        <x:f>IFERROR('升力标定计算'!M295,"")</x:f>
        <x:v>0.1315945496880082</x:v>
      </x:c>
      <x:c r="E148" s="22" t="n">
        <x:f>IFERROR('升力标定计算'!M296,"")</x:f>
        <x:v>0.13331294660278775</x:v>
      </x:c>
      <x:c r="F148" s="22" t="n">
        <x:f>IF(AND(ISNUMBER(D148),ISNUMBER(E148)),AVERAGE(D148,E148),"")</x:f>
        <x:v>0.13245374814539798</x:v>
      </x:c>
      <x:c r="G148" s="22" t="n">
        <x:f>IFERROR('升力标定计算'!N295,"")</x:f>
        <x:v>0.05926343431784344</x:v>
      </x:c>
      <x:c r="H148" s="22" t="n">
        <x:f>IFERROR('升力标定计算'!N296,"")</x:f>
        <x:v>0.06037382149868958</x:v>
      </x:c>
      <x:c r="I148" s="22" t="n">
        <x:f>IF(AND(ISNUMBER(G148),ISNUMBER(H148)),AVERAGE(G148,H148),"")</x:f>
        <x:v>0.05981862790826651</x:v>
      </x:c>
      <x:c r="J148" s="22" t="n">
        <x:f>IFERROR('3000rpm'!AU3,"")</x:f>
        <x:v>0</x:v>
      </x:c>
      <x:c r="K148" s="22" t="n">
        <x:f>IFERROR('3000rpm'!AU13,"")</x:f>
        <x:v>0.4448818897637795</x:v>
      </x:c>
      <x:c r="L148" s="22" t="n">
        <x:f>IFERROR('3000rpm'!AU5,"")</x:f>
        <x:v>0.08897637795275593</x:v>
      </x:c>
      <x:c r="M148" s="22" t="n">
        <x:f>IFERROR('3000rpm'!AT5,"")</x:f>
        <x:v>0.07393634595023914</x:v>
      </x:c>
      <x:c r="N148" s="22" t="n">
        <x:f>IFERROR('3000rpm'!AU6,"")</x:f>
        <x:v>0.13346456692913383</x:v>
      </x:c>
      <x:c r="O148" s="22" t="n">
        <x:f>IFERROR('3000rpm'!AT6,"")</x:f>
        <x:v>0.06766452866064036</x:v>
      </x:c>
      <x:c r="P148" s="22" t="n">
        <x:f>IF(OR(NOT(AND(ISNUMBER(D148),ISNUMBER(E148),ISNUMBER(G148),ISNUMBER(H148))),OR(F148&lt;J148,F148&gt;K148)),"",IF(N148=L148,M148,M148+(F148-L148)*(O148-M148)/(N148-L148)))</x:f>
        <x:v>0.06780703099373943</x:v>
      </x:c>
      <x:c r="Q148" s="22" t="n">
        <x:f>IF(AND(ISNUMBER(I148),ISNUMBER(P148)),I148-P148,"")</x:f>
        <x:v>-0.007988403085472918</x:v>
      </x:c>
      <x:c r="R148" s="22" t="n">
        <x:f>IF(ISNUMBER(Q148),ABS(Q148),"")</x:f>
        <x:v>0.007988403085472918</x:v>
      </x:c>
      <x:c r="S148" s="36" t="n">
        <x:f>IF(AND(ISNUMBER(Q148),ISNUMBER(P148)),IF(ABS(P148)&lt;1E-12,"",Q148/P148),"")</x:f>
        <x:v>-0.11781083714180735</x:v>
      </x:c>
      <x:c r="T148" s="36" t="n">
        <x:f>IF(ISNUMBER(S148),ABS(S148),"")</x:f>
        <x:v>0.11781083714180735</x:v>
      </x:c>
      <x:c r="U148" s="37" t="n">
        <x:f>IF(ISNUMBER(Q148),Q148^2,"")</x:f>
        <x:v>0.00006381458385599324</x:v>
      </x:c>
      <x:c r="V148" s="21" t="str">
        <x:f>IF(NOT(AND(ISNUMBER(D148),ISNUMBER(E148),ISNUMBER(G148),ISNUMBER(H148))),"缺少配对",IF(OR(F148&lt;J148,F148&gt;K148),"超出理论J范围","有效"))</x:f>
        <x:v>有效</x:v>
      </x:c>
      <x:c r="W148" s="20" t="str">
        <x:v>升力 y=0.915708x+28.7687 → C_T_prop（原 C_T 字段映射）；实验攻角 90° ↔ 理论 alpha_p_deg 0°；原升力源 3000rpm!D178/N178</x:v>
      </x:c>
      <x:c r="X148" s="20" t="str">
        <x:v>升力标定计算!M295</x:v>
      </x:c>
      <x:c r="Y148" s="20" t="str">
        <x:v>升力标定计算!M296</x:v>
      </x:c>
      <x:c r="Z148" s="20" t="str">
        <x:v>升力标定计算!N295</x:v>
      </x:c>
      <x:c r="AA148" s="20" t="str">
        <x:v>升力标定计算!N296</x:v>
      </x:c>
      <x:c r="AB148" s="20" t="str">
        <x:v>3000rpm!AU5:AT6</x:v>
      </x:c>
    </x:row>
    <x:row r="149">
      <x:c r="A149" s="21" t="n">
        <x:v>3000</x:v>
      </x:c>
      <x:c r="B149" s="21" t="n">
        <x:v>90</x:v>
      </x:c>
      <x:c r="C149" s="21" t="n">
        <x:v>6</x:v>
      </x:c>
      <x:c r="D149" s="22" t="n">
        <x:f>IFERROR('升力标定计算'!M297,"")</x:f>
        <x:v>0.17494449742589646</x:v>
      </x:c>
      <x:c r="E149" s="22" t="n">
        <x:f>IFERROR('升力标定计算'!M298,"")</x:f>
        <x:v>0.17751168902554387</x:v>
      </x:c>
      <x:c r="F149" s="22" t="n">
        <x:f>IF(AND(ISNUMBER(D149),ISNUMBER(E149)),AVERAGE(D149,E149),"")</x:f>
        <x:v>0.17622809322572017</x:v>
      </x:c>
      <x:c r="G149" s="22" t="n">
        <x:f>IFERROR('升力标定计算'!N297,"")</x:f>
        <x:v>0.053379879624416156</x:v>
      </x:c>
      <x:c r="H149" s="22" t="n">
        <x:f>IFERROR('升力标定计算'!N298,"")</x:f>
        <x:v>0.05476879183466434</x:v>
      </x:c>
      <x:c r="I149" s="22" t="n">
        <x:f>IF(AND(ISNUMBER(G149),ISNUMBER(H149)),AVERAGE(G149,H149),"")</x:f>
        <x:v>0.05407433572954025</x:v>
      </x:c>
      <x:c r="J149" s="22" t="n">
        <x:f>IFERROR('3000rpm'!AU3,"")</x:f>
        <x:v>0</x:v>
      </x:c>
      <x:c r="K149" s="22" t="n">
        <x:f>IFERROR('3000rpm'!AU13,"")</x:f>
        <x:v>0.4448818897637795</x:v>
      </x:c>
      <x:c r="L149" s="22" t="n">
        <x:f>IFERROR('3000rpm'!AU6,"")</x:f>
        <x:v>0.13346456692913383</x:v>
      </x:c>
      <x:c r="M149" s="22" t="n">
        <x:f>IFERROR('3000rpm'!AT6,"")</x:f>
        <x:v>0.06766452866064036</x:v>
      </x:c>
      <x:c r="N149" s="22" t="n">
        <x:f>IFERROR('3000rpm'!AU7,"")</x:f>
        <x:v>0.17795275590551185</x:v>
      </x:c>
      <x:c r="O149" s="22" t="n">
        <x:f>IFERROR('3000rpm'!AT7,"")</x:f>
        <x:v>0.06093513375758593</x:v>
      </x:c>
      <x:c r="P149" s="22" t="n">
        <x:f>IF(OR(NOT(AND(ISNUMBER(D149),ISNUMBER(E149),ISNUMBER(G149),ISNUMBER(H149))),OR(F149&lt;J149,F149&gt;K149)),"",IF(N149=L149,M149,M149+(F149-L149)*(O149-M149)/(N149-L149)))</x:f>
        <x:v>0.061196010554639656</x:v>
      </x:c>
      <x:c r="Q149" s="22" t="n">
        <x:f>IF(AND(ISNUMBER(I149),ISNUMBER(P149)),I149-P149,"")</x:f>
        <x:v>-0.007121674825099407</x:v>
      </x:c>
      <x:c r="R149" s="22" t="n">
        <x:f>IF(ISNUMBER(Q149),ABS(Q149),"")</x:f>
        <x:v>0.007121674825099407</x:v>
      </x:c>
      <x:c r="S149" s="36" t="n">
        <x:f>IF(AND(ISNUMBER(Q149),ISNUMBER(P149)),IF(ABS(P149)&lt;1E-12,"",Q149/P149),"")</x:f>
        <x:v>-0.11637482183157555</x:v>
      </x:c>
      <x:c r="T149" s="36" t="n">
        <x:f>IF(ISNUMBER(S149),ABS(S149),"")</x:f>
        <x:v>0.11637482183157555</x:v>
      </x:c>
      <x:c r="U149" s="37" t="n">
        <x:f>IF(ISNUMBER(Q149),Q149^2,"")</x:f>
        <x:v>0.00005071825231445467</x:v>
      </x:c>
      <x:c r="V149" s="21" t="str">
        <x:f>IF(NOT(AND(ISNUMBER(D149),ISNUMBER(E149),ISNUMBER(G149),ISNUMBER(H149))),"缺少配对",IF(OR(F149&lt;J149,F149&gt;K149),"超出理论J范围","有效"))</x:f>
        <x:v>有效</x:v>
      </x:c>
      <x:c r="W149" s="20" t="str">
        <x:v>升力 y=0.915708x+28.7687 → C_T_prop（原 C_T 字段映射）；实验攻角 90° ↔ 理论 alpha_p_deg 0°；原升力源 3000rpm!D179/N179</x:v>
      </x:c>
      <x:c r="X149" s="20" t="str">
        <x:v>升力标定计算!M297</x:v>
      </x:c>
      <x:c r="Y149" s="20" t="str">
        <x:v>升力标定计算!M298</x:v>
      </x:c>
      <x:c r="Z149" s="20" t="str">
        <x:v>升力标定计算!N297</x:v>
      </x:c>
      <x:c r="AA149" s="20" t="str">
        <x:v>升力标定计算!N298</x:v>
      </x:c>
      <x:c r="AB149" s="20" t="str">
        <x:v>3000rpm!AU6:AT7</x:v>
      </x:c>
    </x:row>
    <x:row r="150">
      <x:c r="A150" s="21" t="n">
        <x:v>3000</x:v>
      </x:c>
      <x:c r="B150" s="21" t="n">
        <x:v>90</x:v>
      </x:c>
      <x:c r="C150" s="21" t="n">
        <x:v>7</x:v>
      </x:c>
      <x:c r="D150" s="22" t="n">
        <x:f>IFERROR('升力标定计算'!M299,"")</x:f>
        <x:v>0.21606568568389492</x:v>
      </x:c>
      <x:c r="E150" s="22" t="n">
        <x:f>IFERROR('升力标定计算'!M300,"")</x:f>
        <x:v>0.22039852945738267</x:v>
      </x:c>
      <x:c r="F150" s="22" t="n">
        <x:f>IF(AND(ISNUMBER(D150),ISNUMBER(E150)),AVERAGE(D150,E150),"")</x:f>
        <x:v>0.2182321075706388</x:v>
      </x:c>
      <x:c r="G150" s="22" t="n">
        <x:f>IFERROR('升力标定计算'!N299,"")</x:f>
        <x:v>0.04713706939533321</x:v>
      </x:c>
      <x:c r="H150" s="22" t="n">
        <x:f>IFERROR('升力标定计算'!N300,"")</x:f>
        <x:v>0.04904596192611895</x:v>
      </x:c>
      <x:c r="I150" s="22" t="n">
        <x:f>IF(AND(ISNUMBER(G150),ISNUMBER(H150)),AVERAGE(G150,H150),"")</x:f>
        <x:v>0.04809151566072608</x:v>
      </x:c>
      <x:c r="J150" s="22" t="n">
        <x:f>IFERROR('3000rpm'!AU3,"")</x:f>
        <x:v>0</x:v>
      </x:c>
      <x:c r="K150" s="22" t="n">
        <x:f>IFERROR('3000rpm'!AU13,"")</x:f>
        <x:v>0.4448818897637795</x:v>
      </x:c>
      <x:c r="L150" s="22" t="n">
        <x:f>IFERROR('3000rpm'!AU7,"")</x:f>
        <x:v>0.17795275590551185</x:v>
      </x:c>
      <x:c r="M150" s="22" t="n">
        <x:f>IFERROR('3000rpm'!AT7,"")</x:f>
        <x:v>0.06093513375758593</x:v>
      </x:c>
      <x:c r="N150" s="22" t="n">
        <x:f>IFERROR('3000rpm'!AU8,"")</x:f>
        <x:v>0.22244094488188976</x:v>
      </x:c>
      <x:c r="O150" s="22" t="n">
        <x:f>IFERROR('3000rpm'!AT8,"")</x:f>
        <x:v>0.05360766587417909</x:v>
      </x:c>
      <x:c r="P150" s="22" t="n">
        <x:f>IF(OR(NOT(AND(ISNUMBER(D150),ISNUMBER(E150),ISNUMBER(G150),ISNUMBER(H150))),OR(F150&lt;J150,F150&gt;K150)),"",IF(N150=L150,M150,M150+(F150-L150)*(O150-M150)/(N150-L150)))</x:f>
        <x:v>0.054300886275689506</x:v>
      </x:c>
      <x:c r="Q150" s="22" t="n">
        <x:f>IF(AND(ISNUMBER(I150),ISNUMBER(P150)),I150-P150,"")</x:f>
        <x:v>-0.006209370614963426</x:v>
      </x:c>
      <x:c r="R150" s="22" t="n">
        <x:f>IF(ISNUMBER(Q150),ABS(Q150),"")</x:f>
        <x:v>0.006209370614963426</x:v>
      </x:c>
      <x:c r="S150" s="36" t="n">
        <x:f>IF(AND(ISNUMBER(Q150),ISNUMBER(P150)),IF(ABS(P150)&lt;1E-12,"",Q150/P150),"")</x:f>
        <x:v>-0.11435118357807283</x:v>
      </x:c>
      <x:c r="T150" s="36" t="n">
        <x:f>IF(ISNUMBER(S150),ABS(S150),"")</x:f>
        <x:v>0.11435118357807283</x:v>
      </x:c>
      <x:c r="U150" s="37" t="n">
        <x:f>IF(ISNUMBER(Q150),Q150^2,"")</x:f>
        <x:v>0.000038556283433971275</x:v>
      </x:c>
      <x:c r="V150" s="21" t="str">
        <x:f>IF(NOT(AND(ISNUMBER(D150),ISNUMBER(E150),ISNUMBER(G150),ISNUMBER(H150))),"缺少配对",IF(OR(F150&lt;J150,F150&gt;K150),"超出理论J范围","有效"))</x:f>
        <x:v>有效</x:v>
      </x:c>
      <x:c r="W150" s="20" t="str">
        <x:v>升力 y=0.915708x+28.7687 → C_T_prop（原 C_T 字段映射）；实验攻角 90° ↔ 理论 alpha_p_deg 0°；原升力源 3000rpm!D180/N180</x:v>
      </x:c>
      <x:c r="X150" s="20" t="str">
        <x:v>升力标定计算!M299</x:v>
      </x:c>
      <x:c r="Y150" s="20" t="str">
        <x:v>升力标定计算!M300</x:v>
      </x:c>
      <x:c r="Z150" s="20" t="str">
        <x:v>升力标定计算!N299</x:v>
      </x:c>
      <x:c r="AA150" s="20" t="str">
        <x:v>升力标定计算!N300</x:v>
      </x:c>
      <x:c r="AB150" s="20" t="str">
        <x:v>3000rpm!AU7:AT8</x:v>
      </x:c>
    </x:row>
    <x:row r="151">
      <x:c r="A151" s="21" t="n">
        <x:v>3000</x:v>
      </x:c>
      <x:c r="B151" s="21" t="n">
        <x:v>90</x:v>
      </x:c>
      <x:c r="C151" s="21" t="n">
        <x:v>8</x:v>
      </x:c>
      <x:c r="D151" s="22" t="n">
        <x:f>IFERROR('升力标定计算'!M301,"")</x:f>
        <x:v>0.26014937143261474</x:v>
      </x:c>
      <x:c r="E151" s="22" t="n">
        <x:f>IFERROR('升力标定计算'!M302,"")</x:f>
        <x:v>0.26583689196879506</x:v>
      </x:c>
      <x:c r="F151" s="22" t="n">
        <x:f>IF(AND(ISNUMBER(D151),ISNUMBER(E151)),AVERAGE(D151,E151),"")</x:f>
        <x:v>0.26299313170070493</x:v>
      </x:c>
      <x:c r="G151" s="22" t="n">
        <x:f>IFERROR('升力标定计算'!N301,"")</x:f>
        <x:v>0.042473983866213545</x:v>
      </x:c>
      <x:c r="H151" s="22" t="n">
        <x:f>IFERROR('升力标定计算'!N302,"")</x:f>
        <x:v>0.04290944074572725</x:v>
      </x:c>
      <x:c r="I151" s="22" t="n">
        <x:f>IF(AND(ISNUMBER(G151),ISNUMBER(H151)),AVERAGE(G151,H151),"")</x:f>
        <x:v>0.042691712305970395</x:v>
      </x:c>
      <x:c r="J151" s="22" t="n">
        <x:f>IFERROR('3000rpm'!AU3,"")</x:f>
        <x:v>0</x:v>
      </x:c>
      <x:c r="K151" s="22" t="n">
        <x:f>IFERROR('3000rpm'!AU13,"")</x:f>
        <x:v>0.4448818897637795</x:v>
      </x:c>
      <x:c r="L151" s="22" t="n">
        <x:f>IFERROR('3000rpm'!AU8,"")</x:f>
        <x:v>0.22244094488188976</x:v>
      </x:c>
      <x:c r="M151" s="22" t="n">
        <x:f>IFERROR('3000rpm'!AT8,"")</x:f>
        <x:v>0.05360766587417909</x:v>
      </x:c>
      <x:c r="N151" s="22" t="n">
        <x:f>IFERROR('3000rpm'!AU9,"")</x:f>
        <x:v>0.26692913385826766</x:v>
      </x:c>
      <x:c r="O151" s="22" t="n">
        <x:f>IFERROR('3000rpm'!AT9,"")</x:f>
        <x:v>0.045754256535954094</x:v>
      </x:c>
      <x:c r="P151" s="22" t="n">
        <x:f>IF(OR(NOT(AND(ISNUMBER(D151),ISNUMBER(E151),ISNUMBER(G151),ISNUMBER(H151))),OR(F151&lt;J151,F151&gt;K151)),"",IF(N151=L151,M151,M151+(F151-L151)*(O151-M151)/(N151-L151)))</x:f>
        <x:v>0.04644907097571225</x:v>
      </x:c>
      <x:c r="Q151" s="22" t="n">
        <x:f>IF(AND(ISNUMBER(I151),ISNUMBER(P151)),I151-P151,"")</x:f>
        <x:v>-0.0037573586697418546</x:v>
      </x:c>
      <x:c r="R151" s="22" t="n">
        <x:f>IF(ISNUMBER(Q151),ABS(Q151),"")</x:f>
        <x:v>0.0037573586697418546</x:v>
      </x:c>
      <x:c r="S151" s="36" t="n">
        <x:f>IF(AND(ISNUMBER(Q151),ISNUMBER(P151)),IF(ABS(P151)&lt;1E-12,"",Q151/P151),"")</x:f>
        <x:v>-0.08089200905022491</x:v>
      </x:c>
      <x:c r="T151" s="36" t="n">
        <x:f>IF(ISNUMBER(S151),ABS(S151),"")</x:f>
        <x:v>0.08089200905022491</x:v>
      </x:c>
      <x:c r="U151" s="37" t="n">
        <x:f>IF(ISNUMBER(Q151),Q151^2,"")</x:f>
        <x:v>0.000014117744173084279</x:v>
      </x:c>
      <x:c r="V151" s="21" t="str">
        <x:f>IF(NOT(AND(ISNUMBER(D151),ISNUMBER(E151),ISNUMBER(G151),ISNUMBER(H151))),"缺少配对",IF(OR(F151&lt;J151,F151&gt;K151),"超出理论J范围","有效"))</x:f>
        <x:v>有效</x:v>
      </x:c>
      <x:c r="W151" s="20" t="str">
        <x:v>升力 y=0.915708x+28.7687 → C_T_prop（原 C_T 字段映射）；实验攻角 90° ↔ 理论 alpha_p_deg 0°；原升力源 3000rpm!D181/N181</x:v>
      </x:c>
      <x:c r="X151" s="20" t="str">
        <x:v>升力标定计算!M301</x:v>
      </x:c>
      <x:c r="Y151" s="20" t="str">
        <x:v>升力标定计算!M302</x:v>
      </x:c>
      <x:c r="Z151" s="20" t="str">
        <x:v>升力标定计算!N301</x:v>
      </x:c>
      <x:c r="AA151" s="20" t="str">
        <x:v>升力标定计算!N302</x:v>
      </x:c>
      <x:c r="AB151" s="20" t="str">
        <x:v>3000rpm!AU8:AT9</x:v>
      </x:c>
    </x:row>
    <x:row r="152">
      <x:c r="A152" s="21" t="n">
        <x:v>3000</x:v>
      </x:c>
      <x:c r="B152" s="21" t="n">
        <x:v>90</x:v>
      </x:c>
      <x:c r="C152" s="21" t="n">
        <x:v>9</x:v>
      </x:c>
      <x:c r="D152" s="22" t="n">
        <x:f>IFERROR('升力标定计算'!M303,"")</x:f>
        <x:v>0.30198576978327063</x:v>
      </x:c>
      <x:c r="E152" s="22" t="n">
        <x:f>IFERROR('升力标定计算'!M304,"")</x:f>
        <x:v>0.30573150409081845</x:v>
      </x:c>
      <x:c r="F152" s="22" t="n">
        <x:f>IF(AND(ISNUMBER(D152),ISNUMBER(E152)),AVERAGE(D152,E152),"")</x:f>
        <x:v>0.3038586369370445</x:v>
      </x:c>
      <x:c r="G152" s="22" t="n">
        <x:f>IFERROR('升力标定计算'!N303,"")</x:f>
        <x:v>0.03742849933528975</x:v>
      </x:c>
      <x:c r="H152" s="22" t="n">
        <x:f>IFERROR('升力标定计算'!N304,"")</x:f>
        <x:v>0.04008261555810156</x:v>
      </x:c>
      <x:c r="I152" s="22" t="n">
        <x:f>IF(AND(ISNUMBER(G152),ISNUMBER(H152)),AVERAGE(G152,H152),"")</x:f>
        <x:v>0.038755557446695656</x:v>
      </x:c>
      <x:c r="J152" s="22" t="n">
        <x:f>IFERROR('3000rpm'!AU3,"")</x:f>
        <x:v>0</x:v>
      </x:c>
      <x:c r="K152" s="22" t="n">
        <x:f>IFERROR('3000rpm'!AU13,"")</x:f>
        <x:v>0.4448818897637795</x:v>
      </x:c>
      <x:c r="L152" s="22" t="n">
        <x:f>IFERROR('3000rpm'!AU9,"")</x:f>
        <x:v>0.26692913385826766</x:v>
      </x:c>
      <x:c r="M152" s="22" t="n">
        <x:f>IFERROR('3000rpm'!AT9,"")</x:f>
        <x:v>0.045754256535954094</x:v>
      </x:c>
      <x:c r="N152" s="22" t="n">
        <x:f>IFERROR('3000rpm'!AU10,"")</x:f>
        <x:v>0.3114173228346457</x:v>
      </x:c>
      <x:c r="O152" s="22" t="n">
        <x:f>IFERROR('3000rpm'!AT10,"")</x:f>
        <x:v>0.037574416843196845</x:v>
      </x:c>
      <x:c r="P152" s="22" t="n">
        <x:f>IF(OR(NOT(AND(ISNUMBER(D152),ISNUMBER(E152),ISNUMBER(G152),ISNUMBER(H152))),OR(F152&lt;J152,F152&gt;K152)),"",IF(N152=L152,M152,M152+(F152-L152)*(O152-M152)/(N152-L152)))</x:f>
        <x:v>0.0389641978244616</x:v>
      </x:c>
      <x:c r="Q152" s="22" t="n">
        <x:f>IF(AND(ISNUMBER(I152),ISNUMBER(P152)),I152-P152,"")</x:f>
        <x:v>-0.00020864037776594652</x:v>
      </x:c>
      <x:c r="R152" s="22" t="n">
        <x:f>IF(ISNUMBER(Q152),ABS(Q152),"")</x:f>
        <x:v>0.00020864037776594652</x:v>
      </x:c>
      <x:c r="S152" s="36" t="n">
        <x:f>IF(AND(ISNUMBER(Q152),ISNUMBER(P152)),IF(ABS(P152)&lt;1E-12,"",Q152/P152),"")</x:f>
        <x:v>-0.0053546688861887135</x:v>
      </x:c>
      <x:c r="T152" s="36" t="n">
        <x:f>IF(ISNUMBER(S152),ABS(S152),"")</x:f>
        <x:v>0.0053546688861887135</x:v>
      </x:c>
      <x:c r="U152" s="37" t="n">
        <x:f>IF(ISNUMBER(Q152),Q152^2,"")</x:f>
        <x:v>4.353080723431687e-8</x:v>
      </x:c>
      <x:c r="V152" s="21" t="str">
        <x:f>IF(NOT(AND(ISNUMBER(D152),ISNUMBER(E152),ISNUMBER(G152),ISNUMBER(H152))),"缺少配对",IF(OR(F152&lt;J152,F152&gt;K152),"超出理论J范围","有效"))</x:f>
        <x:v>有效</x:v>
      </x:c>
      <x:c r="W152" s="20" t="str">
        <x:v>升力 y=0.915708x+28.7687 → C_T_prop（原 C_T 字段映射）；实验攻角 90° ↔ 理论 alpha_p_deg 0°；原升力源 3000rpm!D182/N182</x:v>
      </x:c>
      <x:c r="X152" s="20" t="str">
        <x:v>升力标定计算!M303</x:v>
      </x:c>
      <x:c r="Y152" s="20" t="str">
        <x:v>升力标定计算!M304</x:v>
      </x:c>
      <x:c r="Z152" s="20" t="str">
        <x:v>升力标定计算!N303</x:v>
      </x:c>
      <x:c r="AA152" s="20" t="str">
        <x:v>升力标定计算!N304</x:v>
      </x:c>
      <x:c r="AB152" s="20" t="str">
        <x:v>3000rpm!AU9:AT10</x:v>
      </x:c>
    </x:row>
    <x:row r="153">
      <x:c r="A153" s="21" t="n">
        <x:v>3000</x:v>
      </x:c>
      <x:c r="B153" s="21" t="n">
        <x:v>90</x:v>
      </x:c>
      <x:c r="C153" s="21" t="n">
        <x:v>10</x:v>
      </x:c>
      <x:c r="D153" s="22" t="n">
        <x:f>IFERROR('升力标定计算'!M305,"")</x:f>
        <x:v>0.34079221268626486</x:v>
      </x:c>
      <x:c r="E153" s="22" t="n">
        <x:f>IFERROR('升力标定计算'!M306,"")</x:f>
        <x:v>0.35228507933676084</x:v>
      </x:c>
      <x:c r="F153" s="22" t="n">
        <x:f>IF(AND(ISNUMBER(D153),ISNUMBER(E153)),AVERAGE(D153,E153),"")</x:f>
        <x:v>0.34653864601151285</x:v>
      </x:c>
      <x:c r="G153" s="22" t="n">
        <x:f>IFERROR('升力标定计算'!N305,"")</x:f>
        <x:v>0.03181446285409586</x:v>
      </x:c>
      <x:c r="H153" s="22" t="n">
        <x:f>IFERROR('升力标定计算'!N306,"")</x:f>
        <x:v>0.03234000740228418</x:v>
      </x:c>
      <x:c r="I153" s="22" t="n">
        <x:f>IF(AND(ISNUMBER(G153),ISNUMBER(H153)),AVERAGE(G153,H153),"")</x:f>
        <x:v>0.032077235128190024</x:v>
      </x:c>
      <x:c r="J153" s="22" t="n">
        <x:f>IFERROR('3000rpm'!AU3,"")</x:f>
        <x:v>0</x:v>
      </x:c>
      <x:c r="K153" s="22" t="n">
        <x:f>IFERROR('3000rpm'!AU13,"")</x:f>
        <x:v>0.4448818897637795</x:v>
      </x:c>
      <x:c r="L153" s="22" t="n">
        <x:f>IFERROR('3000rpm'!AU10,"")</x:f>
        <x:v>0.3114173228346457</x:v>
      </x:c>
      <x:c r="M153" s="22" t="n">
        <x:f>IFERROR('3000rpm'!AT10,"")</x:f>
        <x:v>0.037574416843196845</x:v>
      </x:c>
      <x:c r="N153" s="22" t="n">
        <x:f>IFERROR('3000rpm'!AU11,"")</x:f>
        <x:v>0.3559055118110237</x:v>
      </x:c>
      <x:c r="O153" s="22" t="n">
        <x:f>IFERROR('3000rpm'!AT11,"")</x:f>
        <x:v>0.02885561398889109</x:v>
      </x:c>
      <x:c r="P153" s="22" t="n">
        <x:f>IF(OR(NOT(AND(ISNUMBER(D153),ISNUMBER(E153),ISNUMBER(G153),ISNUMBER(H153))),OR(F153&lt;J153,F153&gt;K153)),"",IF(N153=L153,M153,M153+(F153-L153)*(O153-M153)/(N153-L153)))</x:f>
        <x:v>0.03069133394395686</x:v>
      </x:c>
      <x:c r="Q153" s="22" t="n">
        <x:f>IF(AND(ISNUMBER(I153),ISNUMBER(P153)),I153-P153,"")</x:f>
        <x:v>0.0013859011842331653</x:v>
      </x:c>
      <x:c r="R153" s="22" t="n">
        <x:f>IF(ISNUMBER(Q153),ABS(Q153),"")</x:f>
        <x:v>0.0013859011842331653</x:v>
      </x:c>
      <x:c r="S153" s="36" t="n">
        <x:f>IF(AND(ISNUMBER(Q153),ISNUMBER(P153)),IF(ABS(P153)&lt;1E-12,"",Q153/P153),"")</x:f>
        <x:v>0.04515610780436769</x:v>
      </x:c>
      <x:c r="T153" s="36" t="n">
        <x:f>IF(ISNUMBER(S153),ABS(S153),"")</x:f>
        <x:v>0.04515610780436769</x:v>
      </x:c>
      <x:c r="U153" s="37" t="n">
        <x:f>IF(ISNUMBER(Q153),Q153^2,"")</x:f>
        <x:v>0.00000192072209245889</x:v>
      </x:c>
      <x:c r="V153" s="21" t="str">
        <x:f>IF(NOT(AND(ISNUMBER(D153),ISNUMBER(E153),ISNUMBER(G153),ISNUMBER(H153))),"缺少配对",IF(OR(F153&lt;J153,F153&gt;K153),"超出理论J范围","有效"))</x:f>
        <x:v>有效</x:v>
      </x:c>
      <x:c r="W153" s="20" t="str">
        <x:v>升力 y=0.915708x+28.7687 → C_T_prop（原 C_T 字段映射）；实验攻角 90° ↔ 理论 alpha_p_deg 0°；原升力源 3000rpm!D183/N183</x:v>
      </x:c>
      <x:c r="X153" s="20" t="str">
        <x:v>升力标定计算!M305</x:v>
      </x:c>
      <x:c r="Y153" s="20" t="str">
        <x:v>升力标定计算!M306</x:v>
      </x:c>
      <x:c r="Z153" s="20" t="str">
        <x:v>升力标定计算!N305</x:v>
      </x:c>
      <x:c r="AA153" s="20" t="str">
        <x:v>升力标定计算!N306</x:v>
      </x:c>
      <x:c r="AB153" s="20" t="str">
        <x:v>3000rpm!AU10:AT11</x:v>
      </x:c>
    </x:row>
    <x:row r="154">
      <x:c r="A154" s="21" t="n">
        <x:v>3000</x:v>
      </x:c>
      <x:c r="B154" s="21" t="n">
        <x:v>90</x:v>
      </x:c>
      <x:c r="C154" s="21" t="n">
        <x:v>11</x:v>
      </x:c>
      <x:c r="D154" s="22" t="n">
        <x:f>IFERROR('升力标定计算'!M307,"")</x:f>
        <x:v>0.3785048829165978</x:v>
      </x:c>
      <x:c r="E154" s="22" t="n">
        <x:f>IFERROR('升力标定计算'!M308,"")</x:f>
        <x:v>0.38202260119212844</x:v>
      </x:c>
      <x:c r="F154" s="22" t="n">
        <x:f>IF(AND(ISNUMBER(D154),ISNUMBER(E154)),AVERAGE(D154,E154),"")</x:f>
        <x:v>0.3802637420543631</x:v>
      </x:c>
      <x:c r="G154" s="22" t="n">
        <x:f>IFERROR('升力标定计算'!N307,"")</x:f>
        <x:v>0.025780868433951366</x:v>
      </x:c>
      <x:c r="H154" s="22" t="n">
        <x:f>IFERROR('升力标定计算'!N308,"")</x:f>
        <x:v>0.02836134392542383</x:v>
      </x:c>
      <x:c r="I154" s="22" t="n">
        <x:f>IF(AND(ISNUMBER(G154),ISNUMBER(H154)),AVERAGE(G154,H154),"")</x:f>
        <x:v>0.027071106179687596</x:v>
      </x:c>
      <x:c r="J154" s="22" t="n">
        <x:f>IFERROR('3000rpm'!AU3,"")</x:f>
        <x:v>0</x:v>
      </x:c>
      <x:c r="K154" s="22" t="n">
        <x:f>IFERROR('3000rpm'!AU13,"")</x:f>
        <x:v>0.4448818897637795</x:v>
      </x:c>
      <x:c r="L154" s="22" t="n">
        <x:f>IFERROR('3000rpm'!AU11,"")</x:f>
        <x:v>0.3559055118110237</x:v>
      </x:c>
      <x:c r="M154" s="22" t="n">
        <x:f>IFERROR('3000rpm'!AT11,"")</x:f>
        <x:v>0.02885561398889109</x:v>
      </x:c>
      <x:c r="N154" s="22" t="n">
        <x:f>IFERROR('3000rpm'!AU12,"")</x:f>
        <x:v>0.40039370078740166</x:v>
      </x:c>
      <x:c r="O154" s="22" t="n">
        <x:f>IFERROR('3000rpm'!AT12,"")</x:f>
        <x:v>0.019728231889846876</x:v>
      </x:c>
      <x:c r="P154" s="22" t="n">
        <x:f>IF(OR(NOT(AND(ISNUMBER(D154),ISNUMBER(E154),ISNUMBER(G154),ISNUMBER(H154))),OR(F154&lt;J154,F154&gt;K154)),"",IF(N154=L154,M154,M154+(F154-L154)*(O154-M154)/(N154-L154)))</x:f>
        <x:v>0.02385817804458904</x:v>
      </x:c>
      <x:c r="Q154" s="22" t="n">
        <x:f>IF(AND(ISNUMBER(I154),ISNUMBER(P154)),I154-P154,"")</x:f>
        <x:v>0.003212928135098554</x:v>
      </x:c>
      <x:c r="R154" s="22" t="n">
        <x:f>IF(ISNUMBER(Q154),ABS(Q154),"")</x:f>
        <x:v>0.003212928135098554</x:v>
      </x:c>
      <x:c r="S154" s="36" t="n">
        <x:f>IF(AND(ISNUMBER(Q154),ISNUMBER(P154)),IF(ABS(P154)&lt;1E-12,"",Q154/P154),"")</x:f>
        <x:v>0.13466779102301302</x:v>
      </x:c>
      <x:c r="T154" s="36" t="n">
        <x:f>IF(ISNUMBER(S154),ABS(S154),"")</x:f>
        <x:v>0.13466779102301302</x:v>
      </x:c>
      <x:c r="U154" s="37" t="n">
        <x:f>IF(ISNUMBER(Q154),Q154^2,"")</x:f>
        <x:v>0.000010322907201307873</x:v>
      </x:c>
      <x:c r="V154" s="21" t="str">
        <x:f>IF(NOT(AND(ISNUMBER(D154),ISNUMBER(E154),ISNUMBER(G154),ISNUMBER(H154))),"缺少配对",IF(OR(F154&lt;J154,F154&gt;K154),"超出理论J范围","有效"))</x:f>
        <x:v>有效</x:v>
      </x:c>
      <x:c r="W154" s="20" t="str">
        <x:v>升力 y=0.915708x+28.7687 → C_T_prop（原 C_T 字段映射）；实验攻角 90° ↔ 理论 alpha_p_deg 0°；原升力源 3000rpm!D184/N184</x:v>
      </x:c>
      <x:c r="X154" s="20" t="str">
        <x:v>升力标定计算!M307</x:v>
      </x:c>
      <x:c r="Y154" s="20" t="str">
        <x:v>升力标定计算!M308</x:v>
      </x:c>
      <x:c r="Z154" s="20" t="str">
        <x:v>升力标定计算!N307</x:v>
      </x:c>
      <x:c r="AA154" s="20" t="str">
        <x:v>升力标定计算!N308</x:v>
      </x:c>
      <x:c r="AB154" s="20" t="str">
        <x:v>3000rpm!AU11:AT12</x:v>
      </x:c>
    </x:row>
    <x:row r="155">
      <x:c r="A155" s="21" t="n">
        <x:v>3000</x:v>
      </x:c>
      <x:c r="B155" s="21" t="n">
        <x:v>90</x:v>
      </x:c>
      <x:c r="C155" s="21" t="n">
        <x:v>12</x:v>
      </x:c>
      <x:c r="D155" s="22" t="n">
        <x:f>IFERROR('升力标定计算'!M309,"")</x:f>
        <x:v>0.4107875459816198</x:v>
      </x:c>
      <x:c r="E155" s="22" t="n">
        <x:f>IFERROR('升力标定计算'!M310,"")</x:f>
        <x:v>0.4135233793124761</x:v>
      </x:c>
      <x:c r="F155" s="22" t="n">
        <x:f>IF(AND(ISNUMBER(D155),ISNUMBER(E155)),AVERAGE(D155,E155),"")</x:f>
        <x:v>0.41215546264704794</x:v>
      </x:c>
      <x:c r="G155" s="22" t="n">
        <x:f>IFERROR('升力标定计算'!N309,"")</x:f>
        <x:v>0.02066704411231143</x:v>
      </x:c>
      <x:c r="H155" s="22" t="n">
        <x:f>IFERROR('升力标定计算'!N310,"")</x:f>
        <x:v>0.020970538430800892</x:v>
      </x:c>
      <x:c r="I155" s="22" t="n">
        <x:f>IF(AND(ISNUMBER(G155),ISNUMBER(H155)),AVERAGE(G155,H155),"")</x:f>
        <x:v>0.020818791271556163</x:v>
      </x:c>
      <x:c r="J155" s="22" t="n">
        <x:f>IFERROR('3000rpm'!AU3,"")</x:f>
        <x:v>0</x:v>
      </x:c>
      <x:c r="K155" s="22" t="n">
        <x:f>IFERROR('3000rpm'!AU13,"")</x:f>
        <x:v>0.4448818897637795</x:v>
      </x:c>
      <x:c r="L155" s="22" t="n">
        <x:f>IFERROR('3000rpm'!AU12,"")</x:f>
        <x:v>0.40039370078740166</x:v>
      </x:c>
      <x:c r="M155" s="22" t="n">
        <x:f>IFERROR('3000rpm'!AT12,"")</x:f>
        <x:v>0.019728231889846876</x:v>
      </x:c>
      <x:c r="N155" s="22" t="n">
        <x:f>IFERROR('3000rpm'!AU13,"")</x:f>
        <x:v>0.4448818897637795</x:v>
      </x:c>
      <x:c r="O155" s="22" t="n">
        <x:f>IFERROR('3000rpm'!AT13,"")</x:f>
        <x:v>0.010158930685807283</x:v>
      </x:c>
      <x:c r="P155" s="22" t="n">
        <x:f>IF(OR(NOT(AND(ISNUMBER(D155),ISNUMBER(E155),ISNUMBER(G155),ISNUMBER(H155))),OR(F155&lt;J155,F155&gt;K155)),"",IF(N155=L155,M155,M155+(F155-L155)*(O155-M155)/(N155-L155)))</x:f>
        <x:v>0.01719830553152956</x:v>
      </x:c>
      <x:c r="Q155" s="22" t="n">
        <x:f>IF(AND(ISNUMBER(I155),ISNUMBER(P155)),I155-P155,"")</x:f>
        <x:v>0.003620485740026602</x:v>
      </x:c>
      <x:c r="R155" s="22" t="n">
        <x:f>IF(ISNUMBER(Q155),ABS(Q155),"")</x:f>
        <x:v>0.003620485740026602</x:v>
      </x:c>
      <x:c r="S155" s="36" t="n">
        <x:f>IF(AND(ISNUMBER(Q155),ISNUMBER(P155)),IF(ABS(P155)&lt;1E-12,"",Q155/P155),"")</x:f>
        <x:v>0.2105140959025984</x:v>
      </x:c>
      <x:c r="T155" s="36" t="n">
        <x:f>IF(ISNUMBER(S155),ABS(S155),"")</x:f>
        <x:v>0.2105140959025984</x:v>
      </x:c>
      <x:c r="U155" s="37" t="n">
        <x:f>IF(ISNUMBER(Q155),Q155^2,"")</x:f>
        <x:v>0.000013107916993735973</x:v>
      </x:c>
      <x:c r="V155" s="21" t="str">
        <x:f>IF(NOT(AND(ISNUMBER(D155),ISNUMBER(E155),ISNUMBER(G155),ISNUMBER(H155))),"缺少配对",IF(OR(F155&lt;J155,F155&gt;K155),"超出理论J范围","有效"))</x:f>
        <x:v>有效</x:v>
      </x:c>
      <x:c r="W155" s="20" t="str">
        <x:v>升力 y=0.915708x+28.7687 → C_T_prop（原 C_T 字段映射）；实验攻角 90° ↔ 理论 alpha_p_deg 0°；原升力源 3000rpm!D185/N185</x:v>
      </x:c>
      <x:c r="X155" s="20" t="str">
        <x:v>升力标定计算!M309</x:v>
      </x:c>
      <x:c r="Y155" s="20" t="str">
        <x:v>升力标定计算!M310</x:v>
      </x:c>
      <x:c r="Z155" s="20" t="str">
        <x:v>升力标定计算!N309</x:v>
      </x:c>
      <x:c r="AA155" s="20" t="str">
        <x:v>升力标定计算!N310</x:v>
      </x:c>
      <x:c r="AB155" s="20" t="str">
        <x:v>3000rpm!AU12:AT13</x:v>
      </x:c>
    </x:row>
    <x:row r="156">
      <x:c r="A156" s="21" t="n">
        <x:v>3000</x:v>
      </x:c>
      <x:c r="B156" s="21" t="n">
        <x:v>90</x:v>
      </x:c>
      <x:c r="C156" s="21" t="n">
        <x:v>13</x:v>
      </x:c>
      <x:c r="D156" s="22" t="n">
        <x:f>IFERROR('升力标定计算'!M311,"")</x:f>
        <x:v>0.37844318375969566</x:v>
      </x:c>
      <x:c r="E156" s="22" t="n">
        <x:f>IFERROR('升力标定计算'!M312,"")</x:f>
        <x:v>0.3764498910244577</x:v>
      </x:c>
      <x:c r="F156" s="22" t="n">
        <x:f>IF(AND(ISNUMBER(D156),ISNUMBER(E156)),AVERAGE(D156,E156),"")</x:f>
        <x:v>0.3774465373920767</x:v>
      </x:c>
      <x:c r="G156" s="22" t="n">
        <x:f>IFERROR('升力标定计算'!N311,"")</x:f>
        <x:v>0.025989082055925598</x:v>
      </x:c>
      <x:c r="H156" s="22" t="n">
        <x:f>IFERROR('升力标定计算'!N312,"")</x:f>
        <x:v>0.025197244135267326</x:v>
      </x:c>
      <x:c r="I156" s="22" t="n">
        <x:f>IF(AND(ISNUMBER(G156),ISNUMBER(H156)),AVERAGE(G156,H156),"")</x:f>
        <x:v>0.025593163095596463</x:v>
      </x:c>
      <x:c r="J156" s="22" t="n">
        <x:f>IFERROR('3000rpm'!AU3,"")</x:f>
        <x:v>0</x:v>
      </x:c>
      <x:c r="K156" s="22" t="n">
        <x:f>IFERROR('3000rpm'!AU13,"")</x:f>
        <x:v>0.4448818897637795</x:v>
      </x:c>
      <x:c r="L156" s="22" t="n">
        <x:f>IFERROR('3000rpm'!AU11,"")</x:f>
        <x:v>0.3559055118110237</x:v>
      </x:c>
      <x:c r="M156" s="22" t="n">
        <x:f>IFERROR('3000rpm'!AT11,"")</x:f>
        <x:v>0.02885561398889109</x:v>
      </x:c>
      <x:c r="N156" s="22" t="n">
        <x:f>IFERROR('3000rpm'!AU12,"")</x:f>
        <x:v>0.40039370078740166</x:v>
      </x:c>
      <x:c r="O156" s="22" t="n">
        <x:f>IFERROR('3000rpm'!AT12,"")</x:f>
        <x:v>0.019728231889846876</x:v>
      </x:c>
      <x:c r="P156" s="22" t="n">
        <x:f>IF(OR(NOT(AND(ISNUMBER(D156),ISNUMBER(E156),ISNUMBER(G156),ISNUMBER(H156))),OR(F156&lt;J156,F156&gt;K156)),"",IF(N156=L156,M156,M156+(F156-L156)*(O156-M156)/(N156-L156)))</x:f>
        <x:v>0.024436167483933274</x:v>
      </x:c>
      <x:c r="Q156" s="22" t="n">
        <x:f>IF(AND(ISNUMBER(I156),ISNUMBER(P156)),I156-P156,"")</x:f>
        <x:v>0.0011569956116631898</x:v>
      </x:c>
      <x:c r="R156" s="22" t="n">
        <x:f>IF(ISNUMBER(Q156),ABS(Q156),"")</x:f>
        <x:v>0.0011569956116631898</x:v>
      </x:c>
      <x:c r="S156" s="36" t="n">
        <x:f>IF(AND(ISNUMBER(Q156),ISNUMBER(P156)),IF(ABS(P156)&lt;1E-12,"",Q156/P156),"")</x:f>
        <x:v>0.04734767071898291</x:v>
      </x:c>
      <x:c r="T156" s="36" t="n">
        <x:f>IF(ISNUMBER(S156),ABS(S156),"")</x:f>
        <x:v>0.04734767071898291</x:v>
      </x:c>
      <x:c r="U156" s="37" t="n">
        <x:f>IF(ISNUMBER(Q156),Q156^2,"")</x:f>
        <x:v>0.0000013386388454078787</x:v>
      </x:c>
      <x:c r="V156" s="21" t="str">
        <x:f>IF(NOT(AND(ISNUMBER(D156),ISNUMBER(E156),ISNUMBER(G156),ISNUMBER(H156))),"缺少配对",IF(OR(F156&lt;J156,F156&gt;K156),"超出理论J范围","有效"))</x:f>
        <x:v>有效</x:v>
      </x:c>
      <x:c r="W156" s="20" t="str">
        <x:v>升力 y=0.915708x+28.7687 → C_T_prop（原 C_T 字段映射）；实验攻角 90° ↔ 理论 alpha_p_deg 0°；原升力源 3000rpm!D186/N186</x:v>
      </x:c>
      <x:c r="X156" s="20" t="str">
        <x:v>升力标定计算!M311</x:v>
      </x:c>
      <x:c r="Y156" s="20" t="str">
        <x:v>升力标定计算!M312</x:v>
      </x:c>
      <x:c r="Z156" s="20" t="str">
        <x:v>升力标定计算!N311</x:v>
      </x:c>
      <x:c r="AA156" s="20" t="str">
        <x:v>升力标定计算!N312</x:v>
      </x:c>
      <x:c r="AB156" s="20" t="str">
        <x:v>3000rpm!AU11:AT12</x:v>
      </x:c>
    </x:row>
    <x:row r="157">
      <x:c r="A157" s="21" t="n">
        <x:v>3000</x:v>
      </x:c>
      <x:c r="B157" s="21" t="n">
        <x:v>90</x:v>
      </x:c>
      <x:c r="C157" s="21" t="n">
        <x:v>14</x:v>
      </x:c>
      <x:c r="D157" s="22" t="n">
        <x:f>IFERROR('升力标定计算'!M313,"")</x:f>
        <x:v>0.3411137486887914</x:v>
      </x:c>
      <x:c r="E157" s="22" t="n">
        <x:f>IFERROR('升力标定计算'!M314,"")</x:f>
        <x:v>0.3499087943550021</x:v>
      </x:c>
      <x:c r="F157" s="22" t="n">
        <x:f>IF(AND(ISNUMBER(D157),ISNUMBER(E157)),AVERAGE(D157,E157),"")</x:f>
        <x:v>0.34551127152189676</x:v>
      </x:c>
      <x:c r="G157" s="22" t="n">
        <x:f>IFERROR('升力标定计算'!N313,"")</x:f>
        <x:v>0.031389101403127825</x:v>
      </x:c>
      <x:c r="H157" s="22" t="n">
        <x:f>IFERROR('升力标定计算'!N314,"")</x:f>
        <x:v>0.03254781022907137</x:v>
      </x:c>
      <x:c r="I157" s="22" t="n">
        <x:f>IF(AND(ISNUMBER(G157),ISNUMBER(H157)),AVERAGE(G157,H157),"")</x:f>
        <x:v>0.0319684558160996</x:v>
      </x:c>
      <x:c r="J157" s="22" t="n">
        <x:f>IFERROR('3000rpm'!AU3,"")</x:f>
        <x:v>0</x:v>
      </x:c>
      <x:c r="K157" s="22" t="n">
        <x:f>IFERROR('3000rpm'!AU13,"")</x:f>
        <x:v>0.4448818897637795</x:v>
      </x:c>
      <x:c r="L157" s="22" t="n">
        <x:f>IFERROR('3000rpm'!AU10,"")</x:f>
        <x:v>0.3114173228346457</x:v>
      </x:c>
      <x:c r="M157" s="22" t="n">
        <x:f>IFERROR('3000rpm'!AT10,"")</x:f>
        <x:v>0.037574416843196845</x:v>
      </x:c>
      <x:c r="N157" s="22" t="n">
        <x:f>IFERROR('3000rpm'!AU11,"")</x:f>
        <x:v>0.3559055118110237</x:v>
      </x:c>
      <x:c r="O157" s="22" t="n">
        <x:f>IFERROR('3000rpm'!AT11,"")</x:f>
        <x:v>0.02885561398889109</x:v>
      </x:c>
      <x:c r="P157" s="22" t="n">
        <x:f>IF(OR(NOT(AND(ISNUMBER(D157),ISNUMBER(E157),ISNUMBER(G157),ISNUMBER(H157))),OR(F157&lt;J157,F157&gt;K157)),"",IF(N157=L157,M157,M157+(F157-L157)*(O157-M157)/(N157-L157)))</x:f>
        <x:v>0.03089267897144858</x:v>
      </x:c>
      <x:c r="Q157" s="22" t="n">
        <x:f>IF(AND(ISNUMBER(I157),ISNUMBER(P157)),I157-P157,"")</x:f>
        <x:v>0.0010757768446510163</x:v>
      </x:c>
      <x:c r="R157" s="22" t="n">
        <x:f>IF(ISNUMBER(Q157),ABS(Q157),"")</x:f>
        <x:v>0.0010757768446510163</x:v>
      </x:c>
      <x:c r="S157" s="36" t="n">
        <x:f>IF(AND(ISNUMBER(Q157),ISNUMBER(P157)),IF(ABS(P157)&lt;1E-12,"",Q157/P157),"")</x:f>
        <x:v>0.03482303511603067</x:v>
      </x:c>
      <x:c r="T157" s="36" t="n">
        <x:f>IF(ISNUMBER(S157),ABS(S157),"")</x:f>
        <x:v>0.03482303511603067</x:v>
      </x:c>
      <x:c r="U157" s="37" t="n">
        <x:f>IF(ISNUMBER(Q157),Q157^2,"")</x:f>
        <x:v>0.0000011572958194872969</x:v>
      </x:c>
      <x:c r="V157" s="21" t="str">
        <x:f>IF(NOT(AND(ISNUMBER(D157),ISNUMBER(E157),ISNUMBER(G157),ISNUMBER(H157))),"缺少配对",IF(OR(F157&lt;J157,F157&gt;K157),"超出理论J范围","有效"))</x:f>
        <x:v>有效</x:v>
      </x:c>
      <x:c r="W157" s="20" t="str">
        <x:v>升力 y=0.915708x+28.7687 → C_T_prop（原 C_T 字段映射）；实验攻角 90° ↔ 理论 alpha_p_deg 0°；原升力源 3000rpm!D187/N187</x:v>
      </x:c>
      <x:c r="X157" s="20" t="str">
        <x:v>升力标定计算!M313</x:v>
      </x:c>
      <x:c r="Y157" s="20" t="str">
        <x:v>升力标定计算!M314</x:v>
      </x:c>
      <x:c r="Z157" s="20" t="str">
        <x:v>升力标定计算!N313</x:v>
      </x:c>
      <x:c r="AA157" s="20" t="str">
        <x:v>升力标定计算!N314</x:v>
      </x:c>
      <x:c r="AB157" s="20" t="str">
        <x:v>3000rpm!AU10:AT11</x:v>
      </x:c>
    </x:row>
    <x:row r="158">
      <x:c r="A158" s="21" t="n">
        <x:v>3000</x:v>
      </x:c>
      <x:c r="B158" s="21" t="n">
        <x:v>90</x:v>
      </x:c>
      <x:c r="C158" s="21" t="n">
        <x:v>15</x:v>
      </x:c>
      <x:c r="D158" s="22" t="n">
        <x:f>IFERROR('升力标定计算'!M315,"")</x:f>
        <x:v>0.30260909469732783</x:v>
      </x:c>
      <x:c r="E158" s="22" t="n">
        <x:f>IFERROR('升力标定计算'!M316,"")</x:f>
        <x:v>0.3031939047801032</x:v>
      </x:c>
      <x:c r="F158" s="22" t="n">
        <x:f>IF(AND(ISNUMBER(D158),ISNUMBER(E158)),AVERAGE(D158,E158),"")</x:f>
        <x:v>0.3029014997387155</x:v>
      </x:c>
      <x:c r="G158" s="22" t="n">
        <x:f>IFERROR('升力标定计算'!N315,"")</x:f>
        <x:v>0.03738270518332338</x:v>
      </x:c>
      <x:c r="H158" s="22" t="n">
        <x:f>IFERROR('升力标定计算'!N316,"")</x:f>
        <x:v>0.03733567258701819</x:v>
      </x:c>
      <x:c r="I158" s="22" t="n">
        <x:f>IF(AND(ISNUMBER(G158),ISNUMBER(H158)),AVERAGE(G158,H158),"")</x:f>
        <x:v>0.037359188885170785</x:v>
      </x:c>
      <x:c r="J158" s="22" t="n">
        <x:f>IFERROR('3000rpm'!AU3,"")</x:f>
        <x:v>0</x:v>
      </x:c>
      <x:c r="K158" s="22" t="n">
        <x:f>IFERROR('3000rpm'!AU13,"")</x:f>
        <x:v>0.4448818897637795</x:v>
      </x:c>
      <x:c r="L158" s="22" t="n">
        <x:f>IFERROR('3000rpm'!AU9,"")</x:f>
        <x:v>0.26692913385826766</x:v>
      </x:c>
      <x:c r="M158" s="22" t="n">
        <x:f>IFERROR('3000rpm'!AT9,"")</x:f>
        <x:v>0.045754256535954094</x:v>
      </x:c>
      <x:c r="N158" s="22" t="n">
        <x:f>IFERROR('3000rpm'!AU10,"")</x:f>
        <x:v>0.3114173228346457</x:v>
      </x:c>
      <x:c r="O158" s="22" t="n">
        <x:f>IFERROR('3000rpm'!AT10,"")</x:f>
        <x:v>0.037574416843196845</x:v>
      </x:c>
      <x:c r="P158" s="22" t="n">
        <x:f>IF(OR(NOT(AND(ISNUMBER(D158),ISNUMBER(E158),ISNUMBER(G158),ISNUMBER(H158))),OR(F158&lt;J158,F158&gt;K158)),"",IF(N158=L158,M158,M158+(F158-L158)*(O158-M158)/(N158-L158)))</x:f>
        <x:v>0.039140182260475914</x:v>
      </x:c>
      <x:c r="Q158" s="22" t="n">
        <x:f>IF(AND(ISNUMBER(I158),ISNUMBER(P158)),I158-P158,"")</x:f>
        <x:v>-0.0017809933753051288</x:v>
      </x:c>
      <x:c r="R158" s="22" t="n">
        <x:f>IF(ISNUMBER(Q158),ABS(Q158),"")</x:f>
        <x:v>0.0017809933753051288</x:v>
      </x:c>
      <x:c r="S158" s="36" t="n">
        <x:f>IF(AND(ISNUMBER(Q158),ISNUMBER(P158)),IF(ABS(P158)&lt;1E-12,"",Q158/P158),"")</x:f>
        <x:v>-0.04550294026360707</x:v>
      </x:c>
      <x:c r="T158" s="36" t="n">
        <x:f>IF(ISNUMBER(S158),ABS(S158),"")</x:f>
        <x:v>0.04550294026360707</x:v>
      </x:c>
      <x:c r="U158" s="37" t="n">
        <x:f>IF(ISNUMBER(Q158),Q158^2,"")</x:f>
        <x:v>0.0000031719374028807555</x:v>
      </x:c>
      <x:c r="V158" s="21" t="str">
        <x:f>IF(NOT(AND(ISNUMBER(D158),ISNUMBER(E158),ISNUMBER(G158),ISNUMBER(H158))),"缺少配对",IF(OR(F158&lt;J158,F158&gt;K158),"超出理论J范围","有效"))</x:f>
        <x:v>有效</x:v>
      </x:c>
      <x:c r="W158" s="20" t="str">
        <x:v>升力 y=0.915708x+28.7687 → C_T_prop（原 C_T 字段映射）；实验攻角 90° ↔ 理论 alpha_p_deg 0°；原升力源 3000rpm!D188/N188</x:v>
      </x:c>
      <x:c r="X158" s="20" t="str">
        <x:v>升力标定计算!M315</x:v>
      </x:c>
      <x:c r="Y158" s="20" t="str">
        <x:v>升力标定计算!M316</x:v>
      </x:c>
      <x:c r="Z158" s="20" t="str">
        <x:v>升力标定计算!N315</x:v>
      </x:c>
      <x:c r="AA158" s="20" t="str">
        <x:v>升力标定计算!N316</x:v>
      </x:c>
      <x:c r="AB158" s="20" t="str">
        <x:v>3000rpm!AU9:AT10</x:v>
      </x:c>
    </x:row>
    <x:row r="159">
      <x:c r="A159" s="21" t="n">
        <x:v>3000</x:v>
      </x:c>
      <x:c r="B159" s="21" t="n">
        <x:v>90</x:v>
      </x:c>
      <x:c r="C159" s="21" t="n">
        <x:v>16</x:v>
      </x:c>
      <x:c r="D159" s="22" t="n">
        <x:f>IFERROR('升力标定计算'!M317,"")</x:f>
        <x:v>0.2588167704788427</x:v>
      </x:c>
      <x:c r="E159" s="22" t="n">
        <x:f>IFERROR('升力标定计算'!M318,"")</x:f>
        <x:v>0.2633327683752194</x:v>
      </x:c>
      <x:c r="F159" s="22" t="n">
        <x:f>IF(AND(ISNUMBER(D159),ISNUMBER(E159)),AVERAGE(D159,E159),"")</x:f>
        <x:v>0.26107476942703106</x:v>
      </x:c>
      <x:c r="G159" s="22" t="n">
        <x:f>IFERROR('升力标定计算'!N317,"")</x:f>
        <x:v>0.04421705108464623</x:v>
      </x:c>
      <x:c r="H159" s="22" t="n">
        <x:f>IFERROR('升力标定计算'!N318,"")</x:f>
        <x:v>0.04397540464509995</x:v>
      </x:c>
      <x:c r="I159" s="22" t="n">
        <x:f>IF(AND(ISNUMBER(G159),ISNUMBER(H159)),AVERAGE(G159,H159),"")</x:f>
        <x:v>0.04409622786487309</x:v>
      </x:c>
      <x:c r="J159" s="22" t="n">
        <x:f>IFERROR('3000rpm'!AU3,"")</x:f>
        <x:v>0</x:v>
      </x:c>
      <x:c r="K159" s="22" t="n">
        <x:f>IFERROR('3000rpm'!AU13,"")</x:f>
        <x:v>0.4448818897637795</x:v>
      </x:c>
      <x:c r="L159" s="22" t="n">
        <x:f>IFERROR('3000rpm'!AU8,"")</x:f>
        <x:v>0.22244094488188976</x:v>
      </x:c>
      <x:c r="M159" s="22" t="n">
        <x:f>IFERROR('3000rpm'!AT8,"")</x:f>
        <x:v>0.05360766587417909</x:v>
      </x:c>
      <x:c r="N159" s="22" t="n">
        <x:f>IFERROR('3000rpm'!AU9,"")</x:f>
        <x:v>0.26692913385826766</x:v>
      </x:c>
      <x:c r="O159" s="22" t="n">
        <x:f>IFERROR('3000rpm'!AT9,"")</x:f>
        <x:v>0.045754256535954094</x:v>
      </x:c>
      <x:c r="P159" s="22" t="n">
        <x:f>IF(OR(NOT(AND(ISNUMBER(D159),ISNUMBER(E159),ISNUMBER(G159),ISNUMBER(H159))),OR(F159&lt;J159,F159&gt;K159)),"",IF(N159=L159,M159,M159+(F159-L159)*(O159-M159)/(N159-L159)))</x:f>
        <x:v>0.04678771555848383</x:v>
      </x:c>
      <x:c r="Q159" s="22" t="n">
        <x:f>IF(AND(ISNUMBER(I159),ISNUMBER(P159)),I159-P159,"")</x:f>
        <x:v>-0.0026914876936107376</x:v>
      </x:c>
      <x:c r="R159" s="22" t="n">
        <x:f>IF(ISNUMBER(Q159),ABS(Q159),"")</x:f>
        <x:v>0.0026914876936107376</x:v>
      </x:c>
      <x:c r="S159" s="36" t="n">
        <x:f>IF(AND(ISNUMBER(Q159),ISNUMBER(P159)),IF(ABS(P159)&lt;1E-12,"",Q159/P159),"")</x:f>
        <x:v>-0.05752552056632098</x:v>
      </x:c>
      <x:c r="T159" s="36" t="n">
        <x:f>IF(ISNUMBER(S159),ABS(S159),"")</x:f>
        <x:v>0.05752552056632098</x:v>
      </x:c>
      <x:c r="U159" s="37" t="n">
        <x:f>IF(ISNUMBER(Q159),Q159^2,"")</x:f>
        <x:v>0.000007244106004858048</x:v>
      </x:c>
      <x:c r="V159" s="21" t="str">
        <x:f>IF(NOT(AND(ISNUMBER(D159),ISNUMBER(E159),ISNUMBER(G159),ISNUMBER(H159))),"缺少配对",IF(OR(F159&lt;J159,F159&gt;K159),"超出理论J范围","有效"))</x:f>
        <x:v>有效</x:v>
      </x:c>
      <x:c r="W159" s="20" t="str">
        <x:v>升力 y=0.915708x+28.7687 → C_T_prop（原 C_T 字段映射）；实验攻角 90° ↔ 理论 alpha_p_deg 0°；原升力源 3000rpm!D189/N189</x:v>
      </x:c>
      <x:c r="X159" s="20" t="str">
        <x:v>升力标定计算!M317</x:v>
      </x:c>
      <x:c r="Y159" s="20" t="str">
        <x:v>升力标定计算!M318</x:v>
      </x:c>
      <x:c r="Z159" s="20" t="str">
        <x:v>升力标定计算!N317</x:v>
      </x:c>
      <x:c r="AA159" s="20" t="str">
        <x:v>升力标定计算!N318</x:v>
      </x:c>
      <x:c r="AB159" s="20" t="str">
        <x:v>3000rpm!AU8:AT9</x:v>
      </x:c>
    </x:row>
    <x:row r="160">
      <x:c r="A160" s="21" t="n">
        <x:v>3000</x:v>
      </x:c>
      <x:c r="B160" s="21" t="n">
        <x:v>90</x:v>
      </x:c>
      <x:c r="C160" s="21" t="n">
        <x:v>17</x:v>
      </x:c>
      <x:c r="D160" s="22" t="n">
        <x:f>IFERROR('升力标定计算'!M319,"")</x:f>
        <x:v>0.21490552363807275</x:v>
      </x:c>
      <x:c r="E160" s="22" t="n">
        <x:f>IFERROR('升力标定计算'!M320,"")</x:f>
        <x:v>0.2216348041905653</x:v>
      </x:c>
      <x:c r="F160" s="22" t="n">
        <x:f>IF(AND(ISNUMBER(D160),ISNUMBER(E160)),AVERAGE(D160,E160),"")</x:f>
        <x:v>0.21827016391431903</x:v>
      </x:c>
      <x:c r="G160" s="22" t="n">
        <x:f>IFERROR('升力标定计算'!N319,"")</x:f>
        <x:v>0.048386585466087415</x:v>
      </x:c>
      <x:c r="H160" s="22" t="n">
        <x:f>IFERROR('升力标定计算'!N320,"")</x:f>
        <x:v>0.04962385339660414</x:v>
      </x:c>
      <x:c r="I160" s="22" t="n">
        <x:f>IF(AND(ISNUMBER(G160),ISNUMBER(H160)),AVERAGE(G160,H160),"")</x:f>
        <x:v>0.04900521943134578</x:v>
      </x:c>
      <x:c r="J160" s="22" t="n">
        <x:f>IFERROR('3000rpm'!AU3,"")</x:f>
        <x:v>0</x:v>
      </x:c>
      <x:c r="K160" s="22" t="n">
        <x:f>IFERROR('3000rpm'!AU13,"")</x:f>
        <x:v>0.4448818897637795</x:v>
      </x:c>
      <x:c r="L160" s="22" t="n">
        <x:f>IFERROR('3000rpm'!AU7,"")</x:f>
        <x:v>0.17795275590551185</x:v>
      </x:c>
      <x:c r="M160" s="22" t="n">
        <x:f>IFERROR('3000rpm'!AT7,"")</x:f>
        <x:v>0.06093513375758593</x:v>
      </x:c>
      <x:c r="N160" s="22" t="n">
        <x:f>IFERROR('3000rpm'!AU8,"")</x:f>
        <x:v>0.22244094488188976</x:v>
      </x:c>
      <x:c r="O160" s="22" t="n">
        <x:f>IFERROR('3000rpm'!AT8,"")</x:f>
        <x:v>0.05360766587417909</x:v>
      </x:c>
      <x:c r="P160" s="22" t="n">
        <x:f>IF(OR(NOT(AND(ISNUMBER(D160),ISNUMBER(E160),ISNUMBER(G160),ISNUMBER(H160))),OR(F160&lt;J160,F160&gt;K160)),"",IF(N160=L160,M160,M160+(F160-L160)*(O160-M160)/(N160-L160)))</x:f>
        <x:v>0.05429461817077238</x:v>
      </x:c>
      <x:c r="Q160" s="22" t="n">
        <x:f>IF(AND(ISNUMBER(I160),ISNUMBER(P160)),I160-P160,"")</x:f>
        <x:v>-0.005289398739426597</x:v>
      </x:c>
      <x:c r="R160" s="22" t="n">
        <x:f>IF(ISNUMBER(Q160),ABS(Q160),"")</x:f>
        <x:v>0.005289398739426597</x:v>
      </x:c>
      <x:c r="S160" s="36" t="n">
        <x:f>IF(AND(ISNUMBER(Q160),ISNUMBER(P160)),IF(ABS(P160)&lt;1E-12,"",Q160/P160),"")</x:f>
        <x:v>-0.09742031379224177</x:v>
      </x:c>
      <x:c r="T160" s="36" t="n">
        <x:f>IF(ISNUMBER(S160),ABS(S160),"")</x:f>
        <x:v>0.09742031379224177</x:v>
      </x:c>
      <x:c r="U160" s="37" t="n">
        <x:f>IF(ISNUMBER(Q160),Q160^2,"")</x:f>
        <x:v>0.000027977739024647674</x:v>
      </x:c>
      <x:c r="V160" s="21" t="str">
        <x:f>IF(NOT(AND(ISNUMBER(D160),ISNUMBER(E160),ISNUMBER(G160),ISNUMBER(H160))),"缺少配对",IF(OR(F160&lt;J160,F160&gt;K160),"超出理论J范围","有效"))</x:f>
        <x:v>有效</x:v>
      </x:c>
      <x:c r="W160" s="20" t="str">
        <x:v>升力 y=0.915708x+28.7687 → C_T_prop（原 C_T 字段映射）；实验攻角 90° ↔ 理论 alpha_p_deg 0°；原升力源 3000rpm!D190/N190</x:v>
      </x:c>
      <x:c r="X160" s="20" t="str">
        <x:v>升力标定计算!M319</x:v>
      </x:c>
      <x:c r="Y160" s="20" t="str">
        <x:v>升力标定计算!M320</x:v>
      </x:c>
      <x:c r="Z160" s="20" t="str">
        <x:v>升力标定计算!N319</x:v>
      </x:c>
      <x:c r="AA160" s="20" t="str">
        <x:v>升力标定计算!N320</x:v>
      </x:c>
      <x:c r="AB160" s="20" t="str">
        <x:v>3000rpm!AU7:AT8</x:v>
      </x:c>
    </x:row>
    <x:row r="161">
      <x:c r="A161" s="21" t="n">
        <x:v>3000</x:v>
      </x:c>
      <x:c r="B161" s="21" t="n">
        <x:v>90</x:v>
      </x:c>
      <x:c r="C161" s="21" t="n">
        <x:v>18</x:v>
      </x:c>
      <x:c r="D161" s="22" t="n">
        <x:f>IFERROR('升力标定计算'!M321,"")</x:f>
        <x:v>0.17894284731996146</x:v>
      </x:c>
      <x:c r="E161" s="22" t="n">
        <x:f>IFERROR('升力标定计算'!M322,"")</x:f>
        <x:v>0.1784555122699932</x:v>
      </x:c>
      <x:c r="F161" s="22" t="n">
        <x:f>IF(AND(ISNUMBER(D161),ISNUMBER(E161)),AVERAGE(D161,E161),"")</x:f>
        <x:v>0.17869917979497735</x:v>
      </x:c>
      <x:c r="G161" s="22" t="n">
        <x:f>IFERROR('升力标定计算'!N321,"")</x:f>
        <x:v>0.054947537080341544</x:v>
      </x:c>
      <x:c r="H161" s="22" t="n">
        <x:f>IFERROR('升力标定计算'!N322,"")</x:f>
        <x:v>0.054755871737761246</x:v>
      </x:c>
      <x:c r="I161" s="22" t="n">
        <x:f>IF(AND(ISNUMBER(G161),ISNUMBER(H161)),AVERAGE(G161,H161),"")</x:f>
        <x:v>0.05485170440905139</x:v>
      </x:c>
      <x:c r="J161" s="22" t="n">
        <x:f>IFERROR('3000rpm'!AU3,"")</x:f>
        <x:v>0</x:v>
      </x:c>
      <x:c r="K161" s="22" t="n">
        <x:f>IFERROR('3000rpm'!AU13,"")</x:f>
        <x:v>0.4448818897637795</x:v>
      </x:c>
      <x:c r="L161" s="22" t="n">
        <x:f>IFERROR('3000rpm'!AU7,"")</x:f>
        <x:v>0.17795275590551185</x:v>
      </x:c>
      <x:c r="M161" s="22" t="n">
        <x:f>IFERROR('3000rpm'!AT7,"")</x:f>
        <x:v>0.06093513375758593</x:v>
      </x:c>
      <x:c r="N161" s="22" t="n">
        <x:f>IFERROR('3000rpm'!AU8,"")</x:f>
        <x:v>0.22244094488188976</x:v>
      </x:c>
      <x:c r="O161" s="22" t="n">
        <x:f>IFERROR('3000rpm'!AT8,"")</x:f>
        <x:v>0.05360766587417909</x:v>
      </x:c>
      <x:c r="P161" s="22" t="n">
        <x:f>IF(OR(NOT(AND(ISNUMBER(D161),ISNUMBER(E161),ISNUMBER(G161),ISNUMBER(H161))),OR(F161&lt;J161,F161&gt;K161)),"",IF(N161=L161,M161,M161+(F161-L161)*(O161-M161)/(N161-L161)))</x:f>
        <x:v>0.06081219332770306</x:v>
      </x:c>
      <x:c r="Q161" s="22" t="n">
        <x:f>IF(AND(ISNUMBER(I161),ISNUMBER(P161)),I161-P161,"")</x:f>
        <x:v>-0.0059604889186516685</x:v>
      </x:c>
      <x:c r="R161" s="22" t="n">
        <x:f>IF(ISNUMBER(Q161),ABS(Q161),"")</x:f>
        <x:v>0.0059604889186516685</x:v>
      </x:c>
      <x:c r="S161" s="36" t="n">
        <x:f>IF(AND(ISNUMBER(Q161),ISNUMBER(P161)),IF(ABS(P161)&lt;1E-12,"",Q161/P161),"")</x:f>
        <x:v>-0.09801470054750289</x:v>
      </x:c>
      <x:c r="T161" s="36" t="n">
        <x:f>IF(ISNUMBER(S161),ABS(S161),"")</x:f>
        <x:v>0.09801470054750289</x:v>
      </x:c>
      <x:c r="U161" s="37" t="n">
        <x:f>IF(ISNUMBER(Q161),Q161^2,"")</x:f>
        <x:v>0.00003552742814936934</x:v>
      </x:c>
      <x:c r="V161" s="21" t="str">
        <x:f>IF(NOT(AND(ISNUMBER(D161),ISNUMBER(E161),ISNUMBER(G161),ISNUMBER(H161))),"缺少配对",IF(OR(F161&lt;J161,F161&gt;K161),"超出理论J范围","有效"))</x:f>
        <x:v>有效</x:v>
      </x:c>
      <x:c r="W161" s="20" t="str">
        <x:v>升力 y=0.915708x+28.7687 → C_T_prop（原 C_T 字段映射）；实验攻角 90° ↔ 理论 alpha_p_deg 0°；原升力源 3000rpm!D191/N191</x:v>
      </x:c>
      <x:c r="X161" s="20" t="str">
        <x:v>升力标定计算!M321</x:v>
      </x:c>
      <x:c r="Y161" s="20" t="str">
        <x:v>升力标定计算!M322</x:v>
      </x:c>
      <x:c r="Z161" s="20" t="str">
        <x:v>升力标定计算!N321</x:v>
      </x:c>
      <x:c r="AA161" s="20" t="str">
        <x:v>升力标定计算!N322</x:v>
      </x:c>
      <x:c r="AB161" s="20" t="str">
        <x:v>3000rpm!AU7:AT8</x:v>
      </x:c>
    </x:row>
    <x:row r="162">
      <x:c r="A162" s="21" t="n">
        <x:v>3000</x:v>
      </x:c>
      <x:c r="B162" s="21" t="n">
        <x:v>90</x:v>
      </x:c>
      <x:c r="C162" s="21" t="n">
        <x:v>19</x:v>
      </x:c>
      <x:c r="D162" s="22" t="n">
        <x:f>IFERROR('升力标定计算'!M323,"")</x:f>
        <x:v>0.13359646492721244</x:v>
      </x:c>
      <x:c r="E162" s="22" t="n">
        <x:f>IFERROR('升力标定计算'!M324,"")</x:f>
        <x:v>0.13545027384311523</x:v>
      </x:c>
      <x:c r="F162" s="22" t="n">
        <x:f>IF(AND(ISNUMBER(D162),ISNUMBER(E162)),AVERAGE(D162,E162),"")</x:f>
        <x:v>0.13452336938516385</x:v>
      </x:c>
      <x:c r="G162" s="22" t="n">
        <x:f>IFERROR('升力标定计算'!N323,"")</x:f>
        <x:v>0.059568289498456314</x:v>
      </x:c>
      <x:c r="H162" s="22" t="n">
        <x:f>IFERROR('升力标定计算'!N324,"")</x:f>
        <x:v>0.060732904645791126</x:v>
      </x:c>
      <x:c r="I162" s="22" t="n">
        <x:f>IF(AND(ISNUMBER(G162),ISNUMBER(H162)),AVERAGE(G162,H162),"")</x:f>
        <x:v>0.060150597072123724</x:v>
      </x:c>
      <x:c r="J162" s="22" t="n">
        <x:f>IFERROR('3000rpm'!AU3,"")</x:f>
        <x:v>0</x:v>
      </x:c>
      <x:c r="K162" s="22" t="n">
        <x:f>IFERROR('3000rpm'!AU13,"")</x:f>
        <x:v>0.4448818897637795</x:v>
      </x:c>
      <x:c r="L162" s="22" t="n">
        <x:f>IFERROR('3000rpm'!AU6,"")</x:f>
        <x:v>0.13346456692913383</x:v>
      </x:c>
      <x:c r="M162" s="22" t="n">
        <x:f>IFERROR('3000rpm'!AT6,"")</x:f>
        <x:v>0.06766452866064036</x:v>
      </x:c>
      <x:c r="N162" s="22" t="n">
        <x:f>IFERROR('3000rpm'!AU7,"")</x:f>
        <x:v>0.17795275590551185</x:v>
      </x:c>
      <x:c r="O162" s="22" t="n">
        <x:f>IFERROR('3000rpm'!AT7,"")</x:f>
        <x:v>0.06093513375758593</x:v>
      </x:c>
      <x:c r="P162" s="22" t="n">
        <x:f>IF(OR(NOT(AND(ISNUMBER(D162),ISNUMBER(E162),ISNUMBER(G162),ISNUMBER(H162))),OR(F162&lt;J162,F162&gt;K162)),"",IF(N162=L162,M162,M162+(F162-L162)*(O162-M162)/(N162-L162)))</x:f>
        <x:v>0.06750437154894645</x:v>
      </x:c>
      <x:c r="Q162" s="22" t="n">
        <x:f>IF(AND(ISNUMBER(I162),ISNUMBER(P162)),I162-P162,"")</x:f>
        <x:v>-0.0073537744768227276</x:v>
      </x:c>
      <x:c r="R162" s="22" t="n">
        <x:f>IF(ISNUMBER(Q162),ABS(Q162),"")</x:f>
        <x:v>0.0073537744768227276</x:v>
      </x:c>
      <x:c r="S162" s="36" t="n">
        <x:f>IF(AND(ISNUMBER(Q162),ISNUMBER(P162)),IF(ABS(P162)&lt;1E-12,"",Q162/P162),"")</x:f>
        <x:v>-0.10893775185345754</x:v>
      </x:c>
      <x:c r="T162" s="36" t="n">
        <x:f>IF(ISNUMBER(S162),ABS(S162),"")</x:f>
        <x:v>0.10893775185345754</x:v>
      </x:c>
      <x:c r="U162" s="37" t="n">
        <x:f>IF(ISNUMBER(Q162),Q162^2,"")</x:f>
        <x:v>0.00005407799905596938</x:v>
      </x:c>
      <x:c r="V162" s="21" t="str">
        <x:f>IF(NOT(AND(ISNUMBER(D162),ISNUMBER(E162),ISNUMBER(G162),ISNUMBER(H162))),"缺少配对",IF(OR(F162&lt;J162,F162&gt;K162),"超出理论J范围","有效"))</x:f>
        <x:v>有效</x:v>
      </x:c>
      <x:c r="W162" s="20" t="str">
        <x:v>升力 y=0.915708x+28.7687 → C_T_prop（原 C_T 字段映射）；实验攻角 90° ↔ 理论 alpha_p_deg 0°；原升力源 3000rpm!D192/N192</x:v>
      </x:c>
      <x:c r="X162" s="20" t="str">
        <x:v>升力标定计算!M323</x:v>
      </x:c>
      <x:c r="Y162" s="20" t="str">
        <x:v>升力标定计算!M324</x:v>
      </x:c>
      <x:c r="Z162" s="20" t="str">
        <x:v>升力标定计算!N323</x:v>
      </x:c>
      <x:c r="AA162" s="20" t="str">
        <x:v>升力标定计算!N324</x:v>
      </x:c>
      <x:c r="AB162" s="20" t="str">
        <x:v>3000rpm!AU6:AT7</x:v>
      </x:c>
    </x:row>
    <x:row r="163">
      <x:c r="A163" s="21" t="n">
        <x:v>3000</x:v>
      </x:c>
      <x:c r="B163" s="21" t="n">
        <x:v>90</x:v>
      </x:c>
      <x:c r="C163" s="21" t="n">
        <x:v>20</x:v>
      </x:c>
      <x:c r="D163" s="22" t="n">
        <x:f>IFERROR('升力标定计算'!M325,"")</x:f>
        <x:v>0.08528216738829394</x:v>
      </x:c>
      <x:c r="E163" s="22" t="n">
        <x:f>IFERROR('升力标定计算'!M326,"")</x:f>
        <x:v>0.09102853709503367</x:v>
      </x:c>
      <x:c r="F163" s="22" t="n">
        <x:f>IF(AND(ISNUMBER(D163),ISNUMBER(E163)),AVERAGE(D163,E163),"")</x:f>
        <x:v>0.0881553522416638</x:v>
      </x:c>
      <x:c r="G163" s="22" t="n">
        <x:f>IFERROR('升力标定计算'!N325,"")</x:f>
        <x:v>0.06629068421135026</x:v>
      </x:c>
      <x:c r="H163" s="22" t="n">
        <x:f>IFERROR('升力标定计算'!N326,"")</x:f>
        <x:v>0.0664493296639044</x:v>
      </x:c>
      <x:c r="I163" s="22" t="n">
        <x:f>IF(AND(ISNUMBER(G163),ISNUMBER(H163)),AVERAGE(G163,H163),"")</x:f>
        <x:v>0.06637000693762733</x:v>
      </x:c>
      <x:c r="J163" s="22" t="n">
        <x:f>IFERROR('3000rpm'!AU3,"")</x:f>
        <x:v>0</x:v>
      </x:c>
      <x:c r="K163" s="22" t="n">
        <x:f>IFERROR('3000rpm'!AU13,"")</x:f>
        <x:v>0.4448818897637795</x:v>
      </x:c>
      <x:c r="L163" s="22" t="n">
        <x:f>IFERROR('3000rpm'!AU4,"")</x:f>
        <x:v>0.04448818897637796</x:v>
      </x:c>
      <x:c r="M163" s="22" t="n">
        <x:f>IFERROR('3000rpm'!AT4,"")</x:f>
        <x:v>0.07957105583158262</x:v>
      </x:c>
      <x:c r="N163" s="22" t="n">
        <x:f>IFERROR('3000rpm'!AU5,"")</x:f>
        <x:v>0.08897637795275593</x:v>
      </x:c>
      <x:c r="O163" s="22" t="n">
        <x:f>IFERROR('3000rpm'!AT5,"")</x:f>
        <x:v>0.07393634595023914</x:v>
      </x:c>
      <x:c r="P163" s="22" t="n">
        <x:f>IF(OR(NOT(AND(ISNUMBER(D163),ISNUMBER(E163),ISNUMBER(G163),ISNUMBER(H163))),OR(F163&lt;J163,F163&gt;K163)),"",IF(N163=L163,M163,M163+(F163-L163)*(O163-M163)/(N163-L163)))</x:f>
        <x:v>0.07404033403771972</x:v>
      </x:c>
      <x:c r="Q163" s="22" t="n">
        <x:f>IF(AND(ISNUMBER(I163),ISNUMBER(P163)),I163-P163,"")</x:f>
        <x:v>-0.007670327100092383</x:v>
      </x:c>
      <x:c r="R163" s="22" t="n">
        <x:f>IF(ISNUMBER(Q163),ABS(Q163),"")</x:f>
        <x:v>0.007670327100092383</x:v>
      </x:c>
      <x:c r="S163" s="36" t="n">
        <x:f>IF(AND(ISNUMBER(Q163),ISNUMBER(P163)),IF(ABS(P163)&lt;1E-12,"",Q163/P163),"")</x:f>
        <x:v>-0.10359660311884532</x:v>
      </x:c>
      <x:c r="T163" s="36" t="n">
        <x:f>IF(ISNUMBER(S163),ABS(S163),"")</x:f>
        <x:v>0.10359660311884532</x:v>
      </x:c>
      <x:c r="U163" s="37" t="n">
        <x:f>IF(ISNUMBER(Q163),Q163^2,"")</x:f>
        <x:v>0.00005883391782241163</x:v>
      </x:c>
      <x:c r="V163" s="21" t="str">
        <x:f>IF(NOT(AND(ISNUMBER(D163),ISNUMBER(E163),ISNUMBER(G163),ISNUMBER(H163))),"缺少配对",IF(OR(F163&lt;J163,F163&gt;K163),"超出理论J范围","有效"))</x:f>
        <x:v>有效</x:v>
      </x:c>
      <x:c r="W163" s="20" t="str">
        <x:v>升力 y=0.915708x+28.7687 → C_T_prop（原 C_T 字段映射）；实验攻角 90° ↔ 理论 alpha_p_deg 0°；原升力源 3000rpm!D193/N193</x:v>
      </x:c>
      <x:c r="X163" s="20" t="str">
        <x:v>升力标定计算!M325</x:v>
      </x:c>
      <x:c r="Y163" s="20" t="str">
        <x:v>升力标定计算!M326</x:v>
      </x:c>
      <x:c r="Z163" s="20" t="str">
        <x:v>升力标定计算!N325</x:v>
      </x:c>
      <x:c r="AA163" s="20" t="str">
        <x:v>升力标定计算!N326</x:v>
      </x:c>
      <x:c r="AB163" s="20" t="str">
        <x:v>3000rpm!AU4:AT5</x:v>
      </x:c>
    </x:row>
    <x:row r="164">
      <x:c r="A164" s="21" t="n">
        <x:v>3000</x:v>
      </x:c>
      <x:c r="B164" s="21" t="n">
        <x:v>90</x:v>
      </x:c>
      <x:c r="C164" s="21" t="n">
        <x:v>21</x:v>
      </x:c>
      <x:c r="D164" s="22" t="n">
        <x:f>IFERROR('升力标定计算'!M327,"")</x:f>
        <x:v>0.04600109706401748</x:v>
      </x:c>
      <x:c r="E164" s="22" t="n">
        <x:f>IFERROR('升力标定计算'!M328,"")</x:f>
        <x:v>0.04619505912065404</x:v>
      </x:c>
      <x:c r="F164" s="22" t="n">
        <x:f>IF(AND(ISNUMBER(D164),ISNUMBER(E164)),AVERAGE(D164,E164),"")</x:f>
        <x:v>0.04609807809233576</x:v>
      </x:c>
      <x:c r="G164" s="22" t="n">
        <x:f>IFERROR('升力标定计算'!N327,"")</x:f>
        <x:v>0.07229570902429948</x:v>
      </x:c>
      <x:c r="H164" s="22" t="n">
        <x:f>IFERROR('升力标定计算'!N328,"")</x:f>
        <x:v>0.0722992541157905</x:v>
      </x:c>
      <x:c r="I164" s="22" t="n">
        <x:f>IF(AND(ISNUMBER(G164),ISNUMBER(H164)),AVERAGE(G164,H164),"")</x:f>
        <x:v>0.07229748157004498</x:v>
      </x:c>
      <x:c r="J164" s="22" t="n">
        <x:f>IFERROR('3000rpm'!AU3,"")</x:f>
        <x:v>0</x:v>
      </x:c>
      <x:c r="K164" s="22" t="n">
        <x:f>IFERROR('3000rpm'!AU13,"")</x:f>
        <x:v>0.4448818897637795</x:v>
      </x:c>
      <x:c r="L164" s="22" t="n">
        <x:f>IFERROR('3000rpm'!AU4,"")</x:f>
        <x:v>0.04448818897637796</x:v>
      </x:c>
      <x:c r="M164" s="22" t="n">
        <x:f>IFERROR('3000rpm'!AT4,"")</x:f>
        <x:v>0.07957105583158262</x:v>
      </x:c>
      <x:c r="N164" s="22" t="n">
        <x:f>IFERROR('3000rpm'!AU5,"")</x:f>
        <x:v>0.08897637795275593</x:v>
      </x:c>
      <x:c r="O164" s="22" t="n">
        <x:f>IFERROR('3000rpm'!AT5,"")</x:f>
        <x:v>0.07393634595023914</x:v>
      </x:c>
      <x:c r="P164" s="22" t="n">
        <x:f>IF(OR(NOT(AND(ISNUMBER(D164),ISNUMBER(E164),ISNUMBER(G164),ISNUMBER(H164))),OR(F164&lt;J164,F164&gt;K164)),"",IF(N164=L164,M164,M164+(F164-L164)*(O164-M164)/(N164-L164)))</x:f>
        <x:v>0.07936715321566874</x:v>
      </x:c>
      <x:c r="Q164" s="22" t="n">
        <x:f>IF(AND(ISNUMBER(I164),ISNUMBER(P164)),I164-P164,"")</x:f>
        <x:v>-0.007069671645623762</x:v>
      </x:c>
      <x:c r="R164" s="22" t="n">
        <x:f>IF(ISNUMBER(Q164),ABS(Q164),"")</x:f>
        <x:v>0.007069671645623762</x:v>
      </x:c>
      <x:c r="S164" s="36" t="n">
        <x:f>IF(AND(ISNUMBER(Q164),ISNUMBER(P164)),IF(ABS(P164)&lt;1E-12,"",Q164/P164),"")</x:f>
        <x:v>-0.08907553514503605</x:v>
      </x:c>
      <x:c r="T164" s="36" t="n">
        <x:f>IF(ISNUMBER(S164),ABS(S164),"")</x:f>
        <x:v>0.08907553514503605</x:v>
      </x:c>
      <x:c r="U164" s="37" t="n">
        <x:f>IF(ISNUMBER(Q164),Q164^2,"")</x:f>
        <x:v>0.0000499802571769366</x:v>
      </x:c>
      <x:c r="V164" s="21" t="str">
        <x:f>IF(NOT(AND(ISNUMBER(D164),ISNUMBER(E164),ISNUMBER(G164),ISNUMBER(H164))),"缺少配对",IF(OR(F164&lt;J164,F164&gt;K164),"超出理论J范围","有效"))</x:f>
        <x:v>有效</x:v>
      </x:c>
      <x:c r="W164" s="20" t="str">
        <x:v>升力 y=0.915708x+28.7687 → C_T_prop（原 C_T 字段映射）；实验攻角 90° ↔ 理论 alpha_p_deg 0°；原升力源 3000rpm!D194/N194</x:v>
      </x:c>
      <x:c r="X164" s="20" t="str">
        <x:v>升力标定计算!M327</x:v>
      </x:c>
      <x:c r="Y164" s="20" t="str">
        <x:v>升力标定计算!M328</x:v>
      </x:c>
      <x:c r="Z164" s="20" t="str">
        <x:v>升力标定计算!N327</x:v>
      </x:c>
      <x:c r="AA164" s="20" t="str">
        <x:v>升力标定计算!N328</x:v>
      </x:c>
      <x:c r="AB164" s="20" t="str">
        <x:v>3000rpm!AU4:AT5</x:v>
      </x:c>
    </x:row>
    <x:row r="165">
      <x:c r="A165" s="21" t="n">
        <x:v>3000</x:v>
      </x:c>
      <x:c r="B165" s="21" t="n">
        <x:v>90</x:v>
      </x:c>
      <x:c r="C165" s="21" t="n">
        <x:v>22</x:v>
      </x:c>
      <x:c r="D165" s="22" t="n">
        <x:f>IFERROR('升力标定计算'!M329,"")</x:f>
        <x:v>0.00664309920994533</x:v>
      </x:c>
      <x:c r="E165" s="22" t="n">
        <x:f>IFERROR('升力标定计算'!M330,"")</x:f>
        <x:v>0.010938077565198639</x:v>
      </x:c>
      <x:c r="F165" s="22" t="n">
        <x:f>IF(AND(ISNUMBER(D165),ISNUMBER(E165)),AVERAGE(D165,E165),"")</x:f>
        <x:v>0.008790588387571983</x:v>
      </x:c>
      <x:c r="G165" s="22" t="n">
        <x:f>IFERROR('升力标定计算'!N329,"")</x:f>
        <x:v>0.07510268723004636</x:v>
      </x:c>
      <x:c r="H165" s="22" t="n">
        <x:f>IFERROR('升力标定计算'!N330,"")</x:f>
        <x:v>0.07523131413318884</x:v>
      </x:c>
      <x:c r="I165" s="22" t="n">
        <x:f>IF(AND(ISNUMBER(G165),ISNUMBER(H165)),AVERAGE(G165,H165),"")</x:f>
        <x:v>0.07516700068161761</x:v>
      </x:c>
      <x:c r="J165" s="22" t="n">
        <x:f>IFERROR('3000rpm'!AU3,"")</x:f>
        <x:v>0</x:v>
      </x:c>
      <x:c r="K165" s="22" t="n">
        <x:f>IFERROR('3000rpm'!AU13,"")</x:f>
        <x:v>0.4448818897637795</x:v>
      </x:c>
      <x:c r="L165" s="22" t="n">
        <x:f>IFERROR('3000rpm'!AU3,"")</x:f>
        <x:v>0</x:v>
      </x:c>
      <x:c r="M165" s="22" t="n">
        <x:f>IFERROR('3000rpm'!AT3,"")</x:f>
        <x:v>0.0846729215675782</x:v>
      </x:c>
      <x:c r="N165" s="22" t="n">
        <x:f>IFERROR('3000rpm'!AU4,"")</x:f>
        <x:v>0.04448818897637796</x:v>
      </x:c>
      <x:c r="O165" s="22" t="n">
        <x:f>IFERROR('3000rpm'!AT4,"")</x:f>
        <x:v>0.07957105583158262</x:v>
      </x:c>
      <x:c r="P165" s="22" t="n">
        <x:f>IF(OR(NOT(AND(ISNUMBER(D165),ISNUMBER(E165),ISNUMBER(G165),ISNUMBER(H165))),OR(F165&lt;J165,F165&gt;K165)),"",IF(N165=L165,M165,M165+(F165-L165)*(O165-M165)/(N165-L165)))</x:f>
        <x:v>0.08366482475074424</x:v>
      </x:c>
      <x:c r="Q165" s="22" t="n">
        <x:f>IF(AND(ISNUMBER(I165),ISNUMBER(P165)),I165-P165,"")</x:f>
        <x:v>-0.008497824069126636</x:v>
      </x:c>
      <x:c r="R165" s="22" t="n">
        <x:f>IF(ISNUMBER(Q165),ABS(Q165),"")</x:f>
        <x:v>0.008497824069126636</x:v>
      </x:c>
      <x:c r="S165" s="36" t="n">
        <x:f>IF(AND(ISNUMBER(Q165),ISNUMBER(P165)),IF(ABS(P165)&lt;1E-12,"",Q165/P165),"")</x:f>
        <x:v>-0.10156985440946667</x:v>
      </x:c>
      <x:c r="T165" s="36" t="n">
        <x:f>IF(ISNUMBER(S165),ABS(S165),"")</x:f>
        <x:v>0.10156985440946667</x:v>
      </x:c>
      <x:c r="U165" s="37" t="n">
        <x:f>IF(ISNUMBER(Q165),Q165^2,"")</x:f>
        <x:v>0.00007221301390982798</x:v>
      </x:c>
      <x:c r="V165" s="21" t="str">
        <x:f>IF(NOT(AND(ISNUMBER(D165),ISNUMBER(E165),ISNUMBER(G165),ISNUMBER(H165))),"缺少配对",IF(OR(F165&lt;J165,F165&gt;K165),"超出理论J范围","有效"))</x:f>
        <x:v>有效</x:v>
      </x:c>
      <x:c r="W165" s="20" t="str">
        <x:v>升力 y=0.915708x+28.7687 → C_T_prop（原 C_T 字段映射）；实验攻角 90° ↔ 理论 alpha_p_deg 0°；原升力源 3000rpm!D195/N195</x:v>
      </x:c>
      <x:c r="X165" s="20" t="str">
        <x:v>升力标定计算!M329</x:v>
      </x:c>
      <x:c r="Y165" s="20" t="str">
        <x:v>升力标定计算!M330</x:v>
      </x:c>
      <x:c r="Z165" s="20" t="str">
        <x:v>升力标定计算!N329</x:v>
      </x:c>
      <x:c r="AA165" s="20" t="str">
        <x:v>升力标定计算!N330</x:v>
      </x:c>
      <x:c r="AB165" s="20" t="str">
        <x:v>3000rpm!AU3:AT4</x:v>
      </x:c>
    </x:row>
    <x:row r="166">
      <x:c r="A166" s="21" t="n">
        <x:v>3000</x:v>
      </x:c>
      <x:c r="B166" s="21" t="n">
        <x:v>90</x:v>
      </x:c>
      <x:c r="C166" s="21" t="n">
        <x:v>23</x:v>
      </x:c>
      <x:c r="D166" s="22" t="str">
        <x:f>IFERROR('升力标定计算'!M331,"")</x:f>
      </x:c>
      <x:c r="E166" s="22" t="str">
        <x:f>IFERROR('升力标定计算'!M332,"")</x:f>
      </x:c>
      <x:c r="F166" s="22" t="str">
        <x:f>IF(AND(ISNUMBER(D166),ISNUMBER(E166)),AVERAGE(D166,E166),"")</x:f>
      </x:c>
      <x:c r="G166" s="22" t="str">
        <x:f>IFERROR('升力标定计算'!N331,"")</x:f>
      </x:c>
      <x:c r="H166" s="22" t="str">
        <x:f>IFERROR('升力标定计算'!N332,"")</x:f>
      </x:c>
      <x:c r="I166" s="22" t="str">
        <x:f>IF(AND(ISNUMBER(G166),ISNUMBER(H166)),AVERAGE(G166,H166),"")</x:f>
      </x:c>
      <x:c r="J166" s="22" t="n">
        <x:f>IFERROR('3000rpm'!AU3,"")</x:f>
        <x:v>0</x:v>
      </x:c>
      <x:c r="K166" s="22" t="n">
        <x:f>IFERROR('3000rpm'!AU13,"")</x:f>
        <x:v>0.4448818897637795</x:v>
      </x:c>
      <x:c r="L166" s="22" t="n">
        <x:f>IFERROR('3000rpm'!AU3,"")</x:f>
        <x:v>0</x:v>
      </x:c>
      <x:c r="M166" s="22" t="n">
        <x:f>IFERROR('3000rpm'!AT3,"")</x:f>
        <x:v>0.0846729215675782</x:v>
      </x:c>
      <x:c r="N166" s="22" t="n">
        <x:f>IFERROR('3000rpm'!AU13,"")</x:f>
        <x:v>0.4448818897637795</x:v>
      </x:c>
      <x:c r="O166" s="22" t="n">
        <x:f>IFERROR('3000rpm'!AT13,"")</x:f>
        <x:v>0.010158930685807283</x:v>
      </x:c>
      <x:c r="P166" s="22" t="str">
        <x:f>IF(OR(NOT(AND(ISNUMBER(D166),ISNUMBER(E166),ISNUMBER(G166),ISNUMBER(H166))),OR(F166&lt;J166,F166&gt;K166)),"",IF(N166=L166,M166,M166+(F166-L166)*(O166-M166)/(N166-L166)))</x:f>
      </x:c>
      <x:c r="Q166" s="22" t="str">
        <x:f>IF(AND(ISNUMBER(I166),ISNUMBER(P166)),I166-P166,"")</x:f>
      </x:c>
      <x:c r="R166" s="22" t="str">
        <x:f>IF(ISNUMBER(Q166),ABS(Q166),"")</x:f>
      </x:c>
      <x:c r="S166" s="36" t="str">
        <x:f>IF(AND(ISNUMBER(Q166),ISNUMBER(P166)),IF(ABS(P166)&lt;1E-12,"",Q166/P166),"")</x:f>
      </x:c>
      <x:c r="T166" s="36" t="str">
        <x:f>IF(ISNUMBER(S166),ABS(S166),"")</x:f>
      </x:c>
      <x:c r="U166" s="37" t="str">
        <x:f>IF(ISNUMBER(Q166),Q166^2,"")</x:f>
      </x:c>
      <x:c r="V166" s="21" t="str">
        <x:f>IF(NOT(AND(ISNUMBER(D166),ISNUMBER(E166),ISNUMBER(G166),ISNUMBER(H166))),"缺少配对",IF(OR(F166&lt;J166,F166&gt;K166),"超出理论J范围","有效"))</x:f>
        <x:v>缺少配对</x:v>
      </x:c>
      <x:c r="W166" s="20" t="str">
        <x:v>升力 y=0.915708x+28.7687 → C_T_prop（原 C_T 字段映射）；实验攻角 90° ↔ 理论 alpha_p_deg 0°；原升力源 3000rpm!D196/N196</x:v>
      </x:c>
      <x:c r="X166" s="20" t="str">
        <x:v>升力标定计算!M331</x:v>
      </x:c>
      <x:c r="Y166" s="20" t="str">
        <x:v>升力标定计算!M332</x:v>
      </x:c>
      <x:c r="Z166" s="20" t="str">
        <x:v>升力标定计算!N331</x:v>
      </x:c>
      <x:c r="AA166" s="20" t="str">
        <x:v>升力标定计算!N332</x:v>
      </x:c>
      <x:c r="AB166" s="20" t="str">
        <x:v>3000rpm!AU3:AT13</x:v>
      </x:c>
    </x:row>
    <x:row r="167">
      <x:c r="A167" s="21" t="n">
        <x:v>4000</x:v>
      </x:c>
      <x:c r="B167" s="21" t="n">
        <x:v>0</x:v>
      </x:c>
      <x:c r="C167" s="21" t="n">
        <x:v>1</x:v>
      </x:c>
      <x:c r="D167" s="22" t="str">
        <x:f>IFERROR('升力标定计算'!M333,"")</x:f>
      </x:c>
      <x:c r="E167" s="22" t="str">
        <x:f>IFERROR('升力标定计算'!M334,"")</x:f>
      </x:c>
      <x:c r="F167" s="22" t="str">
        <x:f>IF(AND(ISNUMBER(D167),ISNUMBER(E167)),AVERAGE(D167,E167),"")</x:f>
      </x:c>
      <x:c r="G167" s="22" t="str">
        <x:f>IFERROR('升力标定计算'!N333,"")</x:f>
      </x:c>
      <x:c r="H167" s="22" t="str">
        <x:f>IFERROR('升力标定计算'!N334,"")</x:f>
      </x:c>
      <x:c r="I167" s="22" t="str">
        <x:f>IF(AND(ISNUMBER(G167),ISNUMBER(H167)),AVERAGE(G167,H167),"")</x:f>
      </x:c>
      <x:c r="J167" s="22" t="n">
        <x:f>IFERROR('4000rpm'!AT69,"")</x:f>
        <x:v>0</x:v>
      </x:c>
      <x:c r="K167" s="22" t="n">
        <x:f>IFERROR('4000rpm'!AT79,"")</x:f>
        <x:v>0.3336614173228346</x:v>
      </x:c>
      <x:c r="L167" s="22" t="n">
        <x:f>IFERROR('4000rpm'!AT69,"")</x:f>
        <x:v>0</x:v>
      </x:c>
      <x:c r="M167" s="22" t="n">
        <x:f>IFERROR('4000rpm'!AS69,"")</x:f>
        <x:v>0.08350690647788582</x:v>
      </x:c>
      <x:c r="N167" s="22" t="n">
        <x:f>IFERROR('4000rpm'!AT79,"")</x:f>
        <x:v>0.3336614173228346</x:v>
      </x:c>
      <x:c r="O167" s="22" t="n">
        <x:f>IFERROR('4000rpm'!AS79,"")</x:f>
        <x:v>0.10597143659539099</x:v>
      </x:c>
      <x:c r="P167" s="22" t="str">
        <x:f>IF(OR(NOT(AND(ISNUMBER(D167),ISNUMBER(E167),ISNUMBER(G167),ISNUMBER(H167))),OR(F167&lt;J167,F167&gt;K167)),"",IF(N167=L167,M167,M167+(F167-L167)*(O167-M167)/(N167-L167)))</x:f>
      </x:c>
      <x:c r="Q167" s="22" t="str">
        <x:f>IF(AND(ISNUMBER(I167),ISNUMBER(P167)),I167-P167,"")</x:f>
      </x:c>
      <x:c r="R167" s="22" t="str">
        <x:f>IF(ISNUMBER(Q167),ABS(Q167),"")</x:f>
      </x:c>
      <x:c r="S167" s="36" t="str">
        <x:f>IF(AND(ISNUMBER(Q167),ISNUMBER(P167)),IF(ABS(P167)&lt;1E-12,"",Q167/P167),"")</x:f>
      </x:c>
      <x:c r="T167" s="36" t="str">
        <x:f>IF(ISNUMBER(S167),ABS(S167),"")</x:f>
      </x:c>
      <x:c r="U167" s="37" t="str">
        <x:f>IF(ISNUMBER(Q167),Q167^2,"")</x:f>
      </x:c>
      <x:c r="V167" s="21" t="str">
        <x:f>IF(NOT(AND(ISNUMBER(D167),ISNUMBER(E167),ISNUMBER(G167),ISNUMBER(H167))),"缺少配对",IF(OR(F167&lt;J167,F167&gt;K167),"超出理论J范围","有效"))</x:f>
        <x:v>缺少配对</x:v>
      </x:c>
      <x:c r="W167" s="20" t="str">
        <x:v>升力 y=0.915708x+28.7687 → C_T_prop；实验攻角 0° ↔ 理论 alpha_p_deg 90°；原升力源 4000rpm!C3/M3</x:v>
      </x:c>
      <x:c r="X167" s="20" t="str">
        <x:v>升力标定计算!M333</x:v>
      </x:c>
      <x:c r="Y167" s="20" t="str">
        <x:v>升力标定计算!M334</x:v>
      </x:c>
      <x:c r="Z167" s="20" t="str">
        <x:v>升力标定计算!N333</x:v>
      </x:c>
      <x:c r="AA167" s="20" t="str">
        <x:v>升力标定计算!N334</x:v>
      </x:c>
      <x:c r="AB167" s="20" t="str">
        <x:v>4000rpm!AT69:AS79</x:v>
      </x:c>
    </x:row>
    <x:row r="168">
      <x:c r="A168" s="21" t="n">
        <x:v>4000</x:v>
      </x:c>
      <x:c r="B168" s="21" t="n">
        <x:v>0</x:v>
      </x:c>
      <x:c r="C168" s="21" t="n">
        <x:v>2</x:v>
      </x:c>
      <x:c r="D168" s="22" t="n">
        <x:f>IFERROR('升力标定计算'!M335,"")</x:f>
        <x:v>0.00001855589356716138</x:v>
      </x:c>
      <x:c r="E168" s="22" t="n">
        <x:f>IFERROR('升力标定计算'!M336,"")</x:f>
        <x:v>0.00005620243511479921</x:v>
      </x:c>
      <x:c r="F168" s="22" t="n">
        <x:f>IF(AND(ISNUMBER(D168),ISNUMBER(E168)),AVERAGE(D168,E168),"")</x:f>
        <x:v>0.000037379164340980293</x:v>
      </x:c>
      <x:c r="G168" s="22" t="n">
        <x:f>IFERROR('升力标定计算'!N335,"")</x:f>
        <x:v>0.07770318115070762</x:v>
      </x:c>
      <x:c r="H168" s="22" t="n">
        <x:f>IFERROR('升力标定计算'!N336,"")</x:f>
        <x:v>0.07824135698115206</x:v>
      </x:c>
      <x:c r="I168" s="22" t="n">
        <x:f>IF(AND(ISNUMBER(G168),ISNUMBER(H168)),AVERAGE(G168,H168),"")</x:f>
        <x:v>0.07797226906592984</x:v>
      </x:c>
      <x:c r="J168" s="22" t="n">
        <x:f>IFERROR('4000rpm'!AT69,"")</x:f>
        <x:v>0</x:v>
      </x:c>
      <x:c r="K168" s="22" t="n">
        <x:f>IFERROR('4000rpm'!AT79,"")</x:f>
        <x:v>0.3336614173228346</x:v>
      </x:c>
      <x:c r="L168" s="22" t="n">
        <x:f>IFERROR('4000rpm'!AT69,"")</x:f>
        <x:v>0</x:v>
      </x:c>
      <x:c r="M168" s="22" t="n">
        <x:f>IFERROR('4000rpm'!AS69,"")</x:f>
        <x:v>0.08350690647788582</x:v>
      </x:c>
      <x:c r="N168" s="22" t="n">
        <x:f>IFERROR('4000rpm'!AT70,"")</x:f>
        <x:v>0.033366141732283465</x:v>
      </x:c>
      <x:c r="O168" s="22" t="n">
        <x:f>IFERROR('4000rpm'!AS70,"")</x:f>
        <x:v>0.08367770328187796</x:v>
      </x:c>
      <x:c r="P168" s="22" t="n">
        <x:f>IF(OR(NOT(AND(ISNUMBER(D168),ISNUMBER(E168),ISNUMBER(G168),ISNUMBER(H168))),OR(F168&lt;J168,F168&gt;K168)),"",IF(N168=L168,M168,M168+(F168-L168)*(O168-M168)/(N168-L168)))</x:f>
        <x:v>0.08350709781681426</x:v>
      </x:c>
      <x:c r="Q168" s="22" t="n">
        <x:f>IF(AND(ISNUMBER(I168),ISNUMBER(P168)),I168-P168,"")</x:f>
        <x:v>-0.005534828750884416</x:v>
      </x:c>
      <x:c r="R168" s="22" t="n">
        <x:f>IF(ISNUMBER(Q168),ABS(Q168),"")</x:f>
        <x:v>0.005534828750884416</x:v>
      </x:c>
      <x:c r="S168" s="36" t="n">
        <x:f>IF(AND(ISNUMBER(Q168),ISNUMBER(P168)),IF(ABS(P168)&lt;1E-12,"",Q168/P168),"")</x:f>
        <x:v>-0.06627974023269159</x:v>
      </x:c>
      <x:c r="T168" s="36" t="n">
        <x:f>IF(ISNUMBER(S168),ABS(S168),"")</x:f>
        <x:v>0.06627974023269159</x:v>
      </x:c>
      <x:c r="U168" s="37" t="n">
        <x:f>IF(ISNUMBER(Q168),Q168^2,"")</x:f>
        <x:v>0.00003063432930161674</x:v>
      </x:c>
      <x:c r="V168" s="21" t="str">
        <x:f>IF(NOT(AND(ISNUMBER(D168),ISNUMBER(E168),ISNUMBER(G168),ISNUMBER(H168))),"缺少配对",IF(OR(F168&lt;J168,F168&gt;K168),"超出理论J范围","有效"))</x:f>
        <x:v>有效</x:v>
      </x:c>
      <x:c r="W168" s="20" t="str">
        <x:v>升力 y=0.915708x+28.7687 → C_T_prop；实验攻角 0° ↔ 理论 alpha_p_deg 90°；原升力源 4000rpm!C4/M4</x:v>
      </x:c>
      <x:c r="X168" s="20" t="str">
        <x:v>升力标定计算!M335</x:v>
      </x:c>
      <x:c r="Y168" s="20" t="str">
        <x:v>升力标定计算!M336</x:v>
      </x:c>
      <x:c r="Z168" s="20" t="str">
        <x:v>升力标定计算!N335</x:v>
      </x:c>
      <x:c r="AA168" s="20" t="str">
        <x:v>升力标定计算!N336</x:v>
      </x:c>
      <x:c r="AB168" s="20" t="str">
        <x:v>4000rpm!AT69:AS70</x:v>
      </x:c>
    </x:row>
    <x:row r="169">
      <x:c r="A169" s="21" t="n">
        <x:v>4000</x:v>
      </x:c>
      <x:c r="B169" s="21" t="n">
        <x:v>0</x:v>
      </x:c>
      <x:c r="C169" s="21" t="n">
        <x:v>3</x:v>
      </x:c>
      <x:c r="D169" s="22" t="n">
        <x:f>IFERROR('升力标定计算'!M337,"")</x:f>
        <x:v>0.03295794982921755</x:v>
      </x:c>
      <x:c r="E169" s="22" t="n">
        <x:f>IFERROR('升力标定计算'!M338,"")</x:f>
        <x:v>0.03264403274536919</x:v>
      </x:c>
      <x:c r="F169" s="22" t="n">
        <x:f>IF(AND(ISNUMBER(D169),ISNUMBER(E169)),AVERAGE(D169,E169),"")</x:f>
        <x:v>0.03280099128729337</x:v>
      </x:c>
      <x:c r="G169" s="22" t="n">
        <x:f>IFERROR('升力标定计算'!N337,"")</x:f>
        <x:v>0.07631683270891519</x:v>
      </x:c>
      <x:c r="H169" s="22" t="n">
        <x:f>IFERROR('升力标定计算'!N338,"")</x:f>
        <x:v>0.07687105367549063</x:v>
      </x:c>
      <x:c r="I169" s="22" t="n">
        <x:f>IF(AND(ISNUMBER(G169),ISNUMBER(H169)),AVERAGE(G169,H169),"")</x:f>
        <x:v>0.07659394319220292</x:v>
      </x:c>
      <x:c r="J169" s="22" t="n">
        <x:f>IFERROR('4000rpm'!AT69,"")</x:f>
        <x:v>0</x:v>
      </x:c>
      <x:c r="K169" s="22" t="n">
        <x:f>IFERROR('4000rpm'!AT79,"")</x:f>
        <x:v>0.3336614173228346</x:v>
      </x:c>
      <x:c r="L169" s="22" t="n">
        <x:f>IFERROR('4000rpm'!AT69,"")</x:f>
        <x:v>0</x:v>
      </x:c>
      <x:c r="M169" s="22" t="n">
        <x:f>IFERROR('4000rpm'!AS69,"")</x:f>
        <x:v>0.08350690647788582</x:v>
      </x:c>
      <x:c r="N169" s="22" t="n">
        <x:f>IFERROR('4000rpm'!AT70,"")</x:f>
        <x:v>0.033366141732283465</x:v>
      </x:c>
      <x:c r="O169" s="22" t="n">
        <x:f>IFERROR('4000rpm'!AS70,"")</x:f>
        <x:v>0.08367770328187796</x:v>
      </x:c>
      <x:c r="P169" s="22" t="n">
        <x:f>IF(OR(NOT(AND(ISNUMBER(D169),ISNUMBER(E169),ISNUMBER(G169),ISNUMBER(H169))),OR(F169&lt;J169,F169&gt;K169)),"",IF(N169=L169,M169,M169+(F169-L169)*(O169-M169)/(N169-L169)))</x:f>
        <x:v>0.08367481035255597</x:v>
      </x:c>
      <x:c r="Q169" s="22" t="n">
        <x:f>IF(AND(ISNUMBER(I169),ISNUMBER(P169)),I169-P169,"")</x:f>
        <x:v>-0.007080867160353055</x:v>
      </x:c>
      <x:c r="R169" s="22" t="n">
        <x:f>IF(ISNUMBER(Q169),ABS(Q169),"")</x:f>
        <x:v>0.007080867160353055</x:v>
      </x:c>
      <x:c r="S169" s="36" t="n">
        <x:f>IF(AND(ISNUMBER(Q169),ISNUMBER(P169)),IF(ABS(P169)&lt;1E-12,"",Q169/P169),"")</x:f>
        <x:v>-0.08462364157765623</x:v>
      </x:c>
      <x:c r="T169" s="36" t="n">
        <x:f>IF(ISNUMBER(S169),ABS(S169),"")</x:f>
        <x:v>0.08462364157765623</x:v>
      </x:c>
      <x:c r="U169" s="37" t="n">
        <x:f>IF(ISNUMBER(Q169),Q169^2,"")</x:f>
        <x:v>0.00005013867974256633</x:v>
      </x:c>
      <x:c r="V169" s="21" t="str">
        <x:f>IF(NOT(AND(ISNUMBER(D169),ISNUMBER(E169),ISNUMBER(G169),ISNUMBER(H169))),"缺少配对",IF(OR(F169&lt;J169,F169&gt;K169),"超出理论J范围","有效"))</x:f>
        <x:v>有效</x:v>
      </x:c>
      <x:c r="W169" s="20" t="str">
        <x:v>升力 y=0.915708x+28.7687 → C_T_prop；实验攻角 0° ↔ 理论 alpha_p_deg 90°；原升力源 4000rpm!C5/M5</x:v>
      </x:c>
      <x:c r="X169" s="20" t="str">
        <x:v>升力标定计算!M337</x:v>
      </x:c>
      <x:c r="Y169" s="20" t="str">
        <x:v>升力标定计算!M338</x:v>
      </x:c>
      <x:c r="Z169" s="20" t="str">
        <x:v>升力标定计算!N337</x:v>
      </x:c>
      <x:c r="AA169" s="20" t="str">
        <x:v>升力标定计算!N338</x:v>
      </x:c>
      <x:c r="AB169" s="20" t="str">
        <x:v>4000rpm!AT69:AS70</x:v>
      </x:c>
    </x:row>
    <x:row r="170">
      <x:c r="A170" s="21" t="n">
        <x:v>4000</x:v>
      </x:c>
      <x:c r="B170" s="21" t="n">
        <x:v>0</x:v>
      </x:c>
      <x:c r="C170" s="21" t="n">
        <x:v>4</x:v>
      </x:c>
      <x:c r="D170" s="22" t="n">
        <x:f>IFERROR('升力标定计算'!M339,"")</x:f>
        <x:v>0.06647758423936849</x:v>
      </x:c>
      <x:c r="E170" s="22" t="n">
        <x:f>IFERROR('升力标定计算'!M340,"")</x:f>
        <x:v>0.06560028224466265</x:v>
      </x:c>
      <x:c r="F170" s="22" t="n">
        <x:f>IF(AND(ISNUMBER(D170),ISNUMBER(E170)),AVERAGE(D170,E170),"")</x:f>
        <x:v>0.06603893324201557</x:v>
      </x:c>
      <x:c r="G170" s="22" t="n">
        <x:f>IFERROR('升力标定计算'!N339,"")</x:f>
        <x:v>0.07829776888163692</x:v>
      </x:c>
      <x:c r="H170" s="22" t="n">
        <x:f>IFERROR('升力标定计算'!N340,"")</x:f>
        <x:v>0.07702236772500991</x:v>
      </x:c>
      <x:c r="I170" s="22" t="n">
        <x:f>IF(AND(ISNUMBER(G170),ISNUMBER(H170)),AVERAGE(G170,H170),"")</x:f>
        <x:v>0.07766006830332342</x:v>
      </x:c>
      <x:c r="J170" s="22" t="n">
        <x:f>IFERROR('4000rpm'!AT69,"")</x:f>
        <x:v>0</x:v>
      </x:c>
      <x:c r="K170" s="22" t="n">
        <x:f>IFERROR('4000rpm'!AT79,"")</x:f>
        <x:v>0.3336614173228346</x:v>
      </x:c>
      <x:c r="L170" s="22" t="n">
        <x:f>IFERROR('4000rpm'!AT70,"")</x:f>
        <x:v>0.033366141732283465</x:v>
      </x:c>
      <x:c r="M170" s="22" t="n">
        <x:f>IFERROR('4000rpm'!AS70,"")</x:f>
        <x:v>0.08367770328187796</x:v>
      </x:c>
      <x:c r="N170" s="22" t="n">
        <x:f>IFERROR('4000rpm'!AT71,"")</x:f>
        <x:v>0.06673228346456693</x:v>
      </x:c>
      <x:c r="O170" s="22" t="n">
        <x:f>IFERROR('4000rpm'!AS71,"")</x:f>
        <x:v>0.08468338998477078</x:v>
      </x:c>
      <x:c r="P170" s="22" t="n">
        <x:f>IF(OR(NOT(AND(ISNUMBER(D170),ISNUMBER(E170),ISNUMBER(G170),ISNUMBER(H170))),OR(F170&lt;J170,F170&gt;K170)),"",IF(N170=L170,M170,M170+(F170-L170)*(O170-M170)/(N170-L170)))</x:f>
        <x:v>0.08466249176091072</x:v>
      </x:c>
      <x:c r="Q170" s="22" t="n">
        <x:f>IF(AND(ISNUMBER(I170),ISNUMBER(P170)),I170-P170,"")</x:f>
        <x:v>-0.007002423457587295</x:v>
      </x:c>
      <x:c r="R170" s="22" t="n">
        <x:f>IF(ISNUMBER(Q170),ABS(Q170),"")</x:f>
        <x:v>0.007002423457587295</x:v>
      </x:c>
      <x:c r="S170" s="36" t="n">
        <x:f>IF(AND(ISNUMBER(Q170),ISNUMBER(P170)),IF(ABS(P170)&lt;1E-12,"",Q170/P170),"")</x:f>
        <x:v>-0.08270986728529486</x:v>
      </x:c>
      <x:c r="T170" s="36" t="n">
        <x:f>IF(ISNUMBER(S170),ABS(S170),"")</x:f>
        <x:v>0.08270986728529486</x:v>
      </x:c>
      <x:c r="U170" s="37" t="n">
        <x:f>IF(ISNUMBER(Q170),Q170^2,"")</x:f>
        <x:v>0.00004903393427936881</x:v>
      </x:c>
      <x:c r="V170" s="21" t="str">
        <x:f>IF(NOT(AND(ISNUMBER(D170),ISNUMBER(E170),ISNUMBER(G170),ISNUMBER(H170))),"缺少配对",IF(OR(F170&lt;J170,F170&gt;K170),"超出理论J范围","有效"))</x:f>
        <x:v>有效</x:v>
      </x:c>
      <x:c r="W170" s="20" t="str">
        <x:v>升力 y=0.915708x+28.7687 → C_T_prop；实验攻角 0° ↔ 理论 alpha_p_deg 90°；原升力源 4000rpm!C6/M6</x:v>
      </x:c>
      <x:c r="X170" s="20" t="str">
        <x:v>升力标定计算!M339</x:v>
      </x:c>
      <x:c r="Y170" s="20" t="str">
        <x:v>升力标定计算!M340</x:v>
      </x:c>
      <x:c r="Z170" s="20" t="str">
        <x:v>升力标定计算!N339</x:v>
      </x:c>
      <x:c r="AA170" s="20" t="str">
        <x:v>升力标定计算!N340</x:v>
      </x:c>
      <x:c r="AB170" s="20" t="str">
        <x:v>4000rpm!AT70:AS71</x:v>
      </x:c>
    </x:row>
    <x:row r="171">
      <x:c r="A171" s="21" t="n">
        <x:v>4000</x:v>
      </x:c>
      <x:c r="B171" s="21" t="n">
        <x:v>0</x:v>
      </x:c>
      <x:c r="C171" s="21" t="n">
        <x:v>5</x:v>
      </x:c>
      <x:c r="D171" s="22" t="n">
        <x:f>IFERROR('升力标定计算'!M341,"")</x:f>
        <x:v>0.0990945762679951</x:v>
      </x:c>
      <x:c r="E171" s="22" t="n">
        <x:f>IFERROR('升力标定计算'!M342,"")</x:f>
        <x:v>0.09796681704171838</x:v>
      </x:c>
      <x:c r="F171" s="22" t="n">
        <x:f>IF(AND(ISNUMBER(D171),ISNUMBER(E171)),AVERAGE(D171,E171),"")</x:f>
        <x:v>0.09853069665485674</x:v>
      </x:c>
      <x:c r="G171" s="22" t="n">
        <x:f>IFERROR('升力标定计算'!N341,"")</x:f>
        <x:v>0.0772346103350889</x:v>
      </x:c>
      <x:c r="H171" s="22" t="n">
        <x:f>IFERROR('升力标定计算'!N342,"")</x:f>
        <x:v>0.07734260054036671</x:v>
      </x:c>
      <x:c r="I171" s="22" t="n">
        <x:f>IF(AND(ISNUMBER(G171),ISNUMBER(H171)),AVERAGE(G171,H171),"")</x:f>
        <x:v>0.07728860543772781</x:v>
      </x:c>
      <x:c r="J171" s="22" t="n">
        <x:f>IFERROR('4000rpm'!AT69,"")</x:f>
        <x:v>0</x:v>
      </x:c>
      <x:c r="K171" s="22" t="n">
        <x:f>IFERROR('4000rpm'!AT79,"")</x:f>
        <x:v>0.3336614173228346</x:v>
      </x:c>
      <x:c r="L171" s="22" t="n">
        <x:f>IFERROR('4000rpm'!AT71,"")</x:f>
        <x:v>0.06673228346456693</x:v>
      </x:c>
      <x:c r="M171" s="22" t="n">
        <x:f>IFERROR('4000rpm'!AS71,"")</x:f>
        <x:v>0.08468338998477078</x:v>
      </x:c>
      <x:c r="N171" s="22" t="n">
        <x:f>IFERROR('4000rpm'!AT72,"")</x:f>
        <x:v>0.1000984251968504</x:v>
      </x:c>
      <x:c r="O171" s="22" t="n">
        <x:f>IFERROR('4000rpm'!AS72,"")</x:f>
        <x:v>0.0862492977028281</x:v>
      </x:c>
      <x:c r="P171" s="22" t="n">
        <x:f>IF(OR(NOT(AND(ISNUMBER(D171),ISNUMBER(E171),ISNUMBER(G171),ISNUMBER(H171))),OR(F171&lt;J171,F171&gt;K171)),"",IF(N171=L171,M171,M171+(F171-L171)*(O171-M171)/(N171-L171)))</x:f>
        <x:v>0.08617572257258307</x:v>
      </x:c>
      <x:c r="Q171" s="22" t="n">
        <x:f>IF(AND(ISNUMBER(I171),ISNUMBER(P171)),I171-P171,"")</x:f>
        <x:v>-0.008887117134855266</x:v>
      </x:c>
      <x:c r="R171" s="22" t="n">
        <x:f>IF(ISNUMBER(Q171),ABS(Q171),"")</x:f>
        <x:v>0.008887117134855266</x:v>
      </x:c>
      <x:c r="S171" s="36" t="n">
        <x:f>IF(AND(ISNUMBER(Q171),ISNUMBER(P171)),IF(ABS(P171)&lt;1E-12,"",Q171/P171),"")</x:f>
        <x:v>-0.10312785166808354</x:v>
      </x:c>
      <x:c r="T171" s="36" t="n">
        <x:f>IF(ISNUMBER(S171),ABS(S171),"")</x:f>
        <x:v>0.10312785166808354</x:v>
      </x:c>
      <x:c r="U171" s="37" t="n">
        <x:f>IF(ISNUMBER(Q171),Q171^2,"")</x:f>
        <x:v>0.00007898085096863806</x:v>
      </x:c>
      <x:c r="V171" s="21" t="str">
        <x:f>IF(NOT(AND(ISNUMBER(D171),ISNUMBER(E171),ISNUMBER(G171),ISNUMBER(H171))),"缺少配对",IF(OR(F171&lt;J171,F171&gt;K171),"超出理论J范围","有效"))</x:f>
        <x:v>有效</x:v>
      </x:c>
      <x:c r="W171" s="20" t="str">
        <x:v>升力 y=0.915708x+28.7687 → C_T_prop；实验攻角 0° ↔ 理论 alpha_p_deg 90°；原升力源 4000rpm!C7/M7</x:v>
      </x:c>
      <x:c r="X171" s="20" t="str">
        <x:v>升力标定计算!M341</x:v>
      </x:c>
      <x:c r="Y171" s="20" t="str">
        <x:v>升力标定计算!M342</x:v>
      </x:c>
      <x:c r="Z171" s="20" t="str">
        <x:v>升力标定计算!N341</x:v>
      </x:c>
      <x:c r="AA171" s="20" t="str">
        <x:v>升力标定计算!N342</x:v>
      </x:c>
      <x:c r="AB171" s="20" t="str">
        <x:v>4000rpm!AT71:AS72</x:v>
      </x:c>
    </x:row>
    <x:row r="172">
      <x:c r="A172" s="21" t="n">
        <x:v>4000</x:v>
      </x:c>
      <x:c r="B172" s="21" t="n">
        <x:v>0</x:v>
      </x:c>
      <x:c r="C172" s="21" t="n">
        <x:v>6</x:v>
      </x:c>
      <x:c r="D172" s="22" t="n">
        <x:f>IFERROR('升力标定计算'!M343,"")</x:f>
        <x:v>0.13164125849859196</x:v>
      </x:c>
      <x:c r="E172" s="22" t="n">
        <x:f>IFERROR('升力标定计算'!M344,"")</x:f>
        <x:v>0.1310666051616042</x:v>
      </x:c>
      <x:c r="F172" s="22" t="n">
        <x:f>IF(AND(ISNUMBER(D172),ISNUMBER(E172)),AVERAGE(D172,E172),"")</x:f>
        <x:v>0.13135393183009808</x:v>
      </x:c>
      <x:c r="G172" s="22" t="n">
        <x:f>IFERROR('升力标定计算'!N343,"")</x:f>
        <x:v>0.07714491639635726</x:v>
      </x:c>
      <x:c r="H172" s="22" t="n">
        <x:f>IFERROR('升力标定计算'!N344,"")</x:f>
        <x:v>0.07836831541477793</x:v>
      </x:c>
      <x:c r="I172" s="22" t="n">
        <x:f>IF(AND(ISNUMBER(G172),ISNUMBER(H172)),AVERAGE(G172,H172),"")</x:f>
        <x:v>0.0777566159055676</x:v>
      </x:c>
      <x:c r="J172" s="22" t="n">
        <x:f>IFERROR('4000rpm'!AT69,"")</x:f>
        <x:v>0</x:v>
      </x:c>
      <x:c r="K172" s="22" t="n">
        <x:f>IFERROR('4000rpm'!AT79,"")</x:f>
        <x:v>0.3336614173228346</x:v>
      </x:c>
      <x:c r="L172" s="22" t="n">
        <x:f>IFERROR('4000rpm'!AT72,"")</x:f>
        <x:v>0.1000984251968504</x:v>
      </x:c>
      <x:c r="M172" s="22" t="n">
        <x:f>IFERROR('4000rpm'!AS72,"")</x:f>
        <x:v>0.0862492977028281</x:v>
      </x:c>
      <x:c r="N172" s="22" t="n">
        <x:f>IFERROR('4000rpm'!AT73,"")</x:f>
        <x:v>0.13346456692913386</x:v>
      </x:c>
      <x:c r="O172" s="22" t="n">
        <x:f>IFERROR('4000rpm'!AS73,"")</x:f>
        <x:v>0.08830452952060243</x:v>
      </x:c>
      <x:c r="P172" s="22" t="n">
        <x:f>IF(OR(NOT(AND(ISNUMBER(D172),ISNUMBER(E172),ISNUMBER(G172),ISNUMBER(H172))),OR(F172&lt;J172,F172&gt;K172)),"",IF(N172=L172,M172,M172+(F172-L172)*(O172-M172)/(N172-L172)))</x:f>
        <x:v>0.08817452214827708</x:v>
      </x:c>
      <x:c r="Q172" s="22" t="n">
        <x:f>IF(AND(ISNUMBER(I172),ISNUMBER(P172)),I172-P172,"")</x:f>
        <x:v>-0.010417906242709482</x:v>
      </x:c>
      <x:c r="R172" s="22" t="n">
        <x:f>IF(ISNUMBER(Q172),ABS(Q172),"")</x:f>
        <x:v>0.010417906242709482</x:v>
      </x:c>
      <x:c r="S172" s="36" t="n">
        <x:f>IF(AND(ISNUMBER(Q172),ISNUMBER(P172)),IF(ABS(P172)&lt;1E-12,"",Q172/P172),"")</x:f>
        <x:v>-0.11815098045204486</x:v>
      </x:c>
      <x:c r="T172" s="36" t="n">
        <x:f>IF(ISNUMBER(S172),ABS(S172),"")</x:f>
        <x:v>0.11815098045204486</x:v>
      </x:c>
      <x:c r="U172" s="37" t="n">
        <x:f>IF(ISNUMBER(Q172),Q172^2,"")</x:f>
        <x:v>0.0001085327704818852</x:v>
      </x:c>
      <x:c r="V172" s="21" t="str">
        <x:f>IF(NOT(AND(ISNUMBER(D172),ISNUMBER(E172),ISNUMBER(G172),ISNUMBER(H172))),"缺少配对",IF(OR(F172&lt;J172,F172&gt;K172),"超出理论J范围","有效"))</x:f>
        <x:v>有效</x:v>
      </x:c>
      <x:c r="W172" s="20" t="str">
        <x:v>升力 y=0.915708x+28.7687 → C_T_prop；实验攻角 0° ↔ 理论 alpha_p_deg 90°；原升力源 4000rpm!C8/M8</x:v>
      </x:c>
      <x:c r="X172" s="20" t="str">
        <x:v>升力标定计算!M343</x:v>
      </x:c>
      <x:c r="Y172" s="20" t="str">
        <x:v>升力标定计算!M344</x:v>
      </x:c>
      <x:c r="Z172" s="20" t="str">
        <x:v>升力标定计算!N343</x:v>
      </x:c>
      <x:c r="AA172" s="20" t="str">
        <x:v>升力标定计算!N344</x:v>
      </x:c>
      <x:c r="AB172" s="20" t="str">
        <x:v>4000rpm!AT72:AS73</x:v>
      </x:c>
    </x:row>
    <x:row r="173">
      <x:c r="A173" s="21" t="n">
        <x:v>4000</x:v>
      </x:c>
      <x:c r="B173" s="21" t="n">
        <x:v>0</x:v>
      </x:c>
      <x:c r="C173" s="21" t="n">
        <x:v>7</x:v>
      </x:c>
      <x:c r="D173" s="22" t="n">
        <x:f>IFERROR('升力标定计算'!M345,"")</x:f>
        <x:v>0.16464900131770302</x:v>
      </x:c>
      <x:c r="E173" s="22" t="n">
        <x:f>IFERROR('升力标定计算'!M346,"")</x:f>
        <x:v>0.16369177614919242</x:v>
      </x:c>
      <x:c r="F173" s="22" t="n">
        <x:f>IF(AND(ISNUMBER(D173),ISNUMBER(E173)),AVERAGE(D173,E173),"")</x:f>
        <x:v>0.16417038873344772</x:v>
      </x:c>
      <x:c r="G173" s="22" t="n">
        <x:f>IFERROR('升力标定计算'!N345,"")</x:f>
        <x:v>0.07818668167288571</x:v>
      </x:c>
      <x:c r="H173" s="22" t="n">
        <x:f>IFERROR('升力标定计算'!N346,"")</x:f>
        <x:v>0.07824800153717107</x:v>
      </x:c>
      <x:c r="I173" s="22" t="n">
        <x:f>IF(AND(ISNUMBER(G173),ISNUMBER(H173)),AVERAGE(G173,H173),"")</x:f>
        <x:v>0.07821734160502838</x:v>
      </x:c>
      <x:c r="J173" s="22" t="n">
        <x:f>IFERROR('4000rpm'!AT69,"")</x:f>
        <x:v>0</x:v>
      </x:c>
      <x:c r="K173" s="22" t="n">
        <x:f>IFERROR('4000rpm'!AT79,"")</x:f>
        <x:v>0.3336614173228346</x:v>
      </x:c>
      <x:c r="L173" s="22" t="n">
        <x:f>IFERROR('4000rpm'!AT73,"")</x:f>
        <x:v>0.13346456692913386</x:v>
      </x:c>
      <x:c r="M173" s="22" t="n">
        <x:f>IFERROR('4000rpm'!AS73,"")</x:f>
        <x:v>0.08830452952060243</x:v>
      </x:c>
      <x:c r="N173" s="22" t="n">
        <x:f>IFERROR('4000rpm'!AT74,"")</x:f>
        <x:v>0.1668307086614173</x:v>
      </x:c>
      <x:c r="O173" s="22" t="n">
        <x:f>IFERROR('4000rpm'!AS74,"")</x:f>
        <x:v>0.0907530758345351</x:v>
      </x:c>
      <x:c r="P173" s="22" t="n">
        <x:f>IF(OR(NOT(AND(ISNUMBER(D173),ISNUMBER(E173),ISNUMBER(G173),ISNUMBER(H173))),OR(F173&lt;J173,F173&gt;K173)),"",IF(N173=L173,M173,M173+(F173-L173)*(O173-M173)/(N173-L173)))</x:f>
        <x:v>0.09055785048886053</x:v>
      </x:c>
      <x:c r="Q173" s="22" t="n">
        <x:f>IF(AND(ISNUMBER(I173),ISNUMBER(P173)),I173-P173,"")</x:f>
        <x:v>-0.012340508883832146</x:v>
      </x:c>
      <x:c r="R173" s="22" t="n">
        <x:f>IF(ISNUMBER(Q173),ABS(Q173),"")</x:f>
        <x:v>0.012340508883832146</x:v>
      </x:c>
      <x:c r="S173" s="36" t="n">
        <x:f>IF(AND(ISNUMBER(Q173),ISNUMBER(P173)),IF(ABS(P173)&lt;1E-12,"",Q173/P173),"")</x:f>
        <x:v>-0.1362721047067051</x:v>
      </x:c>
      <x:c r="T173" s="36" t="n">
        <x:f>IF(ISNUMBER(S173),ABS(S173),"")</x:f>
        <x:v>0.1362721047067051</x:v>
      </x:c>
      <x:c r="U173" s="37" t="n">
        <x:f>IF(ISNUMBER(Q173),Q173^2,"")</x:f>
        <x:v>0.00015228815951194013</x:v>
      </x:c>
      <x:c r="V173" s="21" t="str">
        <x:f>IF(NOT(AND(ISNUMBER(D173),ISNUMBER(E173),ISNUMBER(G173),ISNUMBER(H173))),"缺少配对",IF(OR(F173&lt;J173,F173&gt;K173),"超出理论J范围","有效"))</x:f>
        <x:v>有效</x:v>
      </x:c>
      <x:c r="W173" s="20" t="str">
        <x:v>升力 y=0.915708x+28.7687 → C_T_prop；实验攻角 0° ↔ 理论 alpha_p_deg 90°；原升力源 4000rpm!C9/M9</x:v>
      </x:c>
      <x:c r="X173" s="20" t="str">
        <x:v>升力标定计算!M345</x:v>
      </x:c>
      <x:c r="Y173" s="20" t="str">
        <x:v>升力标定计算!M346</x:v>
      </x:c>
      <x:c r="Z173" s="20" t="str">
        <x:v>升力标定计算!N345</x:v>
      </x:c>
      <x:c r="AA173" s="20" t="str">
        <x:v>升力标定计算!N346</x:v>
      </x:c>
      <x:c r="AB173" s="20" t="str">
        <x:v>4000rpm!AT73:AS74</x:v>
      </x:c>
    </x:row>
    <x:row r="174">
      <x:c r="A174" s="21" t="n">
        <x:v>4000</x:v>
      </x:c>
      <x:c r="B174" s="21" t="n">
        <x:v>0</x:v>
      </x:c>
      <x:c r="C174" s="21" t="n">
        <x:v>8</x:v>
      </x:c>
      <x:c r="D174" s="22" t="n">
        <x:f>IFERROR('升力标定计算'!M347,"")</x:f>
        <x:v>0.19796867930047155</x:v>
      </x:c>
      <x:c r="E174" s="22" t="n">
        <x:f>IFERROR('升力标定计算'!M348,"")</x:f>
        <x:v>0.19534248373695481</x:v>
      </x:c>
      <x:c r="F174" s="22" t="n">
        <x:f>IF(AND(ISNUMBER(D174),ISNUMBER(E174)),AVERAGE(D174,E174),"")</x:f>
        <x:v>0.19665558151871318</x:v>
      </x:c>
      <x:c r="G174" s="22" t="n">
        <x:f>IFERROR('升力标定计算'!N347,"")</x:f>
        <x:v>0.07915516723360469</x:v>
      </x:c>
      <x:c r="H174" s="22" t="n">
        <x:f>IFERROR('升力标定计算'!N348,"")</x:f>
        <x:v>0.07898259887018133</x:v>
      </x:c>
      <x:c r="I174" s="22" t="n">
        <x:f>IF(AND(ISNUMBER(G174),ISNUMBER(H174)),AVERAGE(G174,H174),"")</x:f>
        <x:v>0.07906888305189301</x:v>
      </x:c>
      <x:c r="J174" s="22" t="n">
        <x:f>IFERROR('4000rpm'!AT69,"")</x:f>
        <x:v>0</x:v>
      </x:c>
      <x:c r="K174" s="22" t="n">
        <x:f>IFERROR('4000rpm'!AT79,"")</x:f>
        <x:v>0.3336614173228346</x:v>
      </x:c>
      <x:c r="L174" s="22" t="n">
        <x:f>IFERROR('4000rpm'!AT74,"")</x:f>
        <x:v>0.1668307086614173</x:v>
      </x:c>
      <x:c r="M174" s="22" t="n">
        <x:f>IFERROR('4000rpm'!AS74,"")</x:f>
        <x:v>0.0907530758345351</x:v>
      </x:c>
      <x:c r="N174" s="22" t="n">
        <x:f>IFERROR('4000rpm'!AT75,"")</x:f>
        <x:v>0.2001968503937008</x:v>
      </x:c>
      <x:c r="O174" s="22" t="n">
        <x:f>IFERROR('4000rpm'!AS75,"")</x:f>
        <x:v>0.09351269089609973</x:v>
      </x:c>
      <x:c r="P174" s="22" t="n">
        <x:f>IF(OR(NOT(AND(ISNUMBER(D174),ISNUMBER(E174),ISNUMBER(G174),ISNUMBER(H174))),OR(F174&lt;J174,F174&gt;K174)),"",IF(N174=L174,M174,M174+(F174-L174)*(O174-M174)/(N174-L174)))</x:f>
        <x:v>0.09321980300385026</x:v>
      </x:c>
      <x:c r="Q174" s="22" t="n">
        <x:f>IF(AND(ISNUMBER(I174),ISNUMBER(P174)),I174-P174,"")</x:f>
        <x:v>-0.014150919951957247</x:v>
      </x:c>
      <x:c r="R174" s="22" t="n">
        <x:f>IF(ISNUMBER(Q174),ABS(Q174),"")</x:f>
        <x:v>0.014150919951957247</x:v>
      </x:c>
      <x:c r="S174" s="36" t="n">
        <x:f>IF(AND(ISNUMBER(Q174),ISNUMBER(P174)),IF(ABS(P174)&lt;1E-12,"",Q174/P174),"")</x:f>
        <x:v>-0.15180165046447022</x:v>
      </x:c>
      <x:c r="T174" s="36" t="n">
        <x:f>IF(ISNUMBER(S174),ABS(S174),"")</x:f>
        <x:v>0.15180165046447022</x:v>
      </x:c>
      <x:c r="U174" s="37" t="n">
        <x:f>IF(ISNUMBER(Q174),Q174^2,"")</x:f>
        <x:v>0.0002002485354867017</x:v>
      </x:c>
      <x:c r="V174" s="21" t="str">
        <x:f>IF(NOT(AND(ISNUMBER(D174),ISNUMBER(E174),ISNUMBER(G174),ISNUMBER(H174))),"缺少配对",IF(OR(F174&lt;J174,F174&gt;K174),"超出理论J范围","有效"))</x:f>
        <x:v>有效</x:v>
      </x:c>
      <x:c r="W174" s="20" t="str">
        <x:v>升力 y=0.915708x+28.7687 → C_T_prop；实验攻角 0° ↔ 理论 alpha_p_deg 90°；原升力源 4000rpm!C10/M10</x:v>
      </x:c>
      <x:c r="X174" s="20" t="str">
        <x:v>升力标定计算!M347</x:v>
      </x:c>
      <x:c r="Y174" s="20" t="str">
        <x:v>升力标定计算!M348</x:v>
      </x:c>
      <x:c r="Z174" s="20" t="str">
        <x:v>升力标定计算!N347</x:v>
      </x:c>
      <x:c r="AA174" s="20" t="str">
        <x:v>升力标定计算!N348</x:v>
      </x:c>
      <x:c r="AB174" s="20" t="str">
        <x:v>4000rpm!AT74:AS75</x:v>
      </x:c>
    </x:row>
    <x:row r="175">
      <x:c r="A175" s="21" t="n">
        <x:v>4000</x:v>
      </x:c>
      <x:c r="B175" s="21" t="n">
        <x:v>0</x:v>
      </x:c>
      <x:c r="C175" s="21" t="n">
        <x:v>9</x:v>
      </x:c>
      <x:c r="D175" s="22" t="n">
        <x:f>IFERROR('升力标定计算'!M349,"")</x:f>
        <x:v>0.23013096994056045</x:v>
      </x:c>
      <x:c r="E175" s="22" t="n">
        <x:f>IFERROR('升力标定计算'!M350,"")</x:f>
        <x:v>0.22759477934719932</x:v>
      </x:c>
      <x:c r="F175" s="22" t="n">
        <x:f>IF(AND(ISNUMBER(D175),ISNUMBER(E175)),AVERAGE(D175,E175),"")</x:f>
        <x:v>0.2288628746438799</x:v>
      </x:c>
      <x:c r="G175" s="22" t="n">
        <x:f>IFERROR('升力标定计算'!N349,"")</x:f>
        <x:v>0.08001780604331737</x:v>
      </x:c>
      <x:c r="H175" s="22" t="n">
        <x:f>IFERROR('升力标定计算'!N350,"")</x:f>
        <x:v>0.08033744091436892</x:v>
      </x:c>
      <x:c r="I175" s="22" t="n">
        <x:f>IF(AND(ISNUMBER(G175),ISNUMBER(H175)),AVERAGE(G175,H175),"")</x:f>
        <x:v>0.08017762347884315</x:v>
      </x:c>
      <x:c r="J175" s="22" t="n">
        <x:f>IFERROR('4000rpm'!AT69,"")</x:f>
        <x:v>0</x:v>
      </x:c>
      <x:c r="K175" s="22" t="n">
        <x:f>IFERROR('4000rpm'!AT79,"")</x:f>
        <x:v>0.3336614173228346</x:v>
      </x:c>
      <x:c r="L175" s="22" t="n">
        <x:f>IFERROR('4000rpm'!AT75,"")</x:f>
        <x:v>0.2001968503937008</x:v>
      </x:c>
      <x:c r="M175" s="22" t="n">
        <x:f>IFERROR('4000rpm'!AS75,"")</x:f>
        <x:v>0.09351269089609973</x:v>
      </x:c>
      <x:c r="N175" s="22" t="n">
        <x:f>IFERROR('4000rpm'!AT76,"")</x:f>
        <x:v>0.23356299212598428</x:v>
      </x:c>
      <x:c r="O175" s="22" t="n">
        <x:f>IFERROR('4000rpm'!AS76,"")</x:f>
        <x:v>0.09648851627777712</x:v>
      </x:c>
      <x:c r="P175" s="22" t="n">
        <x:f>IF(OR(NOT(AND(ISNUMBER(D175),ISNUMBER(E175),ISNUMBER(G175),ISNUMBER(H175))),OR(F175&lt;J175,F175&gt;K175)),"",IF(N175=L175,M175,M175+(F175-L175)*(O175-M175)/(N175-L175)))</x:f>
        <x:v>0.09606932699864693</x:v>
      </x:c>
      <x:c r="Q175" s="22" t="n">
        <x:f>IF(AND(ISNUMBER(I175),ISNUMBER(P175)),I175-P175,"")</x:f>
        <x:v>-0.015891703519803776</x:v>
      </x:c>
      <x:c r="R175" s="22" t="n">
        <x:f>IF(ISNUMBER(Q175),ABS(Q175),"")</x:f>
        <x:v>0.015891703519803776</x:v>
      </x:c>
      <x:c r="S175" s="36" t="n">
        <x:f>IF(AND(ISNUMBER(Q175),ISNUMBER(P175)),IF(ABS(P175)&lt;1E-12,"",Q175/P175),"")</x:f>
        <x:v>-0.16541911988232832</x:v>
      </x:c>
      <x:c r="T175" s="36" t="n">
        <x:f>IF(ISNUMBER(S175),ABS(S175),"")</x:f>
        <x:v>0.16541911988232832</x:v>
      </x:c>
      <x:c r="U175" s="37" t="n">
        <x:f>IF(ISNUMBER(Q175),Q175^2,"")</x:f>
        <x:v>0.00025254624076134373</x:v>
      </x:c>
      <x:c r="V175" s="21" t="str">
        <x:f>IF(NOT(AND(ISNUMBER(D175),ISNUMBER(E175),ISNUMBER(G175),ISNUMBER(H175))),"缺少配对",IF(OR(F175&lt;J175,F175&gt;K175),"超出理论J范围","有效"))</x:f>
        <x:v>有效</x:v>
      </x:c>
      <x:c r="W175" s="20" t="str">
        <x:v>升力 y=0.915708x+28.7687 → C_T_prop；实验攻角 0° ↔ 理论 alpha_p_deg 90°；原升力源 4000rpm!C11/M11</x:v>
      </x:c>
      <x:c r="X175" s="20" t="str">
        <x:v>升力标定计算!M349</x:v>
      </x:c>
      <x:c r="Y175" s="20" t="str">
        <x:v>升力标定计算!M350</x:v>
      </x:c>
      <x:c r="Z175" s="20" t="str">
        <x:v>升力标定计算!N349</x:v>
      </x:c>
      <x:c r="AA175" s="20" t="str">
        <x:v>升力标定计算!N350</x:v>
      </x:c>
      <x:c r="AB175" s="20" t="str">
        <x:v>4000rpm!AT75:AS76</x:v>
      </x:c>
    </x:row>
    <x:row r="176">
      <x:c r="A176" s="21" t="n">
        <x:v>4000</x:v>
      </x:c>
      <x:c r="B176" s="21" t="n">
        <x:v>0</x:v>
      </x:c>
      <x:c r="C176" s="21" t="n">
        <x:v>10</x:v>
      </x:c>
      <x:c r="D176" s="22" t="n">
        <x:f>IFERROR('升力标定计算'!M351,"")</x:f>
        <x:v>0.26161420778827266</x:v>
      </x:c>
      <x:c r="E176" s="22" t="n">
        <x:f>IFERROR('升力标定计算'!M352,"")</x:f>
        <x:v>0.2589698613926277</x:v>
      </x:c>
      <x:c r="F176" s="22" t="n">
        <x:f>IF(AND(ISNUMBER(D176),ISNUMBER(E176)),AVERAGE(D176,E176),"")</x:f>
        <x:v>0.26029203459045014</x:v>
      </x:c>
      <x:c r="G176" s="22" t="n">
        <x:f>IFERROR('升力标定计算'!N351,"")</x:f>
        <x:v>0.08102269301817368</x:v>
      </x:c>
      <x:c r="H176" s="22" t="n">
        <x:f>IFERROR('升力标定计算'!N352,"")</x:f>
        <x:v>0.08117146486488624</x:v>
      </x:c>
      <x:c r="I176" s="22" t="n">
        <x:f>IF(AND(ISNUMBER(G176),ISNUMBER(H176)),AVERAGE(G176,H176),"")</x:f>
        <x:v>0.08109707894152995</x:v>
      </x:c>
      <x:c r="J176" s="22" t="n">
        <x:f>IFERROR('4000rpm'!AT69,"")</x:f>
        <x:v>0</x:v>
      </x:c>
      <x:c r="K176" s="22" t="n">
        <x:f>IFERROR('4000rpm'!AT79,"")</x:f>
        <x:v>0.3336614173228346</x:v>
      </x:c>
      <x:c r="L176" s="22" t="n">
        <x:f>IFERROR('4000rpm'!AT76,"")</x:f>
        <x:v>0.23356299212598428</x:v>
      </x:c>
      <x:c r="M176" s="22" t="n">
        <x:f>IFERROR('4000rpm'!AS76,"")</x:f>
        <x:v>0.09648851627777712</x:v>
      </x:c>
      <x:c r="N176" s="22" t="n">
        <x:f>IFERROR('4000rpm'!AT77,"")</x:f>
        <x:v>0.2669291338582677</x:v>
      </x:c>
      <x:c r="O176" s="22" t="n">
        <x:f>IFERROR('4000rpm'!AS77,"")</x:f>
        <x:v>0.09959781953888353</x:v>
      </x:c>
      <x:c r="P176" s="22" t="n">
        <x:f>IF(OR(NOT(AND(ISNUMBER(D176),ISNUMBER(E176),ISNUMBER(G176),ISNUMBER(H176))),OR(F176&lt;J176,F176&gt;K176)),"",IF(N176=L176,M176,M176+(F176-L176)*(O176-M176)/(N176-L176)))</x:f>
        <x:v>0.0989793256607692</x:v>
      </x:c>
      <x:c r="Q176" s="22" t="n">
        <x:f>IF(AND(ISNUMBER(I176),ISNUMBER(P176)),I176-P176,"")</x:f>
        <x:v>-0.017882246719239242</x:v>
      </x:c>
      <x:c r="R176" s="22" t="n">
        <x:f>IF(ISNUMBER(Q176),ABS(Q176),"")</x:f>
        <x:v>0.017882246719239242</x:v>
      </x:c>
      <x:c r="S176" s="36" t="n">
        <x:f>IF(AND(ISNUMBER(Q176),ISNUMBER(P176)),IF(ABS(P176)&lt;1E-12,"",Q176/P176),"")</x:f>
        <x:v>-0.18066648363039853</x:v>
      </x:c>
      <x:c r="T176" s="36" t="n">
        <x:f>IF(ISNUMBER(S176),ABS(S176),"")</x:f>
        <x:v>0.18066648363039853</x:v>
      </x:c>
      <x:c r="U176" s="37" t="n">
        <x:f>IF(ISNUMBER(Q176),Q176^2,"")</x:f>
        <x:v>0.0003197747477277426</x:v>
      </x:c>
      <x:c r="V176" s="21" t="str">
        <x:f>IF(NOT(AND(ISNUMBER(D176),ISNUMBER(E176),ISNUMBER(G176),ISNUMBER(H176))),"缺少配对",IF(OR(F176&lt;J176,F176&gt;K176),"超出理论J范围","有效"))</x:f>
        <x:v>有效</x:v>
      </x:c>
      <x:c r="W176" s="20" t="str">
        <x:v>升力 y=0.915708x+28.7687 → C_T_prop；实验攻角 0° ↔ 理论 alpha_p_deg 90°；原升力源 4000rpm!C12/M12</x:v>
      </x:c>
      <x:c r="X176" s="20" t="str">
        <x:v>升力标定计算!M351</x:v>
      </x:c>
      <x:c r="Y176" s="20" t="str">
        <x:v>升力标定计算!M352</x:v>
      </x:c>
      <x:c r="Z176" s="20" t="str">
        <x:v>升力标定计算!N351</x:v>
      </x:c>
      <x:c r="AA176" s="20" t="str">
        <x:v>升力标定计算!N352</x:v>
      </x:c>
      <x:c r="AB176" s="20" t="str">
        <x:v>4000rpm!AT76:AS77</x:v>
      </x:c>
    </x:row>
    <x:row r="177">
      <x:c r="A177" s="21" t="n">
        <x:v>4000</x:v>
      </x:c>
      <x:c r="B177" s="21" t="n">
        <x:v>0</x:v>
      </x:c>
      <x:c r="C177" s="21" t="n">
        <x:v>11</x:v>
      </x:c>
      <x:c r="D177" s="22" t="n">
        <x:f>IFERROR('升力标定计算'!M353,"")</x:f>
        <x:v>0.2957437915687447</x:v>
      </x:c>
      <x:c r="E177" s="22" t="n">
        <x:f>IFERROR('升力标定计算'!M354,"")</x:f>
        <x:v>0.29177604499888865</x:v>
      </x:c>
      <x:c r="F177" s="22" t="n">
        <x:f>IF(AND(ISNUMBER(D177),ISNUMBER(E177)),AVERAGE(D177,E177),"")</x:f>
        <x:v>0.29375991828381665</x:v>
      </x:c>
      <x:c r="G177" s="22" t="n">
        <x:f>IFERROR('升力标定计算'!N353,"")</x:f>
        <x:v>0.08390052852610985</x:v>
      </x:c>
      <x:c r="H177" s="22" t="n">
        <x:f>IFERROR('升力标定计算'!N354,"")</x:f>
        <x:v>0.08336602478574233</x:v>
      </x:c>
      <x:c r="I177" s="22" t="n">
        <x:f>IF(AND(ISNUMBER(G177),ISNUMBER(H177)),AVERAGE(G177,H177),"")</x:f>
        <x:v>0.0836332766559261</x:v>
      </x:c>
      <x:c r="J177" s="22" t="n">
        <x:f>IFERROR('4000rpm'!AT69,"")</x:f>
        <x:v>0</x:v>
      </x:c>
      <x:c r="K177" s="22" t="n">
        <x:f>IFERROR('4000rpm'!AT79,"")</x:f>
        <x:v>0.3336614173228346</x:v>
      </x:c>
      <x:c r="L177" s="22" t="n">
        <x:f>IFERROR('4000rpm'!AT77,"")</x:f>
        <x:v>0.2669291338582677</x:v>
      </x:c>
      <x:c r="M177" s="22" t="n">
        <x:f>IFERROR('4000rpm'!AS77,"")</x:f>
        <x:v>0.09959781953888353</x:v>
      </x:c>
      <x:c r="N177" s="22" t="n">
        <x:f>IFERROR('4000rpm'!AT78,"")</x:f>
        <x:v>0.3002952755905512</x:v>
      </x:c>
      <x:c r="O177" s="22" t="n">
        <x:f>IFERROR('4000rpm'!AS78,"")</x:f>
        <x:v>0.10277894221325111</x:v>
      </x:c>
      <x:c r="P177" s="22" t="n">
        <x:f>IF(OR(NOT(AND(ISNUMBER(D177),ISNUMBER(E177),ISNUMBER(G177),ISNUMBER(H177))),OR(F177&lt;J177,F177&gt;K177)),"",IF(N177=L177,M177,M177+(F177-L177)*(O177-M177)/(N177-L177)))</x:f>
        <x:v>0.10215586228149406</x:v>
      </x:c>
      <x:c r="Q177" s="22" t="n">
        <x:f>IF(AND(ISNUMBER(I177),ISNUMBER(P177)),I177-P177,"")</x:f>
        <x:v>-0.018522585625567967</x:v>
      </x:c>
      <x:c r="R177" s="22" t="n">
        <x:f>IF(ISNUMBER(Q177),ABS(Q177),"")</x:f>
        <x:v>0.018522585625567967</x:v>
      </x:c>
      <x:c r="S177" s="36" t="n">
        <x:f>IF(AND(ISNUMBER(Q177),ISNUMBER(P177)),IF(ABS(P177)&lt;1E-12,"",Q177/P177),"")</x:f>
        <x:v>-0.18131691331162506</x:v>
      </x:c>
      <x:c r="T177" s="36" t="n">
        <x:f>IF(ISNUMBER(S177),ABS(S177),"")</x:f>
        <x:v>0.18131691331162506</x:v>
      </x:c>
      <x:c r="U177" s="37" t="n">
        <x:f>IF(ISNUMBER(Q177),Q177^2,"")</x:f>
        <x:v>0.00034308617825649706</x:v>
      </x:c>
      <x:c r="V177" s="21" t="str">
        <x:f>IF(NOT(AND(ISNUMBER(D177),ISNUMBER(E177),ISNUMBER(G177),ISNUMBER(H177))),"缺少配对",IF(OR(F177&lt;J177,F177&gt;K177),"超出理论J范围","有效"))</x:f>
        <x:v>有效</x:v>
      </x:c>
      <x:c r="W177" s="20" t="str">
        <x:v>升力 y=0.915708x+28.7687 → C_T_prop；实验攻角 0° ↔ 理论 alpha_p_deg 90°；原升力源 4000rpm!C13/M13</x:v>
      </x:c>
      <x:c r="X177" s="20" t="str">
        <x:v>升力标定计算!M353</x:v>
      </x:c>
      <x:c r="Y177" s="20" t="str">
        <x:v>升力标定计算!M354</x:v>
      </x:c>
      <x:c r="Z177" s="20" t="str">
        <x:v>升力标定计算!N353</x:v>
      </x:c>
      <x:c r="AA177" s="20" t="str">
        <x:v>升力标定计算!N354</x:v>
      </x:c>
      <x:c r="AB177" s="20" t="str">
        <x:v>4000rpm!AT77:AS78</x:v>
      </x:c>
    </x:row>
    <x:row r="178">
      <x:c r="A178" s="21" t="n">
        <x:v>4000</x:v>
      </x:c>
      <x:c r="B178" s="21" t="n">
        <x:v>0</x:v>
      </x:c>
      <x:c r="C178" s="21" t="n">
        <x:v>12</x:v>
      </x:c>
      <x:c r="D178" s="22" t="n">
        <x:f>IFERROR('升力标定计算'!M355,"")</x:f>
        <x:v>0.3261612441669266</x:v>
      </x:c>
      <x:c r="E178" s="22" t="n">
        <x:f>IFERROR('升力标定计算'!M356,"")</x:f>
        <x:v>0.3191225469918754</x:v>
      </x:c>
      <x:c r="F178" s="22" t="n">
        <x:f>IF(AND(ISNUMBER(D178),ISNUMBER(E178)),AVERAGE(D178,E178),"")</x:f>
        <x:v>0.32264189557940104</x:v>
      </x:c>
      <x:c r="G178" s="22" t="n">
        <x:f>IFERROR('升力标定计算'!N355,"")</x:f>
        <x:v>0.08573068294545816</x:v>
      </x:c>
      <x:c r="H178" s="22" t="n">
        <x:f>IFERROR('升力标定计算'!N356,"")</x:f>
        <x:v>0.08391416684365306</x:v>
      </x:c>
      <x:c r="I178" s="22" t="n">
        <x:f>IF(AND(ISNUMBER(G178),ISNUMBER(H178)),AVERAGE(G178,H178),"")</x:f>
        <x:v>0.0848224248945556</x:v>
      </x:c>
      <x:c r="J178" s="22" t="n">
        <x:f>IFERROR('4000rpm'!AT69,"")</x:f>
        <x:v>0</x:v>
      </x:c>
      <x:c r="K178" s="22" t="n">
        <x:f>IFERROR('4000rpm'!AT79,"")</x:f>
        <x:v>0.3336614173228346</x:v>
      </x:c>
      <x:c r="L178" s="22" t="n">
        <x:f>IFERROR('4000rpm'!AT78,"")</x:f>
        <x:v>0.3002952755905512</x:v>
      </x:c>
      <x:c r="M178" s="22" t="n">
        <x:f>IFERROR('4000rpm'!AS78,"")</x:f>
        <x:v>0.10277894221325111</x:v>
      </x:c>
      <x:c r="N178" s="22" t="n">
        <x:f>IFERROR('4000rpm'!AT79,"")</x:f>
        <x:v>0.3336614173228346</x:v>
      </x:c>
      <x:c r="O178" s="22" t="n">
        <x:f>IFERROR('4000rpm'!AS79,"")</x:f>
        <x:v>0.10597143659539099</x:v>
      </x:c>
      <x:c r="P178" s="22" t="n">
        <x:f>IF(OR(NOT(AND(ISNUMBER(D178),ISNUMBER(E178),ISNUMBER(G178),ISNUMBER(H178))),OR(F178&lt;J178,F178&gt;K178)),"",IF(N178=L178,M178,M178+(F178-L178)*(O178-M178)/(N178-L178)))</x:f>
        <x:v>0.1049170815086672</x:v>
      </x:c>
      <x:c r="Q178" s="22" t="n">
        <x:f>IF(AND(ISNUMBER(I178),ISNUMBER(P178)),I178-P178,"")</x:f>
        <x:v>-0.020094656614111597</x:v>
      </x:c>
      <x:c r="R178" s="22" t="n">
        <x:f>IF(ISNUMBER(Q178),ABS(Q178),"")</x:f>
        <x:v>0.020094656614111597</x:v>
      </x:c>
      <x:c r="S178" s="36" t="n">
        <x:f>IF(AND(ISNUMBER(Q178),ISNUMBER(P178)),IF(ABS(P178)&lt;1E-12,"",Q178/P178),"")</x:f>
        <x:v>-0.19152893242128144</x:v>
      </x:c>
      <x:c r="T178" s="36" t="n">
        <x:f>IF(ISNUMBER(S178),ABS(S178),"")</x:f>
        <x:v>0.19152893242128144</x:v>
      </x:c>
      <x:c r="U178" s="37" t="n">
        <x:f>IF(ISNUMBER(Q178),Q178^2,"")</x:f>
        <x:v>0.00040379522443905895</x:v>
      </x:c>
      <x:c r="V178" s="21" t="str">
        <x:f>IF(NOT(AND(ISNUMBER(D178),ISNUMBER(E178),ISNUMBER(G178),ISNUMBER(H178))),"缺少配对",IF(OR(F178&lt;J178,F178&gt;K178),"超出理论J范围","有效"))</x:f>
        <x:v>有效</x:v>
      </x:c>
      <x:c r="W178" s="20" t="str">
        <x:v>升力 y=0.915708x+28.7687 → C_T_prop；实验攻角 0° ↔ 理论 alpha_p_deg 90°；原升力源 4000rpm!C14/M14</x:v>
      </x:c>
      <x:c r="X178" s="20" t="str">
        <x:v>升力标定计算!M355</x:v>
      </x:c>
      <x:c r="Y178" s="20" t="str">
        <x:v>升力标定计算!M356</x:v>
      </x:c>
      <x:c r="Z178" s="20" t="str">
        <x:v>升力标定计算!N355</x:v>
      </x:c>
      <x:c r="AA178" s="20" t="str">
        <x:v>升力标定计算!N356</x:v>
      </x:c>
      <x:c r="AB178" s="20" t="str">
        <x:v>4000rpm!AT78:AS79</x:v>
      </x:c>
    </x:row>
    <x:row r="179">
      <x:c r="A179" s="21" t="n">
        <x:v>4000</x:v>
      </x:c>
      <x:c r="B179" s="21" t="n">
        <x:v>0</x:v>
      </x:c>
      <x:c r="C179" s="21" t="n">
        <x:v>13</x:v>
      </x:c>
      <x:c r="D179" s="22" t="n">
        <x:f>IFERROR('升力标定计算'!M357,"")</x:f>
        <x:v>0.29467638058583817</x:v>
      </x:c>
      <x:c r="E179" s="22" t="n">
        <x:f>IFERROR('升力标定计算'!M358,"")</x:f>
        <x:v>0.2914627160600329</x:v>
      </x:c>
      <x:c r="F179" s="22" t="n">
        <x:f>IF(AND(ISNUMBER(D179),ISNUMBER(E179)),AVERAGE(D179,E179),"")</x:f>
        <x:v>0.2930695483229355</x:v>
      </x:c>
      <x:c r="G179" s="22" t="n">
        <x:f>IFERROR('升力标定计算'!N357,"")</x:f>
        <x:v>0.08290125055052708</x:v>
      </x:c>
      <x:c r="H179" s="22" t="n">
        <x:f>IFERROR('升力标定计算'!N358,"")</x:f>
        <x:v>0.08307077791898908</x:v>
      </x:c>
      <x:c r="I179" s="22" t="n">
        <x:f>IF(AND(ISNUMBER(G179),ISNUMBER(H179)),AVERAGE(G179,H179),"")</x:f>
        <x:v>0.08298601423475807</x:v>
      </x:c>
      <x:c r="J179" s="22" t="n">
        <x:f>IFERROR('4000rpm'!AT69,"")</x:f>
        <x:v>0</x:v>
      </x:c>
      <x:c r="K179" s="22" t="n">
        <x:f>IFERROR('4000rpm'!AT79,"")</x:f>
        <x:v>0.3336614173228346</x:v>
      </x:c>
      <x:c r="L179" s="22" t="n">
        <x:f>IFERROR('4000rpm'!AT77,"")</x:f>
        <x:v>0.2669291338582677</x:v>
      </x:c>
      <x:c r="M179" s="22" t="n">
        <x:f>IFERROR('4000rpm'!AS77,"")</x:f>
        <x:v>0.09959781953888353</x:v>
      </x:c>
      <x:c r="N179" s="22" t="n">
        <x:f>IFERROR('4000rpm'!AT78,"")</x:f>
        <x:v>0.3002952755905512</x:v>
      </x:c>
      <x:c r="O179" s="22" t="n">
        <x:f>IFERROR('4000rpm'!AS78,"")</x:f>
        <x:v>0.10277894221325111</x:v>
      </x:c>
      <x:c r="P179" s="22" t="n">
        <x:f>IF(OR(NOT(AND(ISNUMBER(D179),ISNUMBER(E179),ISNUMBER(G179),ISNUMBER(H179))),OR(F179&lt;J179,F179&gt;K179)),"",IF(N179=L179,M179,M179+(F179-L179)*(O179-M179)/(N179-L179)))</x:f>
        <x:v>0.10209004251863739</x:v>
      </x:c>
      <x:c r="Q179" s="22" t="n">
        <x:f>IF(AND(ISNUMBER(I179),ISNUMBER(P179)),I179-P179,"")</x:f>
        <x:v>-0.019104028283879318</x:v>
      </x:c>
      <x:c r="R179" s="22" t="n">
        <x:f>IF(ISNUMBER(Q179),ABS(Q179),"")</x:f>
        <x:v>0.019104028283879318</x:v>
      </x:c>
      <x:c r="S179" s="36" t="n">
        <x:f>IF(AND(ISNUMBER(Q179),ISNUMBER(P179)),IF(ABS(P179)&lt;1E-12,"",Q179/P179),"")</x:f>
        <x:v>-0.18712920293271226</x:v>
      </x:c>
      <x:c r="T179" s="36" t="n">
        <x:f>IF(ISNUMBER(S179),ABS(S179),"")</x:f>
        <x:v>0.18712920293271226</x:v>
      </x:c>
      <x:c r="U179" s="37" t="n">
        <x:f>IF(ISNUMBER(Q179),Q179^2,"")</x:f>
        <x:v>0.00036496389667126095</x:v>
      </x:c>
      <x:c r="V179" s="21" t="str">
        <x:f>IF(NOT(AND(ISNUMBER(D179),ISNUMBER(E179),ISNUMBER(G179),ISNUMBER(H179))),"缺少配对",IF(OR(F179&lt;J179,F179&gt;K179),"超出理论J范围","有效"))</x:f>
        <x:v>有效</x:v>
      </x:c>
      <x:c r="W179" s="20" t="str">
        <x:v>升力 y=0.915708x+28.7687 → C_T_prop；实验攻角 0° ↔ 理论 alpha_p_deg 90°；原升力源 4000rpm!C15/M15</x:v>
      </x:c>
      <x:c r="X179" s="20" t="str">
        <x:v>升力标定计算!M357</x:v>
      </x:c>
      <x:c r="Y179" s="20" t="str">
        <x:v>升力标定计算!M358</x:v>
      </x:c>
      <x:c r="Z179" s="20" t="str">
        <x:v>升力标定计算!N357</x:v>
      </x:c>
      <x:c r="AA179" s="20" t="str">
        <x:v>升力标定计算!N358</x:v>
      </x:c>
      <x:c r="AB179" s="20" t="str">
        <x:v>4000rpm!AT77:AS78</x:v>
      </x:c>
    </x:row>
    <x:row r="180">
      <x:c r="A180" s="21" t="n">
        <x:v>4000</x:v>
      </x:c>
      <x:c r="B180" s="21" t="n">
        <x:v>0</x:v>
      </x:c>
      <x:c r="C180" s="21" t="n">
        <x:v>14</x:v>
      </x:c>
      <x:c r="D180" s="22" t="n">
        <x:f>IFERROR('升力标定计算'!M359,"")</x:f>
        <x:v>0.26385422228992705</x:v>
      </x:c>
      <x:c r="E180" s="22" t="n">
        <x:f>IFERROR('升力标定计算'!M360,"")</x:f>
        <x:v>0.2601884974521569</x:v>
      </x:c>
      <x:c r="F180" s="22" t="n">
        <x:f>IF(AND(ISNUMBER(D180),ISNUMBER(E180)),AVERAGE(D180,E180),"")</x:f>
        <x:v>0.26202135987104197</x:v>
      </x:c>
      <x:c r="G180" s="22" t="n">
        <x:f>IFERROR('升力标定计算'!N359,"")</x:f>
        <x:v>0.08208629038581482</x:v>
      </x:c>
      <x:c r="H180" s="22" t="n">
        <x:f>IFERROR('升力标定计算'!N360,"")</x:f>
        <x:v>0.0821003378180895</x:v>
      </x:c>
      <x:c r="I180" s="22" t="n">
        <x:f>IF(AND(ISNUMBER(G180),ISNUMBER(H180)),AVERAGE(G180,H180),"")</x:f>
        <x:v>0.08209331410195216</x:v>
      </x:c>
      <x:c r="J180" s="22" t="n">
        <x:f>IFERROR('4000rpm'!AT69,"")</x:f>
        <x:v>0</x:v>
      </x:c>
      <x:c r="K180" s="22" t="n">
        <x:f>IFERROR('4000rpm'!AT79,"")</x:f>
        <x:v>0.3336614173228346</x:v>
      </x:c>
      <x:c r="L180" s="22" t="n">
        <x:f>IFERROR('4000rpm'!AT76,"")</x:f>
        <x:v>0.23356299212598428</x:v>
      </x:c>
      <x:c r="M180" s="22" t="n">
        <x:f>IFERROR('4000rpm'!AS76,"")</x:f>
        <x:v>0.09648851627777712</x:v>
      </x:c>
      <x:c r="N180" s="22" t="n">
        <x:f>IFERROR('4000rpm'!AT77,"")</x:f>
        <x:v>0.2669291338582677</x:v>
      </x:c>
      <x:c r="O180" s="22" t="n">
        <x:f>IFERROR('4000rpm'!AS77,"")</x:f>
        <x:v>0.09959781953888353</x:v>
      </x:c>
      <x:c r="P180" s="22" t="n">
        <x:f>IF(OR(NOT(AND(ISNUMBER(D180),ISNUMBER(E180),ISNUMBER(G180),ISNUMBER(H180))),OR(F180&lt;J180,F180&gt;K180)),"",IF(N180=L180,M180,M180+(F180-L180)*(O180-M180)/(N180-L180)))</x:f>
        <x:v>0.09914047694932995</x:v>
      </x:c>
      <x:c r="Q180" s="22" t="n">
        <x:f>IF(AND(ISNUMBER(I180),ISNUMBER(P180)),I180-P180,"")</x:f>
        <x:v>-0.017047162847377798</x:v>
      </x:c>
      <x:c r="R180" s="22" t="n">
        <x:f>IF(ISNUMBER(Q180),ABS(Q180),"")</x:f>
        <x:v>0.017047162847377798</x:v>
      </x:c>
      <x:c r="S180" s="36" t="n">
        <x:f>IF(AND(ISNUMBER(Q180),ISNUMBER(P180)),IF(ABS(P180)&lt;1E-12,"",Q180/P180),"")</x:f>
        <x:v>-0.171949574703887</x:v>
      </x:c>
      <x:c r="T180" s="36" t="n">
        <x:f>IF(ISNUMBER(S180),ABS(S180),"")</x:f>
        <x:v>0.171949574703887</x:v>
      </x:c>
      <x:c r="U180" s="37" t="n">
        <x:f>IF(ISNUMBER(Q180),Q180^2,"")</x:f>
        <x:v>0.0002906057611450179</x:v>
      </x:c>
      <x:c r="V180" s="21" t="str">
        <x:f>IF(NOT(AND(ISNUMBER(D180),ISNUMBER(E180),ISNUMBER(G180),ISNUMBER(H180))),"缺少配对",IF(OR(F180&lt;J180,F180&gt;K180),"超出理论J范围","有效"))</x:f>
        <x:v>有效</x:v>
      </x:c>
      <x:c r="W180" s="20" t="str">
        <x:v>升力 y=0.915708x+28.7687 → C_T_prop；实验攻角 0° ↔ 理论 alpha_p_deg 90°；原升力源 4000rpm!C16/M16</x:v>
      </x:c>
      <x:c r="X180" s="20" t="str">
        <x:v>升力标定计算!M359</x:v>
      </x:c>
      <x:c r="Y180" s="20" t="str">
        <x:v>升力标定计算!M360</x:v>
      </x:c>
      <x:c r="Z180" s="20" t="str">
        <x:v>升力标定计算!N359</x:v>
      </x:c>
      <x:c r="AA180" s="20" t="str">
        <x:v>升力标定计算!N360</x:v>
      </x:c>
      <x:c r="AB180" s="20" t="str">
        <x:v>4000rpm!AT76:AS77</x:v>
      </x:c>
    </x:row>
    <x:row r="181">
      <x:c r="A181" s="21" t="n">
        <x:v>4000</x:v>
      </x:c>
      <x:c r="B181" s="21" t="n">
        <x:v>0</x:v>
      </x:c>
      <x:c r="C181" s="21" t="n">
        <x:v>15</x:v>
      </x:c>
      <x:c r="D181" s="22" t="n">
        <x:f>IFERROR('升力标定计算'!M361,"")</x:f>
        <x:v>0.23156555186856526</x:v>
      </x:c>
      <x:c r="E181" s="22" t="n">
        <x:f>IFERROR('升力标定计算'!M362,"")</x:f>
        <x:v>0.2274666034939738</x:v>
      </x:c>
      <x:c r="F181" s="22" t="n">
        <x:f>IF(AND(ISNUMBER(D181),ISNUMBER(E181)),AVERAGE(D181,E181),"")</x:f>
        <x:v>0.22951607768126953</x:v>
      </x:c>
      <x:c r="G181" s="22" t="n">
        <x:f>IFERROR('升力标定计算'!N361,"")</x:f>
        <x:v>0.08019272510297988</x:v>
      </x:c>
      <x:c r="H181" s="22" t="n">
        <x:f>IFERROR('升力标定计算'!N362,"")</x:f>
        <x:v>0.07955458901033487</x:v>
      </x:c>
      <x:c r="I181" s="22" t="n">
        <x:f>IF(AND(ISNUMBER(G181),ISNUMBER(H181)),AVERAGE(G181,H181),"")</x:f>
        <x:v>0.07987365705665737</x:v>
      </x:c>
      <x:c r="J181" s="22" t="n">
        <x:f>IFERROR('4000rpm'!AT69,"")</x:f>
        <x:v>0</x:v>
      </x:c>
      <x:c r="K181" s="22" t="n">
        <x:f>IFERROR('4000rpm'!AT79,"")</x:f>
        <x:v>0.3336614173228346</x:v>
      </x:c>
      <x:c r="L181" s="22" t="n">
        <x:f>IFERROR('4000rpm'!AT75,"")</x:f>
        <x:v>0.2001968503937008</x:v>
      </x:c>
      <x:c r="M181" s="22" t="n">
        <x:f>IFERROR('4000rpm'!AS75,"")</x:f>
        <x:v>0.09351269089609973</x:v>
      </x:c>
      <x:c r="N181" s="22" t="n">
        <x:f>IFERROR('4000rpm'!AT76,"")</x:f>
        <x:v>0.23356299212598428</x:v>
      </x:c>
      <x:c r="O181" s="22" t="n">
        <x:f>IFERROR('4000rpm'!AS76,"")</x:f>
        <x:v>0.09648851627777712</x:v>
      </x:c>
      <x:c r="P181" s="22" t="n">
        <x:f>IF(OR(NOT(AND(ISNUMBER(D181),ISNUMBER(E181),ISNUMBER(G181),ISNUMBER(H181))),OR(F181&lt;J181,F181&gt;K181)),"",IF(N181=L181,M181,M181+(F181-L181)*(O181-M181)/(N181-L181)))</x:f>
        <x:v>0.09612758420421924</x:v>
      </x:c>
      <x:c r="Q181" s="22" t="n">
        <x:f>IF(AND(ISNUMBER(I181),ISNUMBER(P181)),I181-P181,"")</x:f>
        <x:v>-0.016253927147561867</x:v>
      </x:c>
      <x:c r="R181" s="22" t="n">
        <x:f>IF(ISNUMBER(Q181),ABS(Q181),"")</x:f>
        <x:v>0.016253927147561867</x:v>
      </x:c>
      <x:c r="S181" s="36" t="n">
        <x:f>IF(AND(ISNUMBER(Q181),ISNUMBER(P181)),IF(ABS(P181)&lt;1E-12,"",Q181/P181),"")</x:f>
        <x:v>-0.16908702410570356</x:v>
      </x:c>
      <x:c r="T181" s="36" t="n">
        <x:f>IF(ISNUMBER(S181),ABS(S181),"")</x:f>
        <x:v>0.16908702410570356</x:v>
      </x:c>
      <x:c r="U181" s="37" t="n">
        <x:f>IF(ISNUMBER(Q181),Q181^2,"")</x:f>
        <x:v>0.00026419014771824863</x:v>
      </x:c>
      <x:c r="V181" s="21" t="str">
        <x:f>IF(NOT(AND(ISNUMBER(D181),ISNUMBER(E181),ISNUMBER(G181),ISNUMBER(H181))),"缺少配对",IF(OR(F181&lt;J181,F181&gt;K181),"超出理论J范围","有效"))</x:f>
        <x:v>有效</x:v>
      </x:c>
      <x:c r="W181" s="20" t="str">
        <x:v>升力 y=0.915708x+28.7687 → C_T_prop；实验攻角 0° ↔ 理论 alpha_p_deg 90°；原升力源 4000rpm!C17/M17</x:v>
      </x:c>
      <x:c r="X181" s="20" t="str">
        <x:v>升力标定计算!M361</x:v>
      </x:c>
      <x:c r="Y181" s="20" t="str">
        <x:v>升力标定计算!M362</x:v>
      </x:c>
      <x:c r="Z181" s="20" t="str">
        <x:v>升力标定计算!N361</x:v>
      </x:c>
      <x:c r="AA181" s="20" t="str">
        <x:v>升力标定计算!N362</x:v>
      </x:c>
      <x:c r="AB181" s="20" t="str">
        <x:v>4000rpm!AT75:AS76</x:v>
      </x:c>
    </x:row>
    <x:row r="182">
      <x:c r="A182" s="21" t="n">
        <x:v>4000</x:v>
      </x:c>
      <x:c r="B182" s="21" t="n">
        <x:v>0</x:v>
      </x:c>
      <x:c r="C182" s="21" t="n">
        <x:v>16</x:v>
      </x:c>
      <x:c r="D182" s="22" t="n">
        <x:f>IFERROR('升力标定计算'!M363,"")</x:f>
        <x:v>0.1998216073885712</x:v>
      </x:c>
      <x:c r="E182" s="22" t="n">
        <x:f>IFERROR('升力标定计算'!M364,"")</x:f>
        <x:v>0.19564610434059945</x:v>
      </x:c>
      <x:c r="F182" s="22" t="n">
        <x:f>IF(AND(ISNUMBER(D182),ISNUMBER(E182)),AVERAGE(D182,E182),"")</x:f>
        <x:v>0.1977338558645853</x:v>
      </x:c>
      <x:c r="G182" s="22" t="n">
        <x:f>IFERROR('升力标定计算'!N363,"")</x:f>
        <x:v>0.07969652369717849</x:v>
      </x:c>
      <x:c r="H182" s="22" t="n">
        <x:f>IFERROR('升力标定计算'!N364,"")</x:f>
        <x:v>0.0785872731931979</x:v>
      </x:c>
      <x:c r="I182" s="22" t="n">
        <x:f>IF(AND(ISNUMBER(G182),ISNUMBER(H182)),AVERAGE(G182,H182),"")</x:f>
        <x:v>0.0791418984451882</x:v>
      </x:c>
      <x:c r="J182" s="22" t="n">
        <x:f>IFERROR('4000rpm'!AT69,"")</x:f>
        <x:v>0</x:v>
      </x:c>
      <x:c r="K182" s="22" t="n">
        <x:f>IFERROR('4000rpm'!AT79,"")</x:f>
        <x:v>0.3336614173228346</x:v>
      </x:c>
      <x:c r="L182" s="22" t="n">
        <x:f>IFERROR('4000rpm'!AT74,"")</x:f>
        <x:v>0.1668307086614173</x:v>
      </x:c>
      <x:c r="M182" s="22" t="n">
        <x:f>IFERROR('4000rpm'!AS74,"")</x:f>
        <x:v>0.0907530758345351</x:v>
      </x:c>
      <x:c r="N182" s="22" t="n">
        <x:f>IFERROR('4000rpm'!AT75,"")</x:f>
        <x:v>0.2001968503937008</x:v>
      </x:c>
      <x:c r="O182" s="22" t="n">
        <x:f>IFERROR('4000rpm'!AS75,"")</x:f>
        <x:v>0.09351269089609973</x:v>
      </x:c>
      <x:c r="P182" s="22" t="n">
        <x:f>IF(OR(NOT(AND(ISNUMBER(D182),ISNUMBER(E182),ISNUMBER(G182),ISNUMBER(H182))),OR(F182&lt;J182,F182&gt;K182)),"",IF(N182=L182,M182,M182+(F182-L182)*(O182-M182)/(N182-L182)))</x:f>
        <x:v>0.0933089838911474</x:v>
      </x:c>
      <x:c r="Q182" s="22" t="n">
        <x:f>IF(AND(ISNUMBER(I182),ISNUMBER(P182)),I182-P182,"")</x:f>
        <x:v>-0.01416708544595921</x:v>
      </x:c>
      <x:c r="R182" s="22" t="n">
        <x:f>IF(ISNUMBER(Q182),ABS(Q182),"")</x:f>
        <x:v>0.01416708544595921</x:v>
      </x:c>
      <x:c r="S182" s="36" t="n">
        <x:f>IF(AND(ISNUMBER(Q182),ISNUMBER(P182)),IF(ABS(P182)&lt;1E-12,"",Q182/P182),"")</x:f>
        <x:v>-0.15182981161263398</x:v>
      </x:c>
      <x:c r="T182" s="36" t="n">
        <x:f>IF(ISNUMBER(S182),ABS(S182),"")</x:f>
        <x:v>0.15182981161263398</x:v>
      </x:c>
      <x:c r="U182" s="37" t="n">
        <x:f>IF(ISNUMBER(Q182),Q182^2,"")</x:f>
        <x:v>0.00020070631003310928</x:v>
      </x:c>
      <x:c r="V182" s="21" t="str">
        <x:f>IF(NOT(AND(ISNUMBER(D182),ISNUMBER(E182),ISNUMBER(G182),ISNUMBER(H182))),"缺少配对",IF(OR(F182&lt;J182,F182&gt;K182),"超出理论J范围","有效"))</x:f>
        <x:v>有效</x:v>
      </x:c>
      <x:c r="W182" s="20" t="str">
        <x:v>升力 y=0.915708x+28.7687 → C_T_prop；实验攻角 0° ↔ 理论 alpha_p_deg 90°；原升力源 4000rpm!C18/M18</x:v>
      </x:c>
      <x:c r="X182" s="20" t="str">
        <x:v>升力标定计算!M363</x:v>
      </x:c>
      <x:c r="Y182" s="20" t="str">
        <x:v>升力标定计算!M364</x:v>
      </x:c>
      <x:c r="Z182" s="20" t="str">
        <x:v>升力标定计算!N363</x:v>
      </x:c>
      <x:c r="AA182" s="20" t="str">
        <x:v>升力标定计算!N364</x:v>
      </x:c>
      <x:c r="AB182" s="20" t="str">
        <x:v>4000rpm!AT74:AS75</x:v>
      </x:c>
    </x:row>
    <x:row r="183">
      <x:c r="A183" s="21" t="n">
        <x:v>4000</x:v>
      </x:c>
      <x:c r="B183" s="21" t="n">
        <x:v>0</x:v>
      </x:c>
      <x:c r="C183" s="21" t="n">
        <x:v>17</x:v>
      </x:c>
      <x:c r="D183" s="22" t="n">
        <x:f>IFERROR('升力标定计算'!M365,"")</x:f>
        <x:v>0.16563232173228393</x:v>
      </x:c>
      <x:c r="E183" s="22" t="n">
        <x:f>IFERROR('升力标定计算'!M366,"")</x:f>
        <x:v>0.16436964619481892</x:v>
      </x:c>
      <x:c r="F183" s="22" t="n">
        <x:f>IF(AND(ISNUMBER(D183),ISNUMBER(E183)),AVERAGE(D183,E183),"")</x:f>
        <x:v>0.16500098396355142</x:v>
      </x:c>
      <x:c r="G183" s="22" t="n">
        <x:f>IFERROR('升力标定计算'!N365,"")</x:f>
        <x:v>0.07803853651968477</x:v>
      </x:c>
      <x:c r="H183" s="22" t="n">
        <x:f>IFERROR('升力标定计算'!N366,"")</x:f>
        <x:v>0.07898185117941083</x:v>
      </x:c>
      <x:c r="I183" s="22" t="n">
        <x:f>IF(AND(ISNUMBER(G183),ISNUMBER(H183)),AVERAGE(G183,H183),"")</x:f>
        <x:v>0.0785101938495478</x:v>
      </x:c>
      <x:c r="J183" s="22" t="n">
        <x:f>IFERROR('4000rpm'!AT69,"")</x:f>
        <x:v>0</x:v>
      </x:c>
      <x:c r="K183" s="22" t="n">
        <x:f>IFERROR('4000rpm'!AT79,"")</x:f>
        <x:v>0.3336614173228346</x:v>
      </x:c>
      <x:c r="L183" s="22" t="n">
        <x:f>IFERROR('4000rpm'!AT73,"")</x:f>
        <x:v>0.13346456692913386</x:v>
      </x:c>
      <x:c r="M183" s="22" t="n">
        <x:f>IFERROR('4000rpm'!AS73,"")</x:f>
        <x:v>0.08830452952060243</x:v>
      </x:c>
      <x:c r="N183" s="22" t="n">
        <x:f>IFERROR('4000rpm'!AT74,"")</x:f>
        <x:v>0.1668307086614173</x:v>
      </x:c>
      <x:c r="O183" s="22" t="n">
        <x:f>IFERROR('4000rpm'!AS74,"")</x:f>
        <x:v>0.0907530758345351</x:v>
      </x:c>
      <x:c r="P183" s="22" t="n">
        <x:f>IF(OR(NOT(AND(ISNUMBER(D183),ISNUMBER(E183),ISNUMBER(G183),ISNUMBER(H183))),OR(F183&lt;J183,F183&gt;K183)),"",IF(N183=L183,M183,M183+(F183-L183)*(O183-M183)/(N183-L183)))</x:f>
        <x:v>0.09061880302288015</x:v>
      </x:c>
      <x:c r="Q183" s="22" t="n">
        <x:f>IF(AND(ISNUMBER(I183),ISNUMBER(P183)),I183-P183,"")</x:f>
        <x:v>-0.012108609173332355</x:v>
      </x:c>
      <x:c r="R183" s="22" t="n">
        <x:f>IF(ISNUMBER(Q183),ABS(Q183),"")</x:f>
        <x:v>0.012108609173332355</x:v>
      </x:c>
      <x:c r="S183" s="36" t="n">
        <x:f>IF(AND(ISNUMBER(Q183),ISNUMBER(P183)),IF(ABS(P183)&lt;1E-12,"",Q183/P183),"")</x:f>
        <x:v>-0.13362137624213682</x:v>
      </x:c>
      <x:c r="T183" s="36" t="n">
        <x:f>IF(ISNUMBER(S183),ABS(S183),"")</x:f>
        <x:v>0.13362137624213682</x:v>
      </x:c>
      <x:c r="U183" s="37" t="n">
        <x:f>IF(ISNUMBER(Q183),Q183^2,"")</x:f>
        <x:v>0.00014661841611250846</x:v>
      </x:c>
      <x:c r="V183" s="21" t="str">
        <x:f>IF(NOT(AND(ISNUMBER(D183),ISNUMBER(E183),ISNUMBER(G183),ISNUMBER(H183))),"缺少配对",IF(OR(F183&lt;J183,F183&gt;K183),"超出理论J范围","有效"))</x:f>
        <x:v>有效</x:v>
      </x:c>
      <x:c r="W183" s="20" t="str">
        <x:v>升力 y=0.915708x+28.7687 → C_T_prop；实验攻角 0° ↔ 理论 alpha_p_deg 90°；原升力源 4000rpm!C19/M19</x:v>
      </x:c>
      <x:c r="X183" s="20" t="str">
        <x:v>升力标定计算!M365</x:v>
      </x:c>
      <x:c r="Y183" s="20" t="str">
        <x:v>升力标定计算!M366</x:v>
      </x:c>
      <x:c r="Z183" s="20" t="str">
        <x:v>升力标定计算!N365</x:v>
      </x:c>
      <x:c r="AA183" s="20" t="str">
        <x:v>升力标定计算!N366</x:v>
      </x:c>
      <x:c r="AB183" s="20" t="str">
        <x:v>4000rpm!AT73:AS74</x:v>
      </x:c>
    </x:row>
    <x:row r="184">
      <x:c r="A184" s="21" t="n">
        <x:v>4000</x:v>
      </x:c>
      <x:c r="B184" s="21" t="n">
        <x:v>0</x:v>
      </x:c>
      <x:c r="C184" s="21" t="n">
        <x:v>18</x:v>
      </x:c>
      <x:c r="D184" s="22" t="n">
        <x:f>IFERROR('升力标定计算'!M367,"")</x:f>
        <x:v>0.13385317505328326</x:v>
      </x:c>
      <x:c r="E184" s="22" t="n">
        <x:f>IFERROR('升力标定计算'!M368,"")</x:f>
        <x:v>0.13127020026580632</x:v>
      </x:c>
      <x:c r="F184" s="22" t="n">
        <x:f>IF(AND(ISNUMBER(D184),ISNUMBER(E184)),AVERAGE(D184,E184),"")</x:f>
        <x:v>0.1325616876595448</x:v>
      </x:c>
      <x:c r="G184" s="22" t="n">
        <x:f>IFERROR('升力标定计算'!N367,"")</x:f>
        <x:v>0.07763769279502551</x:v>
      </x:c>
      <x:c r="H184" s="22" t="n">
        <x:f>IFERROR('升力标定计算'!N368,"")</x:f>
        <x:v>0.07767882304823574</x:v>
      </x:c>
      <x:c r="I184" s="22" t="n">
        <x:f>IF(AND(ISNUMBER(G184),ISNUMBER(H184)),AVERAGE(G184,H184),"")</x:f>
        <x:v>0.07765825792163063</x:v>
      </x:c>
      <x:c r="J184" s="22" t="n">
        <x:f>IFERROR('4000rpm'!AT69,"")</x:f>
        <x:v>0</x:v>
      </x:c>
      <x:c r="K184" s="22" t="n">
        <x:f>IFERROR('4000rpm'!AT79,"")</x:f>
        <x:v>0.3336614173228346</x:v>
      </x:c>
      <x:c r="L184" s="22" t="n">
        <x:f>IFERROR('4000rpm'!AT72,"")</x:f>
        <x:v>0.1000984251968504</x:v>
      </x:c>
      <x:c r="M184" s="22" t="n">
        <x:f>IFERROR('4000rpm'!AS72,"")</x:f>
        <x:v>0.0862492977028281</x:v>
      </x:c>
      <x:c r="N184" s="22" t="n">
        <x:f>IFERROR('4000rpm'!AT73,"")</x:f>
        <x:v>0.13346456692913386</x:v>
      </x:c>
      <x:c r="O184" s="22" t="n">
        <x:f>IFERROR('4000rpm'!AS73,"")</x:f>
        <x:v>0.08830452952060243</x:v>
      </x:c>
      <x:c r="P184" s="22" t="n">
        <x:f>IF(OR(NOT(AND(ISNUMBER(D184),ISNUMBER(E184),ISNUMBER(G184),ISNUMBER(H184))),OR(F184&lt;J184,F184&gt;K184)),"",IF(N184=L184,M184,M184+(F184-L184)*(O184-M184)/(N184-L184)))</x:f>
        <x:v>0.08824891547276444</x:v>
      </x:c>
      <x:c r="Q184" s="22" t="n">
        <x:f>IF(AND(ISNUMBER(I184),ISNUMBER(P184)),I184-P184,"")</x:f>
        <x:v>-0.010590657551133809</x:v>
      </x:c>
      <x:c r="R184" s="22" t="n">
        <x:f>IF(ISNUMBER(Q184),ABS(Q184),"")</x:f>
        <x:v>0.010590657551133809</x:v>
      </x:c>
      <x:c r="S184" s="36" t="n">
        <x:f>IF(AND(ISNUMBER(Q184),ISNUMBER(P184)),IF(ABS(P184)&lt;1E-12,"",Q184/P184),"")</x:f>
        <x:v>-0.12000892582529606</x:v>
      </x:c>
      <x:c r="T184" s="36" t="n">
        <x:f>IF(ISNUMBER(S184),ABS(S184),"")</x:f>
        <x:v>0.12000892582529606</x:v>
      </x:c>
      <x:c r="U184" s="37" t="n">
        <x:f>IF(ISNUMBER(Q184),Q184^2,"")</x:f>
        <x:v>0.00011216202736538756</x:v>
      </x:c>
      <x:c r="V184" s="21" t="str">
        <x:f>IF(NOT(AND(ISNUMBER(D184),ISNUMBER(E184),ISNUMBER(G184),ISNUMBER(H184))),"缺少配对",IF(OR(F184&lt;J184,F184&gt;K184),"超出理论J范围","有效"))</x:f>
        <x:v>有效</x:v>
      </x:c>
      <x:c r="W184" s="20" t="str">
        <x:v>升力 y=0.915708x+28.7687 → C_T_prop；实验攻角 0° ↔ 理论 alpha_p_deg 90°；原升力源 4000rpm!C20/M20</x:v>
      </x:c>
      <x:c r="X184" s="20" t="str">
        <x:v>升力标定计算!M367</x:v>
      </x:c>
      <x:c r="Y184" s="20" t="str">
        <x:v>升力标定计算!M368</x:v>
      </x:c>
      <x:c r="Z184" s="20" t="str">
        <x:v>升力标定计算!N367</x:v>
      </x:c>
      <x:c r="AA184" s="20" t="str">
        <x:v>升力标定计算!N368</x:v>
      </x:c>
      <x:c r="AB184" s="20" t="str">
        <x:v>4000rpm!AT72:AS73</x:v>
      </x:c>
    </x:row>
    <x:row r="185">
      <x:c r="A185" s="21" t="n">
        <x:v>4000</x:v>
      </x:c>
      <x:c r="B185" s="21" t="n">
        <x:v>0</x:v>
      </x:c>
      <x:c r="C185" s="21" t="n">
        <x:v>19</x:v>
      </x:c>
      <x:c r="D185" s="22" t="n">
        <x:f>IFERROR('升力标定计算'!M369,"")</x:f>
        <x:v>0.1008692166062698</x:v>
      </x:c>
      <x:c r="E185" s="22" t="n">
        <x:f>IFERROR('升力标定计算'!M370,"")</x:f>
        <x:v>0.0993345161358643</x:v>
      </x:c>
      <x:c r="F185" s="22" t="n">
        <x:f>IF(AND(ISNUMBER(D185),ISNUMBER(E185)),AVERAGE(D185,E185),"")</x:f>
        <x:v>0.10010186637106705</x:v>
      </x:c>
      <x:c r="G185" s="22" t="n">
        <x:f>IFERROR('升力标定计算'!N369,"")</x:f>
        <x:v>0.07851405491541709</x:v>
      </x:c>
      <x:c r="H185" s="22" t="n">
        <x:f>IFERROR('升力标定计算'!N370,"")</x:f>
        <x:v>0.0784619699942345</x:v>
      </x:c>
      <x:c r="I185" s="22" t="n">
        <x:f>IF(AND(ISNUMBER(G185),ISNUMBER(H185)),AVERAGE(G185,H185),"")</x:f>
        <x:v>0.0784880124548258</x:v>
      </x:c>
      <x:c r="J185" s="22" t="n">
        <x:f>IFERROR('4000rpm'!AT69,"")</x:f>
        <x:v>0</x:v>
      </x:c>
      <x:c r="K185" s="22" t="n">
        <x:f>IFERROR('4000rpm'!AT79,"")</x:f>
        <x:v>0.3336614173228346</x:v>
      </x:c>
      <x:c r="L185" s="22" t="n">
        <x:f>IFERROR('4000rpm'!AT72,"")</x:f>
        <x:v>0.1000984251968504</x:v>
      </x:c>
      <x:c r="M185" s="22" t="n">
        <x:f>IFERROR('4000rpm'!AS72,"")</x:f>
        <x:v>0.0862492977028281</x:v>
      </x:c>
      <x:c r="N185" s="22" t="n">
        <x:f>IFERROR('4000rpm'!AT73,"")</x:f>
        <x:v>0.13346456692913386</x:v>
      </x:c>
      <x:c r="O185" s="22" t="n">
        <x:f>IFERROR('4000rpm'!AS73,"")</x:f>
        <x:v>0.08830452952060243</x:v>
      </x:c>
      <x:c r="P185" s="22" t="n">
        <x:f>IF(OR(NOT(AND(ISNUMBER(D185),ISNUMBER(E185),ISNUMBER(G185),ISNUMBER(H185))),OR(F185&lt;J185,F185&gt;K185)),"",IF(N185=L185,M185,M185+(F185-L185)*(O185-M185)/(N185-L185)))</x:f>
        <x:v>0.08624950966652463</x:v>
      </x:c>
      <x:c r="Q185" s="22" t="n">
        <x:f>IF(AND(ISNUMBER(I185),ISNUMBER(P185)),I185-P185,"")</x:f>
        <x:v>-0.007761497211698831</x:v>
      </x:c>
      <x:c r="R185" s="22" t="n">
        <x:f>IF(ISNUMBER(Q185),ABS(Q185),"")</x:f>
        <x:v>0.007761497211698831</x:v>
      </x:c>
      <x:c r="S185" s="36" t="n">
        <x:f>IF(AND(ISNUMBER(Q185),ISNUMBER(P185)),IF(ABS(P185)&lt;1E-12,"",Q185/P185),"")</x:f>
        <x:v>-0.08998888505810534</x:v>
      </x:c>
      <x:c r="T185" s="36" t="n">
        <x:f>IF(ISNUMBER(S185),ABS(S185),"")</x:f>
        <x:v>0.08998888505810534</x:v>
      </x:c>
      <x:c r="U185" s="37" t="n">
        <x:f>IF(ISNUMBER(Q185),Q185^2,"")</x:f>
        <x:v>0.00006024083896720873</x:v>
      </x:c>
      <x:c r="V185" s="21" t="str">
        <x:f>IF(NOT(AND(ISNUMBER(D185),ISNUMBER(E185),ISNUMBER(G185),ISNUMBER(H185))),"缺少配对",IF(OR(F185&lt;J185,F185&gt;K185),"超出理论J范围","有效"))</x:f>
        <x:v>有效</x:v>
      </x:c>
      <x:c r="W185" s="20" t="str">
        <x:v>升力 y=0.915708x+28.7687 → C_T_prop；实验攻角 0° ↔ 理论 alpha_p_deg 90°；原升力源 4000rpm!C21/M21</x:v>
      </x:c>
      <x:c r="X185" s="20" t="str">
        <x:v>升力标定计算!M369</x:v>
      </x:c>
      <x:c r="Y185" s="20" t="str">
        <x:v>升力标定计算!M370</x:v>
      </x:c>
      <x:c r="Z185" s="20" t="str">
        <x:v>升力标定计算!N369</x:v>
      </x:c>
      <x:c r="AA185" s="20" t="str">
        <x:v>升力标定计算!N370</x:v>
      </x:c>
      <x:c r="AB185" s="20" t="str">
        <x:v>4000rpm!AT72:AS73</x:v>
      </x:c>
    </x:row>
    <x:row r="186">
      <x:c r="A186" s="21" t="n">
        <x:v>4000</x:v>
      </x:c>
      <x:c r="B186" s="21" t="n">
        <x:v>0</x:v>
      </x:c>
      <x:c r="C186" s="21" t="n">
        <x:v>20</x:v>
      </x:c>
      <x:c r="D186" s="22" t="n">
        <x:f>IFERROR('升力标定计算'!M371,"")</x:f>
        <x:v>0.06671951983765192</x:v>
      </x:c>
      <x:c r="E186" s="22" t="n">
        <x:f>IFERROR('升力标定计算'!M372,"")</x:f>
        <x:v>0.0662361005517521</x:v>
      </x:c>
      <x:c r="F186" s="22" t="n">
        <x:f>IF(AND(ISNUMBER(D186),ISNUMBER(E186)),AVERAGE(D186,E186),"")</x:f>
        <x:v>0.066477810194702</x:v>
      </x:c>
      <x:c r="G186" s="22" t="n">
        <x:f>IFERROR('升力标定计算'!N371,"")</x:f>
        <x:v>0.07703041444702469</x:v>
      </x:c>
      <x:c r="H186" s="22" t="n">
        <x:f>IFERROR('升力标定计算'!N372,"")</x:f>
        <x:v>0.07758866903873218</x:v>
      </x:c>
      <x:c r="I186" s="22" t="n">
        <x:f>IF(AND(ISNUMBER(G186),ISNUMBER(H186)),AVERAGE(G186,H186),"")</x:f>
        <x:v>0.07730954174287843</x:v>
      </x:c>
      <x:c r="J186" s="22" t="n">
        <x:f>IFERROR('4000rpm'!AT69,"")</x:f>
        <x:v>0</x:v>
      </x:c>
      <x:c r="K186" s="22" t="n">
        <x:f>IFERROR('4000rpm'!AT79,"")</x:f>
        <x:v>0.3336614173228346</x:v>
      </x:c>
      <x:c r="L186" s="22" t="n">
        <x:f>IFERROR('4000rpm'!AT70,"")</x:f>
        <x:v>0.033366141732283465</x:v>
      </x:c>
      <x:c r="M186" s="22" t="n">
        <x:f>IFERROR('4000rpm'!AS70,"")</x:f>
        <x:v>0.08367770328187796</x:v>
      </x:c>
      <x:c r="N186" s="22" t="n">
        <x:f>IFERROR('4000rpm'!AT71,"")</x:f>
        <x:v>0.06673228346456693</x:v>
      </x:c>
      <x:c r="O186" s="22" t="n">
        <x:f>IFERROR('4000rpm'!AS71,"")</x:f>
        <x:v>0.08468338998477078</x:v>
      </x:c>
      <x:c r="P186" s="22" t="n">
        <x:f>IF(OR(NOT(AND(ISNUMBER(D186),ISNUMBER(E186),ISNUMBER(G186),ISNUMBER(H186))),OR(F186&lt;J186,F186&gt;K186)),"",IF(N186=L186,M186,M186+(F186-L186)*(O186-M186)/(N186-L186)))</x:f>
        <x:v>0.08467571992253228</x:v>
      </x:c>
      <x:c r="Q186" s="22" t="n">
        <x:f>IF(AND(ISNUMBER(I186),ISNUMBER(P186)),I186-P186,"")</x:f>
        <x:v>-0.007366178179653848</x:v>
      </x:c>
      <x:c r="R186" s="22" t="n">
        <x:f>IF(ISNUMBER(Q186),ABS(Q186),"")</x:f>
        <x:v>0.007366178179653848</x:v>
      </x:c>
      <x:c r="S186" s="36" t="n">
        <x:f>IF(AND(ISNUMBER(Q186),ISNUMBER(P186)),IF(ABS(P186)&lt;1E-12,"",Q186/P186),"")</x:f>
        <x:v>-0.08699280249867355</x:v>
      </x:c>
      <x:c r="T186" s="36" t="n">
        <x:f>IF(ISNUMBER(S186),ABS(S186),"")</x:f>
        <x:v>0.08699280249867355</x:v>
      </x:c>
      <x:c r="U186" s="37" t="n">
        <x:f>IF(ISNUMBER(Q186),Q186^2,"")</x:f>
        <x:v>0.00005426058097440848</x:v>
      </x:c>
      <x:c r="V186" s="21" t="str">
        <x:f>IF(NOT(AND(ISNUMBER(D186),ISNUMBER(E186),ISNUMBER(G186),ISNUMBER(H186))),"缺少配对",IF(OR(F186&lt;J186,F186&gt;K186),"超出理论J范围","有效"))</x:f>
        <x:v>有效</x:v>
      </x:c>
      <x:c r="W186" s="20" t="str">
        <x:v>升力 y=0.915708x+28.7687 → C_T_prop；实验攻角 0° ↔ 理论 alpha_p_deg 90°；原升力源 4000rpm!C22/M22</x:v>
      </x:c>
      <x:c r="X186" s="20" t="str">
        <x:v>升力标定计算!M371</x:v>
      </x:c>
      <x:c r="Y186" s="20" t="str">
        <x:v>升力标定计算!M372</x:v>
      </x:c>
      <x:c r="Z186" s="20" t="str">
        <x:v>升力标定计算!N371</x:v>
      </x:c>
      <x:c r="AA186" s="20" t="str">
        <x:v>升力标定计算!N372</x:v>
      </x:c>
      <x:c r="AB186" s="20" t="str">
        <x:v>4000rpm!AT70:AS71</x:v>
      </x:c>
    </x:row>
    <x:row r="187">
      <x:c r="A187" s="21" t="n">
        <x:v>4000</x:v>
      </x:c>
      <x:c r="B187" s="21" t="n">
        <x:v>0</x:v>
      </x:c>
      <x:c r="C187" s="21" t="n">
        <x:v>21</x:v>
      </x:c>
      <x:c r="D187" s="22" t="n">
        <x:f>IFERROR('升力标定计算'!M373,"")</x:f>
        <x:v>0.03363070719202878</x:v>
      </x:c>
      <x:c r="E187" s="22" t="n">
        <x:f>IFERROR('升力标定计算'!M374,"")</x:f>
        <x:v>0.03337573623143685</x:v>
      </x:c>
      <x:c r="F187" s="22" t="n">
        <x:f>IF(AND(ISNUMBER(D187),ISNUMBER(E187)),AVERAGE(D187,E187),"")</x:f>
        <x:v>0.03350322171173281</x:v>
      </x:c>
      <x:c r="G187" s="22" t="n">
        <x:f>IFERROR('升力标定计算'!N373,"")</x:f>
        <x:v>0.07739651220243618</x:v>
      </x:c>
      <x:c r="H187" s="22" t="n">
        <x:f>IFERROR('升力标定计算'!N374,"")</x:f>
        <x:v>0.07877185193584815</x:v>
      </x:c>
      <x:c r="I187" s="22" t="n">
        <x:f>IF(AND(ISNUMBER(G187),ISNUMBER(H187)),AVERAGE(G187,H187),"")</x:f>
        <x:v>0.07808418206914217</x:v>
      </x:c>
      <x:c r="J187" s="22" t="n">
        <x:f>IFERROR('4000rpm'!AT69,"")</x:f>
        <x:v>0</x:v>
      </x:c>
      <x:c r="K187" s="22" t="n">
        <x:f>IFERROR('4000rpm'!AT79,"")</x:f>
        <x:v>0.3336614173228346</x:v>
      </x:c>
      <x:c r="L187" s="22" t="n">
        <x:f>IFERROR('4000rpm'!AT70,"")</x:f>
        <x:v>0.033366141732283465</x:v>
      </x:c>
      <x:c r="M187" s="22" t="n">
        <x:f>IFERROR('4000rpm'!AS70,"")</x:f>
        <x:v>0.08367770328187796</x:v>
      </x:c>
      <x:c r="N187" s="22" t="n">
        <x:f>IFERROR('4000rpm'!AT71,"")</x:f>
        <x:v>0.06673228346456693</x:v>
      </x:c>
      <x:c r="O187" s="22" t="n">
        <x:f>IFERROR('4000rpm'!AS71,"")</x:f>
        <x:v>0.08468338998477078</x:v>
      </x:c>
      <x:c r="P187" s="22" t="n">
        <x:f>IF(OR(NOT(AND(ISNUMBER(D187),ISNUMBER(E187),ISNUMBER(G187),ISNUMBER(H187))),OR(F187&lt;J187,F187&gt;K187)),"",IF(N187=L187,M187,M187+(F187-L187)*(O187-M187)/(N187-L187)))</x:f>
        <x:v>0.08368183500060263</x:v>
      </x:c>
      <x:c r="Q187" s="22" t="n">
        <x:f>IF(AND(ISNUMBER(I187),ISNUMBER(P187)),I187-P187,"")</x:f>
        <x:v>-0.005597652931460459</x:v>
      </x:c>
      <x:c r="R187" s="22" t="n">
        <x:f>IF(ISNUMBER(Q187),ABS(Q187),"")</x:f>
        <x:v>0.005597652931460459</x:v>
      </x:c>
      <x:c r="S187" s="36" t="n">
        <x:f>IF(AND(ISNUMBER(Q187),ISNUMBER(P187)),IF(ABS(P187)&lt;1E-12,"",Q187/P187),"")</x:f>
        <x:v>-0.06689209111416053</x:v>
      </x:c>
      <x:c r="T187" s="36" t="n">
        <x:f>IF(ISNUMBER(S187),ABS(S187),"")</x:f>
        <x:v>0.06689209111416053</x:v>
      </x:c>
      <x:c r="U187" s="37" t="n">
        <x:f>IF(ISNUMBER(Q187),Q187^2,"")</x:f>
        <x:v>0.00003133371834108787</x:v>
      </x:c>
      <x:c r="V187" s="21" t="str">
        <x:f>IF(NOT(AND(ISNUMBER(D187),ISNUMBER(E187),ISNUMBER(G187),ISNUMBER(H187))),"缺少配对",IF(OR(F187&lt;J187,F187&gt;K187),"超出理论J范围","有效"))</x:f>
        <x:v>有效</x:v>
      </x:c>
      <x:c r="W187" s="20" t="str">
        <x:v>升力 y=0.915708x+28.7687 → C_T_prop；实验攻角 0° ↔ 理论 alpha_p_deg 90°；原升力源 4000rpm!C23/M23</x:v>
      </x:c>
      <x:c r="X187" s="20" t="str">
        <x:v>升力标定计算!M373</x:v>
      </x:c>
      <x:c r="Y187" s="20" t="str">
        <x:v>升力标定计算!M374</x:v>
      </x:c>
      <x:c r="Z187" s="20" t="str">
        <x:v>升力标定计算!N373</x:v>
      </x:c>
      <x:c r="AA187" s="20" t="str">
        <x:v>升力标定计算!N374</x:v>
      </x:c>
      <x:c r="AB187" s="20" t="str">
        <x:v>4000rpm!AT70:AS71</x:v>
      </x:c>
    </x:row>
    <x:row r="188">
      <x:c r="A188" s="21" t="n">
        <x:v>4000</x:v>
      </x:c>
      <x:c r="B188" s="21" t="n">
        <x:v>0</x:v>
      </x:c>
      <x:c r="C188" s="21" t="n">
        <x:v>22</x:v>
      </x:c>
      <x:c r="D188" s="22" t="n">
        <x:f>IFERROR('升力标定计算'!M375,"")</x:f>
        <x:v>0.00037889509690190406</x:v>
      </x:c>
      <x:c r="E188" s="22" t="n">
        <x:f>IFERROR('升力标定计算'!M376,"")</x:f>
        <x:v>0.0005375698952995028</x:v>
      </x:c>
      <x:c r="F188" s="22" t="n">
        <x:f>IF(AND(ISNUMBER(D188),ISNUMBER(E188)),AVERAGE(D188,E188),"")</x:f>
        <x:v>0.0004582324961007034</x:v>
      </x:c>
      <x:c r="G188" s="22" t="n">
        <x:f>IFERROR('升力标定计算'!N375,"")</x:f>
        <x:v>0.07784996061922687</x:v>
      </x:c>
      <x:c r="H188" s="22" t="n">
        <x:f>IFERROR('升力标定计算'!N376,"")</x:f>
        <x:v>0.07747533855808358</x:v>
      </x:c>
      <x:c r="I188" s="22" t="n">
        <x:f>IF(AND(ISNUMBER(G188),ISNUMBER(H188)),AVERAGE(G188,H188),"")</x:f>
        <x:v>0.07766264958865524</x:v>
      </x:c>
      <x:c r="J188" s="22" t="n">
        <x:f>IFERROR('4000rpm'!AT69,"")</x:f>
        <x:v>0</x:v>
      </x:c>
      <x:c r="K188" s="22" t="n">
        <x:f>IFERROR('4000rpm'!AT79,"")</x:f>
        <x:v>0.3336614173228346</x:v>
      </x:c>
      <x:c r="L188" s="22" t="n">
        <x:f>IFERROR('4000rpm'!AT69,"")</x:f>
        <x:v>0</x:v>
      </x:c>
      <x:c r="M188" s="22" t="n">
        <x:f>IFERROR('4000rpm'!AS69,"")</x:f>
        <x:v>0.08350690647788582</x:v>
      </x:c>
      <x:c r="N188" s="22" t="n">
        <x:f>IFERROR('4000rpm'!AT70,"")</x:f>
        <x:v>0.033366141732283465</x:v>
      </x:c>
      <x:c r="O188" s="22" t="n">
        <x:f>IFERROR('4000rpm'!AS70,"")</x:f>
        <x:v>0.08367770328187796</x:v>
      </x:c>
      <x:c r="P188" s="22" t="n">
        <x:f>IF(OR(NOT(AND(ISNUMBER(D188),ISNUMBER(E188),ISNUMBER(G188),ISNUMBER(H188))),OR(F188&lt;J188,F188&gt;K188)),"",IF(N188=L188,M188,M188+(F188-L188)*(O188-M188)/(N188-L188)))</x:f>
        <x:v>0.08350925210856879</x:v>
      </x:c>
      <x:c r="Q188" s="22" t="n">
        <x:f>IF(AND(ISNUMBER(I188),ISNUMBER(P188)),I188-P188,"")</x:f>
        <x:v>-0.005846602519913549</x:v>
      </x:c>
      <x:c r="R188" s="22" t="n">
        <x:f>IF(ISNUMBER(Q188),ABS(Q188),"")</x:f>
        <x:v>0.005846602519913549</x:v>
      </x:c>
      <x:c r="S188" s="36" t="n">
        <x:f>IF(AND(ISNUMBER(Q188),ISNUMBER(P188)),IF(ABS(P188)&lt;1E-12,"",Q188/P188),"")</x:f>
        <x:v>-0.07001143432960569</x:v>
      </x:c>
      <x:c r="T188" s="36" t="n">
        <x:f>IF(ISNUMBER(S188),ABS(S188),"")</x:f>
        <x:v>0.07001143432960569</x:v>
      </x:c>
      <x:c r="U188" s="37" t="n">
        <x:f>IF(ISNUMBER(Q188),Q188^2,"")</x:f>
        <x:v>0.00003418276102585946</x:v>
      </x:c>
      <x:c r="V188" s="21" t="str">
        <x:f>IF(NOT(AND(ISNUMBER(D188),ISNUMBER(E188),ISNUMBER(G188),ISNUMBER(H188))),"缺少配对",IF(OR(F188&lt;J188,F188&gt;K188),"超出理论J范围","有效"))</x:f>
        <x:v>有效</x:v>
      </x:c>
      <x:c r="W188" s="20" t="str">
        <x:v>升力 y=0.915708x+28.7687 → C_T_prop；实验攻角 0° ↔ 理论 alpha_p_deg 90°；原升力源 4000rpm!C24/M24</x:v>
      </x:c>
      <x:c r="X188" s="20" t="str">
        <x:v>升力标定计算!M375</x:v>
      </x:c>
      <x:c r="Y188" s="20" t="str">
        <x:v>升力标定计算!M376</x:v>
      </x:c>
      <x:c r="Z188" s="20" t="str">
        <x:v>升力标定计算!N375</x:v>
      </x:c>
      <x:c r="AA188" s="20" t="str">
        <x:v>升力标定计算!N376</x:v>
      </x:c>
      <x:c r="AB188" s="20" t="str">
        <x:v>4000rpm!AT69:AS70</x:v>
      </x:c>
    </x:row>
    <x:row r="189">
      <x:c r="A189" s="21" t="n">
        <x:v>4000</x:v>
      </x:c>
      <x:c r="B189" s="21" t="n">
        <x:v>0</x:v>
      </x:c>
      <x:c r="C189" s="21" t="n">
        <x:v>23</x:v>
      </x:c>
      <x:c r="D189" s="22" t="str">
        <x:f>IFERROR('升力标定计算'!M377,"")</x:f>
      </x:c>
      <x:c r="E189" s="22" t="str">
        <x:f>IFERROR('升力标定计算'!M378,"")</x:f>
      </x:c>
      <x:c r="F189" s="22" t="str">
        <x:f>IF(AND(ISNUMBER(D189),ISNUMBER(E189)),AVERAGE(D189,E189),"")</x:f>
      </x:c>
      <x:c r="G189" s="22" t="str">
        <x:f>IFERROR('升力标定计算'!N377,"")</x:f>
      </x:c>
      <x:c r="H189" s="22" t="str">
        <x:f>IFERROR('升力标定计算'!N378,"")</x:f>
      </x:c>
      <x:c r="I189" s="22" t="str">
        <x:f>IF(AND(ISNUMBER(G189),ISNUMBER(H189)),AVERAGE(G189,H189),"")</x:f>
      </x:c>
      <x:c r="J189" s="22" t="n">
        <x:f>IFERROR('4000rpm'!AT69,"")</x:f>
        <x:v>0</x:v>
      </x:c>
      <x:c r="K189" s="22" t="n">
        <x:f>IFERROR('4000rpm'!AT79,"")</x:f>
        <x:v>0.3336614173228346</x:v>
      </x:c>
      <x:c r="L189" s="22" t="n">
        <x:f>IFERROR('4000rpm'!AT69,"")</x:f>
        <x:v>0</x:v>
      </x:c>
      <x:c r="M189" s="22" t="n">
        <x:f>IFERROR('4000rpm'!AS69,"")</x:f>
        <x:v>0.08350690647788582</x:v>
      </x:c>
      <x:c r="N189" s="22" t="n">
        <x:f>IFERROR('4000rpm'!AT79,"")</x:f>
        <x:v>0.3336614173228346</x:v>
      </x:c>
      <x:c r="O189" s="22" t="n">
        <x:f>IFERROR('4000rpm'!AS79,"")</x:f>
        <x:v>0.10597143659539099</x:v>
      </x:c>
      <x:c r="P189" s="22" t="str">
        <x:f>IF(OR(NOT(AND(ISNUMBER(D189),ISNUMBER(E189),ISNUMBER(G189),ISNUMBER(H189))),OR(F189&lt;J189,F189&gt;K189)),"",IF(N189=L189,M189,M189+(F189-L189)*(O189-M189)/(N189-L189)))</x:f>
      </x:c>
      <x:c r="Q189" s="22" t="str">
        <x:f>IF(AND(ISNUMBER(I189),ISNUMBER(P189)),I189-P189,"")</x:f>
      </x:c>
      <x:c r="R189" s="22" t="str">
        <x:f>IF(ISNUMBER(Q189),ABS(Q189),"")</x:f>
      </x:c>
      <x:c r="S189" s="36" t="str">
        <x:f>IF(AND(ISNUMBER(Q189),ISNUMBER(P189)),IF(ABS(P189)&lt;1E-12,"",Q189/P189),"")</x:f>
      </x:c>
      <x:c r="T189" s="36" t="str">
        <x:f>IF(ISNUMBER(S189),ABS(S189),"")</x:f>
      </x:c>
      <x:c r="U189" s="37" t="str">
        <x:f>IF(ISNUMBER(Q189),Q189^2,"")</x:f>
      </x:c>
      <x:c r="V189" s="21" t="str">
        <x:f>IF(NOT(AND(ISNUMBER(D189),ISNUMBER(E189),ISNUMBER(G189),ISNUMBER(H189))),"缺少配对",IF(OR(F189&lt;J189,F189&gt;K189),"超出理论J范围","有效"))</x:f>
        <x:v>缺少配对</x:v>
      </x:c>
      <x:c r="W189" s="20" t="str">
        <x:v>升力 y=0.915708x+28.7687 → C_T_prop；实验攻角 0° ↔ 理论 alpha_p_deg 90°；原升力源 4000rpm!C25/M25</x:v>
      </x:c>
      <x:c r="X189" s="20" t="str">
        <x:v>升力标定计算!M377</x:v>
      </x:c>
      <x:c r="Y189" s="20" t="str">
        <x:v>升力标定计算!M378</x:v>
      </x:c>
      <x:c r="Z189" s="20" t="str">
        <x:v>升力标定计算!N377</x:v>
      </x:c>
      <x:c r="AA189" s="20" t="str">
        <x:v>升力标定计算!N378</x:v>
      </x:c>
      <x:c r="AB189" s="20" t="str">
        <x:v>4000rpm!AT69:AS79</x:v>
      </x:c>
    </x:row>
    <x:row r="190">
      <x:c r="A190" s="21" t="n">
        <x:v>4000</x:v>
      </x:c>
      <x:c r="B190" s="21" t="n">
        <x:v>0</x:v>
      </x:c>
      <x:c r="C190" s="21" t="n">
        <x:v>24</x:v>
      </x:c>
      <x:c r="D190" s="22" t="str">
        <x:f>IFERROR('升力标定计算'!M379,"")</x:f>
      </x:c>
      <x:c r="E190" s="22" t="str">
        <x:f>IFERROR('升力标定计算'!M380,"")</x:f>
      </x:c>
      <x:c r="F190" s="22" t="str">
        <x:f>IF(AND(ISNUMBER(D190),ISNUMBER(E190)),AVERAGE(D190,E190),"")</x:f>
      </x:c>
      <x:c r="G190" s="22" t="str">
        <x:f>IFERROR('升力标定计算'!N379,"")</x:f>
      </x:c>
      <x:c r="H190" s="22" t="str">
        <x:f>IFERROR('升力标定计算'!N380,"")</x:f>
      </x:c>
      <x:c r="I190" s="22" t="str">
        <x:f>IF(AND(ISNUMBER(G190),ISNUMBER(H190)),AVERAGE(G190,H190),"")</x:f>
      </x:c>
      <x:c r="J190" s="22" t="n">
        <x:f>IFERROR('4000rpm'!AT69,"")</x:f>
        <x:v>0</x:v>
      </x:c>
      <x:c r="K190" s="22" t="n">
        <x:f>IFERROR('4000rpm'!AT79,"")</x:f>
        <x:v>0.3336614173228346</x:v>
      </x:c>
      <x:c r="L190" s="22" t="n">
        <x:f>IFERROR('4000rpm'!AT69,"")</x:f>
        <x:v>0</x:v>
      </x:c>
      <x:c r="M190" s="22" t="n">
        <x:f>IFERROR('4000rpm'!AS69,"")</x:f>
        <x:v>0.08350690647788582</x:v>
      </x:c>
      <x:c r="N190" s="22" t="n">
        <x:f>IFERROR('4000rpm'!AT79,"")</x:f>
        <x:v>0.3336614173228346</x:v>
      </x:c>
      <x:c r="O190" s="22" t="n">
        <x:f>IFERROR('4000rpm'!AS79,"")</x:f>
        <x:v>0.10597143659539099</x:v>
      </x:c>
      <x:c r="P190" s="22" t="str">
        <x:f>IF(OR(NOT(AND(ISNUMBER(D190),ISNUMBER(E190),ISNUMBER(G190),ISNUMBER(H190))),OR(F190&lt;J190,F190&gt;K190)),"",IF(N190=L190,M190,M190+(F190-L190)*(O190-M190)/(N190-L190)))</x:f>
      </x:c>
      <x:c r="Q190" s="22" t="str">
        <x:f>IF(AND(ISNUMBER(I190),ISNUMBER(P190)),I190-P190,"")</x:f>
      </x:c>
      <x:c r="R190" s="22" t="str">
        <x:f>IF(ISNUMBER(Q190),ABS(Q190),"")</x:f>
      </x:c>
      <x:c r="S190" s="36" t="str">
        <x:f>IF(AND(ISNUMBER(Q190),ISNUMBER(P190)),IF(ABS(P190)&lt;1E-12,"",Q190/P190),"")</x:f>
      </x:c>
      <x:c r="T190" s="36" t="str">
        <x:f>IF(ISNUMBER(S190),ABS(S190),"")</x:f>
      </x:c>
      <x:c r="U190" s="37" t="str">
        <x:f>IF(ISNUMBER(Q190),Q190^2,"")</x:f>
      </x:c>
      <x:c r="V190" s="21" t="str">
        <x:f>IF(NOT(AND(ISNUMBER(D190),ISNUMBER(E190),ISNUMBER(G190),ISNUMBER(H190))),"缺少配对",IF(OR(F190&lt;J190,F190&gt;K190),"超出理论J范围","有效"))</x:f>
        <x:v>缺少配对</x:v>
      </x:c>
      <x:c r="W190" s="20" t="str">
        <x:v>升力 y=0.915708x+28.7687 → C_T_prop；实验攻角 0° ↔ 理论 alpha_p_deg 90°；原升力源 4000rpm!C27/M27</x:v>
      </x:c>
      <x:c r="X190" s="20" t="str">
        <x:v>升力标定计算!M379</x:v>
      </x:c>
      <x:c r="Y190" s="20" t="str">
        <x:v>升力标定计算!M380</x:v>
      </x:c>
      <x:c r="Z190" s="20" t="str">
        <x:v>升力标定计算!N379</x:v>
      </x:c>
      <x:c r="AA190" s="20" t="str">
        <x:v>升力标定计算!N380</x:v>
      </x:c>
      <x:c r="AB190" s="20" t="str">
        <x:v>4000rpm!AT69:AS79</x:v>
      </x:c>
    </x:row>
    <x:row r="191">
      <x:c r="A191" s="21" t="n">
        <x:v>4000</x:v>
      </x:c>
      <x:c r="B191" s="21" t="n">
        <x:v>15</x:v>
      </x:c>
      <x:c r="C191" s="21" t="n">
        <x:v>1</x:v>
      </x:c>
      <x:c r="D191" s="22" t="str">
        <x:f>IFERROR('升力标定计算'!M381,"")</x:f>
      </x:c>
      <x:c r="E191" s="22" t="str">
        <x:f>IFERROR('升力标定计算'!M382,"")</x:f>
      </x:c>
      <x:c r="F191" s="22" t="str">
        <x:f>IF(AND(ISNUMBER(D191),ISNUMBER(E191)),AVERAGE(D191,E191),"")</x:f>
      </x:c>
      <x:c r="G191" s="22" t="str">
        <x:f>IFERROR('升力标定计算'!N381,"")</x:f>
      </x:c>
      <x:c r="H191" s="22" t="str">
        <x:f>IFERROR('升力标定计算'!N382,"")</x:f>
      </x:c>
      <x:c r="I191" s="22" t="str">
        <x:f>IF(AND(ISNUMBER(G191),ISNUMBER(H191)),AVERAGE(G191,H191),"")</x:f>
      </x:c>
      <x:c r="J191" s="22" t="n">
        <x:f>IFERROR('4000rpm'!AT58,"")</x:f>
        <x:v>0</x:v>
      </x:c>
      <x:c r="K191" s="22" t="n">
        <x:f>IFERROR('4000rpm'!AT68,"")</x:f>
        <x:v>0.3336614173228346</x:v>
      </x:c>
      <x:c r="L191" s="22" t="n">
        <x:f>IFERROR('4000rpm'!AT58,"")</x:f>
        <x:v>0</x:v>
      </x:c>
      <x:c r="M191" s="22" t="n">
        <x:f>IFERROR('4000rpm'!AS58,"")</x:f>
        <x:v>0.08350690647788582</x:v>
      </x:c>
      <x:c r="N191" s="22" t="n">
        <x:f>IFERROR('4000rpm'!AT68,"")</x:f>
        <x:v>0.3336614173228346</x:v>
      </x:c>
      <x:c r="O191" s="22" t="n">
        <x:f>IFERROR('4000rpm'!AS68,"")</x:f>
        <x:v>0.08912861654406733</x:v>
      </x:c>
      <x:c r="P191" s="22" t="str">
        <x:f>IF(OR(NOT(AND(ISNUMBER(D191),ISNUMBER(E191),ISNUMBER(G191),ISNUMBER(H191))),OR(F191&lt;J191,F191&gt;K191)),"",IF(N191=L191,M191,M191+(F191-L191)*(O191-M191)/(N191-L191)))</x:f>
      </x:c>
      <x:c r="Q191" s="22" t="str">
        <x:f>IF(AND(ISNUMBER(I191),ISNUMBER(P191)),I191-P191,"")</x:f>
      </x:c>
      <x:c r="R191" s="22" t="str">
        <x:f>IF(ISNUMBER(Q191),ABS(Q191),"")</x:f>
      </x:c>
      <x:c r="S191" s="36" t="str">
        <x:f>IF(AND(ISNUMBER(Q191),ISNUMBER(P191)),IF(ABS(P191)&lt;1E-12,"",Q191/P191),"")</x:f>
      </x:c>
      <x:c r="T191" s="36" t="str">
        <x:f>IF(ISNUMBER(S191),ABS(S191),"")</x:f>
      </x:c>
      <x:c r="U191" s="37" t="str">
        <x:f>IF(ISNUMBER(Q191),Q191^2,"")</x:f>
      </x:c>
      <x:c r="V191" s="21" t="str">
        <x:f>IF(NOT(AND(ISNUMBER(D191),ISNUMBER(E191),ISNUMBER(G191),ISNUMBER(H191))),"缺少配对",IF(OR(F191&lt;J191,F191&gt;K191),"超出理论J范围","有效"))</x:f>
        <x:v>缺少配对</x:v>
      </x:c>
      <x:c r="W191" s="20" t="str">
        <x:v>升力 y=0.915708x+28.7687 → C_T_prop；实验攻角 15° ↔ 理论 alpha_p_deg 75°；原升力源 4000rpm!D30/O30</x:v>
      </x:c>
      <x:c r="X191" s="20" t="str">
        <x:v>升力标定计算!M381</x:v>
      </x:c>
      <x:c r="Y191" s="20" t="str">
        <x:v>升力标定计算!M382</x:v>
      </x:c>
      <x:c r="Z191" s="20" t="str">
        <x:v>升力标定计算!N381</x:v>
      </x:c>
      <x:c r="AA191" s="20" t="str">
        <x:v>升力标定计算!N382</x:v>
      </x:c>
      <x:c r="AB191" s="20" t="str">
        <x:v>4000rpm!AT58:AS68</x:v>
      </x:c>
    </x:row>
    <x:row r="192">
      <x:c r="A192" s="21" t="n">
        <x:v>4000</x:v>
      </x:c>
      <x:c r="B192" s="21" t="n">
        <x:v>15</x:v>
      </x:c>
      <x:c r="C192" s="21" t="n">
        <x:v>2</x:v>
      </x:c>
      <x:c r="D192" s="22" t="n">
        <x:f>IFERROR('升力标定计算'!M383,"")</x:f>
        <x:v>0.003493771361314165</x:v>
      </x:c>
      <x:c r="E192" s="22" t="n">
        <x:f>IFERROR('升力标定计算'!M384,"")</x:f>
        <x:v>0.0036859625501430146</x:v>
      </x:c>
      <x:c r="F192" s="22" t="n">
        <x:f>IF(AND(ISNUMBER(D192),ISNUMBER(E192)),AVERAGE(D192,E192),"")</x:f>
        <x:v>0.0035898669557285897</x:v>
      </x:c>
      <x:c r="G192" s="22" t="n">
        <x:f>IFERROR('升力标定计算'!N383,"")</x:f>
        <x:v>0.07705068218886364</x:v>
      </x:c>
      <x:c r="H192" s="22" t="n">
        <x:f>IFERROR('升力标定计算'!N384,"")</x:f>
        <x:v>0.0778995113070922</x:v>
      </x:c>
      <x:c r="I192" s="22" t="n">
        <x:f>IF(AND(ISNUMBER(G192),ISNUMBER(H192)),AVERAGE(G192,H192),"")</x:f>
        <x:v>0.07747509674797792</x:v>
      </x:c>
      <x:c r="J192" s="22" t="n">
        <x:f>IFERROR('4000rpm'!AT58,"")</x:f>
        <x:v>0</x:v>
      </x:c>
      <x:c r="K192" s="22" t="n">
        <x:f>IFERROR('4000rpm'!AT68,"")</x:f>
        <x:v>0.3336614173228346</x:v>
      </x:c>
      <x:c r="L192" s="22" t="n">
        <x:f>IFERROR('4000rpm'!AT58,"")</x:f>
        <x:v>0</x:v>
      </x:c>
      <x:c r="M192" s="22" t="n">
        <x:f>IFERROR('4000rpm'!AS58,"")</x:f>
        <x:v>0.08350690647788582</x:v>
      </x:c>
      <x:c r="N192" s="22" t="n">
        <x:f>IFERROR('4000rpm'!AT59,"")</x:f>
        <x:v>0.033366141732283465</x:v>
      </x:c>
      <x:c r="O192" s="22" t="n">
        <x:f>IFERROR('4000rpm'!AS59,"")</x:f>
        <x:v>0.08269740478736926</x:v>
      </x:c>
      <x:c r="P192" s="22" t="n">
        <x:f>IF(OR(NOT(AND(ISNUMBER(D192),ISNUMBER(E192),ISNUMBER(G192),ISNUMBER(H192))),OR(F192&lt;J192,F192&gt;K192)),"",IF(N192=L192,M192,M192+(F192-L192)*(O192-M192)/(N192-L192)))</x:f>
        <x:v>0.08341981209961732</x:v>
      </x:c>
      <x:c r="Q192" s="22" t="n">
        <x:f>IF(AND(ISNUMBER(I192),ISNUMBER(P192)),I192-P192,"")</x:f>
        <x:v>-0.005944715351639401</x:v>
      </x:c>
      <x:c r="R192" s="22" t="n">
        <x:f>IF(ISNUMBER(Q192),ABS(Q192),"")</x:f>
        <x:v>0.005944715351639401</x:v>
      </x:c>
      <x:c r="S192" s="36" t="n">
        <x:f>IF(AND(ISNUMBER(Q192),ISNUMBER(P192)),IF(ABS(P192)&lt;1E-12,"",Q192/P192),"")</x:f>
        <x:v>-0.07126263176594558</x:v>
      </x:c>
      <x:c r="T192" s="36" t="n">
        <x:f>IF(ISNUMBER(S192),ABS(S192),"")</x:f>
        <x:v>0.07126263176594558</x:v>
      </x:c>
      <x:c r="U192" s="37" t="n">
        <x:f>IF(ISNUMBER(Q192),Q192^2,"")</x:f>
        <x:v>0.00003533964061201717</x:v>
      </x:c>
      <x:c r="V192" s="21" t="str">
        <x:f>IF(NOT(AND(ISNUMBER(D192),ISNUMBER(E192),ISNUMBER(G192),ISNUMBER(H192))),"缺少配对",IF(OR(F192&lt;J192,F192&gt;K192),"超出理论J范围","有效"))</x:f>
        <x:v>有效</x:v>
      </x:c>
      <x:c r="W192" s="20" t="str">
        <x:v>升力 y=0.915708x+28.7687 → C_T_prop；实验攻角 15° ↔ 理论 alpha_p_deg 75°；原升力源 4000rpm!D31/O31</x:v>
      </x:c>
      <x:c r="X192" s="20" t="str">
        <x:v>升力标定计算!M383</x:v>
      </x:c>
      <x:c r="Y192" s="20" t="str">
        <x:v>升力标定计算!M384</x:v>
      </x:c>
      <x:c r="Z192" s="20" t="str">
        <x:v>升力标定计算!N383</x:v>
      </x:c>
      <x:c r="AA192" s="20" t="str">
        <x:v>升力标定计算!N384</x:v>
      </x:c>
      <x:c r="AB192" s="20" t="str">
        <x:v>4000rpm!AT58:AS59</x:v>
      </x:c>
    </x:row>
    <x:row r="193">
      <x:c r="A193" s="21" t="n">
        <x:v>4000</x:v>
      </x:c>
      <x:c r="B193" s="21" t="n">
        <x:v>15</x:v>
      </x:c>
      <x:c r="C193" s="21" t="n">
        <x:v>3</x:v>
      </x:c>
      <x:c r="D193" s="22" t="n">
        <x:f>IFERROR('升力标定计算'!M385,"")</x:f>
        <x:v>0.029864168990730203</x:v>
      </x:c>
      <x:c r="E193" s="22" t="n">
        <x:f>IFERROR('升力标定计算'!M386,"")</x:f>
        <x:v>0.03369565027671827</x:v>
      </x:c>
      <x:c r="F193" s="22" t="n">
        <x:f>IF(AND(ISNUMBER(D193),ISNUMBER(E193)),AVERAGE(D193,E193),"")</x:f>
        <x:v>0.031779909633724235</x:v>
      </x:c>
      <x:c r="G193" s="22" t="n">
        <x:f>IFERROR('升力标定计算'!N385,"")</x:f>
        <x:v>0.07707539850123164</x:v>
      </x:c>
      <x:c r="H193" s="22" t="n">
        <x:f>IFERROR('升力标定计算'!N386,"")</x:f>
        <x:v>0.07719449931066294</x:v>
      </x:c>
      <x:c r="I193" s="22" t="n">
        <x:f>IF(AND(ISNUMBER(G193),ISNUMBER(H193)),AVERAGE(G193,H193),"")</x:f>
        <x:v>0.0771349489059473</x:v>
      </x:c>
      <x:c r="J193" s="22" t="n">
        <x:f>IFERROR('4000rpm'!AT58,"")</x:f>
        <x:v>0</x:v>
      </x:c>
      <x:c r="K193" s="22" t="n">
        <x:f>IFERROR('4000rpm'!AT68,"")</x:f>
        <x:v>0.3336614173228346</x:v>
      </x:c>
      <x:c r="L193" s="22" t="n">
        <x:f>IFERROR('4000rpm'!AT58,"")</x:f>
        <x:v>0</x:v>
      </x:c>
      <x:c r="M193" s="22" t="n">
        <x:f>IFERROR('4000rpm'!AS58,"")</x:f>
        <x:v>0.08350690647788582</x:v>
      </x:c>
      <x:c r="N193" s="22" t="n">
        <x:f>IFERROR('4000rpm'!AT59,"")</x:f>
        <x:v>0.033366141732283465</x:v>
      </x:c>
      <x:c r="O193" s="22" t="n">
        <x:f>IFERROR('4000rpm'!AS59,"")</x:f>
        <x:v>0.08269740478736926</x:v>
      </x:c>
      <x:c r="P193" s="22" t="n">
        <x:f>IF(OR(NOT(AND(ISNUMBER(D193),ISNUMBER(E193),ISNUMBER(G193),ISNUMBER(H193))),OR(F193&lt;J193,F193&gt;K193)),"",IF(N193=L193,M193,M193+(F193-L193)*(O193-M193)/(N193-L193)))</x:f>
        <x:v>0.08273588863652503</x:v>
      </x:c>
      <x:c r="Q193" s="22" t="n">
        <x:f>IF(AND(ISNUMBER(I193),ISNUMBER(P193)),I193-P193,"")</x:f>
        <x:v>-0.005600939730577736</x:v>
      </x:c>
      <x:c r="R193" s="22" t="n">
        <x:f>IF(ISNUMBER(Q193),ABS(Q193),"")</x:f>
        <x:v>0.005600939730577736</x:v>
      </x:c>
      <x:c r="S193" s="36" t="n">
        <x:f>IF(AND(ISNUMBER(Q193),ISNUMBER(P193)),IF(ABS(P193)&lt;1E-12,"",Q193/P193),"")</x:f>
        <x:v>-0.06769661658175646</x:v>
      </x:c>
      <x:c r="T193" s="36" t="n">
        <x:f>IF(ISNUMBER(S193),ABS(S193),"")</x:f>
        <x:v>0.06769661658175646</x:v>
      </x:c>
      <x:c r="U193" s="37" t="n">
        <x:f>IF(ISNUMBER(Q193),Q193^2,"")</x:f>
        <x:v>0.00003137052586556421</x:v>
      </x:c>
      <x:c r="V193" s="21" t="str">
        <x:f>IF(NOT(AND(ISNUMBER(D193),ISNUMBER(E193),ISNUMBER(G193),ISNUMBER(H193))),"缺少配对",IF(OR(F193&lt;J193,F193&gt;K193),"超出理论J范围","有效"))</x:f>
        <x:v>有效</x:v>
      </x:c>
      <x:c r="W193" s="20" t="str">
        <x:v>升力 y=0.915708x+28.7687 → C_T_prop；实验攻角 15° ↔ 理论 alpha_p_deg 75°；原升力源 4000rpm!D32/O32</x:v>
      </x:c>
      <x:c r="X193" s="20" t="str">
        <x:v>升力标定计算!M385</x:v>
      </x:c>
      <x:c r="Y193" s="20" t="str">
        <x:v>升力标定计算!M386</x:v>
      </x:c>
      <x:c r="Z193" s="20" t="str">
        <x:v>升力标定计算!N385</x:v>
      </x:c>
      <x:c r="AA193" s="20" t="str">
        <x:v>升力标定计算!N386</x:v>
      </x:c>
      <x:c r="AB193" s="20" t="str">
        <x:v>4000rpm!AT58:AS59</x:v>
      </x:c>
    </x:row>
    <x:row r="194">
      <x:c r="A194" s="21" t="n">
        <x:v>4000</x:v>
      </x:c>
      <x:c r="B194" s="21" t="n">
        <x:v>15</x:v>
      </x:c>
      <x:c r="C194" s="21" t="n">
        <x:v>4</x:v>
      </x:c>
      <x:c r="D194" s="22" t="n">
        <x:f>IFERROR('升力标定计算'!M387,"")</x:f>
        <x:v>0.06711076930836793</x:v>
      </x:c>
      <x:c r="E194" s="22" t="n">
        <x:f>IFERROR('升力标定计算'!M388,"")</x:f>
        <x:v>0.06732113165458488</x:v>
      </x:c>
      <x:c r="F194" s="22" t="n">
        <x:f>IF(AND(ISNUMBER(D194),ISNUMBER(E194)),AVERAGE(D194,E194),"")</x:f>
        <x:v>0.06721595048147641</x:v>
      </x:c>
      <x:c r="G194" s="22" t="n">
        <x:f>IFERROR('升力标定计算'!N387,"")</x:f>
        <x:v>0.0770307083806764</x:v>
      </x:c>
      <x:c r="H194" s="22" t="n">
        <x:f>IFERROR('升力标定计算'!N388,"")</x:f>
        <x:v>0.07667813338681816</x:v>
      </x:c>
      <x:c r="I194" s="22" t="n">
        <x:f>IF(AND(ISNUMBER(G194),ISNUMBER(H194)),AVERAGE(G194,H194),"")</x:f>
        <x:v>0.07685442088374728</x:v>
      </x:c>
      <x:c r="J194" s="22" t="n">
        <x:f>IFERROR('4000rpm'!AT58,"")</x:f>
        <x:v>0</x:v>
      </x:c>
      <x:c r="K194" s="22" t="n">
        <x:f>IFERROR('4000rpm'!AT68,"")</x:f>
        <x:v>0.3336614173228346</x:v>
      </x:c>
      <x:c r="L194" s="22" t="n">
        <x:f>IFERROR('4000rpm'!AT60,"")</x:f>
        <x:v>0.06673228346456693</x:v>
      </x:c>
      <x:c r="M194" s="22" t="n">
        <x:f>IFERROR('4000rpm'!AS60,"")</x:f>
        <x:v>0.08261540568445706</x:v>
      </x:c>
      <x:c r="N194" s="22" t="n">
        <x:f>IFERROR('4000rpm'!AT61,"")</x:f>
        <x:v>0.1000984251968504</x:v>
      </x:c>
      <x:c r="O194" s="22" t="n">
        <x:f>IFERROR('4000rpm'!AS61,"")</x:f>
        <x:v>0.08293956885107359</x:v>
      </x:c>
      <x:c r="P194" s="22" t="n">
        <x:f>IF(OR(NOT(AND(ISNUMBER(D194),ISNUMBER(E194),ISNUMBER(G194),ISNUMBER(H194))),OR(F194&lt;J194,F194&gt;K194)),"",IF(N194=L194,M194,M194+(F194-L194)*(O194-M194)/(N194-L194)))</x:f>
        <x:v>0.08262010467042455</x:v>
      </x:c>
      <x:c r="Q194" s="22" t="n">
        <x:f>IF(AND(ISNUMBER(I194),ISNUMBER(P194)),I194-P194,"")</x:f>
        <x:v>-0.0057656837866772725</x:v>
      </x:c>
      <x:c r="R194" s="22" t="n">
        <x:f>IF(ISNUMBER(Q194),ABS(Q194),"")</x:f>
        <x:v>0.0057656837866772725</x:v>
      </x:c>
      <x:c r="S194" s="36" t="n">
        <x:f>IF(AND(ISNUMBER(Q194),ISNUMBER(P194)),IF(ABS(P194)&lt;1E-12,"",Q194/P194),"")</x:f>
        <x:v>-0.0697854815081251</x:v>
      </x:c>
      <x:c r="T194" s="36" t="n">
        <x:f>IF(ISNUMBER(S194),ABS(S194),"")</x:f>
        <x:v>0.0697854815081251</x:v>
      </x:c>
      <x:c r="U194" s="37" t="n">
        <x:f>IF(ISNUMBER(Q194),Q194^2,"")</x:f>
        <x:v>0.000033243109527953174</x:v>
      </x:c>
      <x:c r="V194" s="21" t="str">
        <x:f>IF(NOT(AND(ISNUMBER(D194),ISNUMBER(E194),ISNUMBER(G194),ISNUMBER(H194))),"缺少配对",IF(OR(F194&lt;J194,F194&gt;K194),"超出理论J范围","有效"))</x:f>
        <x:v>有效</x:v>
      </x:c>
      <x:c r="W194" s="20" t="str">
        <x:v>升力 y=0.915708x+28.7687 → C_T_prop；实验攻角 15° ↔ 理论 alpha_p_deg 75°；原升力源 4000rpm!D33/O33</x:v>
      </x:c>
      <x:c r="X194" s="20" t="str">
        <x:v>升力标定计算!M387</x:v>
      </x:c>
      <x:c r="Y194" s="20" t="str">
        <x:v>升力标定计算!M388</x:v>
      </x:c>
      <x:c r="Z194" s="20" t="str">
        <x:v>升力标定计算!N387</x:v>
      </x:c>
      <x:c r="AA194" s="20" t="str">
        <x:v>升力标定计算!N388</x:v>
      </x:c>
      <x:c r="AB194" s="20" t="str">
        <x:v>4000rpm!AT60:AS61</x:v>
      </x:c>
    </x:row>
    <x:row r="195">
      <x:c r="A195" s="21" t="n">
        <x:v>4000</x:v>
      </x:c>
      <x:c r="B195" s="21" t="n">
        <x:v>15</x:v>
      </x:c>
      <x:c r="C195" s="21" t="n">
        <x:v>5</x:v>
      </x:c>
      <x:c r="D195" s="22" t="n">
        <x:f>IFERROR('升力标定计算'!M389,"")</x:f>
        <x:v>0.09997063138738324</x:v>
      </x:c>
      <x:c r="E195" s="22" t="n">
        <x:f>IFERROR('升力标定计算'!M390,"")</x:f>
        <x:v>0.1013078106547325</x:v>
      </x:c>
      <x:c r="F195" s="22" t="n">
        <x:f>IF(AND(ISNUMBER(D195),ISNUMBER(E195)),AVERAGE(D195,E195),"")</x:f>
        <x:v>0.10063922102105788</x:v>
      </x:c>
      <x:c r="G195" s="22" t="n">
        <x:f>IFERROR('升力标定计算'!N389,"")</x:f>
        <x:v>0.0757116775119623</x:v>
      </x:c>
      <x:c r="H195" s="22" t="n">
        <x:f>IFERROR('升力标定计算'!N390,"")</x:f>
        <x:v>0.07651910895859312</x:v>
      </x:c>
      <x:c r="I195" s="22" t="n">
        <x:f>IF(AND(ISNUMBER(G195),ISNUMBER(H195)),AVERAGE(G195,H195),"")</x:f>
        <x:v>0.07611539323527772</x:v>
      </x:c>
      <x:c r="J195" s="22" t="n">
        <x:f>IFERROR('4000rpm'!AT58,"")</x:f>
        <x:v>0</x:v>
      </x:c>
      <x:c r="K195" s="22" t="n">
        <x:f>IFERROR('4000rpm'!AT68,"")</x:f>
        <x:v>0.3336614173228346</x:v>
      </x:c>
      <x:c r="L195" s="22" t="n">
        <x:f>IFERROR('4000rpm'!AT61,"")</x:f>
        <x:v>0.1000984251968504</x:v>
      </x:c>
      <x:c r="M195" s="22" t="n">
        <x:f>IFERROR('4000rpm'!AS61,"")</x:f>
        <x:v>0.08293956885107359</x:v>
      </x:c>
      <x:c r="N195" s="22" t="n">
        <x:f>IFERROR('4000rpm'!AT62,"")</x:f>
        <x:v>0.13346456692913386</x:v>
      </x:c>
      <x:c r="O195" s="22" t="n">
        <x:f>IFERROR('4000rpm'!AS62,"")</x:f>
        <x:v>0.08357877651127703</x:v>
      </x:c>
      <x:c r="P195" s="22" t="n">
        <x:f>IF(OR(NOT(AND(ISNUMBER(D195),ISNUMBER(E195),ISNUMBER(G195),ISNUMBER(H195))),OR(F195&lt;J195,F195&gt;K195)),"",IF(N195=L195,M195,M195+(F195-L195)*(O195-M195)/(N195-L195)))</x:f>
        <x:v>0.08294992907900205</x:v>
      </x:c>
      <x:c r="Q195" s="22" t="n">
        <x:f>IF(AND(ISNUMBER(I195),ISNUMBER(P195)),I195-P195,"")</x:f>
        <x:v>-0.006834535843724329</x:v>
      </x:c>
      <x:c r="R195" s="22" t="n">
        <x:f>IF(ISNUMBER(Q195),ABS(Q195),"")</x:f>
        <x:v>0.006834535843724329</x:v>
      </x:c>
      <x:c r="S195" s="36" t="n">
        <x:f>IF(AND(ISNUMBER(Q195),ISNUMBER(P195)),IF(ABS(P195)&lt;1E-12,"",Q195/P195),"")</x:f>
        <x:v>-0.08239351039366258</x:v>
      </x:c>
      <x:c r="T195" s="36" t="n">
        <x:f>IF(ISNUMBER(S195),ABS(S195),"")</x:f>
        <x:v>0.08239351039366258</x:v>
      </x:c>
      <x:c r="U195" s="37" t="n">
        <x:f>IF(ISNUMBER(Q195),Q195^2,"")</x:f>
        <x:v>0.00004671088019915263</x:v>
      </x:c>
      <x:c r="V195" s="21" t="str">
        <x:f>IF(NOT(AND(ISNUMBER(D195),ISNUMBER(E195),ISNUMBER(G195),ISNUMBER(H195))),"缺少配对",IF(OR(F195&lt;J195,F195&gt;K195),"超出理论J范围","有效"))</x:f>
        <x:v>有效</x:v>
      </x:c>
      <x:c r="W195" s="20" t="str">
        <x:v>升力 y=0.915708x+28.7687 → C_T_prop；实验攻角 15° ↔ 理论 alpha_p_deg 75°；原升力源 4000rpm!D34/O34</x:v>
      </x:c>
      <x:c r="X195" s="20" t="str">
        <x:v>升力标定计算!M389</x:v>
      </x:c>
      <x:c r="Y195" s="20" t="str">
        <x:v>升力标定计算!M390</x:v>
      </x:c>
      <x:c r="Z195" s="20" t="str">
        <x:v>升力标定计算!N389</x:v>
      </x:c>
      <x:c r="AA195" s="20" t="str">
        <x:v>升力标定计算!N390</x:v>
      </x:c>
      <x:c r="AB195" s="20" t="str">
        <x:v>4000rpm!AT61:AS62</x:v>
      </x:c>
    </x:row>
    <x:row r="196">
      <x:c r="A196" s="21" t="n">
        <x:v>4000</x:v>
      </x:c>
      <x:c r="B196" s="21" t="n">
        <x:v>15</x:v>
      </x:c>
      <x:c r="C196" s="21" t="n">
        <x:v>6</x:v>
      </x:c>
      <x:c r="D196" s="22" t="n">
        <x:f>IFERROR('升力标定计算'!M391,"")</x:f>
        <x:v>0.13380913789559257</x:v>
      </x:c>
      <x:c r="E196" s="22" t="n">
        <x:f>IFERROR('升力标定计算'!M392,"")</x:f>
        <x:v>0.13490235918434593</x:v>
      </x:c>
      <x:c r="F196" s="22" t="n">
        <x:f>IF(AND(ISNUMBER(D196),ISNUMBER(E196)),AVERAGE(D196,E196),"")</x:f>
        <x:v>0.13435574853996923</x:v>
      </x:c>
      <x:c r="G196" s="22" t="n">
        <x:f>IFERROR('升力标定计算'!N391,"")</x:f>
        <x:v>0.07612058670183904</x:v>
      </x:c>
      <x:c r="H196" s="22" t="n">
        <x:f>IFERROR('升力标定计算'!N392,"")</x:f>
        <x:v>0.07593537405809711</x:v>
      </x:c>
      <x:c r="I196" s="22" t="n">
        <x:f>IF(AND(ISNUMBER(G196),ISNUMBER(H196)),AVERAGE(G196,H196),"")</x:f>
        <x:v>0.07602798037996808</x:v>
      </x:c>
      <x:c r="J196" s="22" t="n">
        <x:f>IFERROR('4000rpm'!AT58,"")</x:f>
        <x:v>0</x:v>
      </x:c>
      <x:c r="K196" s="22" t="n">
        <x:f>IFERROR('4000rpm'!AT68,"")</x:f>
        <x:v>0.3336614173228346</x:v>
      </x:c>
      <x:c r="L196" s="22" t="n">
        <x:f>IFERROR('4000rpm'!AT62,"")</x:f>
        <x:v>0.13346456692913386</x:v>
      </x:c>
      <x:c r="M196" s="22" t="n">
        <x:f>IFERROR('4000rpm'!AS62,"")</x:f>
        <x:v>0.08357877651127703</x:v>
      </x:c>
      <x:c r="N196" s="22" t="n">
        <x:f>IFERROR('4000rpm'!AT63,"")</x:f>
        <x:v>0.1668307086614173</x:v>
      </x:c>
      <x:c r="O196" s="22" t="n">
        <x:f>IFERROR('4000rpm'!AS63,"")</x:f>
        <x:v>0.08443111000403992</x:v>
      </x:c>
      <x:c r="P196" s="22" t="n">
        <x:f>IF(OR(NOT(AND(ISNUMBER(D196),ISNUMBER(E196),ISNUMBER(G196),ISNUMBER(H196))),OR(F196&lt;J196,F196&gt;K196)),"",IF(N196=L196,M196,M196+(F196-L196)*(O196-M196)/(N196-L196)))</x:f>
        <x:v>0.08360154162272275</x:v>
      </x:c>
      <x:c r="Q196" s="22" t="n">
        <x:f>IF(AND(ISNUMBER(I196),ISNUMBER(P196)),I196-P196,"")</x:f>
        <x:v>-0.00757356124275467</x:v>
      </x:c>
      <x:c r="R196" s="22" t="n">
        <x:f>IF(ISNUMBER(Q196),ABS(Q196),"")</x:f>
        <x:v>0.00757356124275467</x:v>
      </x:c>
      <x:c r="S196" s="36" t="n">
        <x:f>IF(AND(ISNUMBER(Q196),ISNUMBER(P196)),IF(ABS(P196)&lt;1E-12,"",Q196/P196),"")</x:f>
        <x:v>-0.09059116728890786</x:v>
      </x:c>
      <x:c r="T196" s="36" t="n">
        <x:f>IF(ISNUMBER(S196),ABS(S196),"")</x:f>
        <x:v>0.09059116728890786</x:v>
      </x:c>
      <x:c r="U196" s="37" t="n">
        <x:f>IF(ISNUMBER(Q196),Q196^2,"")</x:f>
        <x:v>0.00005735882989775566</x:v>
      </x:c>
      <x:c r="V196" s="21" t="str">
        <x:f>IF(NOT(AND(ISNUMBER(D196),ISNUMBER(E196),ISNUMBER(G196),ISNUMBER(H196))),"缺少配对",IF(OR(F196&lt;J196,F196&gt;K196),"超出理论J范围","有效"))</x:f>
        <x:v>有效</x:v>
      </x:c>
      <x:c r="W196" s="20" t="str">
        <x:v>升力 y=0.915708x+28.7687 → C_T_prop；实验攻角 15° ↔ 理论 alpha_p_deg 75°；原升力源 4000rpm!D35/O35</x:v>
      </x:c>
      <x:c r="X196" s="20" t="str">
        <x:v>升力标定计算!M391</x:v>
      </x:c>
      <x:c r="Y196" s="20" t="str">
        <x:v>升力标定计算!M392</x:v>
      </x:c>
      <x:c r="Z196" s="20" t="str">
        <x:v>升力标定计算!N391</x:v>
      </x:c>
      <x:c r="AA196" s="20" t="str">
        <x:v>升力标定计算!N392</x:v>
      </x:c>
      <x:c r="AB196" s="20" t="str">
        <x:v>4000rpm!AT62:AS63</x:v>
      </x:c>
    </x:row>
    <x:row r="197">
      <x:c r="A197" s="21" t="n">
        <x:v>4000</x:v>
      </x:c>
      <x:c r="B197" s="21" t="n">
        <x:v>15</x:v>
      </x:c>
      <x:c r="C197" s="21" t="n">
        <x:v>7</x:v>
      </x:c>
      <x:c r="D197" s="22" t="n">
        <x:f>IFERROR('升力标定计算'!M393,"")</x:f>
        <x:v>0.1665861541186081</x:v>
      </x:c>
      <x:c r="E197" s="22" t="n">
        <x:f>IFERROR('升力标定计算'!M394,"")</x:f>
        <x:v>0.16851199189884292</x:v>
      </x:c>
      <x:c r="F197" s="22" t="n">
        <x:f>IF(AND(ISNUMBER(D197),ISNUMBER(E197)),AVERAGE(D197,E197),"")</x:f>
        <x:v>0.1675490730087255</x:v>
      </x:c>
      <x:c r="G197" s="22" t="n">
        <x:f>IFERROR('升力标定计算'!N393,"")</x:f>
        <x:v>0.07558137747109578</x:v>
      </x:c>
      <x:c r="H197" s="22" t="n">
        <x:f>IFERROR('升力标定计算'!N394,"")</x:f>
        <x:v>0.07606080176803738</x:v>
      </x:c>
      <x:c r="I197" s="22" t="n">
        <x:f>IF(AND(ISNUMBER(G197),ISNUMBER(H197)),AVERAGE(G197,H197),"")</x:f>
        <x:v>0.07582108961956657</x:v>
      </x:c>
      <x:c r="J197" s="22" t="n">
        <x:f>IFERROR('4000rpm'!AT58,"")</x:f>
        <x:v>0</x:v>
      </x:c>
      <x:c r="K197" s="22" t="n">
        <x:f>IFERROR('4000rpm'!AT68,"")</x:f>
        <x:v>0.3336614173228346</x:v>
      </x:c>
      <x:c r="L197" s="22" t="n">
        <x:f>IFERROR('4000rpm'!AT63,"")</x:f>
        <x:v>0.1668307086614173</x:v>
      </x:c>
      <x:c r="M197" s="22" t="n">
        <x:f>IFERROR('4000rpm'!AS63,"")</x:f>
        <x:v>0.08443111000403992</x:v>
      </x:c>
      <x:c r="N197" s="22" t="n">
        <x:f>IFERROR('4000rpm'!AT64,"")</x:f>
        <x:v>0.2001968503937008</x:v>
      </x:c>
      <x:c r="O197" s="22" t="n">
        <x:f>IFERROR('4000rpm'!AS64,"")</x:f>
        <x:v>0.08539157390891494</x:v>
      </x:c>
      <x:c r="P197" s="22" t="n">
        <x:f>IF(OR(NOT(AND(ISNUMBER(D197),ISNUMBER(E197),ISNUMBER(G197),ISNUMBER(H197))),OR(F197&lt;J197,F197&gt;K197)),"",IF(N197=L197,M197,M197+(F197-L197)*(O197-M197)/(N197-L197)))</x:f>
        <x:v>0.08445178854193246</x:v>
      </x:c>
      <x:c r="Q197" s="22" t="n">
        <x:f>IF(AND(ISNUMBER(I197),ISNUMBER(P197)),I197-P197,"")</x:f>
        <x:v>-0.008630698922365884</x:v>
      </x:c>
      <x:c r="R197" s="22" t="n">
        <x:f>IF(ISNUMBER(Q197),ABS(Q197),"")</x:f>
        <x:v>0.008630698922365884</x:v>
      </x:c>
      <x:c r="S197" s="36" t="n">
        <x:f>IF(AND(ISNUMBER(Q197),ISNUMBER(P197)),IF(ABS(P197)&lt;1E-12,"",Q197/P197),"")</x:f>
        <x:v>-0.10219675712469396</x:v>
      </x:c>
      <x:c r="T197" s="36" t="n">
        <x:f>IF(ISNUMBER(S197),ABS(S197),"")</x:f>
        <x:v>0.10219675712469396</x:v>
      </x:c>
      <x:c r="U197" s="37" t="n">
        <x:f>IF(ISNUMBER(Q197),Q197^2,"")</x:f>
        <x:v>0.00007448896388852764</x:v>
      </x:c>
      <x:c r="V197" s="21" t="str">
        <x:f>IF(NOT(AND(ISNUMBER(D197),ISNUMBER(E197),ISNUMBER(G197),ISNUMBER(H197))),"缺少配对",IF(OR(F197&lt;J197,F197&gt;K197),"超出理论J范围","有效"))</x:f>
        <x:v>有效</x:v>
      </x:c>
      <x:c r="W197" s="20" t="str">
        <x:v>升力 y=0.915708x+28.7687 → C_T_prop；实验攻角 15° ↔ 理论 alpha_p_deg 75°；原升力源 4000rpm!D36/O36</x:v>
      </x:c>
      <x:c r="X197" s="20" t="str">
        <x:v>升力标定计算!M393</x:v>
      </x:c>
      <x:c r="Y197" s="20" t="str">
        <x:v>升力标定计算!M394</x:v>
      </x:c>
      <x:c r="Z197" s="20" t="str">
        <x:v>升力标定计算!N393</x:v>
      </x:c>
      <x:c r="AA197" s="20" t="str">
        <x:v>升力标定计算!N394</x:v>
      </x:c>
      <x:c r="AB197" s="20" t="str">
        <x:v>4000rpm!AT63:AS64</x:v>
      </x:c>
    </x:row>
    <x:row r="198">
      <x:c r="A198" s="21" t="n">
        <x:v>4000</x:v>
      </x:c>
      <x:c r="B198" s="21" t="n">
        <x:v>15</x:v>
      </x:c>
      <x:c r="C198" s="21" t="n">
        <x:v>8</x:v>
      </x:c>
      <x:c r="D198" s="22" t="n">
        <x:f>IFERROR('升力标定计算'!M395,"")</x:f>
        <x:v>0.2026493527171161</x:v>
      </x:c>
      <x:c r="E198" s="22" t="n">
        <x:f>IFERROR('升力标定计算'!M396,"")</x:f>
        <x:v>0.20189785509930294</x:v>
      </x:c>
      <x:c r="F198" s="22" t="n">
        <x:f>IF(AND(ISNUMBER(D198),ISNUMBER(E198)),AVERAGE(D198,E198),"")</x:f>
        <x:v>0.20227360390820953</x:v>
      </x:c>
      <x:c r="G198" s="22" t="n">
        <x:f>IFERROR('升力标定计算'!N395,"")</x:f>
        <x:v>0.0771372864753372</x:v>
      </x:c>
      <x:c r="H198" s="22" t="n">
        <x:f>IFERROR('升力标定计算'!N396,"")</x:f>
        <x:v>0.07623413660773719</x:v>
      </x:c>
      <x:c r="I198" s="22" t="n">
        <x:f>IF(AND(ISNUMBER(G198),ISNUMBER(H198)),AVERAGE(G198,H198),"")</x:f>
        <x:v>0.0766857115415372</x:v>
      </x:c>
      <x:c r="J198" s="22" t="n">
        <x:f>IFERROR('4000rpm'!AT58,"")</x:f>
        <x:v>0</x:v>
      </x:c>
      <x:c r="K198" s="22" t="n">
        <x:f>IFERROR('4000rpm'!AT68,"")</x:f>
        <x:v>0.3336614173228346</x:v>
      </x:c>
      <x:c r="L198" s="22" t="n">
        <x:f>IFERROR('4000rpm'!AT64,"")</x:f>
        <x:v>0.2001968503937008</x:v>
      </x:c>
      <x:c r="M198" s="22" t="n">
        <x:f>IFERROR('4000rpm'!AS64,"")</x:f>
        <x:v>0.08539157390891494</x:v>
      </x:c>
      <x:c r="N198" s="22" t="n">
        <x:f>IFERROR('4000rpm'!AT65,"")</x:f>
        <x:v>0.23356299212598428</x:v>
      </x:c>
      <x:c r="O198" s="22" t="n">
        <x:f>IFERROR('4000rpm'!AS65,"")</x:f>
        <x:v>0.08639431763870087</x:v>
      </x:c>
      <x:c r="P198" s="22" t="n">
        <x:f>IF(OR(NOT(AND(ISNUMBER(D198),ISNUMBER(E198),ISNUMBER(G198),ISNUMBER(H198))),OR(F198&lt;J198,F198&gt;K198)),"",IF(N198=L198,M198,M198+(F198-L198)*(O198-M198)/(N198-L198)))</x:f>
        <x:v>0.08545398602661478</x:v>
      </x:c>
      <x:c r="Q198" s="22" t="n">
        <x:f>IF(AND(ISNUMBER(I198),ISNUMBER(P198)),I198-P198,"")</x:f>
        <x:v>-0.008768274485077582</x:v>
      </x:c>
      <x:c r="R198" s="22" t="n">
        <x:f>IF(ISNUMBER(Q198),ABS(Q198),"")</x:f>
        <x:v>0.008768274485077582</x:v>
      </x:c>
      <x:c r="S198" s="36" t="n">
        <x:f>IF(AND(ISNUMBER(Q198),ISNUMBER(P198)),IF(ABS(P198)&lt;1E-12,"",Q198/P198),"")</x:f>
        <x:v>-0.10260813910244852</x:v>
      </x:c>
      <x:c r="T198" s="36" t="n">
        <x:f>IF(ISNUMBER(S198),ABS(S198),"")</x:f>
        <x:v>0.10260813910244852</x:v>
      </x:c>
      <x:c r="U198" s="37" t="n">
        <x:f>IF(ISNUMBER(Q198),Q198^2,"")</x:f>
        <x:v>0.00007688263744566253</x:v>
      </x:c>
      <x:c r="V198" s="21" t="str">
        <x:f>IF(NOT(AND(ISNUMBER(D198),ISNUMBER(E198),ISNUMBER(G198),ISNUMBER(H198))),"缺少配对",IF(OR(F198&lt;J198,F198&gt;K198),"超出理论J范围","有效"))</x:f>
        <x:v>有效</x:v>
      </x:c>
      <x:c r="W198" s="20" t="str">
        <x:v>升力 y=0.915708x+28.7687 → C_T_prop；实验攻角 15° ↔ 理论 alpha_p_deg 75°；原升力源 4000rpm!D37/O37</x:v>
      </x:c>
      <x:c r="X198" s="20" t="str">
        <x:v>升力标定计算!M395</x:v>
      </x:c>
      <x:c r="Y198" s="20" t="str">
        <x:v>升力标定计算!M396</x:v>
      </x:c>
      <x:c r="Z198" s="20" t="str">
        <x:v>升力标定计算!N395</x:v>
      </x:c>
      <x:c r="AA198" s="20" t="str">
        <x:v>升力标定计算!N396</x:v>
      </x:c>
      <x:c r="AB198" s="20" t="str">
        <x:v>4000rpm!AT64:AS65</x:v>
      </x:c>
    </x:row>
    <x:row r="199">
      <x:c r="A199" s="21" t="n">
        <x:v>4000</x:v>
      </x:c>
      <x:c r="B199" s="21" t="n">
        <x:v>15</x:v>
      </x:c>
      <x:c r="C199" s="21" t="n">
        <x:v>9</x:v>
      </x:c>
      <x:c r="D199" s="22" t="n">
        <x:f>IFERROR('升力标定计算'!M397,"")</x:f>
        <x:v>0.23372024820923656</x:v>
      </x:c>
      <x:c r="E199" s="22" t="n">
        <x:f>IFERROR('升力标定计算'!M398,"")</x:f>
        <x:v>0.23651371986376904</x:v>
      </x:c>
      <x:c r="F199" s="22" t="n">
        <x:f>IF(AND(ISNUMBER(D199),ISNUMBER(E199)),AVERAGE(D199,E199),"")</x:f>
        <x:v>0.2351169840365028</x:v>
      </x:c>
      <x:c r="G199" s="22" t="n">
        <x:f>IFERROR('升力标定计算'!N397,"")</x:f>
        <x:v>0.07603743929720014</x:v>
      </x:c>
      <x:c r="H199" s="22" t="n">
        <x:f>IFERROR('升力标定计算'!N398,"")</x:f>
        <x:v>0.0772977527376787</x:v>
      </x:c>
      <x:c r="I199" s="22" t="n">
        <x:f>IF(AND(ISNUMBER(G199),ISNUMBER(H199)),AVERAGE(G199,H199),"")</x:f>
        <x:v>0.07666759601743942</x:v>
      </x:c>
      <x:c r="J199" s="22" t="n">
        <x:f>IFERROR('4000rpm'!AT58,"")</x:f>
        <x:v>0</x:v>
      </x:c>
      <x:c r="K199" s="22" t="n">
        <x:f>IFERROR('4000rpm'!AT68,"")</x:f>
        <x:v>0.3336614173228346</x:v>
      </x:c>
      <x:c r="L199" s="22" t="n">
        <x:f>IFERROR('4000rpm'!AT65,"")</x:f>
        <x:v>0.23356299212598428</x:v>
      </x:c>
      <x:c r="M199" s="22" t="n">
        <x:f>IFERROR('4000rpm'!AS65,"")</x:f>
        <x:v>0.08639431763870087</x:v>
      </x:c>
      <x:c r="N199" s="22" t="n">
        <x:f>IFERROR('4000rpm'!AT66,"")</x:f>
        <x:v>0.2669291338582677</x:v>
      </x:c>
      <x:c r="O199" s="22" t="n">
        <x:f>IFERROR('4000rpm'!AS66,"")</x:f>
        <x:v>0.08737990452620835</x:v>
      </x:c>
      <x:c r="P199" s="22" t="n">
        <x:f>IF(OR(NOT(AND(ISNUMBER(D199),ISNUMBER(E199),ISNUMBER(G199),ISNUMBER(H199))),OR(F199&lt;J199,F199&gt;K199)),"",IF(N199=L199,M199,M199+(F199-L199)*(O199-M199)/(N199-L199)))</x:f>
        <x:v>0.08644022028044436</x:v>
      </x:c>
      <x:c r="Q199" s="22" t="n">
        <x:f>IF(AND(ISNUMBER(I199),ISNUMBER(P199)),I199-P199,"")</x:f>
        <x:v>-0.009772624263004945</x:v>
      </x:c>
      <x:c r="R199" s="22" t="n">
        <x:f>IF(ISNUMBER(Q199),ABS(Q199),"")</x:f>
        <x:v>0.009772624263004945</x:v>
      </x:c>
      <x:c r="S199" s="36" t="n">
        <x:f>IF(AND(ISNUMBER(Q199),ISNUMBER(P199)),IF(ABS(P199)&lt;1E-12,"",Q199/P199),"")</x:f>
        <x:v>-0.11305644792781533</x:v>
      </x:c>
      <x:c r="T199" s="36" t="n">
        <x:f>IF(ISNUMBER(S199),ABS(S199),"")</x:f>
        <x:v>0.11305644792781533</x:v>
      </x:c>
      <x:c r="U199" s="37" t="n">
        <x:f>IF(ISNUMBER(Q199),Q199^2,"")</x:f>
        <x:v>0.00009550418498587295</x:v>
      </x:c>
      <x:c r="V199" s="21" t="str">
        <x:f>IF(NOT(AND(ISNUMBER(D199),ISNUMBER(E199),ISNUMBER(G199),ISNUMBER(H199))),"缺少配对",IF(OR(F199&lt;J199,F199&gt;K199),"超出理论J范围","有效"))</x:f>
        <x:v>有效</x:v>
      </x:c>
      <x:c r="W199" s="20" t="str">
        <x:v>升力 y=0.915708x+28.7687 → C_T_prop；实验攻角 15° ↔ 理论 alpha_p_deg 75°；原升力源 4000rpm!D38/O38</x:v>
      </x:c>
      <x:c r="X199" s="20" t="str">
        <x:v>升力标定计算!M397</x:v>
      </x:c>
      <x:c r="Y199" s="20" t="str">
        <x:v>升力标定计算!M398</x:v>
      </x:c>
      <x:c r="Z199" s="20" t="str">
        <x:v>升力标定计算!N397</x:v>
      </x:c>
      <x:c r="AA199" s="20" t="str">
        <x:v>升力标定计算!N398</x:v>
      </x:c>
      <x:c r="AB199" s="20" t="str">
        <x:v>4000rpm!AT65:AS66</x:v>
      </x:c>
    </x:row>
    <x:row r="200">
      <x:c r="A200" s="21" t="n">
        <x:v>4000</x:v>
      </x:c>
      <x:c r="B200" s="21" t="n">
        <x:v>15</x:v>
      </x:c>
      <x:c r="C200" s="21" t="n">
        <x:v>10</x:v>
      </x:c>
      <x:c r="D200" s="22" t="n">
        <x:f>IFERROR('升力标定计算'!M399,"")</x:f>
        <x:v>0.266000983486276</x:v>
      </x:c>
      <x:c r="E200" s="22" t="n">
        <x:f>IFERROR('升力标定计算'!M400,"")</x:f>
        <x:v>0.26905648474486354</x:v>
      </x:c>
      <x:c r="F200" s="22" t="n">
        <x:f>IF(AND(ISNUMBER(D200),ISNUMBER(E200)),AVERAGE(D200,E200),"")</x:f>
        <x:v>0.26752873411556977</x:v>
      </x:c>
      <x:c r="G200" s="22" t="n">
        <x:f>IFERROR('升力标定计算'!N399,"")</x:f>
        <x:v>0.07595550648521693</x:v>
      </x:c>
      <x:c r="H200" s="22" t="n">
        <x:f>IFERROR('升力标定计算'!N400,"")</x:f>
        <x:v>0.07731160790969471</x:v>
      </x:c>
      <x:c r="I200" s="22" t="n">
        <x:f>IF(AND(ISNUMBER(G200),ISNUMBER(H200)),AVERAGE(G200,H200),"")</x:f>
        <x:v>0.07663355719745582</x:v>
      </x:c>
      <x:c r="J200" s="22" t="n">
        <x:f>IFERROR('4000rpm'!AT58,"")</x:f>
        <x:v>0</x:v>
      </x:c>
      <x:c r="K200" s="22" t="n">
        <x:f>IFERROR('4000rpm'!AT68,"")</x:f>
        <x:v>0.3336614173228346</x:v>
      </x:c>
      <x:c r="L200" s="22" t="n">
        <x:f>IFERROR('4000rpm'!AT66,"")</x:f>
        <x:v>0.2669291338582677</x:v>
      </x:c>
      <x:c r="M200" s="22" t="n">
        <x:f>IFERROR('4000rpm'!AS66,"")</x:f>
        <x:v>0.08737990452620835</x:v>
      </x:c>
      <x:c r="N200" s="22" t="n">
        <x:f>IFERROR('4000rpm'!AT67,"")</x:f>
        <x:v>0.3002952755905512</x:v>
      </x:c>
      <x:c r="O200" s="22" t="n">
        <x:f>IFERROR('4000rpm'!AS67,"")</x:f>
        <x:v>0.08830031891436346</x:v>
      </x:c>
      <x:c r="P200" s="22" t="n">
        <x:f>IF(OR(NOT(AND(ISNUMBER(D200),ISNUMBER(E200),ISNUMBER(G200),ISNUMBER(H200))),OR(F200&lt;J200,F200&gt;K200)),"",IF(N200=L200,M200,M200+(F200-L200)*(O200-M200)/(N200-L200)))</x:f>
        <x:v>0.08739644466766043</x:v>
      </x:c>
      <x:c r="Q200" s="22" t="n">
        <x:f>IF(AND(ISNUMBER(I200),ISNUMBER(P200)),I200-P200,"")</x:f>
        <x:v>-0.01076288747020461</x:v>
      </x:c>
      <x:c r="R200" s="22" t="n">
        <x:f>IF(ISNUMBER(Q200),ABS(Q200),"")</x:f>
        <x:v>0.01076288747020461</x:v>
      </x:c>
      <x:c r="S200" s="36" t="n">
        <x:f>IF(AND(ISNUMBER(Q200),ISNUMBER(P200)),IF(ABS(P200)&lt;1E-12,"",Q200/P200),"")</x:f>
        <x:v>-0.12315017517168217</x:v>
      </x:c>
      <x:c r="T200" s="36" t="n">
        <x:f>IF(ISNUMBER(S200),ABS(S200),"")</x:f>
        <x:v>0.12315017517168217</x:v>
      </x:c>
      <x:c r="U200" s="37" t="n">
        <x:f>IF(ISNUMBER(Q200),Q200^2,"")</x:f>
        <x:v>0.00011583974669628739</x:v>
      </x:c>
      <x:c r="V200" s="21" t="str">
        <x:f>IF(NOT(AND(ISNUMBER(D200),ISNUMBER(E200),ISNUMBER(G200),ISNUMBER(H200))),"缺少配对",IF(OR(F200&lt;J200,F200&gt;K200),"超出理论J范围","有效"))</x:f>
        <x:v>有效</x:v>
      </x:c>
      <x:c r="W200" s="20" t="str">
        <x:v>升力 y=0.915708x+28.7687 → C_T_prop；实验攻角 15° ↔ 理论 alpha_p_deg 75°；原升力源 4000rpm!D39/O39</x:v>
      </x:c>
      <x:c r="X200" s="20" t="str">
        <x:v>升力标定计算!M399</x:v>
      </x:c>
      <x:c r="Y200" s="20" t="str">
        <x:v>升力标定计算!M400</x:v>
      </x:c>
      <x:c r="Z200" s="20" t="str">
        <x:v>升力标定计算!N399</x:v>
      </x:c>
      <x:c r="AA200" s="20" t="str">
        <x:v>升力标定计算!N400</x:v>
      </x:c>
      <x:c r="AB200" s="20" t="str">
        <x:v>4000rpm!AT66:AS67</x:v>
      </x:c>
    </x:row>
    <x:row r="201">
      <x:c r="A201" s="21" t="n">
        <x:v>4000</x:v>
      </x:c>
      <x:c r="B201" s="21" t="n">
        <x:v>15</x:v>
      </x:c>
      <x:c r="C201" s="21" t="n">
        <x:v>11</x:v>
      </x:c>
      <x:c r="D201" s="22" t="n">
        <x:f>IFERROR('升力标定计算'!M401,"")</x:f>
        <x:v>0.30240563943505305</x:v>
      </x:c>
      <x:c r="E201" s="22" t="n">
        <x:f>IFERROR('升力标定计算'!M402,"")</x:f>
        <x:v>0.3029571267324239</x:v>
      </x:c>
      <x:c r="F201" s="22" t="n">
        <x:f>IF(AND(ISNUMBER(D201),ISNUMBER(E201)),AVERAGE(D201,E201),"")</x:f>
        <x:v>0.3026813830837385</x:v>
      </x:c>
      <x:c r="G201" s="22" t="n">
        <x:f>IFERROR('升力标定计算'!N401,"")</x:f>
        <x:v>0.07831935579851285</x:v>
      </x:c>
      <x:c r="H201" s="22" t="n">
        <x:f>IFERROR('升力标定计算'!N402,"")</x:f>
        <x:v>0.07853857567186748</x:v>
      </x:c>
      <x:c r="I201" s="22" t="n">
        <x:f>IF(AND(ISNUMBER(G201),ISNUMBER(H201)),AVERAGE(G201,H201),"")</x:f>
        <x:v>0.07842896573519016</x:v>
      </x:c>
      <x:c r="J201" s="22" t="n">
        <x:f>IFERROR('4000rpm'!AT58,"")</x:f>
        <x:v>0</x:v>
      </x:c>
      <x:c r="K201" s="22" t="n">
        <x:f>IFERROR('4000rpm'!AT68,"")</x:f>
        <x:v>0.3336614173228346</x:v>
      </x:c>
      <x:c r="L201" s="22" t="n">
        <x:f>IFERROR('4000rpm'!AT67,"")</x:f>
        <x:v>0.3002952755905512</x:v>
      </x:c>
      <x:c r="M201" s="22" t="n">
        <x:f>IFERROR('4000rpm'!AS67,"")</x:f>
        <x:v>0.08830031891436346</x:v>
      </x:c>
      <x:c r="N201" s="22" t="n">
        <x:f>IFERROR('4000rpm'!AT68,"")</x:f>
        <x:v>0.3336614173228346</x:v>
      </x:c>
      <x:c r="O201" s="22" t="n">
        <x:f>IFERROR('4000rpm'!AS68,"")</x:f>
        <x:v>0.08912861654406733</x:v>
      </x:c>
      <x:c r="P201" s="22" t="n">
        <x:f>IF(OR(NOT(AND(ISNUMBER(D201),ISNUMBER(E201),ISNUMBER(G201),ISNUMBER(H201))),OR(F201&lt;J201,F201&gt;K201)),"",IF(N201=L201,M201,M201+(F201-L201)*(O201-M201)/(N201-L201)))</x:f>
        <x:v>0.08835955282869146</x:v>
      </x:c>
      <x:c r="Q201" s="22" t="n">
        <x:f>IF(AND(ISNUMBER(I201),ISNUMBER(P201)),I201-P201,"")</x:f>
        <x:v>-0.009930587093501295</x:v>
      </x:c>
      <x:c r="R201" s="22" t="n">
        <x:f>IF(ISNUMBER(Q201),ABS(Q201),"")</x:f>
        <x:v>0.009930587093501295</x:v>
      </x:c>
      <x:c r="S201" s="36" t="n">
        <x:f>IF(AND(ISNUMBER(Q201),ISNUMBER(P201)),IF(ABS(P201)&lt;1E-12,"",Q201/P201),"")</x:f>
        <x:v>-0.11238838105885829</x:v>
      </x:c>
      <x:c r="T201" s="36" t="n">
        <x:f>IF(ISNUMBER(S201),ABS(S201),"")</x:f>
        <x:v>0.11238838105885829</x:v>
      </x:c>
      <x:c r="U201" s="37" t="n">
        <x:f>IF(ISNUMBER(Q201),Q201^2,"")</x:f>
        <x:v>0.0000986165600216145</x:v>
      </x:c>
      <x:c r="V201" s="21" t="str">
        <x:f>IF(NOT(AND(ISNUMBER(D201),ISNUMBER(E201),ISNUMBER(G201),ISNUMBER(H201))),"缺少配对",IF(OR(F201&lt;J201,F201&gt;K201),"超出理论J范围","有效"))</x:f>
        <x:v>有效</x:v>
      </x:c>
      <x:c r="W201" s="20" t="str">
        <x:v>升力 y=0.915708x+28.7687 → C_T_prop；实验攻角 15° ↔ 理论 alpha_p_deg 75°；原升力源 4000rpm!D40/O40</x:v>
      </x:c>
      <x:c r="X201" s="20" t="str">
        <x:v>升力标定计算!M401</x:v>
      </x:c>
      <x:c r="Y201" s="20" t="str">
        <x:v>升力标定计算!M402</x:v>
      </x:c>
      <x:c r="Z201" s="20" t="str">
        <x:v>升力标定计算!N401</x:v>
      </x:c>
      <x:c r="AA201" s="20" t="str">
        <x:v>升力标定计算!N402</x:v>
      </x:c>
      <x:c r="AB201" s="20" t="str">
        <x:v>4000rpm!AT67:AS68</x:v>
      </x:c>
    </x:row>
    <x:row r="202">
      <x:c r="A202" s="21" t="n">
        <x:v>4000</x:v>
      </x:c>
      <x:c r="B202" s="21" t="n">
        <x:v>15</x:v>
      </x:c>
      <x:c r="C202" s="21" t="n">
        <x:v>12</x:v>
      </x:c>
      <x:c r="D202" s="22" t="n">
        <x:f>IFERROR('升力标定计算'!M403,"")</x:f>
        <x:v>0.33195892633076757</x:v>
      </x:c>
      <x:c r="E202" s="22" t="n">
        <x:f>IFERROR('升力标定计算'!M404,"")</x:f>
        <x:v>0.3345202460043772</x:v>
      </x:c>
      <x:c r="F202" s="22" t="n">
        <x:f>IF(AND(ISNUMBER(D202),ISNUMBER(E202)),AVERAGE(D202,E202),"")</x:f>
        <x:v>0.3332395861675724</x:v>
      </x:c>
      <x:c r="G202" s="22" t="n">
        <x:f>IFERROR('升力标定计算'!N403,"")</x:f>
        <x:v>0.07923508203510178</x:v>
      </x:c>
      <x:c r="H202" s="22" t="n">
        <x:f>IFERROR('升力标定计算'!N404,"")</x:f>
        <x:v>0.07984163375484025</x:v>
      </x:c>
      <x:c r="I202" s="22" t="n">
        <x:f>IF(AND(ISNUMBER(G202),ISNUMBER(H202)),AVERAGE(G202,H202),"")</x:f>
        <x:v>0.07953835789497102</x:v>
      </x:c>
      <x:c r="J202" s="22" t="n">
        <x:f>IFERROR('4000rpm'!AT58,"")</x:f>
        <x:v>0</x:v>
      </x:c>
      <x:c r="K202" s="22" t="n">
        <x:f>IFERROR('4000rpm'!AT68,"")</x:f>
        <x:v>0.3336614173228346</x:v>
      </x:c>
      <x:c r="L202" s="22" t="n">
        <x:f>IFERROR('4000rpm'!AT67,"")</x:f>
        <x:v>0.3002952755905512</x:v>
      </x:c>
      <x:c r="M202" s="22" t="n">
        <x:f>IFERROR('4000rpm'!AS67,"")</x:f>
        <x:v>0.08830031891436346</x:v>
      </x:c>
      <x:c r="N202" s="22" t="n">
        <x:f>IFERROR('4000rpm'!AT68,"")</x:f>
        <x:v>0.3336614173228346</x:v>
      </x:c>
      <x:c r="O202" s="22" t="n">
        <x:f>IFERROR('4000rpm'!AS68,"")</x:f>
        <x:v>0.08912861654406733</x:v>
      </x:c>
      <x:c r="P202" s="22" t="n">
        <x:f>IF(OR(NOT(AND(ISNUMBER(D202),ISNUMBER(E202),ISNUMBER(G202),ISNUMBER(H202))),OR(F202&lt;J202,F202&gt;K202)),"",IF(N202=L202,M202,M202+(F202-L202)*(O202-M202)/(N202-L202)))</x:f>
        <x:v>0.08911814479852233</x:v>
      </x:c>
      <x:c r="Q202" s="22" t="n">
        <x:f>IF(AND(ISNUMBER(I202),ISNUMBER(P202)),I202-P202,"")</x:f>
        <x:v>-0.00957978690355131</x:v>
      </x:c>
      <x:c r="R202" s="22" t="n">
        <x:f>IF(ISNUMBER(Q202),ABS(Q202),"")</x:f>
        <x:v>0.00957978690355131</x:v>
      </x:c>
      <x:c r="S202" s="36" t="n">
        <x:f>IF(AND(ISNUMBER(Q202),ISNUMBER(P202)),IF(ABS(P202)&lt;1E-12,"",Q202/P202),"")</x:f>
        <x:v>-0.10749535827085746</x:v>
      </x:c>
      <x:c r="T202" s="36" t="n">
        <x:f>IF(ISNUMBER(S202),ABS(S202),"")</x:f>
        <x:v>0.10749535827085746</x:v>
      </x:c>
      <x:c r="U202" s="37" t="n">
        <x:f>IF(ISNUMBER(Q202),Q202^2,"")</x:f>
        <x:v>0.0000917723171174532</x:v>
      </x:c>
      <x:c r="V202" s="21" t="str">
        <x:f>IF(NOT(AND(ISNUMBER(D202),ISNUMBER(E202),ISNUMBER(G202),ISNUMBER(H202))),"缺少配对",IF(OR(F202&lt;J202,F202&gt;K202),"超出理论J范围","有效"))</x:f>
        <x:v>有效</x:v>
      </x:c>
      <x:c r="W202" s="20" t="str">
        <x:v>升力 y=0.915708x+28.7687 → C_T_prop；实验攻角 15° ↔ 理论 alpha_p_deg 75°；原升力源 4000rpm!D41/O41</x:v>
      </x:c>
      <x:c r="X202" s="20" t="str">
        <x:v>升力标定计算!M403</x:v>
      </x:c>
      <x:c r="Y202" s="20" t="str">
        <x:v>升力标定计算!M404</x:v>
      </x:c>
      <x:c r="Z202" s="20" t="str">
        <x:v>升力标定计算!N403</x:v>
      </x:c>
      <x:c r="AA202" s="20" t="str">
        <x:v>升力标定计算!N404</x:v>
      </x:c>
      <x:c r="AB202" s="20" t="str">
        <x:v>4000rpm!AT67:AS68</x:v>
      </x:c>
    </x:row>
    <x:row r="203">
      <x:c r="A203" s="21" t="n">
        <x:v>4000</x:v>
      </x:c>
      <x:c r="B203" s="21" t="n">
        <x:v>15</x:v>
      </x:c>
      <x:c r="C203" s="21" t="n">
        <x:v>13</x:v>
      </x:c>
      <x:c r="D203" s="22" t="n">
        <x:f>IFERROR('升力标定计算'!M405,"")</x:f>
        <x:v>0.26982265138171124</x:v>
      </x:c>
      <x:c r="E203" s="22" t="n">
        <x:f>IFERROR('升力标定计算'!M406,"")</x:f>
        <x:v>0.3061070700187452</x:v>
      </x:c>
      <x:c r="F203" s="22" t="n">
        <x:f>IF(AND(ISNUMBER(D203),ISNUMBER(E203)),AVERAGE(D203,E203),"")</x:f>
        <x:v>0.2879648607002282</x:v>
      </x:c>
      <x:c r="G203" s="22" t="n">
        <x:f>IFERROR('升力标定计算'!N405,"")</x:f>
        <x:v>0.07783393226948462</x:v>
      </x:c>
      <x:c r="H203" s="22" t="n">
        <x:f>IFERROR('升力标定计算'!N406,"")</x:f>
        <x:v>0.08052470673758648</x:v>
      </x:c>
      <x:c r="I203" s="22" t="n">
        <x:f>IF(AND(ISNUMBER(G203),ISNUMBER(H203)),AVERAGE(G203,H203),"")</x:f>
        <x:v>0.07917931950353554</x:v>
      </x:c>
      <x:c r="J203" s="22" t="n">
        <x:f>IFERROR('4000rpm'!AT58,"")</x:f>
        <x:v>0</x:v>
      </x:c>
      <x:c r="K203" s="22" t="n">
        <x:f>IFERROR('4000rpm'!AT68,"")</x:f>
        <x:v>0.3336614173228346</x:v>
      </x:c>
      <x:c r="L203" s="22" t="n">
        <x:f>IFERROR('4000rpm'!AT66,"")</x:f>
        <x:v>0.2669291338582677</x:v>
      </x:c>
      <x:c r="M203" s="22" t="n">
        <x:f>IFERROR('4000rpm'!AS66,"")</x:f>
        <x:v>0.08737990452620835</x:v>
      </x:c>
      <x:c r="N203" s="22" t="n">
        <x:f>IFERROR('4000rpm'!AT67,"")</x:f>
        <x:v>0.3002952755905512</x:v>
      </x:c>
      <x:c r="O203" s="22" t="n">
        <x:f>IFERROR('4000rpm'!AS67,"")</x:f>
        <x:v>0.08830031891436346</x:v>
      </x:c>
      <x:c r="P203" s="22" t="n">
        <x:f>IF(OR(NOT(AND(ISNUMBER(D203),ISNUMBER(E203),ISNUMBER(G203),ISNUMBER(H203))),OR(F203&lt;J203,F203&gt;K203)),"",IF(N203=L203,M203,M203+(F203-L203)*(O203-M203)/(N203-L203)))</x:f>
        <x:v>0.0879601809575078</x:v>
      </x:c>
      <x:c r="Q203" s="22" t="n">
        <x:f>IF(AND(ISNUMBER(I203),ISNUMBER(P203)),I203-P203,"")</x:f>
        <x:v>-0.00878086145397225</x:v>
      </x:c>
      <x:c r="R203" s="22" t="n">
        <x:f>IF(ISNUMBER(Q203),ABS(Q203),"")</x:f>
        <x:v>0.00878086145397225</x:v>
      </x:c>
      <x:c r="S203" s="36" t="n">
        <x:f>IF(AND(ISNUMBER(Q203),ISNUMBER(P203)),IF(ABS(P203)&lt;1E-12,"",Q203/P203),"")</x:f>
        <x:v>-0.0998276874647876</x:v>
      </x:c>
      <x:c r="T203" s="36" t="n">
        <x:f>IF(ISNUMBER(S203),ABS(S203),"")</x:f>
        <x:v>0.0998276874647876</x:v>
      </x:c>
      <x:c r="U203" s="37" t="n">
        <x:f>IF(ISNUMBER(Q203),Q203^2,"")</x:f>
        <x:v>0.00007710352787385565</x:v>
      </x:c>
      <x:c r="V203" s="21" t="str">
        <x:f>IF(NOT(AND(ISNUMBER(D203),ISNUMBER(E203),ISNUMBER(G203),ISNUMBER(H203))),"缺少配对",IF(OR(F203&lt;J203,F203&gt;K203),"超出理论J范围","有效"))</x:f>
        <x:v>有效</x:v>
      </x:c>
      <x:c r="W203" s="20" t="str">
        <x:v>升力 y=0.915708x+28.7687 → C_T_prop；实验攻角 15° ↔ 理论 alpha_p_deg 75°；原升力源 4000rpm!D42/O42</x:v>
      </x:c>
      <x:c r="X203" s="20" t="str">
        <x:v>升力标定计算!M405</x:v>
      </x:c>
      <x:c r="Y203" s="20" t="str">
        <x:v>升力标定计算!M406</x:v>
      </x:c>
      <x:c r="Z203" s="20" t="str">
        <x:v>升力标定计算!N405</x:v>
      </x:c>
      <x:c r="AA203" s="20" t="str">
        <x:v>升力标定计算!N406</x:v>
      </x:c>
      <x:c r="AB203" s="20" t="str">
        <x:v>4000rpm!AT66:AS67</x:v>
      </x:c>
    </x:row>
    <x:row r="204">
      <x:c r="A204" s="21" t="n">
        <x:v>4000</x:v>
      </x:c>
      <x:c r="B204" s="21" t="n">
        <x:v>15</x:v>
      </x:c>
      <x:c r="C204" s="21" t="n">
        <x:v>14</x:v>
      </x:c>
      <x:c r="D204" s="22" t="n">
        <x:f>IFERROR('升力标定计算'!M407,"")</x:f>
        <x:v>0.23580679359196052</x:v>
      </x:c>
      <x:c r="E204" s="22" t="n">
        <x:f>IFERROR('升力标定计算'!M408,"")</x:f>
        <x:v>0.2695575573964956</x:v>
      </x:c>
      <x:c r="F204" s="22" t="n">
        <x:f>IF(AND(ISNUMBER(D204),ISNUMBER(E204)),AVERAGE(D204,E204),"")</x:f>
        <x:v>0.25268217549422806</x:v>
      </x:c>
      <x:c r="G204" s="22" t="n">
        <x:f>IFERROR('升力标定计算'!N407,"")</x:f>
        <x:v>0.0780245282258854</x:v>
      </x:c>
      <x:c r="H204" s="22" t="n">
        <x:f>IFERROR('升力标定计算'!N408,"")</x:f>
        <x:v>0.07728752223180722</x:v>
      </x:c>
      <x:c r="I204" s="22" t="n">
        <x:f>IF(AND(ISNUMBER(G204),ISNUMBER(H204)),AVERAGE(G204,H204),"")</x:f>
        <x:v>0.07765602522884632</x:v>
      </x:c>
      <x:c r="J204" s="22" t="n">
        <x:f>IFERROR('4000rpm'!AT58,"")</x:f>
        <x:v>0</x:v>
      </x:c>
      <x:c r="K204" s="22" t="n">
        <x:f>IFERROR('4000rpm'!AT68,"")</x:f>
        <x:v>0.3336614173228346</x:v>
      </x:c>
      <x:c r="L204" s="22" t="n">
        <x:f>IFERROR('4000rpm'!AT65,"")</x:f>
        <x:v>0.23356299212598428</x:v>
      </x:c>
      <x:c r="M204" s="22" t="n">
        <x:f>IFERROR('4000rpm'!AS65,"")</x:f>
        <x:v>0.08639431763870087</x:v>
      </x:c>
      <x:c r="N204" s="22" t="n">
        <x:f>IFERROR('4000rpm'!AT66,"")</x:f>
        <x:v>0.2669291338582677</x:v>
      </x:c>
      <x:c r="O204" s="22" t="n">
        <x:f>IFERROR('4000rpm'!AS66,"")</x:f>
        <x:v>0.08737990452620835</x:v>
      </x:c>
      <x:c r="P204" s="22" t="n">
        <x:f>IF(OR(NOT(AND(ISNUMBER(D204),ISNUMBER(E204),ISNUMBER(G204),ISNUMBER(H204))),OR(F204&lt;J204,F204&gt;K204)),"",IF(N204=L204,M204,M204+(F204-L204)*(O204-M204)/(N204-L204)))</x:f>
        <x:v>0.08695907027263697</x:v>
      </x:c>
      <x:c r="Q204" s="22" t="n">
        <x:f>IF(AND(ISNUMBER(I204),ISNUMBER(P204)),I204-P204,"")</x:f>
        <x:v>-0.009303045043790648</x:v>
      </x:c>
      <x:c r="R204" s="22" t="n">
        <x:f>IF(ISNUMBER(Q204),ABS(Q204),"")</x:f>
        <x:v>0.009303045043790648</x:v>
      </x:c>
      <x:c r="S204" s="36" t="n">
        <x:f>IF(AND(ISNUMBER(Q204),ISNUMBER(P204)),IF(ABS(P204)&lt;1E-12,"",Q204/P204),"")</x:f>
        <x:v>-0.10698188256410092</x:v>
      </x:c>
      <x:c r="T204" s="36" t="n">
        <x:f>IF(ISNUMBER(S204),ABS(S204),"")</x:f>
        <x:v>0.10698188256410092</x:v>
      </x:c>
      <x:c r="U204" s="37" t="n">
        <x:f>IF(ISNUMBER(Q204),Q204^2,"")</x:f>
        <x:v>0.00008654664708679773</x:v>
      </x:c>
      <x:c r="V204" s="21" t="str">
        <x:f>IF(NOT(AND(ISNUMBER(D204),ISNUMBER(E204),ISNUMBER(G204),ISNUMBER(H204))),"缺少配对",IF(OR(F204&lt;J204,F204&gt;K204),"超出理论J范围","有效"))</x:f>
        <x:v>有效</x:v>
      </x:c>
      <x:c r="W204" s="20" t="str">
        <x:v>升力 y=0.915708x+28.7687 → C_T_prop；实验攻角 15° ↔ 理论 alpha_p_deg 75°；原升力源 4000rpm!D43/O43</x:v>
      </x:c>
      <x:c r="X204" s="20" t="str">
        <x:v>升力标定计算!M407</x:v>
      </x:c>
      <x:c r="Y204" s="20" t="str">
        <x:v>升力标定计算!M408</x:v>
      </x:c>
      <x:c r="Z204" s="20" t="str">
        <x:v>升力标定计算!N407</x:v>
      </x:c>
      <x:c r="AA204" s="20" t="str">
        <x:v>升力标定计算!N408</x:v>
      </x:c>
      <x:c r="AB204" s="20" t="str">
        <x:v>4000rpm!AT65:AS66</x:v>
      </x:c>
    </x:row>
    <x:row r="205">
      <x:c r="A205" s="21" t="n">
        <x:v>4000</x:v>
      </x:c>
      <x:c r="B205" s="21" t="n">
        <x:v>15</x:v>
      </x:c>
      <x:c r="C205" s="21" t="n">
        <x:v>15</x:v>
      </x:c>
      <x:c r="D205" s="22" t="n">
        <x:f>IFERROR('升力标定计算'!M409,"")</x:f>
        <x:v>0.20253296625454928</x:v>
      </x:c>
      <x:c r="E205" s="22" t="n">
        <x:f>IFERROR('升力标定计算'!M410,"")</x:f>
        <x:v>0.23771246872448729</x:v>
      </x:c>
      <x:c r="F205" s="22" t="n">
        <x:f>IF(AND(ISNUMBER(D205),ISNUMBER(E205)),AVERAGE(D205,E205),"")</x:f>
        <x:v>0.22012271748951828</x:v>
      </x:c>
      <x:c r="G205" s="22" t="n">
        <x:f>IFERROR('升力标定计算'!N409,"")</x:f>
        <x:v>0.07676202914192327</x:v>
      </x:c>
      <x:c r="H205" s="22" t="n">
        <x:f>IFERROR('升力标定计算'!N410,"")</x:f>
        <x:v>0.07814472864258983</x:v>
      </x:c>
      <x:c r="I205" s="22" t="n">
        <x:f>IF(AND(ISNUMBER(G205),ISNUMBER(H205)),AVERAGE(G205,H205),"")</x:f>
        <x:v>0.07745337889225655</x:v>
      </x:c>
      <x:c r="J205" s="22" t="n">
        <x:f>IFERROR('4000rpm'!AT58,"")</x:f>
        <x:v>0</x:v>
      </x:c>
      <x:c r="K205" s="22" t="n">
        <x:f>IFERROR('4000rpm'!AT68,"")</x:f>
        <x:v>0.3336614173228346</x:v>
      </x:c>
      <x:c r="L205" s="22" t="n">
        <x:f>IFERROR('4000rpm'!AT64,"")</x:f>
        <x:v>0.2001968503937008</x:v>
      </x:c>
      <x:c r="M205" s="22" t="n">
        <x:f>IFERROR('4000rpm'!AS64,"")</x:f>
        <x:v>0.08539157390891494</x:v>
      </x:c>
      <x:c r="N205" s="22" t="n">
        <x:f>IFERROR('4000rpm'!AT65,"")</x:f>
        <x:v>0.23356299212598428</x:v>
      </x:c>
      <x:c r="O205" s="22" t="n">
        <x:f>IFERROR('4000rpm'!AS65,"")</x:f>
        <x:v>0.08639431763870087</x:v>
      </x:c>
      <x:c r="P205" s="22" t="n">
        <x:f>IF(OR(NOT(AND(ISNUMBER(D205),ISNUMBER(E205),ISNUMBER(G205),ISNUMBER(H205))),OR(F205&lt;J205,F205&gt;K205)),"",IF(N205=L205,M205,M205+(F205-L205)*(O205-M205)/(N205-L205)))</x:f>
        <x:v>0.08599040066123154</x:v>
      </x:c>
      <x:c r="Q205" s="22" t="n">
        <x:f>IF(AND(ISNUMBER(I205),ISNUMBER(P205)),I205-P205,"")</x:f>
        <x:v>-0.008537021768974987</x:v>
      </x:c>
      <x:c r="R205" s="22" t="n">
        <x:f>IF(ISNUMBER(Q205),ABS(Q205),"")</x:f>
        <x:v>0.008537021768974987</x:v>
      </x:c>
      <x:c r="S205" s="36" t="n">
        <x:f>IF(AND(ISNUMBER(Q205),ISNUMBER(P205)),IF(ABS(P205)&lt;1E-12,"",Q205/P205),"")</x:f>
        <x:v>-0.09927877650678132</x:v>
      </x:c>
      <x:c r="T205" s="36" t="n">
        <x:f>IF(ISNUMBER(S205),ABS(S205),"")</x:f>
        <x:v>0.09927877650678132</x:v>
      </x:c>
      <x:c r="U205" s="37" t="n">
        <x:f>IF(ISNUMBER(Q205),Q205^2,"")</x:f>
        <x:v>0.0000728807406839528</x:v>
      </x:c>
      <x:c r="V205" s="21" t="str">
        <x:f>IF(NOT(AND(ISNUMBER(D205),ISNUMBER(E205),ISNUMBER(G205),ISNUMBER(H205))),"缺少配对",IF(OR(F205&lt;J205,F205&gt;K205),"超出理论J范围","有效"))</x:f>
        <x:v>有效</x:v>
      </x:c>
      <x:c r="W205" s="20" t="str">
        <x:v>升力 y=0.915708x+28.7687 → C_T_prop；实验攻角 15° ↔ 理论 alpha_p_deg 75°；原升力源 4000rpm!D44/O44</x:v>
      </x:c>
      <x:c r="X205" s="20" t="str">
        <x:v>升力标定计算!M409</x:v>
      </x:c>
      <x:c r="Y205" s="20" t="str">
        <x:v>升力标定计算!M410</x:v>
      </x:c>
      <x:c r="Z205" s="20" t="str">
        <x:v>升力标定计算!N409</x:v>
      </x:c>
      <x:c r="AA205" s="20" t="str">
        <x:v>升力标定计算!N410</x:v>
      </x:c>
      <x:c r="AB205" s="20" t="str">
        <x:v>4000rpm!AT64:AS65</x:v>
      </x:c>
    </x:row>
    <x:row r="206">
      <x:c r="A206" s="21" t="n">
        <x:v>4000</x:v>
      </x:c>
      <x:c r="B206" s="21" t="n">
        <x:v>15</x:v>
      </x:c>
      <x:c r="C206" s="21" t="n">
        <x:v>16</x:v>
      </x:c>
      <x:c r="D206" s="22" t="n">
        <x:f>IFERROR('升力标定计算'!M411,"")</x:f>
        <x:v>0.16837227284375617</x:v>
      </x:c>
      <x:c r="E206" s="22" t="n">
        <x:f>IFERROR('升力标定计算'!M412,"")</x:f>
        <x:v>0.204387905323996</x:v>
      </x:c>
      <x:c r="F206" s="22" t="n">
        <x:f>IF(AND(ISNUMBER(D206),ISNUMBER(E206)),AVERAGE(D206,E206),"")</x:f>
        <x:v>0.1863800890838761</x:v>
      </x:c>
      <x:c r="G206" s="22" t="n">
        <x:f>IFERROR('升力标定计算'!N411,"")</x:f>
        <x:v>0.07600457269002521</x:v>
      </x:c>
      <x:c r="H206" s="22" t="n">
        <x:f>IFERROR('升力标定计算'!N412,"")</x:f>
        <x:v>0.07746736491962548</x:v>
      </x:c>
      <x:c r="I206" s="22" t="n">
        <x:f>IF(AND(ISNUMBER(G206),ISNUMBER(H206)),AVERAGE(G206,H206),"")</x:f>
        <x:v>0.07673596880482535</x:v>
      </x:c>
      <x:c r="J206" s="22" t="n">
        <x:f>IFERROR('4000rpm'!AT58,"")</x:f>
        <x:v>0</x:v>
      </x:c>
      <x:c r="K206" s="22" t="n">
        <x:f>IFERROR('4000rpm'!AT68,"")</x:f>
        <x:v>0.3336614173228346</x:v>
      </x:c>
      <x:c r="L206" s="22" t="n">
        <x:f>IFERROR('4000rpm'!AT63,"")</x:f>
        <x:v>0.1668307086614173</x:v>
      </x:c>
      <x:c r="M206" s="22" t="n">
        <x:f>IFERROR('4000rpm'!AS63,"")</x:f>
        <x:v>0.08443111000403992</x:v>
      </x:c>
      <x:c r="N206" s="22" t="n">
        <x:f>IFERROR('4000rpm'!AT64,"")</x:f>
        <x:v>0.2001968503937008</x:v>
      </x:c>
      <x:c r="O206" s="22" t="n">
        <x:f>IFERROR('4000rpm'!AS64,"")</x:f>
        <x:v>0.08539157390891494</x:v>
      </x:c>
      <x:c r="P206" s="22" t="n">
        <x:f>IF(OR(NOT(AND(ISNUMBER(D206),ISNUMBER(E206),ISNUMBER(G206),ISNUMBER(H206))),OR(F206&lt;J206,F206&gt;K206)),"",IF(N206=L206,M206,M206+(F206-L206)*(O206-M206)/(N206-L206)))</x:f>
        <x:v>0.08499385035349648</x:v>
      </x:c>
      <x:c r="Q206" s="22" t="n">
        <x:f>IF(AND(ISNUMBER(I206),ISNUMBER(P206)),I206-P206,"")</x:f>
        <x:v>-0.008257881548671131</x:v>
      </x:c>
      <x:c r="R206" s="22" t="n">
        <x:f>IF(ISNUMBER(Q206),ABS(Q206),"")</x:f>
        <x:v>0.008257881548671131</x:v>
      </x:c>
      <x:c r="S206" s="36" t="n">
        <x:f>IF(AND(ISNUMBER(Q206),ISNUMBER(P206)),IF(ABS(P206)&lt;1E-12,"",Q206/P206),"")</x:f>
        <x:v>-0.09715857693616557</x:v>
      </x:c>
      <x:c r="T206" s="36" t="n">
        <x:f>IF(ISNUMBER(S206),ABS(S206),"")</x:f>
        <x:v>0.09715857693616557</x:v>
      </x:c>
      <x:c r="U206" s="37" t="n">
        <x:f>IF(ISNUMBER(Q206),Q206^2,"")</x:f>
        <x:v>0.00006819260767188312</x:v>
      </x:c>
      <x:c r="V206" s="21" t="str">
        <x:f>IF(NOT(AND(ISNUMBER(D206),ISNUMBER(E206),ISNUMBER(G206),ISNUMBER(H206))),"缺少配对",IF(OR(F206&lt;J206,F206&gt;K206),"超出理论J范围","有效"))</x:f>
        <x:v>有效</x:v>
      </x:c>
      <x:c r="W206" s="20" t="str">
        <x:v>升力 y=0.915708x+28.7687 → C_T_prop；实验攻角 15° ↔ 理论 alpha_p_deg 75°；原升力源 4000rpm!D45/O45</x:v>
      </x:c>
      <x:c r="X206" s="20" t="str">
        <x:v>升力标定计算!M411</x:v>
      </x:c>
      <x:c r="Y206" s="20" t="str">
        <x:v>升力标定计算!M412</x:v>
      </x:c>
      <x:c r="Z206" s="20" t="str">
        <x:v>升力标定计算!N411</x:v>
      </x:c>
      <x:c r="AA206" s="20" t="str">
        <x:v>升力标定计算!N412</x:v>
      </x:c>
      <x:c r="AB206" s="20" t="str">
        <x:v>4000rpm!AT63:AS64</x:v>
      </x:c>
    </x:row>
    <x:row r="207">
      <x:c r="A207" s="21" t="n">
        <x:v>4000</x:v>
      </x:c>
      <x:c r="B207" s="21" t="n">
        <x:v>15</x:v>
      </x:c>
      <x:c r="C207" s="21" t="n">
        <x:v>17</x:v>
      </x:c>
      <x:c r="D207" s="22" t="n">
        <x:f>IFERROR('升力标定计算'!M413,"")</x:f>
        <x:v>0.13540824145200575</x:v>
      </x:c>
      <x:c r="E207" s="22" t="n">
        <x:f>IFERROR('升力标定计算'!M414,"")</x:f>
        <x:v>0.16979486950758546</x:v>
      </x:c>
      <x:c r="F207" s="22" t="n">
        <x:f>IF(AND(ISNUMBER(D207),ISNUMBER(E207)),AVERAGE(D207,E207),"")</x:f>
        <x:v>0.1526015554797956</x:v>
      </x:c>
      <x:c r="G207" s="22" t="n">
        <x:f>IFERROR('升力标定计算'!N413,"")</x:f>
        <x:v>0.07623618557308505</x:v>
      </x:c>
      <x:c r="H207" s="22" t="n">
        <x:f>IFERROR('升力标定计算'!N414,"")</x:f>
        <x:v>0.07625892802989545</x:v>
      </x:c>
      <x:c r="I207" s="22" t="n">
        <x:f>IF(AND(ISNUMBER(G207),ISNUMBER(H207)),AVERAGE(G207,H207),"")</x:f>
        <x:v>0.07624755680149026</x:v>
      </x:c>
      <x:c r="J207" s="22" t="n">
        <x:f>IFERROR('4000rpm'!AT58,"")</x:f>
        <x:v>0</x:v>
      </x:c>
      <x:c r="K207" s="22" t="n">
        <x:f>IFERROR('4000rpm'!AT68,"")</x:f>
        <x:v>0.3336614173228346</x:v>
      </x:c>
      <x:c r="L207" s="22" t="n">
        <x:f>IFERROR('4000rpm'!AT62,"")</x:f>
        <x:v>0.13346456692913386</x:v>
      </x:c>
      <x:c r="M207" s="22" t="n">
        <x:f>IFERROR('4000rpm'!AS62,"")</x:f>
        <x:v>0.08357877651127703</x:v>
      </x:c>
      <x:c r="N207" s="22" t="n">
        <x:f>IFERROR('4000rpm'!AT63,"")</x:f>
        <x:v>0.1668307086614173</x:v>
      </x:c>
      <x:c r="O207" s="22" t="n">
        <x:f>IFERROR('4000rpm'!AS63,"")</x:f>
        <x:v>0.08443111000403992</x:v>
      </x:c>
      <x:c r="P207" s="22" t="n">
        <x:f>IF(OR(NOT(AND(ISNUMBER(D207),ISNUMBER(E207),ISNUMBER(G207),ISNUMBER(H207))),OR(F207&lt;J207,F207&gt;K207)),"",IF(N207=L207,M207,M207+(F207-L207)*(O207-M207)/(N207-L207)))</x:f>
        <x:v>0.08406762824676454</x:v>
      </x:c>
      <x:c r="Q207" s="22" t="n">
        <x:f>IF(AND(ISNUMBER(I207),ISNUMBER(P207)),I207-P207,"")</x:f>
        <x:v>-0.007820071445274288</x:v>
      </x:c>
      <x:c r="R207" s="22" t="n">
        <x:f>IF(ISNUMBER(Q207),ABS(Q207),"")</x:f>
        <x:v>0.007820071445274288</x:v>
      </x:c>
      <x:c r="S207" s="36" t="n">
        <x:f>IF(AND(ISNUMBER(Q207),ISNUMBER(P207)),IF(ABS(P207)&lt;1E-12,"",Q207/P207),"")</x:f>
        <x:v>-0.0930211974378527</x:v>
      </x:c>
      <x:c r="T207" s="36" t="n">
        <x:f>IF(ISNUMBER(S207),ABS(S207),"")</x:f>
        <x:v>0.0930211974378527</x:v>
      </x:c>
      <x:c r="U207" s="37" t="n">
        <x:f>IF(ISNUMBER(Q207),Q207^2,"")</x:f>
        <x:v>0.00006115351740919428</x:v>
      </x:c>
      <x:c r="V207" s="21" t="str">
        <x:f>IF(NOT(AND(ISNUMBER(D207),ISNUMBER(E207),ISNUMBER(G207),ISNUMBER(H207))),"缺少配对",IF(OR(F207&lt;J207,F207&gt;K207),"超出理论J范围","有效"))</x:f>
        <x:v>有效</x:v>
      </x:c>
      <x:c r="W207" s="20" t="str">
        <x:v>升力 y=0.915708x+28.7687 → C_T_prop；实验攻角 15° ↔ 理论 alpha_p_deg 75°；原升力源 4000rpm!D46/O46</x:v>
      </x:c>
      <x:c r="X207" s="20" t="str">
        <x:v>升力标定计算!M413</x:v>
      </x:c>
      <x:c r="Y207" s="20" t="str">
        <x:v>升力标定计算!M414</x:v>
      </x:c>
      <x:c r="Z207" s="20" t="str">
        <x:v>升力标定计算!N413</x:v>
      </x:c>
      <x:c r="AA207" s="20" t="str">
        <x:v>升力标定计算!N414</x:v>
      </x:c>
      <x:c r="AB207" s="20" t="str">
        <x:v>4000rpm!AT62:AS63</x:v>
      </x:c>
    </x:row>
    <x:row r="208">
      <x:c r="A208" s="21" t="n">
        <x:v>4000</x:v>
      </x:c>
      <x:c r="B208" s="21" t="n">
        <x:v>15</x:v>
      </x:c>
      <x:c r="C208" s="21" t="n">
        <x:v>18</x:v>
      </x:c>
      <x:c r="D208" s="22" t="n">
        <x:f>IFERROR('升力标定计算'!M415,"")</x:f>
        <x:v>0.10119099627463599</x:v>
      </x:c>
      <x:c r="E208" s="22" t="n">
        <x:f>IFERROR('升力标定计算'!M416,"")</x:f>
        <x:v>0.13590609497201497</x:v>
      </x:c>
      <x:c r="F208" s="22" t="n">
        <x:f>IF(AND(ISNUMBER(D208),ISNUMBER(E208)),AVERAGE(D208,E208),"")</x:f>
        <x:v>0.11854854562332548</x:v>
      </x:c>
      <x:c r="G208" s="22" t="n">
        <x:f>IFERROR('升力标定计算'!N415,"")</x:f>
        <x:v>0.07598608352974842</x:v>
      </x:c>
      <x:c r="H208" s="22" t="n">
        <x:f>IFERROR('升力标定计算'!N416,"")</x:f>
        <x:v>0.07615792556903013</x:v>
      </x:c>
      <x:c r="I208" s="22" t="n">
        <x:f>IF(AND(ISNUMBER(G208),ISNUMBER(H208)),AVERAGE(G208,H208),"")</x:f>
        <x:v>0.07607200454938928</x:v>
      </x:c>
      <x:c r="J208" s="22" t="n">
        <x:f>IFERROR('4000rpm'!AT58,"")</x:f>
        <x:v>0</x:v>
      </x:c>
      <x:c r="K208" s="22" t="n">
        <x:f>IFERROR('4000rpm'!AT68,"")</x:f>
        <x:v>0.3336614173228346</x:v>
      </x:c>
      <x:c r="L208" s="22" t="n">
        <x:f>IFERROR('4000rpm'!AT61,"")</x:f>
        <x:v>0.1000984251968504</x:v>
      </x:c>
      <x:c r="M208" s="22" t="n">
        <x:f>IFERROR('4000rpm'!AS61,"")</x:f>
        <x:v>0.08293956885107359</x:v>
      </x:c>
      <x:c r="N208" s="22" t="n">
        <x:f>IFERROR('4000rpm'!AT62,"")</x:f>
        <x:v>0.13346456692913386</x:v>
      </x:c>
      <x:c r="O208" s="22" t="n">
        <x:f>IFERROR('4000rpm'!AS62,"")</x:f>
        <x:v>0.08357877651127703</x:v>
      </x:c>
      <x:c r="P208" s="22" t="n">
        <x:f>IF(OR(NOT(AND(ISNUMBER(D208),ISNUMBER(E208),ISNUMBER(G208),ISNUMBER(H208))),OR(F208&lt;J208,F208&gt;K208)),"",IF(N208=L208,M208,M208+(F208-L208)*(O208-M208)/(N208-L208)))</x:f>
        <x:v>0.08329302471069634</x:v>
      </x:c>
      <x:c r="Q208" s="22" t="n">
        <x:f>IF(AND(ISNUMBER(I208),ISNUMBER(P208)),I208-P208,"")</x:f>
        <x:v>-0.00722102016130706</x:v>
      </x:c>
      <x:c r="R208" s="22" t="n">
        <x:f>IF(ISNUMBER(Q208),ABS(Q208),"")</x:f>
        <x:v>0.00722102016130706</x:v>
      </x:c>
      <x:c r="S208" s="36" t="n">
        <x:f>IF(AND(ISNUMBER(Q208),ISNUMBER(P208)),IF(ABS(P208)&lt;1E-12,"",Q208/P208),"")</x:f>
        <x:v>-0.08669417620968865</x:v>
      </x:c>
      <x:c r="T208" s="36" t="n">
        <x:f>IF(ISNUMBER(S208),ABS(S208),"")</x:f>
        <x:v>0.08669417620968865</x:v>
      </x:c>
      <x:c r="U208" s="37" t="n">
        <x:f>IF(ISNUMBER(Q208),Q208^2,"")</x:f>
        <x:v>0.000052143132170003036</x:v>
      </x:c>
      <x:c r="V208" s="21" t="str">
        <x:f>IF(NOT(AND(ISNUMBER(D208),ISNUMBER(E208),ISNUMBER(G208),ISNUMBER(H208))),"缺少配对",IF(OR(F208&lt;J208,F208&gt;K208),"超出理论J范围","有效"))</x:f>
        <x:v>有效</x:v>
      </x:c>
      <x:c r="W208" s="20" t="str">
        <x:v>升力 y=0.915708x+28.7687 → C_T_prop；实验攻角 15° ↔ 理论 alpha_p_deg 75°；原升力源 4000rpm!D47/O47</x:v>
      </x:c>
      <x:c r="X208" s="20" t="str">
        <x:v>升力标定计算!M415</x:v>
      </x:c>
      <x:c r="Y208" s="20" t="str">
        <x:v>升力标定计算!M416</x:v>
      </x:c>
      <x:c r="Z208" s="20" t="str">
        <x:v>升力标定计算!N415</x:v>
      </x:c>
      <x:c r="AA208" s="20" t="str">
        <x:v>升力标定计算!N416</x:v>
      </x:c>
      <x:c r="AB208" s="20" t="str">
        <x:v>4000rpm!AT61:AS62</x:v>
      </x:c>
    </x:row>
    <x:row r="209">
      <x:c r="A209" s="21" t="n">
        <x:v>4000</x:v>
      </x:c>
      <x:c r="B209" s="21" t="n">
        <x:v>15</x:v>
      </x:c>
      <x:c r="C209" s="21" t="n">
        <x:v>19</x:v>
      </x:c>
      <x:c r="D209" s="22" t="n">
        <x:f>IFERROR('升力标定计算'!M417,"")</x:f>
        <x:v>0.06848877817547244</x:v>
      </x:c>
      <x:c r="E209" s="22" t="n">
        <x:f>IFERROR('升力标定计算'!M418,"")</x:f>
        <x:v>0.10204954228475621</x:v>
      </x:c>
      <x:c r="F209" s="22" t="n">
        <x:f>IF(AND(ISNUMBER(D209),ISNUMBER(E209)),AVERAGE(D209,E209),"")</x:f>
        <x:v>0.08526916023011433</x:v>
      </x:c>
      <x:c r="G209" s="22" t="n">
        <x:f>IFERROR('升力标定计算'!N417,"")</x:f>
        <x:v>0.0778688013986925</x:v>
      </x:c>
      <x:c r="H209" s="22" t="n">
        <x:f>IFERROR('升力标定计算'!N418,"")</x:f>
        <x:v>0.07603871861981007</x:v>
      </x:c>
      <x:c r="I209" s="22" t="n">
        <x:f>IF(AND(ISNUMBER(G209),ISNUMBER(H209)),AVERAGE(G209,H209),"")</x:f>
        <x:v>0.07695376000925128</x:v>
      </x:c>
      <x:c r="J209" s="22" t="n">
        <x:f>IFERROR('4000rpm'!AT58,"")</x:f>
        <x:v>0</x:v>
      </x:c>
      <x:c r="K209" s="22" t="n">
        <x:f>IFERROR('4000rpm'!AT68,"")</x:f>
        <x:v>0.3336614173228346</x:v>
      </x:c>
      <x:c r="L209" s="22" t="n">
        <x:f>IFERROR('4000rpm'!AT60,"")</x:f>
        <x:v>0.06673228346456693</x:v>
      </x:c>
      <x:c r="M209" s="22" t="n">
        <x:f>IFERROR('4000rpm'!AS60,"")</x:f>
        <x:v>0.08261540568445706</x:v>
      </x:c>
      <x:c r="N209" s="22" t="n">
        <x:f>IFERROR('4000rpm'!AT61,"")</x:f>
        <x:v>0.1000984251968504</x:v>
      </x:c>
      <x:c r="O209" s="22" t="n">
        <x:f>IFERROR('4000rpm'!AS61,"")</x:f>
        <x:v>0.08293956885107359</x:v>
      </x:c>
      <x:c r="P209" s="22" t="n">
        <x:f>IF(OR(NOT(AND(ISNUMBER(D209),ISNUMBER(E209),ISNUMBER(G209),ISNUMBER(H209))),OR(F209&lt;J209,F209&gt;K209)),"",IF(N209=L209,M209,M209+(F209-L209)*(O209-M209)/(N209-L209)))</x:f>
        <x:v>0.08279549760877106</x:v>
      </x:c>
      <x:c r="Q209" s="22" t="n">
        <x:f>IF(AND(ISNUMBER(I209),ISNUMBER(P209)),I209-P209,"")</x:f>
        <x:v>-0.005841737599519781</x:v>
      </x:c>
      <x:c r="R209" s="22" t="n">
        <x:f>IF(ISNUMBER(Q209),ABS(Q209),"")</x:f>
        <x:v>0.005841737599519781</x:v>
      </x:c>
      <x:c r="S209" s="36" t="n">
        <x:f>IF(AND(ISNUMBER(Q209),ISNUMBER(P209)),IF(ABS(P209)&lt;1E-12,"",Q209/P209),"")</x:f>
        <x:v>-0.0705562230826055</x:v>
      </x:c>
      <x:c r="T209" s="36" t="n">
        <x:f>IF(ISNUMBER(S209),ABS(S209),"")</x:f>
        <x:v>0.0705562230826055</x:v>
      </x:c>
      <x:c r="U209" s="37" t="n">
        <x:f>IF(ISNUMBER(Q209),Q209^2,"")</x:f>
        <x:v>0.00003412589818164313</x:v>
      </x:c>
      <x:c r="V209" s="21" t="str">
        <x:f>IF(NOT(AND(ISNUMBER(D209),ISNUMBER(E209),ISNUMBER(G209),ISNUMBER(H209))),"缺少配对",IF(OR(F209&lt;J209,F209&gt;K209),"超出理论J范围","有效"))</x:f>
        <x:v>有效</x:v>
      </x:c>
      <x:c r="W209" s="20" t="str">
        <x:v>升力 y=0.915708x+28.7687 → C_T_prop；实验攻角 15° ↔ 理论 alpha_p_deg 75°；原升力源 4000rpm!D48/O48</x:v>
      </x:c>
      <x:c r="X209" s="20" t="str">
        <x:v>升力标定计算!M417</x:v>
      </x:c>
      <x:c r="Y209" s="20" t="str">
        <x:v>升力标定计算!M418</x:v>
      </x:c>
      <x:c r="Z209" s="20" t="str">
        <x:v>升力标定计算!N417</x:v>
      </x:c>
      <x:c r="AA209" s="20" t="str">
        <x:v>升力标定计算!N418</x:v>
      </x:c>
      <x:c r="AB209" s="20" t="str">
        <x:v>4000rpm!AT60:AS61</x:v>
      </x:c>
    </x:row>
    <x:row r="210">
      <x:c r="A210" s="21" t="n">
        <x:v>4000</x:v>
      </x:c>
      <x:c r="B210" s="21" t="n">
        <x:v>15</x:v>
      </x:c>
      <x:c r="C210" s="21" t="n">
        <x:v>20</x:v>
      </x:c>
      <x:c r="D210" s="22" t="n">
        <x:f>IFERROR('升力标定计算'!M419,"")</x:f>
        <x:v>0.034167908206391574</x:v>
      </x:c>
      <x:c r="E210" s="22" t="n">
        <x:f>IFERROR('升力标定计算'!M420,"")</x:f>
        <x:v>0.0687459977770044</x:v>
      </x:c>
      <x:c r="F210" s="22" t="n">
        <x:f>IF(AND(ISNUMBER(D210),ISNUMBER(E210)),AVERAGE(D210,E210),"")</x:f>
        <x:v>0.05145695299169799</x:v>
      </x:c>
      <x:c r="G210" s="22" t="n">
        <x:f>IFERROR('升力标定计算'!N419,"")</x:f>
        <x:v>0.07725613669812711</x:v>
      </x:c>
      <x:c r="H210" s="22" t="n">
        <x:f>IFERROR('升力标定计算'!N420,"")</x:f>
        <x:v>0.07751985516698558</x:v>
      </x:c>
      <x:c r="I210" s="22" t="n">
        <x:f>IF(AND(ISNUMBER(G210),ISNUMBER(H210)),AVERAGE(G210,H210),"")</x:f>
        <x:v>0.07738799593255635</x:v>
      </x:c>
      <x:c r="J210" s="22" t="n">
        <x:f>IFERROR('4000rpm'!AT58,"")</x:f>
        <x:v>0</x:v>
      </x:c>
      <x:c r="K210" s="22" t="n">
        <x:f>IFERROR('4000rpm'!AT68,"")</x:f>
        <x:v>0.3336614173228346</x:v>
      </x:c>
      <x:c r="L210" s="22" t="n">
        <x:f>IFERROR('4000rpm'!AT59,"")</x:f>
        <x:v>0.033366141732283465</x:v>
      </x:c>
      <x:c r="M210" s="22" t="n">
        <x:f>IFERROR('4000rpm'!AS59,"")</x:f>
        <x:v>0.08269740478736926</x:v>
      </x:c>
      <x:c r="N210" s="22" t="n">
        <x:f>IFERROR('4000rpm'!AT60,"")</x:f>
        <x:v>0.06673228346456693</x:v>
      </x:c>
      <x:c r="O210" s="22" t="n">
        <x:f>IFERROR('4000rpm'!AS60,"")</x:f>
        <x:v>0.08261540568445706</x:v>
      </x:c>
      <x:c r="P210" s="22" t="n">
        <x:f>IF(OR(NOT(AND(ISNUMBER(D210),ISNUMBER(E210),ISNUMBER(G210),ISNUMBER(H210))),OR(F210&lt;J210,F210&gt;K210)),"",IF(N210=L210,M210,M210+(F210-L210)*(O210-M210)/(N210-L210)))</x:f>
        <x:v>0.08265294563754821</x:v>
      </x:c>
      <x:c r="Q210" s="22" t="n">
        <x:f>IF(AND(ISNUMBER(I210),ISNUMBER(P210)),I210-P210,"")</x:f>
        <x:v>-0.0052649497049918614</x:v>
      </x:c>
      <x:c r="R210" s="22" t="n">
        <x:f>IF(ISNUMBER(Q210),ABS(Q210),"")</x:f>
        <x:v>0.0052649497049918614</x:v>
      </x:c>
      <x:c r="S210" s="36" t="n">
        <x:f>IF(AND(ISNUMBER(Q210),ISNUMBER(P210)),IF(ABS(P210)&lt;1E-12,"",Q210/P210),"")</x:f>
        <x:v>-0.0636994805736247</x:v>
      </x:c>
      <x:c r="T210" s="36" t="n">
        <x:f>IF(ISNUMBER(S210),ABS(S210),"")</x:f>
        <x:v>0.0636994805736247</x:v>
      </x:c>
      <x:c r="U210" s="37" t="n">
        <x:f>IF(ISNUMBER(Q210),Q210^2,"")</x:f>
        <x:v>0.000027719695396093888</x:v>
      </x:c>
      <x:c r="V210" s="21" t="str">
        <x:f>IF(NOT(AND(ISNUMBER(D210),ISNUMBER(E210),ISNUMBER(G210),ISNUMBER(H210))),"缺少配对",IF(OR(F210&lt;J210,F210&gt;K210),"超出理论J范围","有效"))</x:f>
        <x:v>有效</x:v>
      </x:c>
      <x:c r="W210" s="20" t="str">
        <x:v>升力 y=0.915708x+28.7687 → C_T_prop；实验攻角 15° ↔ 理论 alpha_p_deg 75°；原升力源 4000rpm!D49/O49</x:v>
      </x:c>
      <x:c r="X210" s="20" t="str">
        <x:v>升力标定计算!M419</x:v>
      </x:c>
      <x:c r="Y210" s="20" t="str">
        <x:v>升力标定计算!M420</x:v>
      </x:c>
      <x:c r="Z210" s="20" t="str">
        <x:v>升力标定计算!N419</x:v>
      </x:c>
      <x:c r="AA210" s="20" t="str">
        <x:v>升力标定计算!N420</x:v>
      </x:c>
      <x:c r="AB210" s="20" t="str">
        <x:v>4000rpm!AT59:AS60</x:v>
      </x:c>
    </x:row>
    <x:row r="211">
      <x:c r="A211" s="21" t="n">
        <x:v>4000</x:v>
      </x:c>
      <x:c r="B211" s="21" t="n">
        <x:v>15</x:v>
      </x:c>
      <x:c r="C211" s="21" t="n">
        <x:v>21</x:v>
      </x:c>
      <x:c r="D211" s="22" t="n">
        <x:f>IFERROR('升力标定计算'!M421,"")</x:f>
        <x:v>0.004009419498382095</x:v>
      </x:c>
      <x:c r="E211" s="22" t="n">
        <x:f>IFERROR('升力标定计算'!M422,"")</x:f>
        <x:v>0.03446428439963968</x:v>
      </x:c>
      <x:c r="F211" s="22" t="n">
        <x:f>IF(AND(ISNUMBER(D211),ISNUMBER(E211)),AVERAGE(D211,E211),"")</x:f>
        <x:v>0.019236851949010886</x:v>
      </x:c>
      <x:c r="G211" s="22" t="n">
        <x:f>IFERROR('升力标定计算'!N421,"")</x:f>
        <x:v>0.07739566007900135</x:v>
      </x:c>
      <x:c r="H211" s="22" t="n">
        <x:f>IFERROR('升力标定计算'!N422,"")</x:f>
        <x:v>0.07713315452371224</x:v>
      </x:c>
      <x:c r="I211" s="22" t="n">
        <x:f>IF(AND(ISNUMBER(G211),ISNUMBER(H211)),AVERAGE(G211,H211),"")</x:f>
        <x:v>0.0772644073013568</x:v>
      </x:c>
      <x:c r="J211" s="22" t="n">
        <x:f>IFERROR('4000rpm'!AT58,"")</x:f>
        <x:v>0</x:v>
      </x:c>
      <x:c r="K211" s="22" t="n">
        <x:f>IFERROR('4000rpm'!AT68,"")</x:f>
        <x:v>0.3336614173228346</x:v>
      </x:c>
      <x:c r="L211" s="22" t="n">
        <x:f>IFERROR('4000rpm'!AT58,"")</x:f>
        <x:v>0</x:v>
      </x:c>
      <x:c r="M211" s="22" t="n">
        <x:f>IFERROR('4000rpm'!AS58,"")</x:f>
        <x:v>0.08350690647788582</x:v>
      </x:c>
      <x:c r="N211" s="22" t="n">
        <x:f>IFERROR('4000rpm'!AT59,"")</x:f>
        <x:v>0.033366141732283465</x:v>
      </x:c>
      <x:c r="O211" s="22" t="n">
        <x:f>IFERROR('4000rpm'!AS59,"")</x:f>
        <x:v>0.08269740478736926</x:v>
      </x:c>
      <x:c r="P211" s="22" t="n">
        <x:f>IF(OR(NOT(AND(ISNUMBER(D211),ISNUMBER(E211),ISNUMBER(G211),ISNUMBER(H211))),OR(F211&lt;J211,F211&gt;K211)),"",IF(N211=L211,M211,M211+(F211-L211)*(O211-M211)/(N211-L211)))</x:f>
        <x:v>0.08304019791152274</x:v>
      </x:c>
      <x:c r="Q211" s="22" t="n">
        <x:f>IF(AND(ISNUMBER(I211),ISNUMBER(P211)),I211-P211,"")</x:f>
        <x:v>-0.005775790610165948</x:v>
      </x:c>
      <x:c r="R211" s="22" t="n">
        <x:f>IF(ISNUMBER(Q211),ABS(Q211),"")</x:f>
        <x:v>0.005775790610165948</x:v>
      </x:c>
      <x:c r="S211" s="36" t="n">
        <x:f>IF(AND(ISNUMBER(Q211),ISNUMBER(P211)),IF(ABS(P211)&lt;1E-12,"",Q211/P211),"")</x:f>
        <x:v>-0.06955415275286204</x:v>
      </x:c>
      <x:c r="T211" s="36" t="n">
        <x:f>IF(ISNUMBER(S211),ABS(S211),"")</x:f>
        <x:v>0.06955415275286204</x:v>
      </x:c>
      <x:c r="U211" s="37" t="n">
        <x:f>IF(ISNUMBER(Q211),Q211^2,"")</x:f>
        <x:v>0.00003335975717248114</x:v>
      </x:c>
      <x:c r="V211" s="21" t="str">
        <x:f>IF(NOT(AND(ISNUMBER(D211),ISNUMBER(E211),ISNUMBER(G211),ISNUMBER(H211))),"缺少配对",IF(OR(F211&lt;J211,F211&gt;K211),"超出理论J范围","有效"))</x:f>
        <x:v>有效</x:v>
      </x:c>
      <x:c r="W211" s="20" t="str">
        <x:v>升力 y=0.915708x+28.7687 → C_T_prop；实验攻角 15° ↔ 理论 alpha_p_deg 75°；原升力源 4000rpm!D50/O50</x:v>
      </x:c>
      <x:c r="X211" s="20" t="str">
        <x:v>升力标定计算!M421</x:v>
      </x:c>
      <x:c r="Y211" s="20" t="str">
        <x:v>升力标定计算!M422</x:v>
      </x:c>
      <x:c r="Z211" s="20" t="str">
        <x:v>升力标定计算!N421</x:v>
      </x:c>
      <x:c r="AA211" s="20" t="str">
        <x:v>升力标定计算!N422</x:v>
      </x:c>
      <x:c r="AB211" s="20" t="str">
        <x:v>4000rpm!AT58:AS59</x:v>
      </x:c>
    </x:row>
    <x:row r="212">
      <x:c r="A212" s="21" t="n">
        <x:v>4000</x:v>
      </x:c>
      <x:c r="B212" s="21" t="n">
        <x:v>15</x:v>
      </x:c>
      <x:c r="C212" s="21" t="n">
        <x:v>22</x:v>
      </x:c>
      <x:c r="D212" s="22" t="str">
        <x:f>IFERROR('升力标定计算'!M423,"")</x:f>
      </x:c>
      <x:c r="E212" s="22" t="n">
        <x:f>IFERROR('升力标定计算'!M424,"")</x:f>
        <x:v>0.004121812729762036</x:v>
      </x:c>
      <x:c r="F212" s="22" t="str">
        <x:f>IF(AND(ISNUMBER(D212),ISNUMBER(E212)),AVERAGE(D212,E212),"")</x:f>
      </x:c>
      <x:c r="G212" s="22" t="str">
        <x:f>IFERROR('升力标定计算'!N423,"")</x:f>
      </x:c>
      <x:c r="H212" s="22" t="n">
        <x:f>IFERROR('升力标定计算'!N424,"")</x:f>
        <x:v>0.07755709236017803</x:v>
      </x:c>
      <x:c r="I212" s="22" t="str">
        <x:f>IF(AND(ISNUMBER(G212),ISNUMBER(H212)),AVERAGE(G212,H212),"")</x:f>
      </x:c>
      <x:c r="J212" s="22" t="n">
        <x:f>IFERROR('4000rpm'!AT58,"")</x:f>
        <x:v>0</x:v>
      </x:c>
      <x:c r="K212" s="22" t="n">
        <x:f>IFERROR('4000rpm'!AT68,"")</x:f>
        <x:v>0.3336614173228346</x:v>
      </x:c>
      <x:c r="L212" s="22" t="n">
        <x:f>IFERROR('4000rpm'!AT58,"")</x:f>
        <x:v>0</x:v>
      </x:c>
      <x:c r="M212" s="22" t="n">
        <x:f>IFERROR('4000rpm'!AS58,"")</x:f>
        <x:v>0.08350690647788582</x:v>
      </x:c>
      <x:c r="N212" s="22" t="n">
        <x:f>IFERROR('4000rpm'!AT68,"")</x:f>
        <x:v>0.3336614173228346</x:v>
      </x:c>
      <x:c r="O212" s="22" t="n">
        <x:f>IFERROR('4000rpm'!AS68,"")</x:f>
        <x:v>0.08912861654406733</x:v>
      </x:c>
      <x:c r="P212" s="22" t="str">
        <x:f>IF(OR(NOT(AND(ISNUMBER(D212),ISNUMBER(E212),ISNUMBER(G212),ISNUMBER(H212))),OR(F212&lt;J212,F212&gt;K212)),"",IF(N212=L212,M212,M212+(F212-L212)*(O212-M212)/(N212-L212)))</x:f>
      </x:c>
      <x:c r="Q212" s="22" t="str">
        <x:f>IF(AND(ISNUMBER(I212),ISNUMBER(P212)),I212-P212,"")</x:f>
      </x:c>
      <x:c r="R212" s="22" t="str">
        <x:f>IF(ISNUMBER(Q212),ABS(Q212),"")</x:f>
      </x:c>
      <x:c r="S212" s="36" t="str">
        <x:f>IF(AND(ISNUMBER(Q212),ISNUMBER(P212)),IF(ABS(P212)&lt;1E-12,"",Q212/P212),"")</x:f>
      </x:c>
      <x:c r="T212" s="36" t="str">
        <x:f>IF(ISNUMBER(S212),ABS(S212),"")</x:f>
      </x:c>
      <x:c r="U212" s="37" t="str">
        <x:f>IF(ISNUMBER(Q212),Q212^2,"")</x:f>
      </x:c>
      <x:c r="V212" s="21" t="str">
        <x:f>IF(NOT(AND(ISNUMBER(D212),ISNUMBER(E212),ISNUMBER(G212),ISNUMBER(H212))),"缺少配对",IF(OR(F212&lt;J212,F212&gt;K212),"超出理论J范围","有效"))</x:f>
        <x:v>缺少配对</x:v>
      </x:c>
      <x:c r="W212" s="20" t="str">
        <x:v>升力 y=0.915708x+28.7687 → C_T_prop；实验攻角 15° ↔ 理论 alpha_p_deg 75°；原升力源 4000rpm!D51/O51</x:v>
      </x:c>
      <x:c r="X212" s="20" t="str">
        <x:v>升力标定计算!M423</x:v>
      </x:c>
      <x:c r="Y212" s="20" t="str">
        <x:v>升力标定计算!M424</x:v>
      </x:c>
      <x:c r="Z212" s="20" t="str">
        <x:v>升力标定计算!N423</x:v>
      </x:c>
      <x:c r="AA212" s="20" t="str">
        <x:v>升力标定计算!N424</x:v>
      </x:c>
      <x:c r="AB212" s="20" t="str">
        <x:v>4000rpm!AT58:AS68</x:v>
      </x:c>
    </x:row>
    <x:row r="213">
      <x:c r="A213" s="21" t="n">
        <x:v>4000</x:v>
      </x:c>
      <x:c r="B213" s="21" t="n">
        <x:v>15</x:v>
      </x:c>
      <x:c r="C213" s="21" t="n">
        <x:v>23</x:v>
      </x:c>
      <x:c r="D213" s="22" t="str">
        <x:f>IFERROR('升力标定计算'!M425,"")</x:f>
      </x:c>
      <x:c r="E213" s="22" t="str">
        <x:f>IFERROR('升力标定计算'!M426,"")</x:f>
      </x:c>
      <x:c r="F213" s="22" t="str">
        <x:f>IF(AND(ISNUMBER(D213),ISNUMBER(E213)),AVERAGE(D213,E213),"")</x:f>
      </x:c>
      <x:c r="G213" s="22" t="str">
        <x:f>IFERROR('升力标定计算'!N425,"")</x:f>
      </x:c>
      <x:c r="H213" s="22" t="str">
        <x:f>IFERROR('升力标定计算'!N426,"")</x:f>
      </x:c>
      <x:c r="I213" s="22" t="str">
        <x:f>IF(AND(ISNUMBER(G213),ISNUMBER(H213)),AVERAGE(G213,H213),"")</x:f>
      </x:c>
      <x:c r="J213" s="22" t="n">
        <x:f>IFERROR('4000rpm'!AT58,"")</x:f>
        <x:v>0</x:v>
      </x:c>
      <x:c r="K213" s="22" t="n">
        <x:f>IFERROR('4000rpm'!AT68,"")</x:f>
        <x:v>0.3336614173228346</x:v>
      </x:c>
      <x:c r="L213" s="22" t="n">
        <x:f>IFERROR('4000rpm'!AT58,"")</x:f>
        <x:v>0</x:v>
      </x:c>
      <x:c r="M213" s="22" t="n">
        <x:f>IFERROR('4000rpm'!AS58,"")</x:f>
        <x:v>0.08350690647788582</x:v>
      </x:c>
      <x:c r="N213" s="22" t="n">
        <x:f>IFERROR('4000rpm'!AT68,"")</x:f>
        <x:v>0.3336614173228346</x:v>
      </x:c>
      <x:c r="O213" s="22" t="n">
        <x:f>IFERROR('4000rpm'!AS68,"")</x:f>
        <x:v>0.08912861654406733</x:v>
      </x:c>
      <x:c r="P213" s="22" t="str">
        <x:f>IF(OR(NOT(AND(ISNUMBER(D213),ISNUMBER(E213),ISNUMBER(G213),ISNUMBER(H213))),OR(F213&lt;J213,F213&gt;K213)),"",IF(N213=L213,M213,M213+(F213-L213)*(O213-M213)/(N213-L213)))</x:f>
      </x:c>
      <x:c r="Q213" s="22" t="str">
        <x:f>IF(AND(ISNUMBER(I213),ISNUMBER(P213)),I213-P213,"")</x:f>
      </x:c>
      <x:c r="R213" s="22" t="str">
        <x:f>IF(ISNUMBER(Q213),ABS(Q213),"")</x:f>
      </x:c>
      <x:c r="S213" s="36" t="str">
        <x:f>IF(AND(ISNUMBER(Q213),ISNUMBER(P213)),IF(ABS(P213)&lt;1E-12,"",Q213/P213),"")</x:f>
      </x:c>
      <x:c r="T213" s="36" t="str">
        <x:f>IF(ISNUMBER(S213),ABS(S213),"")</x:f>
      </x:c>
      <x:c r="U213" s="37" t="str">
        <x:f>IF(ISNUMBER(Q213),Q213^2,"")</x:f>
      </x:c>
      <x:c r="V213" s="21" t="str">
        <x:f>IF(NOT(AND(ISNUMBER(D213),ISNUMBER(E213),ISNUMBER(G213),ISNUMBER(H213))),"缺少配对",IF(OR(F213&lt;J213,F213&gt;K213),"超出理论J范围","有效"))</x:f>
        <x:v>缺少配对</x:v>
      </x:c>
      <x:c r="W213" s="20" t="str">
        <x:v>升力 y=0.915708x+28.7687 → C_T_prop；实验攻角 15° ↔ 理论 alpha_p_deg 75°；原升力源 4000rpm!D52/O52</x:v>
      </x:c>
      <x:c r="X213" s="20" t="str">
        <x:v>升力标定计算!M425</x:v>
      </x:c>
      <x:c r="Y213" s="20" t="str">
        <x:v>升力标定计算!M426</x:v>
      </x:c>
      <x:c r="Z213" s="20" t="str">
        <x:v>升力标定计算!N425</x:v>
      </x:c>
      <x:c r="AA213" s="20" t="str">
        <x:v>升力标定计算!N426</x:v>
      </x:c>
      <x:c r="AB213" s="20" t="str">
        <x:v>4000rpm!AT58:AS68</x:v>
      </x:c>
    </x:row>
    <x:row r="214">
      <x:c r="A214" s="21" t="n">
        <x:v>4000</x:v>
      </x:c>
      <x:c r="B214" s="21" t="n">
        <x:v>30</x:v>
      </x:c>
      <x:c r="C214" s="21" t="n">
        <x:v>1</x:v>
      </x:c>
      <x:c r="D214" s="22" t="str">
        <x:f>IFERROR('升力标定计算'!M427,"")</x:f>
      </x:c>
      <x:c r="E214" s="22" t="str">
        <x:f>IFERROR('升力标定计算'!M428,"")</x:f>
      </x:c>
      <x:c r="F214" s="22" t="str">
        <x:f>IF(AND(ISNUMBER(D214),ISNUMBER(E214)),AVERAGE(D214,E214),"")</x:f>
      </x:c>
      <x:c r="G214" s="22" t="str">
        <x:f>IFERROR('升力标定计算'!N427,"")</x:f>
      </x:c>
      <x:c r="H214" s="22" t="str">
        <x:f>IFERROR('升力标定计算'!N428,"")</x:f>
      </x:c>
      <x:c r="I214" s="22" t="str">
        <x:f>IF(AND(ISNUMBER(G214),ISNUMBER(H214)),AVERAGE(G214,H214),"")</x:f>
      </x:c>
      <x:c r="J214" s="22" t="n">
        <x:f>IFERROR('4000rpm'!AT47,"")</x:f>
        <x:v>0</x:v>
      </x:c>
      <x:c r="K214" s="22" t="n">
        <x:f>IFERROR('4000rpm'!AT57,"")</x:f>
        <x:v>0.3336614173228346</x:v>
      </x:c>
      <x:c r="L214" s="22" t="n">
        <x:f>IFERROR('4000rpm'!AT47,"")</x:f>
        <x:v>0</x:v>
      </x:c>
      <x:c r="M214" s="22" t="n">
        <x:f>IFERROR('4000rpm'!AS47,"")</x:f>
        <x:v>0.08350690647788582</x:v>
      </x:c>
      <x:c r="N214" s="22" t="n">
        <x:f>IFERROR('4000rpm'!AT57,"")</x:f>
        <x:v>0.3336614173228346</x:v>
      </x:c>
      <x:c r="O214" s="22" t="n">
        <x:f>IFERROR('4000rpm'!AS57,"")</x:f>
        <x:v>0.07187917638615017</x:v>
      </x:c>
      <x:c r="P214" s="22" t="str">
        <x:f>IF(OR(NOT(AND(ISNUMBER(D214),ISNUMBER(E214),ISNUMBER(G214),ISNUMBER(H214))),OR(F214&lt;J214,F214&gt;K214)),"",IF(N214=L214,M214,M214+(F214-L214)*(O214-M214)/(N214-L214)))</x:f>
      </x:c>
      <x:c r="Q214" s="22" t="str">
        <x:f>IF(AND(ISNUMBER(I214),ISNUMBER(P214)),I214-P214,"")</x:f>
      </x:c>
      <x:c r="R214" s="22" t="str">
        <x:f>IF(ISNUMBER(Q214),ABS(Q214),"")</x:f>
      </x:c>
      <x:c r="S214" s="36" t="str">
        <x:f>IF(AND(ISNUMBER(Q214),ISNUMBER(P214)),IF(ABS(P214)&lt;1E-12,"",Q214/P214),"")</x:f>
      </x:c>
      <x:c r="T214" s="36" t="str">
        <x:f>IF(ISNUMBER(S214),ABS(S214),"")</x:f>
      </x:c>
      <x:c r="U214" s="37" t="str">
        <x:f>IF(ISNUMBER(Q214),Q214^2,"")</x:f>
      </x:c>
      <x:c r="V214" s="21" t="str">
        <x:f>IF(NOT(AND(ISNUMBER(D214),ISNUMBER(E214),ISNUMBER(G214),ISNUMBER(H214))),"缺少配对",IF(OR(F214&lt;J214,F214&gt;K214),"超出理论J范围","有效"))</x:f>
        <x:v>缺少配对</x:v>
      </x:c>
      <x:c r="W214" s="20" t="str">
        <x:v>升力 y=0.915708x+28.7687 → C_T_prop；实验攻角 30° ↔ 理论 alpha_p_deg 60°；原升力源 4000rpm!C58/N58</x:v>
      </x:c>
      <x:c r="X214" s="20" t="str">
        <x:v>升力标定计算!M427</x:v>
      </x:c>
      <x:c r="Y214" s="20" t="str">
        <x:v>升力标定计算!M428</x:v>
      </x:c>
      <x:c r="Z214" s="20" t="str">
        <x:v>升力标定计算!N427</x:v>
      </x:c>
      <x:c r="AA214" s="20" t="str">
        <x:v>升力标定计算!N428</x:v>
      </x:c>
      <x:c r="AB214" s="20" t="str">
        <x:v>4000rpm!AT47:AS57</x:v>
      </x:c>
    </x:row>
    <x:row r="215">
      <x:c r="A215" s="21" t="n">
        <x:v>4000</x:v>
      </x:c>
      <x:c r="B215" s="21" t="n">
        <x:v>30</x:v>
      </x:c>
      <x:c r="C215" s="21" t="n">
        <x:v>2</x:v>
      </x:c>
      <x:c r="D215" s="22" t="n">
        <x:f>IFERROR('升力标定计算'!M429,"")</x:f>
        <x:v>0.003624486016769641</x:v>
      </x:c>
      <x:c r="E215" s="22" t="n">
        <x:f>IFERROR('升力标定计算'!M430,"")</x:f>
        <x:v>0.0031587395625431837</x:v>
      </x:c>
      <x:c r="F215" s="22" t="n">
        <x:f>IF(AND(ISNUMBER(D215),ISNUMBER(E215)),AVERAGE(D215,E215),"")</x:f>
        <x:v>0.0033916127896564123</x:v>
      </x:c>
      <x:c r="G215" s="22" t="n">
        <x:f>IFERROR('升力标定计算'!N429,"")</x:f>
        <x:v>0.07952389948164625</x:v>
      </x:c>
      <x:c r="H215" s="22" t="n">
        <x:f>IFERROR('升力标定计算'!N430,"")</x:f>
        <x:v>0.07815035512039097</x:v>
      </x:c>
      <x:c r="I215" s="22" t="n">
        <x:f>IF(AND(ISNUMBER(G215),ISNUMBER(H215)),AVERAGE(G215,H215),"")</x:f>
        <x:v>0.0788371273010186</x:v>
      </x:c>
      <x:c r="J215" s="22" t="n">
        <x:f>IFERROR('4000rpm'!AT47,"")</x:f>
        <x:v>0</x:v>
      </x:c>
      <x:c r="K215" s="22" t="n">
        <x:f>IFERROR('4000rpm'!AT57,"")</x:f>
        <x:v>0.3336614173228346</x:v>
      </x:c>
      <x:c r="L215" s="22" t="n">
        <x:f>IFERROR('4000rpm'!AT47,"")</x:f>
        <x:v>0</x:v>
      </x:c>
      <x:c r="M215" s="22" t="n">
        <x:f>IFERROR('4000rpm'!AS47,"")</x:f>
        <x:v>0.08350690647788582</x:v>
      </x:c>
      <x:c r="N215" s="22" t="n">
        <x:f>IFERROR('4000rpm'!AT48,"")</x:f>
        <x:v>0.033366141732283465</x:v>
      </x:c>
      <x:c r="O215" s="22" t="n">
        <x:f>IFERROR('4000rpm'!AS48,"")</x:f>
        <x:v>0.08172562458177902</x:v>
      </x:c>
      <x:c r="P215" s="22" t="n">
        <x:f>IF(OR(NOT(AND(ISNUMBER(D215),ISNUMBER(E215),ISNUMBER(G215),ISNUMBER(H215))),OR(F215&lt;J215,F215&gt;K215)),"",IF(N215=L215,M215,M215+(F215-L215)*(O215-M215)/(N215-L215)))</x:f>
        <x:v>0.08332584213699519</x:v>
      </x:c>
      <x:c r="Q215" s="22" t="n">
        <x:f>IF(AND(ISNUMBER(I215),ISNUMBER(P215)),I215-P215,"")</x:f>
        <x:v>-0.004488714835976584</x:v>
      </x:c>
      <x:c r="R215" s="22" t="n">
        <x:f>IF(ISNUMBER(Q215),ABS(Q215),"")</x:f>
        <x:v>0.004488714835976584</x:v>
      </x:c>
      <x:c r="S215" s="36" t="n">
        <x:f>IF(AND(ISNUMBER(Q215),ISNUMBER(P215)),IF(ABS(P215)&lt;1E-12,"",Q215/P215),"")</x:f>
        <x:v>-0.05386942058859403</x:v>
      </x:c>
      <x:c r="T215" s="36" t="n">
        <x:f>IF(ISNUMBER(S215),ABS(S215),"")</x:f>
        <x:v>0.05386942058859403</x:v>
      </x:c>
      <x:c r="U215" s="37" t="n">
        <x:f>IF(ISNUMBER(Q215),Q215^2,"")</x:f>
        <x:v>0.000020148560878716295</x:v>
      </x:c>
      <x:c r="V215" s="21" t="str">
        <x:f>IF(NOT(AND(ISNUMBER(D215),ISNUMBER(E215),ISNUMBER(G215),ISNUMBER(H215))),"缺少配对",IF(OR(F215&lt;J215,F215&gt;K215),"超出理论J范围","有效"))</x:f>
        <x:v>有效</x:v>
      </x:c>
      <x:c r="W215" s="20" t="str">
        <x:v>升力 y=0.915708x+28.7687 → C_T_prop；实验攻角 30° ↔ 理论 alpha_p_deg 60°；原升力源 4000rpm!C59/N59</x:v>
      </x:c>
      <x:c r="X215" s="20" t="str">
        <x:v>升力标定计算!M429</x:v>
      </x:c>
      <x:c r="Y215" s="20" t="str">
        <x:v>升力标定计算!M430</x:v>
      </x:c>
      <x:c r="Z215" s="20" t="str">
        <x:v>升力标定计算!N429</x:v>
      </x:c>
      <x:c r="AA215" s="20" t="str">
        <x:v>升力标定计算!N430</x:v>
      </x:c>
      <x:c r="AB215" s="20" t="str">
        <x:v>4000rpm!AT47:AS48</x:v>
      </x:c>
    </x:row>
    <x:row r="216">
      <x:c r="A216" s="21" t="n">
        <x:v>4000</x:v>
      </x:c>
      <x:c r="B216" s="21" t="n">
        <x:v>30</x:v>
      </x:c>
      <x:c r="C216" s="21" t="n">
        <x:v>3</x:v>
      </x:c>
      <x:c r="D216" s="22" t="n">
        <x:f>IFERROR('升力标定计算'!M431,"")</x:f>
        <x:v>0.033150400986384033</x:v>
      </x:c>
      <x:c r="E216" s="22" t="n">
        <x:f>IFERROR('升力标定计算'!M432,"")</x:f>
        <x:v>0.032685603153229964</x:v>
      </x:c>
      <x:c r="F216" s="22" t="n">
        <x:f>IF(AND(ISNUMBER(D216),ISNUMBER(E216)),AVERAGE(D216,E216),"")</x:f>
        <x:v>0.032918002069806995</x:v>
      </x:c>
      <x:c r="G216" s="22" t="n">
        <x:f>IFERROR('升力标定计算'!N431,"")</x:f>
        <x:v>0.07670003092987515</x:v>
      </x:c>
      <x:c r="H216" s="22" t="n">
        <x:f>IFERROR('升力标定计算'!N432,"")</x:f>
        <x:v>0.07769479329841208</x:v>
      </x:c>
      <x:c r="I216" s="22" t="n">
        <x:f>IF(AND(ISNUMBER(G216),ISNUMBER(H216)),AVERAGE(G216,H216),"")</x:f>
        <x:v>0.07719741211414362</x:v>
      </x:c>
      <x:c r="J216" s="22" t="n">
        <x:f>IFERROR('4000rpm'!AT47,"")</x:f>
        <x:v>0</x:v>
      </x:c>
      <x:c r="K216" s="22" t="n">
        <x:f>IFERROR('4000rpm'!AT57,"")</x:f>
        <x:v>0.3336614173228346</x:v>
      </x:c>
      <x:c r="L216" s="22" t="n">
        <x:f>IFERROR('4000rpm'!AT47,"")</x:f>
        <x:v>0</x:v>
      </x:c>
      <x:c r="M216" s="22" t="n">
        <x:f>IFERROR('4000rpm'!AS47,"")</x:f>
        <x:v>0.08350690647788582</x:v>
      </x:c>
      <x:c r="N216" s="22" t="n">
        <x:f>IFERROR('4000rpm'!AT48,"")</x:f>
        <x:v>0.033366141732283465</x:v>
      </x:c>
      <x:c r="O216" s="22" t="n">
        <x:f>IFERROR('4000rpm'!AS48,"")</x:f>
        <x:v>0.08172562458177902</x:v>
      </x:c>
      <x:c r="P216" s="22" t="n">
        <x:f>IF(OR(NOT(AND(ISNUMBER(D216),ISNUMBER(E216),ISNUMBER(G216),ISNUMBER(H216))),OR(F216&lt;J216,F216&gt;K216)),"",IF(N216=L216,M216,M216+(F216-L216)*(O216-M216)/(N216-L216)))</x:f>
        <x:v>0.08174954892622681</x:v>
      </x:c>
      <x:c r="Q216" s="22" t="n">
        <x:f>IF(AND(ISNUMBER(I216),ISNUMBER(P216)),I216-P216,"")</x:f>
        <x:v>-0.004552136812083191</x:v>
      </x:c>
      <x:c r="R216" s="22" t="n">
        <x:f>IF(ISNUMBER(Q216),ABS(Q216),"")</x:f>
        <x:v>0.004552136812083191</x:v>
      </x:c>
      <x:c r="S216" s="36" t="n">
        <x:f>IF(AND(ISNUMBER(Q216),ISNUMBER(P216)),IF(ABS(P216)&lt;1E-12,"",Q216/P216),"")</x:f>
        <x:v>-0.055683937977335785</x:v>
      </x:c>
      <x:c r="T216" s="36" t="n">
        <x:f>IF(ISNUMBER(S216),ABS(S216),"")</x:f>
        <x:v>0.055683937977335785</x:v>
      </x:c>
      <x:c r="U216" s="37" t="n">
        <x:f>IF(ISNUMBER(Q216),Q216^2,"")</x:f>
        <x:v>0.000020721949555922915</x:v>
      </x:c>
      <x:c r="V216" s="21" t="str">
        <x:f>IF(NOT(AND(ISNUMBER(D216),ISNUMBER(E216),ISNUMBER(G216),ISNUMBER(H216))),"缺少配对",IF(OR(F216&lt;J216,F216&gt;K216),"超出理论J范围","有效"))</x:f>
        <x:v>有效</x:v>
      </x:c>
      <x:c r="W216" s="20" t="str">
        <x:v>升力 y=0.915708x+28.7687 → C_T_prop；实验攻角 30° ↔ 理论 alpha_p_deg 60°；原升力源 4000rpm!C60/N60</x:v>
      </x:c>
      <x:c r="X216" s="20" t="str">
        <x:v>升力标定计算!M431</x:v>
      </x:c>
      <x:c r="Y216" s="20" t="str">
        <x:v>升力标定计算!M432</x:v>
      </x:c>
      <x:c r="Z216" s="20" t="str">
        <x:v>升力标定计算!N431</x:v>
      </x:c>
      <x:c r="AA216" s="20" t="str">
        <x:v>升力标定计算!N432</x:v>
      </x:c>
      <x:c r="AB216" s="20" t="str">
        <x:v>4000rpm!AT47:AS48</x:v>
      </x:c>
    </x:row>
    <x:row r="217">
      <x:c r="A217" s="21" t="n">
        <x:v>4000</x:v>
      </x:c>
      <x:c r="B217" s="21" t="n">
        <x:v>30</x:v>
      </x:c>
      <x:c r="C217" s="21" t="n">
        <x:v>4</x:v>
      </x:c>
      <x:c r="D217" s="22" t="n">
        <x:f>IFERROR('升力标定计算'!M433,"")</x:f>
        <x:v>0.06682396466922293</x:v>
      </x:c>
      <x:c r="E217" s="22" t="n">
        <x:f>IFERROR('升力标定计算'!M434,"")</x:f>
        <x:v>0.06588339794799494</x:v>
      </x:c>
      <x:c r="F217" s="22" t="n">
        <x:f>IF(AND(ISNUMBER(D217),ISNUMBER(E217)),AVERAGE(D217,E217),"")</x:f>
        <x:v>0.06635368130860894</x:v>
      </x:c>
      <x:c r="G217" s="22" t="n">
        <x:f>IFERROR('升力标定计算'!N433,"")</x:f>
        <x:v>0.07601718528335952</x:v>
      </x:c>
      <x:c r="H217" s="22" t="n">
        <x:f>IFERROR('升力标定计算'!N434,"")</x:f>
        <x:v>0.0754271680753694</x:v>
      </x:c>
      <x:c r="I217" s="22" t="n">
        <x:f>IF(AND(ISNUMBER(G217),ISNUMBER(H217)),AVERAGE(G217,H217),"")</x:f>
        <x:v>0.07572217667936446</x:v>
      </x:c>
      <x:c r="J217" s="22" t="n">
        <x:f>IFERROR('4000rpm'!AT47,"")</x:f>
        <x:v>0</x:v>
      </x:c>
      <x:c r="K217" s="22" t="n">
        <x:f>IFERROR('4000rpm'!AT57,"")</x:f>
        <x:v>0.3336614173228346</x:v>
      </x:c>
      <x:c r="L217" s="22" t="n">
        <x:f>IFERROR('4000rpm'!AT48,"")</x:f>
        <x:v>0.033366141732283465</x:v>
      </x:c>
      <x:c r="M217" s="22" t="n">
        <x:f>IFERROR('4000rpm'!AS48,"")</x:f>
        <x:v>0.08172562458177902</x:v>
      </x:c>
      <x:c r="N217" s="22" t="n">
        <x:f>IFERROR('4000rpm'!AT49,"")</x:f>
        <x:v>0.06673228346456693</x:v>
      </x:c>
      <x:c r="O217" s="22" t="n">
        <x:f>IFERROR('4000rpm'!AS49,"")</x:f>
        <x:v>0.08048977911613392</x:v>
      </x:c>
      <x:c r="P217" s="22" t="n">
        <x:f>IF(OR(NOT(AND(ISNUMBER(D217),ISNUMBER(E217),ISNUMBER(G217),ISNUMBER(H217))),OR(F217&lt;J217,F217&gt;K217)),"",IF(N217=L217,M217,M217+(F217-L217)*(O217-M217)/(N217-L217)))</x:f>
        <x:v>0.0805038021266899</x:v>
      </x:c>
      <x:c r="Q217" s="22" t="n">
        <x:f>IF(AND(ISNUMBER(I217),ISNUMBER(P217)),I217-P217,"")</x:f>
        <x:v>-0.004781625447325438</x:v>
      </x:c>
      <x:c r="R217" s="22" t="n">
        <x:f>IF(ISNUMBER(Q217),ABS(Q217),"")</x:f>
        <x:v>0.004781625447325438</x:v>
      </x:c>
      <x:c r="S217" s="36" t="n">
        <x:f>IF(AND(ISNUMBER(Q217),ISNUMBER(P217)),IF(ABS(P217)&lt;1E-12,"",Q217/P217),"")</x:f>
        <x:v>-0.05939626851164782</x:v>
      </x:c>
      <x:c r="T217" s="36" t="n">
        <x:f>IF(ISNUMBER(S217),ABS(S217),"")</x:f>
        <x:v>0.05939626851164782</x:v>
      </x:c>
      <x:c r="U217" s="37" t="n">
        <x:f>IF(ISNUMBER(Q217),Q217^2,"")</x:f>
        <x:v>0.000022863941918510197</x:v>
      </x:c>
      <x:c r="V217" s="21" t="str">
        <x:f>IF(NOT(AND(ISNUMBER(D217),ISNUMBER(E217),ISNUMBER(G217),ISNUMBER(H217))),"缺少配对",IF(OR(F217&lt;J217,F217&gt;K217),"超出理论J范围","有效"))</x:f>
        <x:v>有效</x:v>
      </x:c>
      <x:c r="W217" s="20" t="str">
        <x:v>升力 y=0.915708x+28.7687 → C_T_prop；实验攻角 30° ↔ 理论 alpha_p_deg 60°；原升力源 4000rpm!C61/N61</x:v>
      </x:c>
      <x:c r="X217" s="20" t="str">
        <x:v>升力标定计算!M433</x:v>
      </x:c>
      <x:c r="Y217" s="20" t="str">
        <x:v>升力标定计算!M434</x:v>
      </x:c>
      <x:c r="Z217" s="20" t="str">
        <x:v>升力标定计算!N433</x:v>
      </x:c>
      <x:c r="AA217" s="20" t="str">
        <x:v>升力标定计算!N434</x:v>
      </x:c>
      <x:c r="AB217" s="20" t="str">
        <x:v>4000rpm!AT48:AS49</x:v>
      </x:c>
    </x:row>
    <x:row r="218">
      <x:c r="A218" s="21" t="n">
        <x:v>4000</x:v>
      </x:c>
      <x:c r="B218" s="21" t="n">
        <x:v>30</x:v>
      </x:c>
      <x:c r="C218" s="21" t="n">
        <x:v>5</x:v>
      </x:c>
      <x:c r="D218" s="22" t="n">
        <x:f>IFERROR('升力标定计算'!M435,"")</x:f>
        <x:v>0.10013345607506444</x:v>
      </x:c>
      <x:c r="E218" s="22" t="n">
        <x:f>IFERROR('升力标定计算'!M436,"")</x:f>
        <x:v>0.09967668153591587</x:v>
      </x:c>
      <x:c r="F218" s="22" t="n">
        <x:f>IF(AND(ISNUMBER(D218),ISNUMBER(E218)),AVERAGE(D218,E218),"")</x:f>
        <x:v>0.09990506880549016</x:v>
      </x:c>
      <x:c r="G218" s="22" t="n">
        <x:f>IFERROR('升力标定计算'!N435,"")</x:f>
        <x:v>0.07495377418051583</x:v>
      </x:c>
      <x:c r="H218" s="22" t="n">
        <x:f>IFERROR('升力标定计算'!N436,"")</x:f>
        <x:v>0.07531291676020979</x:v>
      </x:c>
      <x:c r="I218" s="22" t="n">
        <x:f>IF(AND(ISNUMBER(G218),ISNUMBER(H218)),AVERAGE(G218,H218),"")</x:f>
        <x:v>0.07513334547036281</x:v>
      </x:c>
      <x:c r="J218" s="22" t="n">
        <x:f>IFERROR('4000rpm'!AT47,"")</x:f>
        <x:v>0</x:v>
      </x:c>
      <x:c r="K218" s="22" t="n">
        <x:f>IFERROR('4000rpm'!AT57,"")</x:f>
        <x:v>0.3336614173228346</x:v>
      </x:c>
      <x:c r="L218" s="22" t="n">
        <x:f>IFERROR('4000rpm'!AT49,"")</x:f>
        <x:v>0.06673228346456693</x:v>
      </x:c>
      <x:c r="M218" s="22" t="n">
        <x:f>IFERROR('4000rpm'!AS49,"")</x:f>
        <x:v>0.08048977911613392</x:v>
      </x:c>
      <x:c r="N218" s="22" t="n">
        <x:f>IFERROR('4000rpm'!AT50,"")</x:f>
        <x:v>0.1000984251968504</x:v>
      </x:c>
      <x:c r="O218" s="22" t="n">
        <x:f>IFERROR('4000rpm'!AS50,"")</x:f>
        <x:v>0.07946121001692016</x:v>
      </x:c>
      <x:c r="P218" s="22" t="n">
        <x:f>IF(OR(NOT(AND(ISNUMBER(D218),ISNUMBER(E218),ISNUMBER(G218),ISNUMBER(H218))),OR(F218&lt;J218,F218&gt;K218)),"",IF(N218=L218,M218,M218+(F218-L218)*(O218-M218)/(N218-L218)))</x:f>
        <x:v>0.07946717056252009</x:v>
      </x:c>
      <x:c r="Q218" s="22" t="n">
        <x:f>IF(AND(ISNUMBER(I218),ISNUMBER(P218)),I218-P218,"")</x:f>
        <x:v>-0.004333825092157281</x:v>
      </x:c>
      <x:c r="R218" s="22" t="n">
        <x:f>IF(ISNUMBER(Q218),ABS(Q218),"")</x:f>
        <x:v>0.004333825092157281</x:v>
      </x:c>
      <x:c r="S218" s="36" t="n">
        <x:f>IF(AND(ISNUMBER(Q218),ISNUMBER(P218)),IF(ABS(P218)&lt;1E-12,"",Q218/P218),"")</x:f>
        <x:v>-0.05453604377102722</x:v>
      </x:c>
      <x:c r="T218" s="36" t="n">
        <x:f>IF(ISNUMBER(S218),ABS(S218),"")</x:f>
        <x:v>0.05453604377102722</x:v>
      </x:c>
      <x:c r="U218" s="37" t="n">
        <x:f>IF(ISNUMBER(Q218),Q218^2,"")</x:f>
        <x:v>0.00001878203992941207</x:v>
      </x:c>
      <x:c r="V218" s="21" t="str">
        <x:f>IF(NOT(AND(ISNUMBER(D218),ISNUMBER(E218),ISNUMBER(G218),ISNUMBER(H218))),"缺少配对",IF(OR(F218&lt;J218,F218&gt;K218),"超出理论J范围","有效"))</x:f>
        <x:v>有效</x:v>
      </x:c>
      <x:c r="W218" s="20" t="str">
        <x:v>升力 y=0.915708x+28.7687 → C_T_prop；实验攻角 30° ↔ 理论 alpha_p_deg 60°；原升力源 4000rpm!C62/N62</x:v>
      </x:c>
      <x:c r="X218" s="20" t="str">
        <x:v>升力标定计算!M435</x:v>
      </x:c>
      <x:c r="Y218" s="20" t="str">
        <x:v>升力标定计算!M436</x:v>
      </x:c>
      <x:c r="Z218" s="20" t="str">
        <x:v>升力标定计算!N435</x:v>
      </x:c>
      <x:c r="AA218" s="20" t="str">
        <x:v>升力标定计算!N436</x:v>
      </x:c>
      <x:c r="AB218" s="20" t="str">
        <x:v>4000rpm!AT49:AS50</x:v>
      </x:c>
    </x:row>
    <x:row r="219">
      <x:c r="A219" s="21" t="n">
        <x:v>4000</x:v>
      </x:c>
      <x:c r="B219" s="21" t="n">
        <x:v>30</x:v>
      </x:c>
      <x:c r="C219" s="21" t="n">
        <x:v>6</x:v>
      </x:c>
      <x:c r="D219" s="22" t="n">
        <x:f>IFERROR('升力标定计算'!M437,"")</x:f>
        <x:v>0.1333127072934856</x:v>
      </x:c>
      <x:c r="E219" s="22" t="n">
        <x:f>IFERROR('升力标定计算'!M438,"")</x:f>
        <x:v>0.137492395207004</x:v>
      </x:c>
      <x:c r="F219" s="22" t="n">
        <x:f>IF(AND(ISNUMBER(D219),ISNUMBER(E219)),AVERAGE(D219,E219),"")</x:f>
        <x:v>0.1354025512502448</x:v>
      </x:c>
      <x:c r="G219" s="22" t="n">
        <x:f>IFERROR('升力标定计算'!N437,"")</x:f>
        <x:v>0.07383361512249226</x:v>
      </x:c>
      <x:c r="H219" s="22" t="n">
        <x:f>IFERROR('升力标定计算'!N438,"")</x:f>
        <x:v>0.07488267117920092</x:v>
      </x:c>
      <x:c r="I219" s="22" t="n">
        <x:f>IF(AND(ISNUMBER(G219),ISNUMBER(H219)),AVERAGE(G219,H219),"")</x:f>
        <x:v>0.07435814315084659</x:v>
      </x:c>
      <x:c r="J219" s="22" t="n">
        <x:f>IFERROR('4000rpm'!AT47,"")</x:f>
        <x:v>0</x:v>
      </x:c>
      <x:c r="K219" s="22" t="n">
        <x:f>IFERROR('4000rpm'!AT57,"")</x:f>
        <x:v>0.3336614173228346</x:v>
      </x:c>
      <x:c r="L219" s="22" t="n">
        <x:f>IFERROR('4000rpm'!AT51,"")</x:f>
        <x:v>0.13346456692913386</x:v>
      </x:c>
      <x:c r="M219" s="22" t="n">
        <x:f>IFERROR('4000rpm'!AS51,"")</x:f>
        <x:v>0.07856422678123451</x:v>
      </x:c>
      <x:c r="N219" s="22" t="n">
        <x:f>IFERROR('4000rpm'!AT52,"")</x:f>
        <x:v>0.1668307086614173</x:v>
      </x:c>
      <x:c r="O219" s="22" t="n">
        <x:f>IFERROR('4000rpm'!AS52,"")</x:f>
        <x:v>0.07768829434690101</x:v>
      </x:c>
      <x:c r="P219" s="22" t="n">
        <x:f>IF(OR(NOT(AND(ISNUMBER(D219),ISNUMBER(E219),ISNUMBER(G219),ISNUMBER(H219))),OR(F219&lt;J219,F219&gt;K219)),"",IF(N219=L219,M219,M219+(F219-L219)*(O219-M219)/(N219-L219)))</x:f>
        <x:v>0.07851335055653609</x:v>
      </x:c>
      <x:c r="Q219" s="22" t="n">
        <x:f>IF(AND(ISNUMBER(I219),ISNUMBER(P219)),I219-P219,"")</x:f>
        <x:v>-0.004155207405689504</x:v>
      </x:c>
      <x:c r="R219" s="22" t="n">
        <x:f>IF(ISNUMBER(Q219),ABS(Q219),"")</x:f>
        <x:v>0.004155207405689504</x:v>
      </x:c>
      <x:c r="S219" s="36" t="n">
        <x:f>IF(AND(ISNUMBER(Q219),ISNUMBER(P219)),IF(ABS(P219)&lt;1E-12,"",Q219/P219),"")</x:f>
        <x:v>-0.05292357766208706</x:v>
      </x:c>
      <x:c r="T219" s="36" t="n">
        <x:f>IF(ISNUMBER(S219),ABS(S219),"")</x:f>
        <x:v>0.05292357766208706</x:v>
      </x:c>
      <x:c r="U219" s="37" t="n">
        <x:f>IF(ISNUMBER(Q219),Q219^2,"")</x:f>
        <x:v>0.000017265748584296898</x:v>
      </x:c>
      <x:c r="V219" s="21" t="str">
        <x:f>IF(NOT(AND(ISNUMBER(D219),ISNUMBER(E219),ISNUMBER(G219),ISNUMBER(H219))),"缺少配对",IF(OR(F219&lt;J219,F219&gt;K219),"超出理论J范围","有效"))</x:f>
        <x:v>有效</x:v>
      </x:c>
      <x:c r="W219" s="20" t="str">
        <x:v>升力 y=0.915708x+28.7687 → C_T_prop；实验攻角 30° ↔ 理论 alpha_p_deg 60°；原升力源 4000rpm!C63/N63</x:v>
      </x:c>
      <x:c r="X219" s="20" t="str">
        <x:v>升力标定计算!M437</x:v>
      </x:c>
      <x:c r="Y219" s="20" t="str">
        <x:v>升力标定计算!M438</x:v>
      </x:c>
      <x:c r="Z219" s="20" t="str">
        <x:v>升力标定计算!N437</x:v>
      </x:c>
      <x:c r="AA219" s="20" t="str">
        <x:v>升力标定计算!N438</x:v>
      </x:c>
      <x:c r="AB219" s="20" t="str">
        <x:v>4000rpm!AT51:AS52</x:v>
      </x:c>
    </x:row>
    <x:row r="220">
      <x:c r="A220" s="21" t="n">
        <x:v>4000</x:v>
      </x:c>
      <x:c r="B220" s="21" t="n">
        <x:v>30</x:v>
      </x:c>
      <x:c r="C220" s="21" t="n">
        <x:v>7</x:v>
      </x:c>
      <x:c r="D220" s="22" t="n">
        <x:f>IFERROR('升力标定计算'!M439,"")</x:f>
        <x:v>0.16850554800015982</x:v>
      </x:c>
      <x:c r="E220" s="22" t="n">
        <x:f>IFERROR('升力标定计算'!M440,"")</x:f>
        <x:v>0.1670935968392584</x:v>
      </x:c>
      <x:c r="F220" s="22" t="n">
        <x:f>IF(AND(ISNUMBER(D220),ISNUMBER(E220)),AVERAGE(D220,E220),"")</x:f>
        <x:v>0.1677995724197091</x:v>
      </x:c>
      <x:c r="G220" s="22" t="n">
        <x:f>IFERROR('升力标定计算'!N439,"")</x:f>
        <x:v>0.07400612486295745</x:v>
      </x:c>
      <x:c r="H220" s="22" t="n">
        <x:f>IFERROR('升力标定计算'!N440,"")</x:f>
        <x:v>0.07277394914489442</x:v>
      </x:c>
      <x:c r="I220" s="22" t="n">
        <x:f>IF(AND(ISNUMBER(G220),ISNUMBER(H220)),AVERAGE(G220,H220),"")</x:f>
        <x:v>0.07339003700392593</x:v>
      </x:c>
      <x:c r="J220" s="22" t="n">
        <x:f>IFERROR('4000rpm'!AT47,"")</x:f>
        <x:v>0</x:v>
      </x:c>
      <x:c r="K220" s="22" t="n">
        <x:f>IFERROR('4000rpm'!AT57,"")</x:f>
        <x:v>0.3336614173228346</x:v>
      </x:c>
      <x:c r="L220" s="22" t="n">
        <x:f>IFERROR('4000rpm'!AT52,"")</x:f>
        <x:v>0.1668307086614173</x:v>
      </x:c>
      <x:c r="M220" s="22" t="n">
        <x:f>IFERROR('4000rpm'!AS52,"")</x:f>
        <x:v>0.07768829434690101</x:v>
      </x:c>
      <x:c r="N220" s="22" t="n">
        <x:f>IFERROR('4000rpm'!AT53,"")</x:f>
        <x:v>0.2001968503937008</x:v>
      </x:c>
      <x:c r="O220" s="22" t="n">
        <x:f>IFERROR('4000rpm'!AS53,"")</x:f>
        <x:v>0.0767677393468044</x:v>
      </x:c>
      <x:c r="P220" s="22" t="n">
        <x:f>IF(OR(NOT(AND(ISNUMBER(D220),ISNUMBER(E220),ISNUMBER(G220),ISNUMBER(H220))),OR(F220&lt;J220,F220&gt;K220)),"",IF(N220=L220,M220,M220+(F220-L220)*(O220-M220)/(N220-L220)))</x:f>
        <x:v>0.07766156388509743</x:v>
      </x:c>
      <x:c r="Q220" s="22" t="n">
        <x:f>IF(AND(ISNUMBER(I220),ISNUMBER(P220)),I220-P220,"")</x:f>
        <x:v>-0.004271526881171495</x:v>
      </x:c>
      <x:c r="R220" s="22" t="n">
        <x:f>IF(ISNUMBER(Q220),ABS(Q220),"")</x:f>
        <x:v>0.004271526881171495</x:v>
      </x:c>
      <x:c r="S220" s="36" t="n">
        <x:f>IF(AND(ISNUMBER(Q220),ISNUMBER(P220)),IF(ABS(P220)&lt;1E-12,"",Q220/P220),"")</x:f>
        <x:v>-0.055001813863693814</x:v>
      </x:c>
      <x:c r="T220" s="36" t="n">
        <x:f>IF(ISNUMBER(S220),ABS(S220),"")</x:f>
        <x:v>0.055001813863693814</x:v>
      </x:c>
      <x:c r="U220" s="37" t="n">
        <x:f>IF(ISNUMBER(Q220),Q220^2,"")</x:f>
        <x:v>0.000018245941896570676</x:v>
      </x:c>
      <x:c r="V220" s="21" t="str">
        <x:f>IF(NOT(AND(ISNUMBER(D220),ISNUMBER(E220),ISNUMBER(G220),ISNUMBER(H220))),"缺少配对",IF(OR(F220&lt;J220,F220&gt;K220),"超出理论J范围","有效"))</x:f>
        <x:v>有效</x:v>
      </x:c>
      <x:c r="W220" s="20" t="str">
        <x:v>升力 y=0.915708x+28.7687 → C_T_prop；实验攻角 30° ↔ 理论 alpha_p_deg 60°；原升力源 4000rpm!C64/N64</x:v>
      </x:c>
      <x:c r="X220" s="20" t="str">
        <x:v>升力标定计算!M439</x:v>
      </x:c>
      <x:c r="Y220" s="20" t="str">
        <x:v>升力标定计算!M440</x:v>
      </x:c>
      <x:c r="Z220" s="20" t="str">
        <x:v>升力标定计算!N439</x:v>
      </x:c>
      <x:c r="AA220" s="20" t="str">
        <x:v>升力标定计算!N440</x:v>
      </x:c>
      <x:c r="AB220" s="20" t="str">
        <x:v>4000rpm!AT52:AS53</x:v>
      </x:c>
    </x:row>
    <x:row r="221">
      <x:c r="A221" s="21" t="n">
        <x:v>4000</x:v>
      </x:c>
      <x:c r="B221" s="21" t="n">
        <x:v>30</x:v>
      </x:c>
      <x:c r="C221" s="21" t="n">
        <x:v>8</x:v>
      </x:c>
      <x:c r="D221" s="22" t="n">
        <x:f>IFERROR('升力标定计算'!M441,"")</x:f>
        <x:v>0.20111890856036188</x:v>
      </x:c>
      <x:c r="E221" s="22" t="n">
        <x:f>IFERROR('升力标定计算'!M442,"")</x:f>
        <x:v>0.2015394872394436</x:v>
      </x:c>
      <x:c r="F221" s="22" t="n">
        <x:f>IF(AND(ISNUMBER(D221),ISNUMBER(E221)),AVERAGE(D221,E221),"")</x:f>
        <x:v>0.20132919789990272</x:v>
      </x:c>
      <x:c r="G221" s="22" t="n">
        <x:f>IFERROR('升力标定计算'!N441,"")</x:f>
        <x:v>0.07103927002084946</x:v>
      </x:c>
      <x:c r="H221" s="22" t="n">
        <x:f>IFERROR('升力标定计算'!N442,"")</x:f>
        <x:v>0.07218386972790375</x:v>
      </x:c>
      <x:c r="I221" s="22" t="n">
        <x:f>IF(AND(ISNUMBER(G221),ISNUMBER(H221)),AVERAGE(G221,H221),"")</x:f>
        <x:v>0.07161156987437661</x:v>
      </x:c>
      <x:c r="J221" s="22" t="n">
        <x:f>IFERROR('4000rpm'!AT47,"")</x:f>
        <x:v>0</x:v>
      </x:c>
      <x:c r="K221" s="22" t="n">
        <x:f>IFERROR('4000rpm'!AT57,"")</x:f>
        <x:v>0.3336614173228346</x:v>
      </x:c>
      <x:c r="L221" s="22" t="n">
        <x:f>IFERROR('4000rpm'!AT53,"")</x:f>
        <x:v>0.2001968503937008</x:v>
      </x:c>
      <x:c r="M221" s="22" t="n">
        <x:f>IFERROR('4000rpm'!AS53,"")</x:f>
        <x:v>0.0767677393468044</x:v>
      </x:c>
      <x:c r="N221" s="22" t="n">
        <x:f>IFERROR('4000rpm'!AT54,"")</x:f>
        <x:v>0.23356299212598428</x:v>
      </x:c>
      <x:c r="O221" s="22" t="n">
        <x:f>IFERROR('4000rpm'!AS54,"")</x:f>
        <x:v>0.07576886010831554</x:v>
      </x:c>
      <x:c r="P221" s="22" t="n">
        <x:f>IF(OR(NOT(AND(ISNUMBER(D221),ISNUMBER(E221),ISNUMBER(G221),ISNUMBER(H221))),OR(F221&lt;J221,F221&gt;K221)),"",IF(N221=L221,M221,M221+(F221-L221)*(O221-M221)/(N221-L221)))</x:f>
        <x:v>0.07673384035950839</x:v>
      </x:c>
      <x:c r="Q221" s="22" t="n">
        <x:f>IF(AND(ISNUMBER(I221),ISNUMBER(P221)),I221-P221,"")</x:f>
        <x:v>-0.00512227048513178</x:v>
      </x:c>
      <x:c r="R221" s="22" t="n">
        <x:f>IF(ISNUMBER(Q221),ABS(Q221),"")</x:f>
        <x:v>0.00512227048513178</x:v>
      </x:c>
      <x:c r="S221" s="36" t="n">
        <x:f>IF(AND(ISNUMBER(Q221),ISNUMBER(P221)),IF(ABS(P221)&lt;1E-12,"",Q221/P221),"")</x:f>
        <x:v>-0.0667537355244212</x:v>
      </x:c>
      <x:c r="T221" s="36" t="n">
        <x:f>IF(ISNUMBER(S221),ABS(S221),"")</x:f>
        <x:v>0.0667537355244212</x:v>
      </x:c>
      <x:c r="U221" s="37" t="n">
        <x:f>IF(ISNUMBER(Q221),Q221^2,"")</x:f>
        <x:v>0.000026237654922852163</x:v>
      </x:c>
      <x:c r="V221" s="21" t="str">
        <x:f>IF(NOT(AND(ISNUMBER(D221),ISNUMBER(E221),ISNUMBER(G221),ISNUMBER(H221))),"缺少配对",IF(OR(F221&lt;J221,F221&gt;K221),"超出理论J范围","有效"))</x:f>
        <x:v>有效</x:v>
      </x:c>
      <x:c r="W221" s="20" t="str">
        <x:v>升力 y=0.915708x+28.7687 → C_T_prop；实验攻角 30° ↔ 理论 alpha_p_deg 60°；原升力源 4000rpm!C65/N65</x:v>
      </x:c>
      <x:c r="X221" s="20" t="str">
        <x:v>升力标定计算!M441</x:v>
      </x:c>
      <x:c r="Y221" s="20" t="str">
        <x:v>升力标定计算!M442</x:v>
      </x:c>
      <x:c r="Z221" s="20" t="str">
        <x:v>升力标定计算!N441</x:v>
      </x:c>
      <x:c r="AA221" s="20" t="str">
        <x:v>升力标定计算!N442</x:v>
      </x:c>
      <x:c r="AB221" s="20" t="str">
        <x:v>4000rpm!AT53:AS54</x:v>
      </x:c>
    </x:row>
    <x:row r="222">
      <x:c r="A222" s="21" t="n">
        <x:v>4000</x:v>
      </x:c>
      <x:c r="B222" s="21" t="n">
        <x:v>30</x:v>
      </x:c>
      <x:c r="C222" s="21" t="n">
        <x:v>9</x:v>
      </x:c>
      <x:c r="D222" s="22" t="n">
        <x:f>IFERROR('升力标定计算'!M443,"")</x:f>
        <x:v>0.2343423803771975</x:v>
      </x:c>
      <x:c r="E222" s="22" t="n">
        <x:f>IFERROR('升力标定计算'!M444,"")</x:f>
        <x:v>0.23472452306747954</x:v>
      </x:c>
      <x:c r="F222" s="22" t="n">
        <x:f>IF(AND(ISNUMBER(D222),ISNUMBER(E222)),AVERAGE(D222,E222),"")</x:f>
        <x:v>0.23453345172233853</x:v>
      </x:c>
      <x:c r="G222" s="22" t="n">
        <x:f>IFERROR('升力标定计算'!N443,"")</x:f>
        <x:v>0.07050826280739579</x:v>
      </x:c>
      <x:c r="H222" s="22" t="n">
        <x:f>IFERROR('升力标定计算'!N444,"")</x:f>
        <x:v>0.07096826377710112</x:v>
      </x:c>
      <x:c r="I222" s="22" t="n">
        <x:f>IF(AND(ISNUMBER(G222),ISNUMBER(H222)),AVERAGE(G222,H222),"")</x:f>
        <x:v>0.07073826329224846</x:v>
      </x:c>
      <x:c r="J222" s="22" t="n">
        <x:f>IFERROR('4000rpm'!AT47,"")</x:f>
        <x:v>0</x:v>
      </x:c>
      <x:c r="K222" s="22" t="n">
        <x:f>IFERROR('4000rpm'!AT57,"")</x:f>
        <x:v>0.3336614173228346</x:v>
      </x:c>
      <x:c r="L222" s="22" t="n">
        <x:f>IFERROR('4000rpm'!AT54,"")</x:f>
        <x:v>0.23356299212598428</x:v>
      </x:c>
      <x:c r="M222" s="22" t="n">
        <x:f>IFERROR('4000rpm'!AS54,"")</x:f>
        <x:v>0.07576886010831554</x:v>
      </x:c>
      <x:c r="N222" s="22" t="n">
        <x:f>IFERROR('4000rpm'!AT55,"")</x:f>
        <x:v>0.2669291338582677</x:v>
      </x:c>
      <x:c r="O222" s="22" t="n">
        <x:f>IFERROR('4000rpm'!AS55,"")</x:f>
        <x:v>0.07464040408097382</x:v>
      </x:c>
      <x:c r="P222" s="22" t="n">
        <x:f>IF(OR(NOT(AND(ISNUMBER(D222),ISNUMBER(E222),ISNUMBER(G222),ISNUMBER(H222))),OR(F222&lt;J222,F222&gt;K222)),"",IF(N222=L222,M222,M222+(F222-L222)*(O222-M222)/(N222-L222)))</x:f>
        <x:v>0.07573603878334532</x:v>
      </x:c>
      <x:c r="Q222" s="22" t="n">
        <x:f>IF(AND(ISNUMBER(I222),ISNUMBER(P222)),I222-P222,"")</x:f>
        <x:v>-0.0049977754910968675</x:v>
      </x:c>
      <x:c r="R222" s="22" t="n">
        <x:f>IF(ISNUMBER(Q222),ABS(Q222),"")</x:f>
        <x:v>0.0049977754910968675</x:v>
      </x:c>
      <x:c r="S222" s="36" t="n">
        <x:f>IF(AND(ISNUMBER(Q222),ISNUMBER(P222)),IF(ABS(P222)&lt;1E-12,"",Q222/P222),"")</x:f>
        <x:v>-0.06598939647997407</x:v>
      </x:c>
      <x:c r="T222" s="36" t="n">
        <x:f>IF(ISNUMBER(S222),ABS(S222),"")</x:f>
        <x:v>0.06598939647997407</x:v>
      </x:c>
      <x:c r="U222" s="37" t="n">
        <x:f>IF(ISNUMBER(Q222),Q222^2,"")</x:f>
        <x:v>0.000024977759859408533</x:v>
      </x:c>
      <x:c r="V222" s="21" t="str">
        <x:f>IF(NOT(AND(ISNUMBER(D222),ISNUMBER(E222),ISNUMBER(G222),ISNUMBER(H222))),"缺少配对",IF(OR(F222&lt;J222,F222&gt;K222),"超出理论J范围","有效"))</x:f>
        <x:v>有效</x:v>
      </x:c>
      <x:c r="W222" s="20" t="str">
        <x:v>升力 y=0.915708x+28.7687 → C_T_prop；实验攻角 30° ↔ 理论 alpha_p_deg 60°；原升力源 4000rpm!C66/N66</x:v>
      </x:c>
      <x:c r="X222" s="20" t="str">
        <x:v>升力标定计算!M443</x:v>
      </x:c>
      <x:c r="Y222" s="20" t="str">
        <x:v>升力标定计算!M444</x:v>
      </x:c>
      <x:c r="Z222" s="20" t="str">
        <x:v>升力标定计算!N443</x:v>
      </x:c>
      <x:c r="AA222" s="20" t="str">
        <x:v>升力标定计算!N444</x:v>
      </x:c>
      <x:c r="AB222" s="20" t="str">
        <x:v>4000rpm!AT54:AS55</x:v>
      </x:c>
    </x:row>
    <x:row r="223">
      <x:c r="A223" s="21" t="n">
        <x:v>4000</x:v>
      </x:c>
      <x:c r="B223" s="21" t="n">
        <x:v>30</x:v>
      </x:c>
      <x:c r="C223" s="21" t="n">
        <x:v>10</x:v>
      </x:c>
      <x:c r="D223" s="22" t="n">
        <x:f>IFERROR('升力标定计算'!M445,"")</x:f>
        <x:v>0.2677531692046226</x:v>
      </x:c>
      <x:c r="E223" s="22" t="n">
        <x:f>IFERROR('升力标定计算'!M446,"")</x:f>
        <x:v>0.2672794085324707</x:v>
      </x:c>
      <x:c r="F223" s="22" t="n">
        <x:f>IF(AND(ISNUMBER(D223),ISNUMBER(E223)),AVERAGE(D223,E223),"")</x:f>
        <x:v>0.2675162888685466</x:v>
      </x:c>
      <x:c r="G223" s="22" t="n">
        <x:f>IFERROR('升力标定计算'!N445,"")</x:f>
        <x:v>0.06953963465498547</x:v>
      </x:c>
      <x:c r="H223" s="22" t="n">
        <x:f>IFERROR('升力标定计算'!N446,"")</x:f>
        <x:v>0.06891855185441081</x:v>
      </x:c>
      <x:c r="I223" s="22" t="n">
        <x:f>IF(AND(ISNUMBER(G223),ISNUMBER(H223)),AVERAGE(G223,H223),"")</x:f>
        <x:v>0.06922909325469814</x:v>
      </x:c>
      <x:c r="J223" s="22" t="n">
        <x:f>IFERROR('4000rpm'!AT47,"")</x:f>
        <x:v>0</x:v>
      </x:c>
      <x:c r="K223" s="22" t="n">
        <x:f>IFERROR('4000rpm'!AT57,"")</x:f>
        <x:v>0.3336614173228346</x:v>
      </x:c>
      <x:c r="L223" s="22" t="n">
        <x:f>IFERROR('4000rpm'!AT55,"")</x:f>
        <x:v>0.2669291338582677</x:v>
      </x:c>
      <x:c r="M223" s="22" t="n">
        <x:f>IFERROR('4000rpm'!AS55,"")</x:f>
        <x:v>0.07464040408097382</x:v>
      </x:c>
      <x:c r="N223" s="22" t="n">
        <x:f>IFERROR('4000rpm'!AT56,"")</x:f>
        <x:v>0.3002952755905512</x:v>
      </x:c>
      <x:c r="O223" s="22" t="n">
        <x:f>IFERROR('4000rpm'!AS56,"")</x:f>
        <x:v>0.07334884010891023</x:v>
      </x:c>
      <x:c r="P223" s="22" t="n">
        <x:f>IF(OR(NOT(AND(ISNUMBER(D223),ISNUMBER(E223),ISNUMBER(G223),ISNUMBER(H223))),OR(F223&lt;J223,F223&gt;K223)),"",IF(N223=L223,M223,M223+(F223-L223)*(O223-M223)/(N223-L223)))</x:f>
        <x:v>0.07461767600341011</x:v>
      </x:c>
      <x:c r="Q223" s="22" t="n">
        <x:f>IF(AND(ISNUMBER(I223),ISNUMBER(P223)),I223-P223,"")</x:f>
        <x:v>-0.00538858274871197</x:v>
      </x:c>
      <x:c r="R223" s="22" t="n">
        <x:f>IF(ISNUMBER(Q223),ABS(Q223),"")</x:f>
        <x:v>0.00538858274871197</x:v>
      </x:c>
      <x:c r="S223" s="36" t="n">
        <x:f>IF(AND(ISNUMBER(Q223),ISNUMBER(P223)),IF(ABS(P223)&lt;1E-12,"",Q223/P223),"")</x:f>
        <x:v>-0.0722159016111103</x:v>
      </x:c>
      <x:c r="T223" s="36" t="n">
        <x:f>IF(ISNUMBER(S223),ABS(S223),"")</x:f>
        <x:v>0.0722159016111103</x:v>
      </x:c>
      <x:c r="U223" s="37" t="n">
        <x:f>IF(ISNUMBER(Q223),Q223^2,"")</x:f>
        <x:v>0.000029036824039716252</x:v>
      </x:c>
      <x:c r="V223" s="21" t="str">
        <x:f>IF(NOT(AND(ISNUMBER(D223),ISNUMBER(E223),ISNUMBER(G223),ISNUMBER(H223))),"缺少配对",IF(OR(F223&lt;J223,F223&gt;K223),"超出理论J范围","有效"))</x:f>
        <x:v>有效</x:v>
      </x:c>
      <x:c r="W223" s="20" t="str">
        <x:v>升力 y=0.915708x+28.7687 → C_T_prop；实验攻角 30° ↔ 理论 alpha_p_deg 60°；原升力源 4000rpm!C67/N67</x:v>
      </x:c>
      <x:c r="X223" s="20" t="str">
        <x:v>升力标定计算!M445</x:v>
      </x:c>
      <x:c r="Y223" s="20" t="str">
        <x:v>升力标定计算!M446</x:v>
      </x:c>
      <x:c r="Z223" s="20" t="str">
        <x:v>升力标定计算!N445</x:v>
      </x:c>
      <x:c r="AA223" s="20" t="str">
        <x:v>升力标定计算!N446</x:v>
      </x:c>
      <x:c r="AB223" s="20" t="str">
        <x:v>4000rpm!AT55:AS56</x:v>
      </x:c>
    </x:row>
    <x:row r="224">
      <x:c r="A224" s="21" t="n">
        <x:v>4000</x:v>
      </x:c>
      <x:c r="B224" s="21" t="n">
        <x:v>30</x:v>
      </x:c>
      <x:c r="C224" s="21" t="n">
        <x:v>11</x:v>
      </x:c>
      <x:c r="D224" s="22" t="n">
        <x:f>IFERROR('升力标定计算'!M447,"")</x:f>
        <x:v>0.3024501707394301</x:v>
      </x:c>
      <x:c r="E224" s="22" t="n">
        <x:f>IFERROR('升力标定计算'!M448,"")</x:f>
        <x:v>0.3014648202352331</x:v>
      </x:c>
      <x:c r="F224" s="22" t="n">
        <x:f>IF(AND(ISNUMBER(D224),ISNUMBER(E224)),AVERAGE(D224,E224),"")</x:f>
        <x:v>0.3019574954873316</x:v>
      </x:c>
      <x:c r="G224" s="22" t="n">
        <x:f>IFERROR('升力标定计算'!N447,"")</x:f>
        <x:v>0.06879646390646364</x:v>
      </x:c>
      <x:c r="H224" s="22" t="n">
        <x:f>IFERROR('升力标定计算'!N448,"")</x:f>
        <x:v>0.06846665953665608</x:v>
      </x:c>
      <x:c r="I224" s="22" t="n">
        <x:f>IF(AND(ISNUMBER(G224),ISNUMBER(H224)),AVERAGE(G224,H224),"")</x:f>
        <x:v>0.06863156172155986</x:v>
      </x:c>
      <x:c r="J224" s="22" t="n">
        <x:f>IFERROR('4000rpm'!AT47,"")</x:f>
        <x:v>0</x:v>
      </x:c>
      <x:c r="K224" s="22" t="n">
        <x:f>IFERROR('4000rpm'!AT57,"")</x:f>
        <x:v>0.3336614173228346</x:v>
      </x:c>
      <x:c r="L224" s="22" t="n">
        <x:f>IFERROR('4000rpm'!AT56,"")</x:f>
        <x:v>0.3002952755905512</x:v>
      </x:c>
      <x:c r="M224" s="22" t="n">
        <x:f>IFERROR('4000rpm'!AS56,"")</x:f>
        <x:v>0.07334884010891023</x:v>
      </x:c>
      <x:c r="N224" s="22" t="n">
        <x:f>IFERROR('4000rpm'!AT57,"")</x:f>
        <x:v>0.3336614173228346</x:v>
      </x:c>
      <x:c r="O224" s="22" t="n">
        <x:f>IFERROR('4000rpm'!AS57,"")</x:f>
        <x:v>0.07187917638615017</x:v>
      </x:c>
      <x:c r="P224" s="22" t="n">
        <x:f>IF(OR(NOT(AND(ISNUMBER(D224),ISNUMBER(E224),ISNUMBER(G224),ISNUMBER(H224))),OR(F224&lt;J224,F224&gt;K224)),"",IF(N224=L224,M224,M224+(F224-L224)*(O224-M224)/(N224-L224)))</x:f>
        <x:v>0.07327562504253698</x:v>
      </x:c>
      <x:c r="Q224" s="22" t="n">
        <x:f>IF(AND(ISNUMBER(I224),ISNUMBER(P224)),I224-P224,"")</x:f>
        <x:v>-0.004644063320977124</x:v>
      </x:c>
      <x:c r="R224" s="22" t="n">
        <x:f>IF(ISNUMBER(Q224),ABS(Q224),"")</x:f>
        <x:v>0.004644063320977124</x:v>
      </x:c>
      <x:c r="S224" s="36" t="n">
        <x:f>IF(AND(ISNUMBER(Q224),ISNUMBER(P224)),IF(ABS(P224)&lt;1E-12,"",Q224/P224),"")</x:f>
        <x:v>-0.06337801033128293</x:v>
      </x:c>
      <x:c r="T224" s="36" t="n">
        <x:f>IF(ISNUMBER(S224),ABS(S224),"")</x:f>
        <x:v>0.06337801033128293</x:v>
      </x:c>
      <x:c r="U224" s="37" t="n">
        <x:f>IF(ISNUMBER(Q224),Q224^2,"")</x:f>
        <x:v>0.000021567324129245073</x:v>
      </x:c>
      <x:c r="V224" s="21" t="str">
        <x:f>IF(NOT(AND(ISNUMBER(D224),ISNUMBER(E224),ISNUMBER(G224),ISNUMBER(H224))),"缺少配对",IF(OR(F224&lt;J224,F224&gt;K224),"超出理论J范围","有效"))</x:f>
        <x:v>有效</x:v>
      </x:c>
      <x:c r="W224" s="20" t="str">
        <x:v>升力 y=0.915708x+28.7687 → C_T_prop；实验攻角 30° ↔ 理论 alpha_p_deg 60°；原升力源 4000rpm!C68/N68</x:v>
      </x:c>
      <x:c r="X224" s="20" t="str">
        <x:v>升力标定计算!M447</x:v>
      </x:c>
      <x:c r="Y224" s="20" t="str">
        <x:v>升力标定计算!M448</x:v>
      </x:c>
      <x:c r="Z224" s="20" t="str">
        <x:v>升力标定计算!N447</x:v>
      </x:c>
      <x:c r="AA224" s="20" t="str">
        <x:v>升力标定计算!N448</x:v>
      </x:c>
      <x:c r="AB224" s="20" t="str">
        <x:v>4000rpm!AT56:AS57</x:v>
      </x:c>
    </x:row>
    <x:row r="225">
      <x:c r="A225" s="21" t="n">
        <x:v>4000</x:v>
      </x:c>
      <x:c r="B225" s="21" t="n">
        <x:v>30</x:v>
      </x:c>
      <x:c r="C225" s="21" t="n">
        <x:v>12</x:v>
      </x:c>
      <x:c r="D225" s="22" t="n">
        <x:f>IFERROR('升力标定计算'!M449,"")</x:f>
        <x:v>0.333083129046448</x:v>
      </x:c>
      <x:c r="E225" s="22" t="n">
        <x:f>IFERROR('升力标定计算'!M450,"")</x:f>
        <x:v>0.3328487376083789</x:v>
      </x:c>
      <x:c r="F225" s="22" t="n">
        <x:f>IF(AND(ISNUMBER(D225),ISNUMBER(E225)),AVERAGE(D225,E225),"")</x:f>
        <x:v>0.3329659333274134</x:v>
      </x:c>
      <x:c r="G225" s="22" t="n">
        <x:f>IFERROR('升力标定计算'!N449,"")</x:f>
        <x:v>0.06821860988901389</x:v>
      </x:c>
      <x:c r="H225" s="22" t="n">
        <x:f>IFERROR('升力标定计算'!N450,"")</x:f>
        <x:v>0.06764877667586648</x:v>
      </x:c>
      <x:c r="I225" s="22" t="n">
        <x:f>IF(AND(ISNUMBER(G225),ISNUMBER(H225)),AVERAGE(G225,H225),"")</x:f>
        <x:v>0.06793369328244019</x:v>
      </x:c>
      <x:c r="J225" s="22" t="n">
        <x:f>IFERROR('4000rpm'!AT47,"")</x:f>
        <x:v>0</x:v>
      </x:c>
      <x:c r="K225" s="22" t="n">
        <x:f>IFERROR('4000rpm'!AT57,"")</x:f>
        <x:v>0.3336614173228346</x:v>
      </x:c>
      <x:c r="L225" s="22" t="n">
        <x:f>IFERROR('4000rpm'!AT56,"")</x:f>
        <x:v>0.3002952755905512</x:v>
      </x:c>
      <x:c r="M225" s="22" t="n">
        <x:f>IFERROR('4000rpm'!AS56,"")</x:f>
        <x:v>0.07334884010891023</x:v>
      </x:c>
      <x:c r="N225" s="22" t="n">
        <x:f>IFERROR('4000rpm'!AT57,"")</x:f>
        <x:v>0.3336614173228346</x:v>
      </x:c>
      <x:c r="O225" s="22" t="n">
        <x:f>IFERROR('4000rpm'!AS57,"")</x:f>
        <x:v>0.07187917638615017</x:v>
      </x:c>
      <x:c r="P225" s="22" t="n">
        <x:f>IF(OR(NOT(AND(ISNUMBER(D225),ISNUMBER(E225),ISNUMBER(G225),ISNUMBER(H225))),OR(F225&lt;J225,F225&gt;K225)),"",IF(N225=L225,M225,M225+(F225-L225)*(O225-M225)/(N225-L225)))</x:f>
        <x:v>0.07190981006282852</x:v>
      </x:c>
      <x:c r="Q225" s="22" t="n">
        <x:f>IF(AND(ISNUMBER(I225),ISNUMBER(P225)),I225-P225,"")</x:f>
        <x:v>-0.003976116780388339</x:v>
      </x:c>
      <x:c r="R225" s="22" t="n">
        <x:f>IF(ISNUMBER(Q225),ABS(Q225),"")</x:f>
        <x:v>0.003976116780388339</x:v>
      </x:c>
      <x:c r="S225" s="36" t="n">
        <x:f>IF(AND(ISNUMBER(Q225),ISNUMBER(P225)),IF(ABS(P225)&lt;1E-12,"",Q225/P225),"")</x:f>
        <x:v>-0.05529310641919864</x:v>
      </x:c>
      <x:c r="T225" s="36" t="n">
        <x:f>IF(ISNUMBER(S225),ABS(S225),"")</x:f>
        <x:v>0.05529310641919864</x:v>
      </x:c>
      <x:c r="U225" s="37" t="n">
        <x:f>IF(ISNUMBER(Q225),Q225^2,"")</x:f>
        <x:v>0.00001580950465128573</x:v>
      </x:c>
      <x:c r="V225" s="21" t="str">
        <x:f>IF(NOT(AND(ISNUMBER(D225),ISNUMBER(E225),ISNUMBER(G225),ISNUMBER(H225))),"缺少配对",IF(OR(F225&lt;J225,F225&gt;K225),"超出理论J范围","有效"))</x:f>
        <x:v>有效</x:v>
      </x:c>
      <x:c r="W225" s="20" t="str">
        <x:v>升力 y=0.915708x+28.7687 → C_T_prop；实验攻角 30° ↔ 理论 alpha_p_deg 60°；原升力源 4000rpm!C69/N69</x:v>
      </x:c>
      <x:c r="X225" s="20" t="str">
        <x:v>升力标定计算!M449</x:v>
      </x:c>
      <x:c r="Y225" s="20" t="str">
        <x:v>升力标定计算!M450</x:v>
      </x:c>
      <x:c r="Z225" s="20" t="str">
        <x:v>升力标定计算!N449</x:v>
      </x:c>
      <x:c r="AA225" s="20" t="str">
        <x:v>升力标定计算!N450</x:v>
      </x:c>
      <x:c r="AB225" s="20" t="str">
        <x:v>4000rpm!AT56:AS57</x:v>
      </x:c>
    </x:row>
    <x:row r="226">
      <x:c r="A226" s="21" t="n">
        <x:v>4000</x:v>
      </x:c>
      <x:c r="B226" s="21" t="n">
        <x:v>30</x:v>
      </x:c>
      <x:c r="C226" s="21" t="n">
        <x:v>13</x:v>
      </x:c>
      <x:c r="D226" s="22" t="n">
        <x:f>IFERROR('升力标定计算'!M451,"")</x:f>
        <x:v>0.3017380904414105</x:v>
      </x:c>
      <x:c r="E226" s="22" t="n">
        <x:f>IFERROR('升力标定计算'!M452,"")</x:f>
        <x:v>0.3024968569936036</x:v>
      </x:c>
      <x:c r="F226" s="22" t="n">
        <x:f>IF(AND(ISNUMBER(D226),ISNUMBER(E226)),AVERAGE(D226,E226),"")</x:f>
        <x:v>0.3021174737175071</x:v>
      </x:c>
      <x:c r="G226" s="22" t="n">
        <x:f>IFERROR('升力标定计算'!N451,"")</x:f>
        <x:v>0.06835891076830539</x:v>
      </x:c>
      <x:c r="H226" s="22" t="n">
        <x:f>IFERROR('升力标定计算'!N452,"")</x:f>
        <x:v>0.0690294233952899</x:v>
      </x:c>
      <x:c r="I226" s="22" t="n">
        <x:f>IF(AND(ISNUMBER(G226),ISNUMBER(H226)),AVERAGE(G226,H226),"")</x:f>
        <x:v>0.06869416708179765</x:v>
      </x:c>
      <x:c r="J226" s="22" t="n">
        <x:f>IFERROR('4000rpm'!AT47,"")</x:f>
        <x:v>0</x:v>
      </x:c>
      <x:c r="K226" s="22" t="n">
        <x:f>IFERROR('4000rpm'!AT57,"")</x:f>
        <x:v>0.3336614173228346</x:v>
      </x:c>
      <x:c r="L226" s="22" t="n">
        <x:f>IFERROR('4000rpm'!AT56,"")</x:f>
        <x:v>0.3002952755905512</x:v>
      </x:c>
      <x:c r="M226" s="22" t="n">
        <x:f>IFERROR('4000rpm'!AS56,"")</x:f>
        <x:v>0.07334884010891023</x:v>
      </x:c>
      <x:c r="N226" s="22" t="n">
        <x:f>IFERROR('4000rpm'!AT57,"")</x:f>
        <x:v>0.3336614173228346</x:v>
      </x:c>
      <x:c r="O226" s="22" t="n">
        <x:f>IFERROR('4000rpm'!AS57,"")</x:f>
        <x:v>0.07187917638615017</x:v>
      </x:c>
      <x:c r="P226" s="22" t="n">
        <x:f>IF(OR(NOT(AND(ISNUMBER(D226),ISNUMBER(E226),ISNUMBER(G226),ISNUMBER(H226))),OR(F226&lt;J226,F226&gt;K226)),"",IF(N226=L226,M226,M226+(F226-L226)*(O226-M226)/(N226-L226)))</x:f>
        <x:v>0.07326857855201954</x:v>
      </x:c>
      <x:c r="Q226" s="22" t="n">
        <x:f>IF(AND(ISNUMBER(I226),ISNUMBER(P226)),I226-P226,"")</x:f>
        <x:v>-0.00457441147022189</x:v>
      </x:c>
      <x:c r="R226" s="22" t="n">
        <x:f>IF(ISNUMBER(Q226),ABS(Q226),"")</x:f>
        <x:v>0.00457441147022189</x:v>
      </x:c>
      <x:c r="S226" s="36" t="n">
        <x:f>IF(AND(ISNUMBER(Q226),ISNUMBER(P226)),IF(ABS(P226)&lt;1E-12,"",Q226/P226),"")</x:f>
        <x:v>-0.062433468215493344</x:v>
      </x:c>
      <x:c r="T226" s="36" t="n">
        <x:f>IF(ISNUMBER(S226),ABS(S226),"")</x:f>
        <x:v>0.062433468215493344</x:v>
      </x:c>
      <x:c r="U226" s="37" t="n">
        <x:f>IF(ISNUMBER(Q226),Q226^2,"")</x:f>
        <x:v>0.00002092524029889759</x:v>
      </x:c>
      <x:c r="V226" s="21" t="str">
        <x:f>IF(NOT(AND(ISNUMBER(D226),ISNUMBER(E226),ISNUMBER(G226),ISNUMBER(H226))),"缺少配对",IF(OR(F226&lt;J226,F226&gt;K226),"超出理论J范围","有效"))</x:f>
        <x:v>有效</x:v>
      </x:c>
      <x:c r="W226" s="20" t="str">
        <x:v>升力 y=0.915708x+28.7687 → C_T_prop；实验攻角 30° ↔ 理论 alpha_p_deg 60°；原升力源 4000rpm!C70/N70</x:v>
      </x:c>
      <x:c r="X226" s="20" t="str">
        <x:v>升力标定计算!M451</x:v>
      </x:c>
      <x:c r="Y226" s="20" t="str">
        <x:v>升力标定计算!M452</x:v>
      </x:c>
      <x:c r="Z226" s="20" t="str">
        <x:v>升力标定计算!N451</x:v>
      </x:c>
      <x:c r="AA226" s="20" t="str">
        <x:v>升力标定计算!N452</x:v>
      </x:c>
      <x:c r="AB226" s="20" t="str">
        <x:v>4000rpm!AT56:AS57</x:v>
      </x:c>
    </x:row>
    <x:row r="227">
      <x:c r="A227" s="21" t="n">
        <x:v>4000</x:v>
      </x:c>
      <x:c r="B227" s="21" t="n">
        <x:v>30</x:v>
      </x:c>
      <x:c r="C227" s="21" t="n">
        <x:v>14</x:v>
      </x:c>
      <x:c r="D227" s="22" t="n">
        <x:f>IFERROR('升力标定计算'!M453,"")</x:f>
        <x:v>0.2678000077171956</x:v>
      </x:c>
      <x:c r="E227" s="22" t="n">
        <x:f>IFERROR('升力标定计算'!M454,"")</x:f>
        <x:v>0.26843220958683706</x:v>
      </x:c>
      <x:c r="F227" s="22" t="n">
        <x:f>IF(AND(ISNUMBER(D227),ISNUMBER(E227)),AVERAGE(D227,E227),"")</x:f>
        <x:v>0.2681161086520163</x:v>
      </x:c>
      <x:c r="G227" s="22" t="n">
        <x:f>IFERROR('升力标定计算'!N453,"")</x:f>
        <x:v>0.06910855778844854</x:v>
      </x:c>
      <x:c r="H227" s="22" t="n">
        <x:f>IFERROR('升力标定计算'!N454,"")</x:f>
        <x:v>0.06829214281118252</x:v>
      </x:c>
      <x:c r="I227" s="22" t="n">
        <x:f>IF(AND(ISNUMBER(G227),ISNUMBER(H227)),AVERAGE(G227,H227),"")</x:f>
        <x:v>0.06870035029981553</x:v>
      </x:c>
      <x:c r="J227" s="22" t="n">
        <x:f>IFERROR('4000rpm'!AT47,"")</x:f>
        <x:v>0</x:v>
      </x:c>
      <x:c r="K227" s="22" t="n">
        <x:f>IFERROR('4000rpm'!AT57,"")</x:f>
        <x:v>0.3336614173228346</x:v>
      </x:c>
      <x:c r="L227" s="22" t="n">
        <x:f>IFERROR('4000rpm'!AT55,"")</x:f>
        <x:v>0.2669291338582677</x:v>
      </x:c>
      <x:c r="M227" s="22" t="n">
        <x:f>IFERROR('4000rpm'!AS55,"")</x:f>
        <x:v>0.07464040408097382</x:v>
      </x:c>
      <x:c r="N227" s="22" t="n">
        <x:f>IFERROR('4000rpm'!AT56,"")</x:f>
        <x:v>0.3002952755905512</x:v>
      </x:c>
      <x:c r="O227" s="22" t="n">
        <x:f>IFERROR('4000rpm'!AS56,"")</x:f>
        <x:v>0.07334884010891023</x:v>
      </x:c>
      <x:c r="P227" s="22" t="n">
        <x:f>IF(OR(NOT(AND(ISNUMBER(D227),ISNUMBER(E227),ISNUMBER(G227),ISNUMBER(H227))),OR(F227&lt;J227,F227&gt;K227)),"",IF(N227=L227,M227,M227+(F227-L227)*(O227-M227)/(N227-L227)))</x:f>
        <x:v>0.07459445768742153</x:v>
      </x:c>
      <x:c r="Q227" s="22" t="n">
        <x:f>IF(AND(ISNUMBER(I227),ISNUMBER(P227)),I227-P227,"")</x:f>
        <x:v>-0.0058941073876059985</x:v>
      </x:c>
      <x:c r="R227" s="22" t="n">
        <x:f>IF(ISNUMBER(Q227),ABS(Q227),"")</x:f>
        <x:v>0.0058941073876059985</x:v>
      </x:c>
      <x:c r="S227" s="36" t="n">
        <x:f>IF(AND(ISNUMBER(Q227),ISNUMBER(P227)),IF(ABS(P227)&lt;1E-12,"",Q227/P227),"")</x:f>
        <x:v>-0.07901535275320985</x:v>
      </x:c>
      <x:c r="T227" s="36" t="n">
        <x:f>IF(ISNUMBER(S227),ABS(S227),"")</x:f>
        <x:v>0.07901535275320985</x:v>
      </x:c>
      <x:c r="U227" s="37" t="n">
        <x:f>IF(ISNUMBER(Q227),Q227^2,"")</x:f>
        <x:v>0.000034740501896631605</x:v>
      </x:c>
      <x:c r="V227" s="21" t="str">
        <x:f>IF(NOT(AND(ISNUMBER(D227),ISNUMBER(E227),ISNUMBER(G227),ISNUMBER(H227))),"缺少配对",IF(OR(F227&lt;J227,F227&gt;K227),"超出理论J范围","有效"))</x:f>
        <x:v>有效</x:v>
      </x:c>
      <x:c r="W227" s="20" t="str">
        <x:v>升力 y=0.915708x+28.7687 → C_T_prop；实验攻角 30° ↔ 理论 alpha_p_deg 60°；原升力源 4000rpm!C71/N71</x:v>
      </x:c>
      <x:c r="X227" s="20" t="str">
        <x:v>升力标定计算!M453</x:v>
      </x:c>
      <x:c r="Y227" s="20" t="str">
        <x:v>升力标定计算!M454</x:v>
      </x:c>
      <x:c r="Z227" s="20" t="str">
        <x:v>升力标定计算!N453</x:v>
      </x:c>
      <x:c r="AA227" s="20" t="str">
        <x:v>升力标定计算!N454</x:v>
      </x:c>
      <x:c r="AB227" s="20" t="str">
        <x:v>4000rpm!AT55:AS56</x:v>
      </x:c>
    </x:row>
    <x:row r="228">
      <x:c r="A228" s="21" t="n">
        <x:v>4000</x:v>
      </x:c>
      <x:c r="B228" s="21" t="n">
        <x:v>30</x:v>
      </x:c>
      <x:c r="C228" s="21" t="n">
        <x:v>15</x:v>
      </x:c>
      <x:c r="D228" s="22" t="n">
        <x:f>IFERROR('升力标定计算'!M455,"")</x:f>
        <x:v>0.23576139577644203</x:v>
      </x:c>
      <x:c r="E228" s="22" t="n">
        <x:f>IFERROR('升力标定计算'!M456,"")</x:f>
        <x:v>0.23593541523825737</x:v>
      </x:c>
      <x:c r="F228" s="22" t="n">
        <x:f>IF(AND(ISNUMBER(D228),ISNUMBER(E228)),AVERAGE(D228,E228),"")</x:f>
        <x:v>0.2358484055073497</x:v>
      </x:c>
      <x:c r="G228" s="22" t="n">
        <x:f>IFERROR('升力标定计算'!N455,"")</x:f>
        <x:v>0.07046325327565453</x:v>
      </x:c>
      <x:c r="H228" s="22" t="n">
        <x:f>IFERROR('升力标定计算'!N456,"")</x:f>
        <x:v>0.07036965602631065</x:v>
      </x:c>
      <x:c r="I228" s="22" t="n">
        <x:f>IF(AND(ISNUMBER(G228),ISNUMBER(H228)),AVERAGE(G228,H228),"")</x:f>
        <x:v>0.07041645465098259</x:v>
      </x:c>
      <x:c r="J228" s="22" t="n">
        <x:f>IFERROR('4000rpm'!AT47,"")</x:f>
        <x:v>0</x:v>
      </x:c>
      <x:c r="K228" s="22" t="n">
        <x:f>IFERROR('4000rpm'!AT57,"")</x:f>
        <x:v>0.3336614173228346</x:v>
      </x:c>
      <x:c r="L228" s="22" t="n">
        <x:f>IFERROR('4000rpm'!AT54,"")</x:f>
        <x:v>0.23356299212598428</x:v>
      </x:c>
      <x:c r="M228" s="22" t="n">
        <x:f>IFERROR('4000rpm'!AS54,"")</x:f>
        <x:v>0.07576886010831554</x:v>
      </x:c>
      <x:c r="N228" s="22" t="n">
        <x:f>IFERROR('4000rpm'!AT55,"")</x:f>
        <x:v>0.2669291338582677</x:v>
      </x:c>
      <x:c r="O228" s="22" t="n">
        <x:f>IFERROR('4000rpm'!AS55,"")</x:f>
        <x:v>0.07464040408097382</x:v>
      </x:c>
      <x:c r="P228" s="22" t="n">
        <x:f>IF(OR(NOT(AND(ISNUMBER(D228),ISNUMBER(E228),ISNUMBER(G228),ISNUMBER(H228))),OR(F228&lt;J228,F228&gt;K228)),"",IF(N228=L228,M228,M228+(F228-L228)*(O228-M228)/(N228-L228)))</x:f>
        <x:v>0.07569156652951756</x:v>
      </x:c>
      <x:c r="Q228" s="22" t="n">
        <x:f>IF(AND(ISNUMBER(I228),ISNUMBER(P228)),I228-P228,"")</x:f>
        <x:v>-0.005275111878534966</x:v>
      </x:c>
      <x:c r="R228" s="22" t="n">
        <x:f>IF(ISNUMBER(Q228),ABS(Q228),"")</x:f>
        <x:v>0.005275111878534966</x:v>
      </x:c>
      <x:c r="S228" s="36" t="n">
        <x:f>IF(AND(ISNUMBER(Q228),ISNUMBER(P228)),IF(ABS(P228)&lt;1E-12,"",Q228/P228),"")</x:f>
        <x:v>-0.06969220113152001</x:v>
      </x:c>
      <x:c r="T228" s="36" t="n">
        <x:f>IF(ISNUMBER(S228),ABS(S228),"")</x:f>
        <x:v>0.06969220113152001</x:v>
      </x:c>
      <x:c r="U228" s="37" t="n">
        <x:f>IF(ISNUMBER(Q228),Q228^2,"")</x:f>
        <x:v>0.0000278268053310607</x:v>
      </x:c>
      <x:c r="V228" s="21" t="str">
        <x:f>IF(NOT(AND(ISNUMBER(D228),ISNUMBER(E228),ISNUMBER(G228),ISNUMBER(H228))),"缺少配对",IF(OR(F228&lt;J228,F228&gt;K228),"超出理论J范围","有效"))</x:f>
        <x:v>有效</x:v>
      </x:c>
      <x:c r="W228" s="20" t="str">
        <x:v>升力 y=0.915708x+28.7687 → C_T_prop；实验攻角 30° ↔ 理论 alpha_p_deg 60°；原升力源 4000rpm!C72/N72</x:v>
      </x:c>
      <x:c r="X228" s="20" t="str">
        <x:v>升力标定计算!M455</x:v>
      </x:c>
      <x:c r="Y228" s="20" t="str">
        <x:v>升力标定计算!M456</x:v>
      </x:c>
      <x:c r="Z228" s="20" t="str">
        <x:v>升力标定计算!N455</x:v>
      </x:c>
      <x:c r="AA228" s="20" t="str">
        <x:v>升力标定计算!N456</x:v>
      </x:c>
      <x:c r="AB228" s="20" t="str">
        <x:v>4000rpm!AT54:AS55</x:v>
      </x:c>
    </x:row>
    <x:row r="229">
      <x:c r="A229" s="21" t="n">
        <x:v>4000</x:v>
      </x:c>
      <x:c r="B229" s="21" t="n">
        <x:v>30</x:v>
      </x:c>
      <x:c r="C229" s="21" t="n">
        <x:v>16</x:v>
      </x:c>
      <x:c r="D229" s="22" t="n">
        <x:f>IFERROR('升力标定计算'!M457,"")</x:f>
        <x:v>0.2026395482951074</x:v>
      </x:c>
      <x:c r="E229" s="22" t="n">
        <x:f>IFERROR('升力标定计算'!M458,"")</x:f>
        <x:v>0.20356547068374561</x:v>
      </x:c>
      <x:c r="F229" s="22" t="n">
        <x:f>IF(AND(ISNUMBER(D229),ISNUMBER(E229)),AVERAGE(D229,E229),"")</x:f>
        <x:v>0.2031025094894265</x:v>
      </x:c>
      <x:c r="G229" s="22" t="n">
        <x:f>IFERROR('升力标定计算'!N457,"")</x:f>
        <x:v>0.07127865571656142</x:v>
      </x:c>
      <x:c r="H229" s="22" t="n">
        <x:f>IFERROR('升力标定计算'!N458,"")</x:f>
        <x:v>0.07190459729704607</x:v>
      </x:c>
      <x:c r="I229" s="22" t="n">
        <x:f>IF(AND(ISNUMBER(G229),ISNUMBER(H229)),AVERAGE(G229,H229),"")</x:f>
        <x:v>0.07159162650680374</x:v>
      </x:c>
      <x:c r="J229" s="22" t="n">
        <x:f>IFERROR('4000rpm'!AT47,"")</x:f>
        <x:v>0</x:v>
      </x:c>
      <x:c r="K229" s="22" t="n">
        <x:f>IFERROR('4000rpm'!AT57,"")</x:f>
        <x:v>0.3336614173228346</x:v>
      </x:c>
      <x:c r="L229" s="22" t="n">
        <x:f>IFERROR('4000rpm'!AT53,"")</x:f>
        <x:v>0.2001968503937008</x:v>
      </x:c>
      <x:c r="M229" s="22" t="n">
        <x:f>IFERROR('4000rpm'!AS53,"")</x:f>
        <x:v>0.0767677393468044</x:v>
      </x:c>
      <x:c r="N229" s="22" t="n">
        <x:f>IFERROR('4000rpm'!AT54,"")</x:f>
        <x:v>0.23356299212598428</x:v>
      </x:c>
      <x:c r="O229" s="22" t="n">
        <x:f>IFERROR('4000rpm'!AS54,"")</x:f>
        <x:v>0.07576886010831554</x:v>
      </x:c>
      <x:c r="P229" s="22" t="n">
        <x:f>IF(OR(NOT(AND(ISNUMBER(D229),ISNUMBER(E229),ISNUMBER(G229),ISNUMBER(H229))),OR(F229&lt;J229,F229&gt;K229)),"",IF(N229=L229,M229,M229+(F229-L229)*(O229-M229)/(N229-L229)))</x:f>
        <x:v>0.07668075288705324</x:v>
      </x:c>
      <x:c r="Q229" s="22" t="n">
        <x:f>IF(AND(ISNUMBER(I229),ISNUMBER(P229)),I229-P229,"")</x:f>
        <x:v>-0.005089126380249498</x:v>
      </x:c>
      <x:c r="R229" s="22" t="n">
        <x:f>IF(ISNUMBER(Q229),ABS(Q229),"")</x:f>
        <x:v>0.005089126380249498</x:v>
      </x:c>
      <x:c r="S229" s="36" t="n">
        <x:f>IF(AND(ISNUMBER(Q229),ISNUMBER(P229)),IF(ABS(P229)&lt;1E-12,"",Q229/P229),"")</x:f>
        <x:v>-0.06636771534762467</x:v>
      </x:c>
      <x:c r="T229" s="36" t="n">
        <x:f>IF(ISNUMBER(S229),ABS(S229),"")</x:f>
        <x:v>0.06636771534762467</x:v>
      </x:c>
      <x:c r="U229" s="37" t="n">
        <x:f>IF(ISNUMBER(Q229),Q229^2,"")</x:f>
        <x:v>0.000025899207314151357</x:v>
      </x:c>
      <x:c r="V229" s="21" t="str">
        <x:f>IF(NOT(AND(ISNUMBER(D229),ISNUMBER(E229),ISNUMBER(G229),ISNUMBER(H229))),"缺少配对",IF(OR(F229&lt;J229,F229&gt;K229),"超出理论J范围","有效"))</x:f>
        <x:v>有效</x:v>
      </x:c>
      <x:c r="W229" s="20" t="str">
        <x:v>升力 y=0.915708x+28.7687 → C_T_prop；实验攻角 30° ↔ 理论 alpha_p_deg 60°；原升力源 4000rpm!C73/N73</x:v>
      </x:c>
      <x:c r="X229" s="20" t="str">
        <x:v>升力标定计算!M457</x:v>
      </x:c>
      <x:c r="Y229" s="20" t="str">
        <x:v>升力标定计算!M458</x:v>
      </x:c>
      <x:c r="Z229" s="20" t="str">
        <x:v>升力标定计算!N457</x:v>
      </x:c>
      <x:c r="AA229" s="20" t="str">
        <x:v>升力标定计算!N458</x:v>
      </x:c>
      <x:c r="AB229" s="20" t="str">
        <x:v>4000rpm!AT53:AS54</x:v>
      </x:c>
    </x:row>
    <x:row r="230">
      <x:c r="A230" s="21" t="n">
        <x:v>4000</x:v>
      </x:c>
      <x:c r="B230" s="21" t="n">
        <x:v>30</x:v>
      </x:c>
      <x:c r="C230" s="21" t="n">
        <x:v>17</x:v>
      </x:c>
      <x:c r="D230" s="22" t="n">
        <x:f>IFERROR('升力标定计算'!M459,"")</x:f>
        <x:v>0.16853573539451255</x:v>
      </x:c>
      <x:c r="E230" s="22" t="n">
        <x:f>IFERROR('升力标定计算'!M460,"")</x:f>
        <x:v>0.1694335599344221</x:v>
      </x:c>
      <x:c r="F230" s="22" t="n">
        <x:f>IF(AND(ISNUMBER(D230),ISNUMBER(E230)),AVERAGE(D230,E230),"")</x:f>
        <x:v>0.16898464766446733</x:v>
      </x:c>
      <x:c r="G230" s="22" t="n">
        <x:f>IFERROR('升力标定计算'!N459,"")</x:f>
        <x:v>0.07201795896961458</x:v>
      </x:c>
      <x:c r="H230" s="22" t="n">
        <x:f>IFERROR('升力标定计算'!N460,"")</x:f>
        <x:v>0.07250175409755792</x:v>
      </x:c>
      <x:c r="I230" s="22" t="n">
        <x:f>IF(AND(ISNUMBER(G230),ISNUMBER(H230)),AVERAGE(G230,H230),"")</x:f>
        <x:v>0.07225985653358624</x:v>
      </x:c>
      <x:c r="J230" s="22" t="n">
        <x:f>IFERROR('4000rpm'!AT47,"")</x:f>
        <x:v>0</x:v>
      </x:c>
      <x:c r="K230" s="22" t="n">
        <x:f>IFERROR('4000rpm'!AT57,"")</x:f>
        <x:v>0.3336614173228346</x:v>
      </x:c>
      <x:c r="L230" s="22" t="n">
        <x:f>IFERROR('4000rpm'!AT52,"")</x:f>
        <x:v>0.1668307086614173</x:v>
      </x:c>
      <x:c r="M230" s="22" t="n">
        <x:f>IFERROR('4000rpm'!AS52,"")</x:f>
        <x:v>0.07768829434690101</x:v>
      </x:c>
      <x:c r="N230" s="22" t="n">
        <x:f>IFERROR('4000rpm'!AT53,"")</x:f>
        <x:v>0.2001968503937008</x:v>
      </x:c>
      <x:c r="O230" s="22" t="n">
        <x:f>IFERROR('4000rpm'!AS53,"")</x:f>
        <x:v>0.0767677393468044</x:v>
      </x:c>
      <x:c r="P230" s="22" t="n">
        <x:f>IF(OR(NOT(AND(ISNUMBER(D230),ISNUMBER(E230),ISNUMBER(G230),ISNUMBER(H230))),OR(F230&lt;J230,F230&gt;K230)),"",IF(N230=L230,M230,M230+(F230-L230)*(O230-M230)/(N230-L230)))</x:f>
        <x:v>0.07762886825757159</x:v>
      </x:c>
      <x:c r="Q230" s="22" t="n">
        <x:f>IF(AND(ISNUMBER(I230),ISNUMBER(P230)),I230-P230,"")</x:f>
        <x:v>-0.005369011723985351</x:v>
      </x:c>
      <x:c r="R230" s="22" t="n">
        <x:f>IF(ISNUMBER(Q230),ABS(Q230),"")</x:f>
        <x:v>0.005369011723985351</x:v>
      </x:c>
      <x:c r="S230" s="36" t="n">
        <x:f>IF(AND(ISNUMBER(Q230),ISNUMBER(P230)),IF(ABS(P230)&lt;1E-12,"",Q230/P230),"")</x:f>
        <x:v>-0.06916256599505018</x:v>
      </x:c>
      <x:c r="T230" s="36" t="n">
        <x:f>IF(ISNUMBER(S230),ABS(S230),"")</x:f>
        <x:v>0.06916256599505018</x:v>
      </x:c>
      <x:c r="U230" s="37" t="n">
        <x:f>IF(ISNUMBER(Q230),Q230^2,"")</x:f>
        <x:v>0.000028826286892292148</x:v>
      </x:c>
      <x:c r="V230" s="21" t="str">
        <x:f>IF(NOT(AND(ISNUMBER(D230),ISNUMBER(E230),ISNUMBER(G230),ISNUMBER(H230))),"缺少配对",IF(OR(F230&lt;J230,F230&gt;K230),"超出理论J范围","有效"))</x:f>
        <x:v>有效</x:v>
      </x:c>
      <x:c r="W230" s="20" t="str">
        <x:v>升力 y=0.915708x+28.7687 → C_T_prop；实验攻角 30° ↔ 理论 alpha_p_deg 60°；原升力源 4000rpm!C74/N74</x:v>
      </x:c>
      <x:c r="X230" s="20" t="str">
        <x:v>升力标定计算!M459</x:v>
      </x:c>
      <x:c r="Y230" s="20" t="str">
        <x:v>升力标定计算!M460</x:v>
      </x:c>
      <x:c r="Z230" s="20" t="str">
        <x:v>升力标定计算!N459</x:v>
      </x:c>
      <x:c r="AA230" s="20" t="str">
        <x:v>升力标定计算!N460</x:v>
      </x:c>
      <x:c r="AB230" s="20" t="str">
        <x:v>4000rpm!AT52:AS53</x:v>
      </x:c>
    </x:row>
    <x:row r="231">
      <x:c r="A231" s="21" t="n">
        <x:v>4000</x:v>
      </x:c>
      <x:c r="B231" s="21" t="n">
        <x:v>30</x:v>
      </x:c>
      <x:c r="C231" s="21" t="n">
        <x:v>18</x:v>
      </x:c>
      <x:c r="D231" s="22" t="n">
        <x:f>IFERROR('升力标定计算'!M461,"")</x:f>
        <x:v>0.134917271578513</x:v>
      </x:c>
      <x:c r="E231" s="22" t="n">
        <x:f>IFERROR('升力标定计算'!M462,"")</x:f>
        <x:v>0.13560607305044886</x:v>
      </x:c>
      <x:c r="F231" s="22" t="n">
        <x:f>IF(AND(ISNUMBER(D231),ISNUMBER(E231)),AVERAGE(D231,E231),"")</x:f>
        <x:v>0.13526167231448094</x:v>
      </x:c>
      <x:c r="G231" s="22" t="n">
        <x:f>IFERROR('升力标定计算'!N461,"")</x:f>
        <x:v>0.0731690412311872</x:v>
      </x:c>
      <x:c r="H231" s="22" t="n">
        <x:f>IFERROR('升力标定计算'!N462,"")</x:f>
        <x:v>0.07323363090408873</x:v>
      </x:c>
      <x:c r="I231" s="22" t="n">
        <x:f>IF(AND(ISNUMBER(G231),ISNUMBER(H231)),AVERAGE(G231,H231),"")</x:f>
        <x:v>0.07320133606763796</x:v>
      </x:c>
      <x:c r="J231" s="22" t="n">
        <x:f>IFERROR('4000rpm'!AT47,"")</x:f>
        <x:v>0</x:v>
      </x:c>
      <x:c r="K231" s="22" t="n">
        <x:f>IFERROR('4000rpm'!AT57,"")</x:f>
        <x:v>0.3336614173228346</x:v>
      </x:c>
      <x:c r="L231" s="22" t="n">
        <x:f>IFERROR('4000rpm'!AT51,"")</x:f>
        <x:v>0.13346456692913386</x:v>
      </x:c>
      <x:c r="M231" s="22" t="n">
        <x:f>IFERROR('4000rpm'!AS51,"")</x:f>
        <x:v>0.07856422678123451</x:v>
      </x:c>
      <x:c r="N231" s="22" t="n">
        <x:f>IFERROR('4000rpm'!AT52,"")</x:f>
        <x:v>0.1668307086614173</x:v>
      </x:c>
      <x:c r="O231" s="22" t="n">
        <x:f>IFERROR('4000rpm'!AS52,"")</x:f>
        <x:v>0.07768829434690101</x:v>
      </x:c>
      <x:c r="P231" s="22" t="n">
        <x:f>IF(OR(NOT(AND(ISNUMBER(D231),ISNUMBER(E231),ISNUMBER(G231),ISNUMBER(H231))),OR(F231&lt;J231,F231&gt;K231)),"",IF(N231=L231,M231,M231+(F231-L231)*(O231-M231)/(N231-L231)))</x:f>
        <x:v>0.07851704892927994</x:v>
      </x:c>
      <x:c r="Q231" s="22" t="n">
        <x:f>IF(AND(ISNUMBER(I231),ISNUMBER(P231)),I231-P231,"")</x:f>
        <x:v>-0.00531571286164198</x:v>
      </x:c>
      <x:c r="R231" s="22" t="n">
        <x:f>IF(ISNUMBER(Q231),ABS(Q231),"")</x:f>
        <x:v>0.00531571286164198</x:v>
      </x:c>
      <x:c r="S231" s="36" t="n">
        <x:f>IF(AND(ISNUMBER(Q231),ISNUMBER(P231)),IF(ABS(P231)&lt;1E-12,"",Q231/P231),"")</x:f>
        <x:v>-0.06770138376481555</x:v>
      </x:c>
      <x:c r="T231" s="36" t="n">
        <x:f>IF(ISNUMBER(S231),ABS(S231),"")</x:f>
        <x:v>0.06770138376481555</x:v>
      </x:c>
      <x:c r="U231" s="37" t="n">
        <x:f>IF(ISNUMBER(Q231),Q231^2,"")</x:f>
        <x:v>0.00002825680322742597</x:v>
      </x:c>
      <x:c r="V231" s="21" t="str">
        <x:f>IF(NOT(AND(ISNUMBER(D231),ISNUMBER(E231),ISNUMBER(G231),ISNUMBER(H231))),"缺少配对",IF(OR(F231&lt;J231,F231&gt;K231),"超出理论J范围","有效"))</x:f>
        <x:v>有效</x:v>
      </x:c>
      <x:c r="W231" s="20" t="str">
        <x:v>升力 y=0.915708x+28.7687 → C_T_prop；实验攻角 30° ↔ 理论 alpha_p_deg 60°；原升力源 4000rpm!C75/N75</x:v>
      </x:c>
      <x:c r="X231" s="20" t="str">
        <x:v>升力标定计算!M461</x:v>
      </x:c>
      <x:c r="Y231" s="20" t="str">
        <x:v>升力标定计算!M462</x:v>
      </x:c>
      <x:c r="Z231" s="20" t="str">
        <x:v>升力标定计算!N461</x:v>
      </x:c>
      <x:c r="AA231" s="20" t="str">
        <x:v>升力标定计算!N462</x:v>
      </x:c>
      <x:c r="AB231" s="20" t="str">
        <x:v>4000rpm!AT51:AS52</x:v>
      </x:c>
    </x:row>
    <x:row r="232">
      <x:c r="A232" s="21" t="n">
        <x:v>4000</x:v>
      </x:c>
      <x:c r="B232" s="21" t="n">
        <x:v>30</x:v>
      </x:c>
      <x:c r="C232" s="21" t="n">
        <x:v>19</x:v>
      </x:c>
      <x:c r="D232" s="22" t="n">
        <x:f>IFERROR('升力标定计算'!M463,"")</x:f>
        <x:v>0.1015301023242988</x:v>
      </x:c>
      <x:c r="E232" s="22" t="n">
        <x:f>IFERROR('升力标定计算'!M464,"")</x:f>
        <x:v>0.10271151273418135</x:v>
      </x:c>
      <x:c r="F232" s="22" t="n">
        <x:f>IF(AND(ISNUMBER(D232),ISNUMBER(E232)),AVERAGE(D232,E232),"")</x:f>
        <x:v>0.10212080752924008</x:v>
      </x:c>
      <x:c r="G232" s="22" t="n">
        <x:f>IFERROR('升力标定计算'!N463,"")</x:f>
        <x:v>0.07404314005838447</x:v>
      </x:c>
      <x:c r="H232" s="22" t="n">
        <x:f>IFERROR('升力标定计算'!N464,"")</x:f>
        <x:v>0.07507896613118324</x:v>
      </x:c>
      <x:c r="I232" s="22" t="n">
        <x:f>IF(AND(ISNUMBER(G232),ISNUMBER(H232)),AVERAGE(G232,H232),"")</x:f>
        <x:v>0.07456105309478386</x:v>
      </x:c>
      <x:c r="J232" s="22" t="n">
        <x:f>IFERROR('4000rpm'!AT47,"")</x:f>
        <x:v>0</x:v>
      </x:c>
      <x:c r="K232" s="22" t="n">
        <x:f>IFERROR('4000rpm'!AT57,"")</x:f>
        <x:v>0.3336614173228346</x:v>
      </x:c>
      <x:c r="L232" s="22" t="n">
        <x:f>IFERROR('4000rpm'!AT50,"")</x:f>
        <x:v>0.1000984251968504</x:v>
      </x:c>
      <x:c r="M232" s="22" t="n">
        <x:f>IFERROR('4000rpm'!AS50,"")</x:f>
        <x:v>0.07946121001692016</x:v>
      </x:c>
      <x:c r="N232" s="22" t="n">
        <x:f>IFERROR('4000rpm'!AT51,"")</x:f>
        <x:v>0.13346456692913386</x:v>
      </x:c>
      <x:c r="O232" s="22" t="n">
        <x:f>IFERROR('4000rpm'!AS51,"")</x:f>
        <x:v>0.07856422678123451</x:v>
      </x:c>
      <x:c r="P232" s="22" t="n">
        <x:f>IF(OR(NOT(AND(ISNUMBER(D232),ISNUMBER(E232),ISNUMBER(G232),ISNUMBER(H232))),OR(F232&lt;J232,F232&gt;K232)),"",IF(N232=L232,M232,M232+(F232-L232)*(O232-M232)/(N232-L232)))</x:f>
        <x:v>0.0794068422370655</x:v>
      </x:c>
      <x:c r="Q232" s="22" t="n">
        <x:f>IF(AND(ISNUMBER(I232),ISNUMBER(P232)),I232-P232,"")</x:f>
        <x:v>-0.004845789142281634</x:v>
      </x:c>
      <x:c r="R232" s="22" t="n">
        <x:f>IF(ISNUMBER(Q232),ABS(Q232),"")</x:f>
        <x:v>0.004845789142281634</x:v>
      </x:c>
      <x:c r="S232" s="36" t="n">
        <x:f>IF(AND(ISNUMBER(Q232),ISNUMBER(P232)),IF(ABS(P232)&lt;1E-12,"",Q232/P232),"")</x:f>
        <x:v>-0.061024831182869006</x:v>
      </x:c>
      <x:c r="T232" s="36" t="n">
        <x:f>IF(ISNUMBER(S232),ABS(S232),"")</x:f>
        <x:v>0.061024831182869006</x:v>
      </x:c>
      <x:c r="U232" s="37" t="n">
        <x:f>IF(ISNUMBER(Q232),Q232^2,"")</x:f>
        <x:v>0.000023481672411454575</x:v>
      </x:c>
      <x:c r="V232" s="21" t="str">
        <x:f>IF(NOT(AND(ISNUMBER(D232),ISNUMBER(E232),ISNUMBER(G232),ISNUMBER(H232))),"缺少配对",IF(OR(F232&lt;J232,F232&gt;K232),"超出理论J范围","有效"))</x:f>
        <x:v>有效</x:v>
      </x:c>
      <x:c r="W232" s="20" t="str">
        <x:v>升力 y=0.915708x+28.7687 → C_T_prop；实验攻角 30° ↔ 理论 alpha_p_deg 60°；原升力源 4000rpm!C76/N76</x:v>
      </x:c>
      <x:c r="X232" s="20" t="str">
        <x:v>升力标定计算!M463</x:v>
      </x:c>
      <x:c r="Y232" s="20" t="str">
        <x:v>升力标定计算!M464</x:v>
      </x:c>
      <x:c r="Z232" s="20" t="str">
        <x:v>升力标定计算!N463</x:v>
      </x:c>
      <x:c r="AA232" s="20" t="str">
        <x:v>升力标定计算!N464</x:v>
      </x:c>
      <x:c r="AB232" s="20" t="str">
        <x:v>4000rpm!AT50:AS51</x:v>
      </x:c>
    </x:row>
    <x:row r="233">
      <x:c r="A233" s="21" t="n">
        <x:v>4000</x:v>
      </x:c>
      <x:c r="B233" s="21" t="n">
        <x:v>30</x:v>
      </x:c>
      <x:c r="C233" s="21" t="n">
        <x:v>20</x:v>
      </x:c>
      <x:c r="D233" s="22" t="n">
        <x:f>IFERROR('升力标定计算'!M465,"")</x:f>
        <x:v>0.0686565718009142</x:v>
      </x:c>
      <x:c r="E233" s="22" t="n">
        <x:f>IFERROR('升力标定计算'!M466,"")</x:f>
        <x:v>0.0683601604526124</x:v>
      </x:c>
      <x:c r="F233" s="22" t="n">
        <x:f>IF(AND(ISNUMBER(D233),ISNUMBER(E233)),AVERAGE(D233,E233),"")</x:f>
        <x:v>0.0685083661267633</x:v>
      </x:c>
      <x:c r="G233" s="22" t="n">
        <x:f>IFERROR('升力标定计算'!N465,"")</x:f>
        <x:v>0.07638182694753992</x:v>
      </x:c>
      <x:c r="H233" s="22" t="n">
        <x:f>IFERROR('升力标定计算'!N466,"")</x:f>
        <x:v>0.07583692974853708</x:v>
      </x:c>
      <x:c r="I233" s="22" t="n">
        <x:f>IF(AND(ISNUMBER(G233),ISNUMBER(H233)),AVERAGE(G233,H233),"")</x:f>
        <x:v>0.07610937834803849</x:v>
      </x:c>
      <x:c r="J233" s="22" t="n">
        <x:f>IFERROR('4000rpm'!AT47,"")</x:f>
        <x:v>0</x:v>
      </x:c>
      <x:c r="K233" s="22" t="n">
        <x:f>IFERROR('4000rpm'!AT57,"")</x:f>
        <x:v>0.3336614173228346</x:v>
      </x:c>
      <x:c r="L233" s="22" t="n">
        <x:f>IFERROR('4000rpm'!AT49,"")</x:f>
        <x:v>0.06673228346456693</x:v>
      </x:c>
      <x:c r="M233" s="22" t="n">
        <x:f>IFERROR('4000rpm'!AS49,"")</x:f>
        <x:v>0.08048977911613392</x:v>
      </x:c>
      <x:c r="N233" s="22" t="n">
        <x:f>IFERROR('4000rpm'!AT50,"")</x:f>
        <x:v>0.1000984251968504</x:v>
      </x:c>
      <x:c r="O233" s="22" t="n">
        <x:f>IFERROR('4000rpm'!AS50,"")</x:f>
        <x:v>0.07946121001692016</x:v>
      </x:c>
      <x:c r="P233" s="22" t="n">
        <x:f>IF(OR(NOT(AND(ISNUMBER(D233),ISNUMBER(E233),ISNUMBER(G233),ISNUMBER(H233))),OR(F233&lt;J233,F233&gt;K233)),"",IF(N233=L233,M233,M233+(F233-L233)*(O233-M233)/(N233-L233)))</x:f>
        <x:v>0.0804350282924204</x:v>
      </x:c>
      <x:c r="Q233" s="22" t="n">
        <x:f>IF(AND(ISNUMBER(I233),ISNUMBER(P233)),I233-P233,"")</x:f>
        <x:v>-0.004325649944381907</x:v>
      </x:c>
      <x:c r="R233" s="22" t="n">
        <x:f>IF(ISNUMBER(Q233),ABS(Q233),"")</x:f>
        <x:v>0.004325649944381907</x:v>
      </x:c>
      <x:c r="S233" s="36" t="n">
        <x:f>IF(AND(ISNUMBER(Q233),ISNUMBER(P233)),IF(ABS(P233)&lt;1E-12,"",Q233/P233),"")</x:f>
        <x:v>-0.053778186397300295</x:v>
      </x:c>
      <x:c r="T233" s="36" t="n">
        <x:f>IF(ISNUMBER(S233),ABS(S233),"")</x:f>
        <x:v>0.053778186397300295</x:v>
      </x:c>
      <x:c r="U233" s="37" t="n">
        <x:f>IF(ISNUMBER(Q233),Q233^2,"")</x:f>
        <x:v>0.000018711247441331193</x:v>
      </x:c>
      <x:c r="V233" s="21" t="str">
        <x:f>IF(NOT(AND(ISNUMBER(D233),ISNUMBER(E233),ISNUMBER(G233),ISNUMBER(H233))),"缺少配对",IF(OR(F233&lt;J233,F233&gt;K233),"超出理论J范围","有效"))</x:f>
        <x:v>有效</x:v>
      </x:c>
      <x:c r="W233" s="20" t="str">
        <x:v>升力 y=0.915708x+28.7687 → C_T_prop；实验攻角 30° ↔ 理论 alpha_p_deg 60°；原升力源 4000rpm!C77/N77</x:v>
      </x:c>
      <x:c r="X233" s="20" t="str">
        <x:v>升力标定计算!M465</x:v>
      </x:c>
      <x:c r="Y233" s="20" t="str">
        <x:v>升力标定计算!M466</x:v>
      </x:c>
      <x:c r="Z233" s="20" t="str">
        <x:v>升力标定计算!N465</x:v>
      </x:c>
      <x:c r="AA233" s="20" t="str">
        <x:v>升力标定计算!N466</x:v>
      </x:c>
      <x:c r="AB233" s="20" t="str">
        <x:v>4000rpm!AT49:AS50</x:v>
      </x:c>
    </x:row>
    <x:row r="234">
      <x:c r="A234" s="21" t="n">
        <x:v>4000</x:v>
      </x:c>
      <x:c r="B234" s="21" t="n">
        <x:v>30</x:v>
      </x:c>
      <x:c r="C234" s="21" t="n">
        <x:v>21</x:v>
      </x:c>
      <x:c r="D234" s="22" t="n">
        <x:f>IFERROR('升力标定计算'!M467,"")</x:f>
        <x:v>0.03462105824774552</x:v>
      </x:c>
      <x:c r="E234" s="22" t="n">
        <x:f>IFERROR('升力标定计算'!M468,"")</x:f>
        <x:v>0.034435518508645645</x:v>
      </x:c>
      <x:c r="F234" s="22" t="n">
        <x:f>IF(AND(ISNUMBER(D234),ISNUMBER(E234)),AVERAGE(D234,E234),"")</x:f>
        <x:v>0.03452828837819558</x:v>
      </x:c>
      <x:c r="G234" s="22" t="n">
        <x:f>IFERROR('升力标定计算'!N467,"")</x:f>
        <x:v>0.07736289507845842</x:v>
      </x:c>
      <x:c r="H234" s="22" t="n">
        <x:f>IFERROR('升力标定计算'!N468,"")</x:f>
        <x:v>0.07643951490190207</x:v>
      </x:c>
      <x:c r="I234" s="22" t="n">
        <x:f>IF(AND(ISNUMBER(G234),ISNUMBER(H234)),AVERAGE(G234,H234),"")</x:f>
        <x:v>0.07690120499018024</x:v>
      </x:c>
      <x:c r="J234" s="22" t="n">
        <x:f>IFERROR('4000rpm'!AT47,"")</x:f>
        <x:v>0</x:v>
      </x:c>
      <x:c r="K234" s="22" t="n">
        <x:f>IFERROR('4000rpm'!AT57,"")</x:f>
        <x:v>0.3336614173228346</x:v>
      </x:c>
      <x:c r="L234" s="22" t="n">
        <x:f>IFERROR('4000rpm'!AT48,"")</x:f>
        <x:v>0.033366141732283465</x:v>
      </x:c>
      <x:c r="M234" s="22" t="n">
        <x:f>IFERROR('4000rpm'!AS48,"")</x:f>
        <x:v>0.08172562458177902</x:v>
      </x:c>
      <x:c r="N234" s="22" t="n">
        <x:f>IFERROR('4000rpm'!AT49,"")</x:f>
        <x:v>0.06673228346456693</x:v>
      </x:c>
      <x:c r="O234" s="22" t="n">
        <x:f>IFERROR('4000rpm'!AS49,"")</x:f>
        <x:v>0.08048977911613392</x:v>
      </x:c>
      <x:c r="P234" s="22" t="n">
        <x:f>IF(OR(NOT(AND(ISNUMBER(D234),ISNUMBER(E234),ISNUMBER(G234),ISNUMBER(H234))),OR(F234&lt;J234,F234&gt;K234)),"",IF(N234=L234,M234,M234+(F234-L234)*(O234-M234)/(N234-L234)))</x:f>
        <x:v>0.08168257993867079</x:v>
      </x:c>
      <x:c r="Q234" s="22" t="n">
        <x:f>IF(AND(ISNUMBER(I234),ISNUMBER(P234)),I234-P234,"")</x:f>
        <x:v>-0.004781374948490541</x:v>
      </x:c>
      <x:c r="R234" s="22" t="n">
        <x:f>IF(ISNUMBER(Q234),ABS(Q234),"")</x:f>
        <x:v>0.004781374948490541</x:v>
      </x:c>
      <x:c r="S234" s="36" t="n">
        <x:f>IF(AND(ISNUMBER(Q234),ISNUMBER(P234)),IF(ABS(P234)&lt;1E-12,"",Q234/P234),"")</x:f>
        <x:v>-0.05853604222688008</x:v>
      </x:c>
      <x:c r="T234" s="36" t="n">
        <x:f>IF(ISNUMBER(S234),ABS(S234),"")</x:f>
        <x:v>0.05853604222688008</x:v>
      </x:c>
      <x:c r="U234" s="37" t="n">
        <x:f>IF(ISNUMBER(Q234),Q234^2,"")</x:f>
        <x:v>0.000022861546398052922</x:v>
      </x:c>
      <x:c r="V234" s="21" t="str">
        <x:f>IF(NOT(AND(ISNUMBER(D234),ISNUMBER(E234),ISNUMBER(G234),ISNUMBER(H234))),"缺少配对",IF(OR(F234&lt;J234,F234&gt;K234),"超出理论J范围","有效"))</x:f>
        <x:v>有效</x:v>
      </x:c>
      <x:c r="W234" s="20" t="str">
        <x:v>升力 y=0.915708x+28.7687 → C_T_prop；实验攻角 30° ↔ 理论 alpha_p_deg 60°；原升力源 4000rpm!C78/N78</x:v>
      </x:c>
      <x:c r="X234" s="20" t="str">
        <x:v>升力标定计算!M467</x:v>
      </x:c>
      <x:c r="Y234" s="20" t="str">
        <x:v>升力标定计算!M468</x:v>
      </x:c>
      <x:c r="Z234" s="20" t="str">
        <x:v>升力标定计算!N467</x:v>
      </x:c>
      <x:c r="AA234" s="20" t="str">
        <x:v>升力标定计算!N468</x:v>
      </x:c>
      <x:c r="AB234" s="20" t="str">
        <x:v>4000rpm!AT48:AS49</x:v>
      </x:c>
    </x:row>
    <x:row r="235">
      <x:c r="A235" s="21" t="n">
        <x:v>4000</x:v>
      </x:c>
      <x:c r="B235" s="21" t="n">
        <x:v>30</x:v>
      </x:c>
      <x:c r="C235" s="21" t="n">
        <x:v>22</x:v>
      </x:c>
      <x:c r="D235" s="22" t="n">
        <x:f>IFERROR('升力标定计算'!M469,"")</x:f>
        <x:v>0.0047837640771681775</x:v>
      </x:c>
      <x:c r="E235" s="22" t="n">
        <x:f>IFERROR('升力标定计算'!M470,"")</x:f>
        <x:v>0.004779043168329585</x:v>
      </x:c>
      <x:c r="F235" s="22" t="n">
        <x:f>IF(AND(ISNUMBER(D235),ISNUMBER(E235)),AVERAGE(D235,E235),"")</x:f>
        <x:v>0.004781403622748881</x:v>
      </x:c>
      <x:c r="G235" s="22" t="n">
        <x:f>IFERROR('升力标定计算'!N469,"")</x:f>
        <x:v>0.07815237059324745</x:v>
      </x:c>
      <x:c r="H235" s="22" t="n">
        <x:f>IFERROR('升力标定计算'!N470,"")</x:f>
        <x:v>0.0775972192945387</x:v>
      </x:c>
      <x:c r="I235" s="22" t="n">
        <x:f>IF(AND(ISNUMBER(G235),ISNUMBER(H235)),AVERAGE(G235,H235),"")</x:f>
        <x:v>0.07787479494389307</x:v>
      </x:c>
      <x:c r="J235" s="22" t="n">
        <x:f>IFERROR('4000rpm'!AT47,"")</x:f>
        <x:v>0</x:v>
      </x:c>
      <x:c r="K235" s="22" t="n">
        <x:f>IFERROR('4000rpm'!AT57,"")</x:f>
        <x:v>0.3336614173228346</x:v>
      </x:c>
      <x:c r="L235" s="22" t="n">
        <x:f>IFERROR('4000rpm'!AT47,"")</x:f>
        <x:v>0</x:v>
      </x:c>
      <x:c r="M235" s="22" t="n">
        <x:f>IFERROR('4000rpm'!AS47,"")</x:f>
        <x:v>0.08350690647788582</x:v>
      </x:c>
      <x:c r="N235" s="22" t="n">
        <x:f>IFERROR('4000rpm'!AT48,"")</x:f>
        <x:v>0.033366141732283465</x:v>
      </x:c>
      <x:c r="O235" s="22" t="n">
        <x:f>IFERROR('4000rpm'!AS48,"")</x:f>
        <x:v>0.08172562458177902</x:v>
      </x:c>
      <x:c r="P235" s="22" t="n">
        <x:f>IF(OR(NOT(AND(ISNUMBER(D235),ISNUMBER(E235),ISNUMBER(G235),ISNUMBER(H235))),OR(F235&lt;J235,F235&gt;K235)),"",IF(N235=L235,M235,M235+(F235-L235)*(O235-M235)/(N235-L235)))</x:f>
        <x:v>0.08325164688630585</x:v>
      </x:c>
      <x:c r="Q235" s="22" t="n">
        <x:f>IF(AND(ISNUMBER(I235),ISNUMBER(P235)),I235-P235,"")</x:f>
        <x:v>-0.005376851942412775</x:v>
      </x:c>
      <x:c r="R235" s="22" t="n">
        <x:f>IF(ISNUMBER(Q235),ABS(Q235),"")</x:f>
        <x:v>0.005376851942412775</x:v>
      </x:c>
      <x:c r="S235" s="36" t="n">
        <x:f>IF(AND(ISNUMBER(Q235),ISNUMBER(P235)),IF(ABS(P235)&lt;1E-12,"",Q235/P235),"")</x:f>
        <x:v>-0.06458553246106677</x:v>
      </x:c>
      <x:c r="T235" s="36" t="n">
        <x:f>IF(ISNUMBER(S235),ABS(S235),"")</x:f>
        <x:v>0.06458553246106677</x:v>
      </x:c>
      <x:c r="U235" s="37" t="n">
        <x:f>IF(ISNUMBER(Q235),Q235^2,"")</x:f>
        <x:v>0.00002891053681062803</x:v>
      </x:c>
      <x:c r="V235" s="21" t="str">
        <x:f>IF(NOT(AND(ISNUMBER(D235),ISNUMBER(E235),ISNUMBER(G235),ISNUMBER(H235))),"缺少配对",IF(OR(F235&lt;J235,F235&gt;K235),"超出理论J范围","有效"))</x:f>
        <x:v>有效</x:v>
      </x:c>
      <x:c r="W235" s="20" t="str">
        <x:v>升力 y=0.915708x+28.7687 → C_T_prop；实验攻角 30° ↔ 理论 alpha_p_deg 60°；原升力源 4000rpm!C79/N79</x:v>
      </x:c>
      <x:c r="X235" s="20" t="str">
        <x:v>升力标定计算!M469</x:v>
      </x:c>
      <x:c r="Y235" s="20" t="str">
        <x:v>升力标定计算!M470</x:v>
      </x:c>
      <x:c r="Z235" s="20" t="str">
        <x:v>升力标定计算!N469</x:v>
      </x:c>
      <x:c r="AA235" s="20" t="str">
        <x:v>升力标定计算!N470</x:v>
      </x:c>
      <x:c r="AB235" s="20" t="str">
        <x:v>4000rpm!AT47:AS48</x:v>
      </x:c>
    </x:row>
    <x:row r="236">
      <x:c r="A236" s="21" t="n">
        <x:v>4000</x:v>
      </x:c>
      <x:c r="B236" s="21" t="n">
        <x:v>30</x:v>
      </x:c>
      <x:c r="C236" s="21" t="n">
        <x:v>23</x:v>
      </x:c>
      <x:c r="D236" s="22" t="str">
        <x:f>IFERROR('升力标定计算'!M471,"")</x:f>
      </x:c>
      <x:c r="E236" s="22" t="str">
        <x:f>IFERROR('升力标定计算'!M472,"")</x:f>
      </x:c>
      <x:c r="F236" s="22" t="str">
        <x:f>IF(AND(ISNUMBER(D236),ISNUMBER(E236)),AVERAGE(D236,E236),"")</x:f>
      </x:c>
      <x:c r="G236" s="22" t="str">
        <x:f>IFERROR('升力标定计算'!N471,"")</x:f>
      </x:c>
      <x:c r="H236" s="22" t="str">
        <x:f>IFERROR('升力标定计算'!N472,"")</x:f>
      </x:c>
      <x:c r="I236" s="22" t="str">
        <x:f>IF(AND(ISNUMBER(G236),ISNUMBER(H236)),AVERAGE(G236,H236),"")</x:f>
      </x:c>
      <x:c r="J236" s="22" t="n">
        <x:f>IFERROR('4000rpm'!AT47,"")</x:f>
        <x:v>0</x:v>
      </x:c>
      <x:c r="K236" s="22" t="n">
        <x:f>IFERROR('4000rpm'!AT57,"")</x:f>
        <x:v>0.3336614173228346</x:v>
      </x:c>
      <x:c r="L236" s="22" t="n">
        <x:f>IFERROR('4000rpm'!AT47,"")</x:f>
        <x:v>0</x:v>
      </x:c>
      <x:c r="M236" s="22" t="n">
        <x:f>IFERROR('4000rpm'!AS47,"")</x:f>
        <x:v>0.08350690647788582</x:v>
      </x:c>
      <x:c r="N236" s="22" t="n">
        <x:f>IFERROR('4000rpm'!AT57,"")</x:f>
        <x:v>0.3336614173228346</x:v>
      </x:c>
      <x:c r="O236" s="22" t="n">
        <x:f>IFERROR('4000rpm'!AS57,"")</x:f>
        <x:v>0.07187917638615017</x:v>
      </x:c>
      <x:c r="P236" s="22" t="str">
        <x:f>IF(OR(NOT(AND(ISNUMBER(D236),ISNUMBER(E236),ISNUMBER(G236),ISNUMBER(H236))),OR(F236&lt;J236,F236&gt;K236)),"",IF(N236=L236,M236,M236+(F236-L236)*(O236-M236)/(N236-L236)))</x:f>
      </x:c>
      <x:c r="Q236" s="22" t="str">
        <x:f>IF(AND(ISNUMBER(I236),ISNUMBER(P236)),I236-P236,"")</x:f>
      </x:c>
      <x:c r="R236" s="22" t="str">
        <x:f>IF(ISNUMBER(Q236),ABS(Q236),"")</x:f>
      </x:c>
      <x:c r="S236" s="36" t="str">
        <x:f>IF(AND(ISNUMBER(Q236),ISNUMBER(P236)),IF(ABS(P236)&lt;1E-12,"",Q236/P236),"")</x:f>
      </x:c>
      <x:c r="T236" s="36" t="str">
        <x:f>IF(ISNUMBER(S236),ABS(S236),"")</x:f>
      </x:c>
      <x:c r="U236" s="37" t="str">
        <x:f>IF(ISNUMBER(Q236),Q236^2,"")</x:f>
      </x:c>
      <x:c r="V236" s="21" t="str">
        <x:f>IF(NOT(AND(ISNUMBER(D236),ISNUMBER(E236),ISNUMBER(G236),ISNUMBER(H236))),"缺少配对",IF(OR(F236&lt;J236,F236&gt;K236),"超出理论J范围","有效"))</x:f>
        <x:v>缺少配对</x:v>
      </x:c>
      <x:c r="W236" s="20" t="str">
        <x:v>升力 y=0.915708x+28.7687 → C_T_prop；实验攻角 30° ↔ 理论 alpha_p_deg 60°；原升力源 4000rpm!C80/N80</x:v>
      </x:c>
      <x:c r="X236" s="20" t="str">
        <x:v>升力标定计算!M471</x:v>
      </x:c>
      <x:c r="Y236" s="20" t="str">
        <x:v>升力标定计算!M472</x:v>
      </x:c>
      <x:c r="Z236" s="20" t="str">
        <x:v>升力标定计算!N471</x:v>
      </x:c>
      <x:c r="AA236" s="20" t="str">
        <x:v>升力标定计算!N472</x:v>
      </x:c>
      <x:c r="AB236" s="20" t="str">
        <x:v>4000rpm!AT47:AS57</x:v>
      </x:c>
    </x:row>
    <x:row r="237">
      <x:c r="A237" s="21" t="n">
        <x:v>4000</x:v>
      </x:c>
      <x:c r="B237" s="21" t="n">
        <x:v>45</x:v>
      </x:c>
      <x:c r="C237" s="21" t="n">
        <x:v>1</x:v>
      </x:c>
      <x:c r="D237" s="22" t="str">
        <x:f>IFERROR('升力标定计算'!M473,"")</x:f>
      </x:c>
      <x:c r="E237" s="22" t="str">
        <x:f>IFERROR('升力标定计算'!M474,"")</x:f>
      </x:c>
      <x:c r="F237" s="22" t="str">
        <x:f>IF(AND(ISNUMBER(D237),ISNUMBER(E237)),AVERAGE(D237,E237),"")</x:f>
      </x:c>
      <x:c r="G237" s="22" t="str">
        <x:f>IFERROR('升力标定计算'!N473,"")</x:f>
      </x:c>
      <x:c r="H237" s="22" t="str">
        <x:f>IFERROR('升力标定计算'!N474,"")</x:f>
      </x:c>
      <x:c r="I237" s="22" t="str">
        <x:f>IF(AND(ISNUMBER(G237),ISNUMBER(H237)),AVERAGE(G237,H237),"")</x:f>
      </x:c>
      <x:c r="J237" s="22" t="n">
        <x:f>IFERROR('4000rpm'!AT36,"")</x:f>
        <x:v>0</x:v>
      </x:c>
      <x:c r="K237" s="22" t="n">
        <x:f>IFERROR('4000rpm'!AT46,"")</x:f>
        <x:v>0.3336614173228346</x:v>
      </x:c>
      <x:c r="L237" s="22" t="n">
        <x:f>IFERROR('4000rpm'!AT36,"")</x:f>
        <x:v>0</x:v>
      </x:c>
      <x:c r="M237" s="22" t="n">
        <x:f>IFERROR('4000rpm'!AS36,"")</x:f>
        <x:v>0.08350690647788582</x:v>
      </x:c>
      <x:c r="N237" s="22" t="n">
        <x:f>IFERROR('4000rpm'!AT46,"")</x:f>
        <x:v>0.3336614173228346</x:v>
      </x:c>
      <x:c r="O237" s="22" t="n">
        <x:f>IFERROR('4000rpm'!AS46,"")</x:f>
        <x:v>0.05625936450161381</x:v>
      </x:c>
      <x:c r="P237" s="22" t="str">
        <x:f>IF(OR(NOT(AND(ISNUMBER(D237),ISNUMBER(E237),ISNUMBER(G237),ISNUMBER(H237))),OR(F237&lt;J237,F237&gt;K237)),"",IF(N237=L237,M237,M237+(F237-L237)*(O237-M237)/(N237-L237)))</x:f>
      </x:c>
      <x:c r="Q237" s="22" t="str">
        <x:f>IF(AND(ISNUMBER(I237),ISNUMBER(P237)),I237-P237,"")</x:f>
      </x:c>
      <x:c r="R237" s="22" t="str">
        <x:f>IF(ISNUMBER(Q237),ABS(Q237),"")</x:f>
      </x:c>
      <x:c r="S237" s="36" t="str">
        <x:f>IF(AND(ISNUMBER(Q237),ISNUMBER(P237)),IF(ABS(P237)&lt;1E-12,"",Q237/P237),"")</x:f>
      </x:c>
      <x:c r="T237" s="36" t="str">
        <x:f>IF(ISNUMBER(S237),ABS(S237),"")</x:f>
      </x:c>
      <x:c r="U237" s="37" t="str">
        <x:f>IF(ISNUMBER(Q237),Q237^2,"")</x:f>
      </x:c>
      <x:c r="V237" s="21" t="str">
        <x:f>IF(NOT(AND(ISNUMBER(D237),ISNUMBER(E237),ISNUMBER(G237),ISNUMBER(H237))),"缺少配对",IF(OR(F237&lt;J237,F237&gt;K237),"超出理论J范围","有效"))</x:f>
        <x:v>缺少配对</x:v>
      </x:c>
      <x:c r="W237" s="20" t="str">
        <x:v>升力 y=0.915708x+28.7687 → C_T_prop；实验攻角 45° ↔ 理论 alpha_p_deg 45°；原升力源 4000rpm!C86/N86</x:v>
      </x:c>
      <x:c r="X237" s="20" t="str">
        <x:v>升力标定计算!M473</x:v>
      </x:c>
      <x:c r="Y237" s="20" t="str">
        <x:v>升力标定计算!M474</x:v>
      </x:c>
      <x:c r="Z237" s="20" t="str">
        <x:v>升力标定计算!N473</x:v>
      </x:c>
      <x:c r="AA237" s="20" t="str">
        <x:v>升力标定计算!N474</x:v>
      </x:c>
      <x:c r="AB237" s="20" t="str">
        <x:v>4000rpm!AT36:AS46</x:v>
      </x:c>
    </x:row>
    <x:row r="238">
      <x:c r="A238" s="21" t="n">
        <x:v>4000</x:v>
      </x:c>
      <x:c r="B238" s="21" t="n">
        <x:v>45</x:v>
      </x:c>
      <x:c r="C238" s="21" t="n">
        <x:v>2</x:v>
      </x:c>
      <x:c r="D238" s="22" t="n">
        <x:f>IFERROR('升力标定计算'!M475,"")</x:f>
        <x:v>0.005070093116458386</x:v>
      </x:c>
      <x:c r="E238" s="22" t="n">
        <x:f>IFERROR('升力标定计算'!M476,"")</x:f>
        <x:v>0.002989972544305454</x:v>
      </x:c>
      <x:c r="F238" s="22" t="n">
        <x:f>IF(AND(ISNUMBER(D238),ISNUMBER(E238)),AVERAGE(D238,E238),"")</x:f>
        <x:v>0.00403003283038192</x:v>
      </x:c>
      <x:c r="G238" s="22" t="n">
        <x:f>IFERROR('升力标定计算'!N475,"")</x:f>
        <x:v>0.07896691626053295</x:v>
      </x:c>
      <x:c r="H238" s="22" t="n">
        <x:f>IFERROR('升力标定计算'!N476,"")</x:f>
        <x:v>0.07939062423168967</x:v>
      </x:c>
      <x:c r="I238" s="22" t="n">
        <x:f>IF(AND(ISNUMBER(G238),ISNUMBER(H238)),AVERAGE(G238,H238),"")</x:f>
        <x:v>0.07917877024611131</x:v>
      </x:c>
      <x:c r="J238" s="22" t="n">
        <x:f>IFERROR('4000rpm'!AT36,"")</x:f>
        <x:v>0</x:v>
      </x:c>
      <x:c r="K238" s="22" t="n">
        <x:f>IFERROR('4000rpm'!AT46,"")</x:f>
        <x:v>0.3336614173228346</x:v>
      </x:c>
      <x:c r="L238" s="22" t="n">
        <x:f>IFERROR('4000rpm'!AT36,"")</x:f>
        <x:v>0</x:v>
      </x:c>
      <x:c r="M238" s="22" t="n">
        <x:f>IFERROR('4000rpm'!AS36,"")</x:f>
        <x:v>0.08350690647788582</x:v>
      </x:c>
      <x:c r="N238" s="22" t="n">
        <x:f>IFERROR('4000rpm'!AT37,"")</x:f>
        <x:v>0.033366141732283465</x:v>
      </x:c>
      <x:c r="O238" s="22" t="n">
        <x:f>IFERROR('4000rpm'!AS37,"")</x:f>
        <x:v>0.08084659226623786</x:v>
      </x:c>
      <x:c r="P238" s="22" t="n">
        <x:f>IF(OR(NOT(AND(ISNUMBER(D238),ISNUMBER(E238),ISNUMBER(G238),ISNUMBER(H238))),OR(F238&lt;J238,F238&gt;K238)),"",IF(N238=L238,M238,M238+(F238-L238)*(O238-M238)/(N238-L238)))</x:f>
        <x:v>0.08318558812774228</x:v>
      </x:c>
      <x:c r="Q238" s="22" t="n">
        <x:f>IF(AND(ISNUMBER(I238),ISNUMBER(P238)),I238-P238,"")</x:f>
        <x:v>-0.004006817881630972</x:v>
      </x:c>
      <x:c r="R238" s="22" t="n">
        <x:f>IF(ISNUMBER(Q238),ABS(Q238),"")</x:f>
        <x:v>0.004006817881630972</x:v>
      </x:c>
      <x:c r="S238" s="36" t="n">
        <x:f>IF(AND(ISNUMBER(Q238),ISNUMBER(P238)),IF(ABS(P238)&lt;1E-12,"",Q238/P238),"")</x:f>
        <x:v>-0.04816721227573679</x:v>
      </x:c>
      <x:c r="T238" s="36" t="n">
        <x:f>IF(ISNUMBER(S238),ABS(S238),"")</x:f>
        <x:v>0.04816721227573679</x:v>
      </x:c>
      <x:c r="U238" s="37" t="n">
        <x:f>IF(ISNUMBER(Q238),Q238^2,"")</x:f>
        <x:v>0.000016054589536557713</x:v>
      </x:c>
      <x:c r="V238" s="21" t="str">
        <x:f>IF(NOT(AND(ISNUMBER(D238),ISNUMBER(E238),ISNUMBER(G238),ISNUMBER(H238))),"缺少配对",IF(OR(F238&lt;J238,F238&gt;K238),"超出理论J范围","有效"))</x:f>
        <x:v>有效</x:v>
      </x:c>
      <x:c r="W238" s="20" t="str">
        <x:v>升力 y=0.915708x+28.7687 → C_T_prop；实验攻角 45° ↔ 理论 alpha_p_deg 45°；原升力源 4000rpm!C87/N87</x:v>
      </x:c>
      <x:c r="X238" s="20" t="str">
        <x:v>升力标定计算!M475</x:v>
      </x:c>
      <x:c r="Y238" s="20" t="str">
        <x:v>升力标定计算!M476</x:v>
      </x:c>
      <x:c r="Z238" s="20" t="str">
        <x:v>升力标定计算!N475</x:v>
      </x:c>
      <x:c r="AA238" s="20" t="str">
        <x:v>升力标定计算!N476</x:v>
      </x:c>
      <x:c r="AB238" s="20" t="str">
        <x:v>4000rpm!AT36:AS37</x:v>
      </x:c>
    </x:row>
    <x:row r="239">
      <x:c r="A239" s="21" t="n">
        <x:v>4000</x:v>
      </x:c>
      <x:c r="B239" s="21" t="n">
        <x:v>45</x:v>
      </x:c>
      <x:c r="C239" s="21" t="n">
        <x:v>3</x:v>
      </x:c>
      <x:c r="D239" s="22" t="n">
        <x:f>IFERROR('升力标定计算'!M477,"")</x:f>
        <x:v>0.03735375943600238</x:v>
      </x:c>
      <x:c r="E239" s="22" t="n">
        <x:f>IFERROR('升力标定计算'!M478,"")</x:f>
        <x:v>0.03355566001528077</x:v>
      </x:c>
      <x:c r="F239" s="22" t="n">
        <x:f>IF(AND(ISNUMBER(D239),ISNUMBER(E239)),AVERAGE(D239,E239),"")</x:f>
        <x:v>0.035454709725641576</x:v>
      </x:c>
      <x:c r="G239" s="22" t="n">
        <x:f>IFERROR('升力标定计算'!N477,"")</x:f>
        <x:v>0.07840939426885177</x:v>
      </x:c>
      <x:c r="H239" s="22" t="n">
        <x:f>IFERROR('升力标定计算'!N478,"")</x:f>
        <x:v>0.0778997610672967</x:v>
      </x:c>
      <x:c r="I239" s="22" t="n">
        <x:f>IF(AND(ISNUMBER(G239),ISNUMBER(H239)),AVERAGE(G239,H239),"")</x:f>
        <x:v>0.07815457766807424</x:v>
      </x:c>
      <x:c r="J239" s="22" t="n">
        <x:f>IFERROR('4000rpm'!AT36,"")</x:f>
        <x:v>0</x:v>
      </x:c>
      <x:c r="K239" s="22" t="n">
        <x:f>IFERROR('4000rpm'!AT46,"")</x:f>
        <x:v>0.3336614173228346</x:v>
      </x:c>
      <x:c r="L239" s="22" t="n">
        <x:f>IFERROR('4000rpm'!AT37,"")</x:f>
        <x:v>0.033366141732283465</x:v>
      </x:c>
      <x:c r="M239" s="22" t="n">
        <x:f>IFERROR('4000rpm'!AS37,"")</x:f>
        <x:v>0.08084659226623786</x:v>
      </x:c>
      <x:c r="N239" s="22" t="n">
        <x:f>IFERROR('4000rpm'!AT38,"")</x:f>
        <x:v>0.06673228346456693</x:v>
      </x:c>
      <x:c r="O239" s="22" t="n">
        <x:f>IFERROR('4000rpm'!AS38,"")</x:f>
        <x:v>0.07852610514876138</x:v>
      </x:c>
      <x:c r="P239" s="22" t="n">
        <x:f>IF(OR(NOT(AND(ISNUMBER(D239),ISNUMBER(E239),ISNUMBER(G239),ISNUMBER(H239))),OR(F239&lt;J239,F239&gt;K239)),"",IF(N239=L239,M239,M239+(F239-L239)*(O239-M239)/(N239-L239)))</x:f>
        <x:v>0.08070134037701891</x:v>
      </x:c>
      <x:c r="Q239" s="22" t="n">
        <x:f>IF(AND(ISNUMBER(I239),ISNUMBER(P239)),I239-P239,"")</x:f>
        <x:v>-0.002546762708944675</x:v>
      </x:c>
      <x:c r="R239" s="22" t="n">
        <x:f>IF(ISNUMBER(Q239),ABS(Q239),"")</x:f>
        <x:v>0.002546762708944675</x:v>
      </x:c>
      <x:c r="S239" s="36" t="n">
        <x:f>IF(AND(ISNUMBER(Q239),ISNUMBER(P239)),IF(ABS(P239)&lt;1E-12,"",Q239/P239),"")</x:f>
        <x:v>-0.031557873723617964</x:v>
      </x:c>
      <x:c r="T239" s="36" t="n">
        <x:f>IF(ISNUMBER(S239),ABS(S239),"")</x:f>
        <x:v>0.031557873723617964</x:v>
      </x:c>
      <x:c r="U239" s="37" t="n">
        <x:f>IF(ISNUMBER(Q239),Q239^2,"")</x:f>
        <x:v>0.000006486000295671219</x:v>
      </x:c>
      <x:c r="V239" s="21" t="str">
        <x:f>IF(NOT(AND(ISNUMBER(D239),ISNUMBER(E239),ISNUMBER(G239),ISNUMBER(H239))),"缺少配对",IF(OR(F239&lt;J239,F239&gt;K239),"超出理论J范围","有效"))</x:f>
        <x:v>有效</x:v>
      </x:c>
      <x:c r="W239" s="20" t="str">
        <x:v>升力 y=0.915708x+28.7687 → C_T_prop；实验攻角 45° ↔ 理论 alpha_p_deg 45°；原升力源 4000rpm!C88/N88</x:v>
      </x:c>
      <x:c r="X239" s="20" t="str">
        <x:v>升力标定计算!M477</x:v>
      </x:c>
      <x:c r="Y239" s="20" t="str">
        <x:v>升力标定计算!M478</x:v>
      </x:c>
      <x:c r="Z239" s="20" t="str">
        <x:v>升力标定计算!N477</x:v>
      </x:c>
      <x:c r="AA239" s="20" t="str">
        <x:v>升力标定计算!N478</x:v>
      </x:c>
      <x:c r="AB239" s="20" t="str">
        <x:v>4000rpm!AT37:AS38</x:v>
      </x:c>
    </x:row>
    <x:row r="240">
      <x:c r="A240" s="21" t="n">
        <x:v>4000</x:v>
      </x:c>
      <x:c r="B240" s="21" t="n">
        <x:v>45</x:v>
      </x:c>
      <x:c r="C240" s="21" t="n">
        <x:v>4</x:v>
      </x:c>
      <x:c r="D240" s="22" t="n">
        <x:f>IFERROR('升力标定计算'!M479,"")</x:f>
        <x:v>0.06726410007424648</x:v>
      </x:c>
      <x:c r="E240" s="22" t="n">
        <x:f>IFERROR('升力标定计算'!M480,"")</x:f>
        <x:v>0.06706179682094582</x:v>
      </x:c>
      <x:c r="F240" s="22" t="n">
        <x:f>IF(AND(ISNUMBER(D240),ISNUMBER(E240)),AVERAGE(D240,E240),"")</x:f>
        <x:v>0.06716294844759615</x:v>
      </x:c>
      <x:c r="G240" s="22" t="n">
        <x:f>IFERROR('升力标定计算'!N479,"")</x:f>
        <x:v>0.07623203676352312</x:v>
      </x:c>
      <x:c r="H240" s="22" t="n">
        <x:f>IFERROR('升力标定计算'!N480,"")</x:f>
        <x:v>0.07653528532835477</x:v>
      </x:c>
      <x:c r="I240" s="22" t="n">
        <x:f>IF(AND(ISNUMBER(G240),ISNUMBER(H240)),AVERAGE(G240,H240),"")</x:f>
        <x:v>0.07638366104593894</x:v>
      </x:c>
      <x:c r="J240" s="22" t="n">
        <x:f>IFERROR('4000rpm'!AT36,"")</x:f>
        <x:v>0</x:v>
      </x:c>
      <x:c r="K240" s="22" t="n">
        <x:f>IFERROR('4000rpm'!AT46,"")</x:f>
        <x:v>0.3336614173228346</x:v>
      </x:c>
      <x:c r="L240" s="22" t="n">
        <x:f>IFERROR('4000rpm'!AT38,"")</x:f>
        <x:v>0.06673228346456693</x:v>
      </x:c>
      <x:c r="M240" s="22" t="n">
        <x:f>IFERROR('4000rpm'!AS38,"")</x:f>
        <x:v>0.07852610514876138</x:v>
      </x:c>
      <x:c r="N240" s="22" t="n">
        <x:f>IFERROR('4000rpm'!AT39,"")</x:f>
        <x:v>0.1000984251968504</x:v>
      </x:c>
      <x:c r="O240" s="22" t="n">
        <x:f>IFERROR('4000rpm'!AS39,"")</x:f>
        <x:v>0.07621588268547363</x:v>
      </x:c>
      <x:c r="P240" s="22" t="n">
        <x:f>IF(OR(NOT(AND(ISNUMBER(D240),ISNUMBER(E240),ISNUMBER(G240),ISNUMBER(H240))),OR(F240&lt;J240,F240&gt;K240)),"",IF(N240=L240,M240,M240+(F240-L240)*(O240-M240)/(N240-L240)))</x:f>
        <x:v>0.07849628654024714</x:v>
      </x:c>
      <x:c r="Q240" s="22" t="n">
        <x:f>IF(AND(ISNUMBER(I240),ISNUMBER(P240)),I240-P240,"")</x:f>
        <x:v>-0.0021126254943081985</x:v>
      </x:c>
      <x:c r="R240" s="22" t="n">
        <x:f>IF(ISNUMBER(Q240),ABS(Q240),"")</x:f>
        <x:v>0.0021126254943081985</x:v>
      </x:c>
      <x:c r="S240" s="36" t="n">
        <x:f>IF(AND(ISNUMBER(Q240),ISNUMBER(P240)),IF(ABS(P240)&lt;1E-12,"",Q240/P240),"")</x:f>
        <x:v>-0.026913699837571286</x:v>
      </x:c>
      <x:c r="T240" s="36" t="n">
        <x:f>IF(ISNUMBER(S240),ABS(S240),"")</x:f>
        <x:v>0.026913699837571286</x:v>
      </x:c>
      <x:c r="U240" s="37" t="n">
        <x:f>IF(ISNUMBER(Q240),Q240^2,"")</x:f>
        <x:v>0.00000446318647920096</x:v>
      </x:c>
      <x:c r="V240" s="21" t="str">
        <x:f>IF(NOT(AND(ISNUMBER(D240),ISNUMBER(E240),ISNUMBER(G240),ISNUMBER(H240))),"缺少配对",IF(OR(F240&lt;J240,F240&gt;K240),"超出理论J范围","有效"))</x:f>
        <x:v>有效</x:v>
      </x:c>
      <x:c r="W240" s="20" t="str">
        <x:v>升力 y=0.915708x+28.7687 → C_T_prop；实验攻角 45° ↔ 理论 alpha_p_deg 45°；原升力源 4000rpm!C89/N89</x:v>
      </x:c>
      <x:c r="X240" s="20" t="str">
        <x:v>升力标定计算!M479</x:v>
      </x:c>
      <x:c r="Y240" s="20" t="str">
        <x:v>升力标定计算!M480</x:v>
      </x:c>
      <x:c r="Z240" s="20" t="str">
        <x:v>升力标定计算!N479</x:v>
      </x:c>
      <x:c r="AA240" s="20" t="str">
        <x:v>升力标定计算!N480</x:v>
      </x:c>
      <x:c r="AB240" s="20" t="str">
        <x:v>4000rpm!AT38:AS39</x:v>
      </x:c>
    </x:row>
    <x:row r="241">
      <x:c r="A241" s="21" t="n">
        <x:v>4000</x:v>
      </x:c>
      <x:c r="B241" s="21" t="n">
        <x:v>45</x:v>
      </x:c>
      <x:c r="C241" s="21" t="n">
        <x:v>5</x:v>
      </x:c>
      <x:c r="D241" s="22" t="n">
        <x:f>IFERROR('升力标定计算'!M481,"")</x:f>
        <x:v>0.10116467185763377</x:v>
      </x:c>
      <x:c r="E241" s="22" t="n">
        <x:f>IFERROR('升力标定计算'!M482,"")</x:f>
        <x:v>0.10135068598339578</x:v>
      </x:c>
      <x:c r="F241" s="22" t="n">
        <x:f>IF(AND(ISNUMBER(D241),ISNUMBER(E241)),AVERAGE(D241,E241),"")</x:f>
        <x:v>0.10125767892051477</x:v>
      </x:c>
      <x:c r="G241" s="22" t="n">
        <x:f>IFERROR('升力标定计算'!N481,"")</x:f>
        <x:v>0.07544433963869372</x:v>
      </x:c>
      <x:c r="H241" s="22" t="n">
        <x:f>IFERROR('升力标定计算'!N482,"")</x:f>
        <x:v>0.07506244021086231</x:v>
      </x:c>
      <x:c r="I241" s="22" t="n">
        <x:f>IF(AND(ISNUMBER(G241),ISNUMBER(H241)),AVERAGE(G241,H241),"")</x:f>
        <x:v>0.07525338992477801</x:v>
      </x:c>
      <x:c r="J241" s="22" t="n">
        <x:f>IFERROR('4000rpm'!AT36,"")</x:f>
        <x:v>0</x:v>
      </x:c>
      <x:c r="K241" s="22" t="n">
        <x:f>IFERROR('4000rpm'!AT46,"")</x:f>
        <x:v>0.3336614173228346</x:v>
      </x:c>
      <x:c r="L241" s="22" t="n">
        <x:f>IFERROR('4000rpm'!AT39,"")</x:f>
        <x:v>0.1000984251968504</x:v>
      </x:c>
      <x:c r="M241" s="22" t="n">
        <x:f>IFERROR('4000rpm'!AS39,"")</x:f>
        <x:v>0.07621588268547363</x:v>
      </x:c>
      <x:c r="N241" s="22" t="n">
        <x:f>IFERROR('4000rpm'!AT40,"")</x:f>
        <x:v>0.13346456692913386</x:v>
      </x:c>
      <x:c r="O241" s="22" t="n">
        <x:f>IFERROR('4000rpm'!AS40,"")</x:f>
        <x:v>0.073854824622494</x:v>
      </x:c>
      <x:c r="P241" s="22" t="n">
        <x:f>IF(OR(NOT(AND(ISNUMBER(D241),ISNUMBER(E241),ISNUMBER(G241),ISNUMBER(H241))),OR(F241&lt;J241,F241&gt;K241)),"",IF(N241=L241,M241,M241+(F241-L241)*(O241-M241)/(N241-L241)))</x:f>
        <x:v>0.07613385146432562</x:v>
      </x:c>
      <x:c r="Q241" s="22" t="n">
        <x:f>IF(AND(ISNUMBER(I241),ISNUMBER(P241)),I241-P241,"")</x:f>
        <x:v>-0.000880461539547614</x:v>
      </x:c>
      <x:c r="R241" s="22" t="n">
        <x:f>IF(ISNUMBER(Q241),ABS(Q241),"")</x:f>
        <x:v>0.000880461539547614</x:v>
      </x:c>
      <x:c r="S241" s="36" t="n">
        <x:f>IF(AND(ISNUMBER(Q241),ISNUMBER(P241)),IF(ABS(P241)&lt;1E-12,"",Q241/P241),"")</x:f>
        <x:v>-0.011564652550911282</x:v>
      </x:c>
      <x:c r="T241" s="36" t="n">
        <x:f>IF(ISNUMBER(S241),ABS(S241),"")</x:f>
        <x:v>0.011564652550911282</x:v>
      </x:c>
      <x:c r="U241" s="37" t="n">
        <x:f>IF(ISNUMBER(Q241),Q241^2,"")</x:f>
        <x:v>7.752125226225546e-7</x:v>
      </x:c>
      <x:c r="V241" s="21" t="str">
        <x:f>IF(NOT(AND(ISNUMBER(D241),ISNUMBER(E241),ISNUMBER(G241),ISNUMBER(H241))),"缺少配对",IF(OR(F241&lt;J241,F241&gt;K241),"超出理论J范围","有效"))</x:f>
        <x:v>有效</x:v>
      </x:c>
      <x:c r="W241" s="20" t="str">
        <x:v>升力 y=0.915708x+28.7687 → C_T_prop；实验攻角 45° ↔ 理论 alpha_p_deg 45°；原升力源 4000rpm!C90/N90</x:v>
      </x:c>
      <x:c r="X241" s="20" t="str">
        <x:v>升力标定计算!M481</x:v>
      </x:c>
      <x:c r="Y241" s="20" t="str">
        <x:v>升力标定计算!M482</x:v>
      </x:c>
      <x:c r="Z241" s="20" t="str">
        <x:v>升力标定计算!N481</x:v>
      </x:c>
      <x:c r="AA241" s="20" t="str">
        <x:v>升力标定计算!N482</x:v>
      </x:c>
      <x:c r="AB241" s="20" t="str">
        <x:v>4000rpm!AT39:AS40</x:v>
      </x:c>
    </x:row>
    <x:row r="242">
      <x:c r="A242" s="21" t="n">
        <x:v>4000</x:v>
      </x:c>
      <x:c r="B242" s="21" t="n">
        <x:v>45</x:v>
      </x:c>
      <x:c r="C242" s="21" t="n">
        <x:v>6</x:v>
      </x:c>
      <x:c r="D242" s="22" t="n">
        <x:f>IFERROR('升力标定计算'!M483,"")</x:f>
        <x:v>0.13398122051377725</x:v>
      </x:c>
      <x:c r="E242" s="22" t="n">
        <x:f>IFERROR('升力标定计算'!M484,"")</x:f>
        <x:v>0.13513611588472613</x:v>
      </x:c>
      <x:c r="F242" s="22" t="n">
        <x:f>IF(AND(ISNUMBER(D242),ISNUMBER(E242)),AVERAGE(D242,E242),"")</x:f>
        <x:v>0.1345586681992517</x:v>
      </x:c>
      <x:c r="G242" s="22" t="n">
        <x:f>IFERROR('升力标定计算'!N483,"")</x:f>
        <x:v>0.07239586300907849</x:v>
      </x:c>
      <x:c r="H242" s="22" t="n">
        <x:f>IFERROR('升力标定计算'!N484,"")</x:f>
        <x:v>0.07211088307410743</x:v>
      </x:c>
      <x:c r="I242" s="22" t="n">
        <x:f>IF(AND(ISNUMBER(G242),ISNUMBER(H242)),AVERAGE(G242,H242),"")</x:f>
        <x:v>0.07225337304159296</x:v>
      </x:c>
      <x:c r="J242" s="22" t="n">
        <x:f>IFERROR('4000rpm'!AT36,"")</x:f>
        <x:v>0</x:v>
      </x:c>
      <x:c r="K242" s="22" t="n">
        <x:f>IFERROR('4000rpm'!AT46,"")</x:f>
        <x:v>0.3336614173228346</x:v>
      </x:c>
      <x:c r="L242" s="22" t="n">
        <x:f>IFERROR('4000rpm'!AT40,"")</x:f>
        <x:v>0.13346456692913386</x:v>
      </x:c>
      <x:c r="M242" s="22" t="n">
        <x:f>IFERROR('4000rpm'!AS40,"")</x:f>
        <x:v>0.073854824622494</x:v>
      </x:c>
      <x:c r="N242" s="22" t="n">
        <x:f>IFERROR('4000rpm'!AT41,"")</x:f>
        <x:v>0.1668307086614173</x:v>
      </x:c>
      <x:c r="O242" s="22" t="n">
        <x:f>IFERROR('4000rpm'!AS41,"")</x:f>
        <x:v>0.07139907754523002</x:v>
      </x:c>
      <x:c r="P242" s="22" t="n">
        <x:f>IF(OR(NOT(AND(ISNUMBER(D242),ISNUMBER(E242),ISNUMBER(G242),ISNUMBER(H242))),OR(F242&lt;J242,F242&gt;K242)),"",IF(N242=L242,M242,M242+(F242-L242)*(O242-M242)/(N242-L242)))</x:f>
        <x:v>0.07377429880030333</x:v>
      </x:c>
      <x:c r="Q242" s="22" t="n">
        <x:f>IF(AND(ISNUMBER(I242),ISNUMBER(P242)),I242-P242,"")</x:f>
        <x:v>-0.0015209257587103647</x:v>
      </x:c>
      <x:c r="R242" s="22" t="n">
        <x:f>IF(ISNUMBER(Q242),ABS(Q242),"")</x:f>
        <x:v>0.0015209257587103647</x:v>
      </x:c>
      <x:c r="S242" s="36" t="n">
        <x:f>IF(AND(ISNUMBER(Q242),ISNUMBER(P242)),IF(ABS(P242)&lt;1E-12,"",Q242/P242),"")</x:f>
        <x:v>-0.020615929713236548</x:v>
      </x:c>
      <x:c r="T242" s="36" t="n">
        <x:f>IF(ISNUMBER(S242),ABS(S242),"")</x:f>
        <x:v>0.020615929713236548</x:v>
      </x:c>
      <x:c r="U242" s="37" t="n">
        <x:f>IF(ISNUMBER(Q242),Q242^2,"")</x:f>
        <x:v>0.0000023132151635086985</x:v>
      </x:c>
      <x:c r="V242" s="21" t="str">
        <x:f>IF(NOT(AND(ISNUMBER(D242),ISNUMBER(E242),ISNUMBER(G242),ISNUMBER(H242))),"缺少配对",IF(OR(F242&lt;J242,F242&gt;K242),"超出理论J范围","有效"))</x:f>
        <x:v>有效</x:v>
      </x:c>
      <x:c r="W242" s="20" t="str">
        <x:v>升力 y=0.915708x+28.7687 → C_T_prop；实验攻角 45° ↔ 理论 alpha_p_deg 45°；原升力源 4000rpm!C91/N91</x:v>
      </x:c>
      <x:c r="X242" s="20" t="str">
        <x:v>升力标定计算!M483</x:v>
      </x:c>
      <x:c r="Y242" s="20" t="str">
        <x:v>升力标定计算!M484</x:v>
      </x:c>
      <x:c r="Z242" s="20" t="str">
        <x:v>升力标定计算!N483</x:v>
      </x:c>
      <x:c r="AA242" s="20" t="str">
        <x:v>升力标定计算!N484</x:v>
      </x:c>
      <x:c r="AB242" s="20" t="str">
        <x:v>4000rpm!AT40:AS41</x:v>
      </x:c>
    </x:row>
    <x:row r="243">
      <x:c r="A243" s="21" t="n">
        <x:v>4000</x:v>
      </x:c>
      <x:c r="B243" s="21" t="n">
        <x:v>45</x:v>
      </x:c>
      <x:c r="C243" s="21" t="n">
        <x:v>7</x:v>
      </x:c>
      <x:c r="D243" s="22" t="n">
        <x:f>IFERROR('升力标定计算'!M485,"")</x:f>
        <x:v>0.16800887109332077</x:v>
      </x:c>
      <x:c r="E243" s="22" t="n">
        <x:f>IFERROR('升力标定计算'!M486,"")</x:f>
        <x:v>0.16894496749208254</x:v>
      </x:c>
      <x:c r="F243" s="22" t="n">
        <x:f>IF(AND(ISNUMBER(D243),ISNUMBER(E243)),AVERAGE(D243,E243),"")</x:f>
        <x:v>0.16847691929270164</x:v>
      </x:c>
      <x:c r="G243" s="22" t="n">
        <x:f>IFERROR('升力标定计算'!N485,"")</x:f>
        <x:v>0.07085183535141307</x:v>
      </x:c>
      <x:c r="H243" s="22" t="n">
        <x:f>IFERROR('升力标定计算'!N486,"")</x:f>
        <x:v>0.06933884533405542</x:v>
      </x:c>
      <x:c r="I243" s="22" t="n">
        <x:f>IF(AND(ISNUMBER(G243),ISNUMBER(H243)),AVERAGE(G243,H243),"")</x:f>
        <x:v>0.07009534034273424</x:v>
      </x:c>
      <x:c r="J243" s="22" t="n">
        <x:f>IFERROR('4000rpm'!AT36,"")</x:f>
        <x:v>0</x:v>
      </x:c>
      <x:c r="K243" s="22" t="n">
        <x:f>IFERROR('4000rpm'!AT46,"")</x:f>
        <x:v>0.3336614173228346</x:v>
      </x:c>
      <x:c r="L243" s="22" t="n">
        <x:f>IFERROR('4000rpm'!AT41,"")</x:f>
        <x:v>0.1668307086614173</x:v>
      </x:c>
      <x:c r="M243" s="22" t="n">
        <x:f>IFERROR('4000rpm'!AS41,"")</x:f>
        <x:v>0.07139907754523002</x:v>
      </x:c>
      <x:c r="N243" s="22" t="n">
        <x:f>IFERROR('4000rpm'!AT42,"")</x:f>
        <x:v>0.2001968503937008</x:v>
      </x:c>
      <x:c r="O243" s="22" t="n">
        <x:f>IFERROR('4000rpm'!AS42,"")</x:f>
        <x:v>0.0687925288376275</x:v>
      </x:c>
      <x:c r="P243" s="22" t="n">
        <x:f>IF(OR(NOT(AND(ISNUMBER(D243),ISNUMBER(E243),ISNUMBER(G243),ISNUMBER(H243))),OR(F243&lt;J243,F243&gt;K243)),"",IF(N243=L243,M243,M243+(F243-L243)*(O243-M243)/(N243-L243)))</x:f>
        <x:v>0.07127047627548046</x:v>
      </x:c>
      <x:c r="Q243" s="22" t="n">
        <x:f>IF(AND(ISNUMBER(I243),ISNUMBER(P243)),I243-P243,"")</x:f>
        <x:v>-0.0011751359327462213</x:v>
      </x:c>
      <x:c r="R243" s="22" t="n">
        <x:f>IF(ISNUMBER(Q243),ABS(Q243),"")</x:f>
        <x:v>0.0011751359327462213</x:v>
      </x:c>
      <x:c r="S243" s="36" t="n">
        <x:f>IF(AND(ISNUMBER(Q243),ISNUMBER(P243)),IF(ABS(P243)&lt;1E-12,"",Q243/P243),"")</x:f>
        <x:v>-0.016488397358311317</x:v>
      </x:c>
      <x:c r="T243" s="36" t="n">
        <x:f>IF(ISNUMBER(S243),ABS(S243),"")</x:f>
        <x:v>0.016488397358311317</x:v>
      </x:c>
      <x:c r="U243" s="37" t="n">
        <x:f>IF(ISNUMBER(Q243),Q243^2,"")</x:f>
        <x:v>0.0000013809444604313315</x:v>
      </x:c>
      <x:c r="V243" s="21" t="str">
        <x:f>IF(NOT(AND(ISNUMBER(D243),ISNUMBER(E243),ISNUMBER(G243),ISNUMBER(H243))),"缺少配对",IF(OR(F243&lt;J243,F243&gt;K243),"超出理论J范围","有效"))</x:f>
        <x:v>有效</x:v>
      </x:c>
      <x:c r="W243" s="20" t="str">
        <x:v>升力 y=0.915708x+28.7687 → C_T_prop；实验攻角 45° ↔ 理论 alpha_p_deg 45°；原升力源 4000rpm!C92/N92</x:v>
      </x:c>
      <x:c r="X243" s="20" t="str">
        <x:v>升力标定计算!M485</x:v>
      </x:c>
      <x:c r="Y243" s="20" t="str">
        <x:v>升力标定计算!M486</x:v>
      </x:c>
      <x:c r="Z243" s="20" t="str">
        <x:v>升力标定计算!N485</x:v>
      </x:c>
      <x:c r="AA243" s="20" t="str">
        <x:v>升力标定计算!N486</x:v>
      </x:c>
      <x:c r="AB243" s="20" t="str">
        <x:v>4000rpm!AT41:AS42</x:v>
      </x:c>
    </x:row>
    <x:row r="244">
      <x:c r="A244" s="21" t="n">
        <x:v>4000</x:v>
      </x:c>
      <x:c r="B244" s="21" t="n">
        <x:v>45</x:v>
      </x:c>
      <x:c r="C244" s="21" t="n">
        <x:v>8</x:v>
      </x:c>
      <x:c r="D244" s="22" t="n">
        <x:f>IFERROR('升力标定计算'!M487,"")</x:f>
        <x:v>0.20142414326621172</x:v>
      </x:c>
      <x:c r="E244" s="22" t="n">
        <x:f>IFERROR('升力标定计算'!M488,"")</x:f>
        <x:v>0.20334288769196043</x:v>
      </x:c>
      <x:c r="F244" s="22" t="n">
        <x:f>IF(AND(ISNUMBER(D244),ISNUMBER(E244)),AVERAGE(D244,E244),"")</x:f>
        <x:v>0.20238351547908606</x:v>
      </x:c>
      <x:c r="G244" s="22" t="n">
        <x:f>IFERROR('升力标定计算'!N487,"")</x:f>
        <x:v>0.06856238864599529</x:v>
      </x:c>
      <x:c r="H244" s="22" t="n">
        <x:f>IFERROR('升力标定计算'!N488,"")</x:f>
        <x:v>0.06730425840466148</x:v>
      </x:c>
      <x:c r="I244" s="22" t="n">
        <x:f>IF(AND(ISNUMBER(G244),ISNUMBER(H244)),AVERAGE(G244,H244),"")</x:f>
        <x:v>0.06793332352532838</x:v>
      </x:c>
      <x:c r="J244" s="22" t="n">
        <x:f>IFERROR('4000rpm'!AT36,"")</x:f>
        <x:v>0</x:v>
      </x:c>
      <x:c r="K244" s="22" t="n">
        <x:f>IFERROR('4000rpm'!AT46,"")</x:f>
        <x:v>0.3336614173228346</x:v>
      </x:c>
      <x:c r="L244" s="22" t="n">
        <x:f>IFERROR('4000rpm'!AT42,"")</x:f>
        <x:v>0.2001968503937008</x:v>
      </x:c>
      <x:c r="M244" s="22" t="n">
        <x:f>IFERROR('4000rpm'!AS42,"")</x:f>
        <x:v>0.0687925288376275</x:v>
      </x:c>
      <x:c r="N244" s="22" t="n">
        <x:f>IFERROR('4000rpm'!AT43,"")</x:f>
        <x:v>0.23356299212598428</x:v>
      </x:c>
      <x:c r="O244" s="22" t="n">
        <x:f>IFERROR('4000rpm'!AS43,"")</x:f>
        <x:v>0.06600042119765143</x:v>
      </x:c>
      <x:c r="P244" s="22" t="n">
        <x:f>IF(OR(NOT(AND(ISNUMBER(D244),ISNUMBER(E244),ISNUMBER(G244),ISNUMBER(H244))),OR(F244&lt;J244,F244&gt;K244)),"",IF(N244=L244,M244,M244+(F244-L244)*(O244-M244)/(N244-L244)))</x:f>
        <x:v>0.06860954680931987</x:v>
      </x:c>
      <x:c r="Q244" s="22" t="n">
        <x:f>IF(AND(ISNUMBER(I244),ISNUMBER(P244)),I244-P244,"")</x:f>
        <x:v>-0.0006762232839914867</x:v>
      </x:c>
      <x:c r="R244" s="22" t="n">
        <x:f>IF(ISNUMBER(Q244),ABS(Q244),"")</x:f>
        <x:v>0.0006762232839914867</x:v>
      </x:c>
      <x:c r="S244" s="36" t="n">
        <x:f>IF(AND(ISNUMBER(Q244),ISNUMBER(P244)),IF(ABS(P244)&lt;1E-12,"",Q244/P244),"")</x:f>
        <x:v>-0.009856110635315099</x:v>
      </x:c>
      <x:c r="T244" s="36" t="n">
        <x:f>IF(ISNUMBER(S244),ABS(S244),"")</x:f>
        <x:v>0.009856110635315099</x:v>
      </x:c>
      <x:c r="U244" s="37" t="n">
        <x:f>IF(ISNUMBER(Q244),Q244^2,"")</x:f>
        <x:v>4.5727792981223083e-7</x:v>
      </x:c>
      <x:c r="V244" s="21" t="str">
        <x:f>IF(NOT(AND(ISNUMBER(D244),ISNUMBER(E244),ISNUMBER(G244),ISNUMBER(H244))),"缺少配对",IF(OR(F244&lt;J244,F244&gt;K244),"超出理论J范围","有效"))</x:f>
        <x:v>有效</x:v>
      </x:c>
      <x:c r="W244" s="20" t="str">
        <x:v>升力 y=0.915708x+28.7687 → C_T_prop；实验攻角 45° ↔ 理论 alpha_p_deg 45°；原升力源 4000rpm!C93/N93</x:v>
      </x:c>
      <x:c r="X244" s="20" t="str">
        <x:v>升力标定计算!M487</x:v>
      </x:c>
      <x:c r="Y244" s="20" t="str">
        <x:v>升力标定计算!M488</x:v>
      </x:c>
      <x:c r="Z244" s="20" t="str">
        <x:v>升力标定计算!N487</x:v>
      </x:c>
      <x:c r="AA244" s="20" t="str">
        <x:v>升力标定计算!N488</x:v>
      </x:c>
      <x:c r="AB244" s="20" t="str">
        <x:v>4000rpm!AT42:AS43</x:v>
      </x:c>
    </x:row>
    <x:row r="245">
      <x:c r="A245" s="21" t="n">
        <x:v>4000</x:v>
      </x:c>
      <x:c r="B245" s="21" t="n">
        <x:v>45</x:v>
      </x:c>
      <x:c r="C245" s="21" t="n">
        <x:v>9</x:v>
      </x:c>
      <x:c r="D245" s="22" t="n">
        <x:f>IFERROR('升力标定计算'!M489,"")</x:f>
        <x:v>0.2329465873365524</x:v>
      </x:c>
      <x:c r="E245" s="22" t="n">
        <x:f>IFERROR('升力标定计算'!M490,"")</x:f>
        <x:v>0.23615301450511808</x:v>
      </x:c>
      <x:c r="F245" s="22" t="n">
        <x:f>IF(AND(ISNUMBER(D245),ISNUMBER(E245)),AVERAGE(D245,E245),"")</x:f>
        <x:v>0.23454980092083524</x:v>
      </x:c>
      <x:c r="G245" s="22" t="n">
        <x:f>IFERROR('升力标定计算'!N489,"")</x:f>
        <x:v>0.06544474733674863</x:v>
      </x:c>
      <x:c r="H245" s="22" t="n">
        <x:f>IFERROR('升力标定计算'!N490,"")</x:f>
        <x:v>0.06465951637428351</x:v>
      </x:c>
      <x:c r="I245" s="22" t="n">
        <x:f>IF(AND(ISNUMBER(G245),ISNUMBER(H245)),AVERAGE(G245,H245),"")</x:f>
        <x:v>0.06505213185551606</x:v>
      </x:c>
      <x:c r="J245" s="22" t="n">
        <x:f>IFERROR('4000rpm'!AT36,"")</x:f>
        <x:v>0</x:v>
      </x:c>
      <x:c r="K245" s="22" t="n">
        <x:f>IFERROR('4000rpm'!AT46,"")</x:f>
        <x:v>0.3336614173228346</x:v>
      </x:c>
      <x:c r="L245" s="22" t="n">
        <x:f>IFERROR('4000rpm'!AT43,"")</x:f>
        <x:v>0.23356299212598428</x:v>
      </x:c>
      <x:c r="M245" s="22" t="n">
        <x:f>IFERROR('4000rpm'!AS43,"")</x:f>
        <x:v>0.06600042119765143</x:v>
      </x:c>
      <x:c r="N245" s="22" t="n">
        <x:f>IFERROR('4000rpm'!AT44,"")</x:f>
        <x:v>0.2669291338582677</x:v>
      </x:c>
      <x:c r="O245" s="22" t="n">
        <x:f>IFERROR('4000rpm'!AS44,"")</x:f>
        <x:v>0.06298685906969502</x:v>
      </x:c>
      <x:c r="P245" s="22" t="n">
        <x:f>IF(OR(NOT(AND(ISNUMBER(D245),ISNUMBER(E245),ISNUMBER(G245),ISNUMBER(H245))),OR(F245&lt;J245,F245&gt;K245)),"",IF(N245=L245,M245,M245+(F245-L245)*(O245-M245)/(N245-L245)))</x:f>
        <x:v>0.0659112946322979</x:v>
      </x:c>
      <x:c r="Q245" s="22" t="n">
        <x:f>IF(AND(ISNUMBER(I245),ISNUMBER(P245)),I245-P245,"")</x:f>
        <x:v>-0.0008591627767818438</x:v>
      </x:c>
      <x:c r="R245" s="22" t="n">
        <x:f>IF(ISNUMBER(Q245),ABS(Q245),"")</x:f>
        <x:v>0.0008591627767818438</x:v>
      </x:c>
      <x:c r="S245" s="36" t="n">
        <x:f>IF(AND(ISNUMBER(Q245),ISNUMBER(P245)),IF(ABS(P245)&lt;1E-12,"",Q245/P245),"")</x:f>
        <x:v>-0.013035137324716365</x:v>
      </x:c>
      <x:c r="T245" s="36" t="n">
        <x:f>IF(ISNUMBER(S245),ABS(S245),"")</x:f>
        <x:v>0.013035137324716365</x:v>
      </x:c>
      <x:c r="U245" s="37" t="n">
        <x:f>IF(ISNUMBER(Q245),Q245^2,"")</x:f>
        <x:v>7.381606770074884e-7</x:v>
      </x:c>
      <x:c r="V245" s="21" t="str">
        <x:f>IF(NOT(AND(ISNUMBER(D245),ISNUMBER(E245),ISNUMBER(G245),ISNUMBER(H245))),"缺少配对",IF(OR(F245&lt;J245,F245&gt;K245),"超出理论J范围","有效"))</x:f>
        <x:v>有效</x:v>
      </x:c>
      <x:c r="W245" s="20" t="str">
        <x:v>升力 y=0.915708x+28.7687 → C_T_prop；实验攻角 45° ↔ 理论 alpha_p_deg 45°；原升力源 4000rpm!C94/N94</x:v>
      </x:c>
      <x:c r="X245" s="20" t="str">
        <x:v>升力标定计算!M489</x:v>
      </x:c>
      <x:c r="Y245" s="20" t="str">
        <x:v>升力标定计算!M490</x:v>
      </x:c>
      <x:c r="Z245" s="20" t="str">
        <x:v>升力标定计算!N489</x:v>
      </x:c>
      <x:c r="AA245" s="20" t="str">
        <x:v>升力标定计算!N490</x:v>
      </x:c>
      <x:c r="AB245" s="20" t="str">
        <x:v>4000rpm!AT43:AS44</x:v>
      </x:c>
    </x:row>
    <x:row r="246">
      <x:c r="A246" s="21" t="n">
        <x:v>4000</x:v>
      </x:c>
      <x:c r="B246" s="21" t="n">
        <x:v>45</x:v>
      </x:c>
      <x:c r="C246" s="21" t="n">
        <x:v>10</x:v>
      </x:c>
      <x:c r="D246" s="22" t="n">
        <x:f>IFERROR('升力标定计算'!M491,"")</x:f>
        <x:v>0.2659147905165046</x:v>
      </x:c>
      <x:c r="E246" s="22" t="n">
        <x:f>IFERROR('升力标定计算'!M492,"")</x:f>
        <x:v>0.26963862812987</x:v>
      </x:c>
      <x:c r="F246" s="22" t="n">
        <x:f>IF(AND(ISNUMBER(D246),ISNUMBER(E246)),AVERAGE(D246,E246),"")</x:f>
        <x:v>0.2677767093231873</x:v>
      </x:c>
      <x:c r="G246" s="22" t="n">
        <x:f>IFERROR('升力标定计算'!N491,"")</x:f>
        <x:v>0.0632535568364927</x:v>
      </x:c>
      <x:c r="H246" s="22" t="n">
        <x:f>IFERROR('升力标定计算'!N492,"")</x:f>
        <x:v>0.06227696125799575</x:v>
      </x:c>
      <x:c r="I246" s="22" t="n">
        <x:f>IF(AND(ISNUMBER(G246),ISNUMBER(H246)),AVERAGE(G246,H246),"")</x:f>
        <x:v>0.06276525904724423</x:v>
      </x:c>
      <x:c r="J246" s="22" t="n">
        <x:f>IFERROR('4000rpm'!AT36,"")</x:f>
        <x:v>0</x:v>
      </x:c>
      <x:c r="K246" s="22" t="n">
        <x:f>IFERROR('4000rpm'!AT46,"")</x:f>
        <x:v>0.3336614173228346</x:v>
      </x:c>
      <x:c r="L246" s="22" t="n">
        <x:f>IFERROR('4000rpm'!AT44,"")</x:f>
        <x:v>0.2669291338582677</x:v>
      </x:c>
      <x:c r="M246" s="22" t="n">
        <x:f>IFERROR('4000rpm'!AS44,"")</x:f>
        <x:v>0.06298685906969502</x:v>
      </x:c>
      <x:c r="N246" s="22" t="n">
        <x:f>IFERROR('4000rpm'!AT45,"")</x:f>
        <x:v>0.3002952755905512</x:v>
      </x:c>
      <x:c r="O246" s="22" t="n">
        <x:f>IFERROR('4000rpm'!AS45,"")</x:f>
        <x:v>0.059741986087437304</x:v>
      </x:c>
      <x:c r="P246" s="22" t="n">
        <x:f>IF(OR(NOT(AND(ISNUMBER(D246),ISNUMBER(E246),ISNUMBER(G246),ISNUMBER(H246))),OR(F246&lt;J246,F246&gt;K246)),"",IF(N246=L246,M246,M246+(F246-L246)*(O246-M246)/(N246-L246)))</x:f>
        <x:v>0.06290443195694674</x:v>
      </x:c>
      <x:c r="Q246" s="22" t="n">
        <x:f>IF(AND(ISNUMBER(I246),ISNUMBER(P246)),I246-P246,"")</x:f>
        <x:v>-0.0001391729097025146</x:v>
      </x:c>
      <x:c r="R246" s="22" t="n">
        <x:f>IF(ISNUMBER(Q246),ABS(Q246),"")</x:f>
        <x:v>0.0001391729097025146</x:v>
      </x:c>
      <x:c r="S246" s="36" t="n">
        <x:f>IF(AND(ISNUMBER(Q246),ISNUMBER(P246)),IF(ABS(P246)&lt;1E-12,"",Q246/P246),"")</x:f>
        <x:v>-0.0022124499875901876</x:v>
      </x:c>
      <x:c r="T246" s="36" t="n">
        <x:f>IF(ISNUMBER(S246),ABS(S246),"")</x:f>
        <x:v>0.0022124499875901876</x:v>
      </x:c>
      <x:c r="U246" s="37" t="n">
        <x:f>IF(ISNUMBER(Q246),Q246^2,"")</x:f>
        <x:v>1.9369098795064287e-8</x:v>
      </x:c>
      <x:c r="V246" s="21" t="str">
        <x:f>IF(NOT(AND(ISNUMBER(D246),ISNUMBER(E246),ISNUMBER(G246),ISNUMBER(H246))),"缺少配对",IF(OR(F246&lt;J246,F246&gt;K246),"超出理论J范围","有效"))</x:f>
        <x:v>有效</x:v>
      </x:c>
      <x:c r="W246" s="20" t="str">
        <x:v>升力 y=0.915708x+28.7687 → C_T_prop；实验攻角 45° ↔ 理论 alpha_p_deg 45°；原升力源 4000rpm!C95/N95</x:v>
      </x:c>
      <x:c r="X246" s="20" t="str">
        <x:v>升力标定计算!M491</x:v>
      </x:c>
      <x:c r="Y246" s="20" t="str">
        <x:v>升力标定计算!M492</x:v>
      </x:c>
      <x:c r="Z246" s="20" t="str">
        <x:v>升力标定计算!N491</x:v>
      </x:c>
      <x:c r="AA246" s="20" t="str">
        <x:v>升力标定计算!N492</x:v>
      </x:c>
      <x:c r="AB246" s="20" t="str">
        <x:v>4000rpm!AT44:AS45</x:v>
      </x:c>
    </x:row>
    <x:row r="247">
      <x:c r="A247" s="21" t="n">
        <x:v>4000</x:v>
      </x:c>
      <x:c r="B247" s="21" t="n">
        <x:v>45</x:v>
      </x:c>
      <x:c r="C247" s="21" t="n">
        <x:v>11</x:v>
      </x:c>
      <x:c r="D247" s="22" t="n">
        <x:f>IFERROR('升力标定计算'!M493,"")</x:f>
        <x:v>0.30019189325987694</x:v>
      </x:c>
      <x:c r="E247" s="22" t="n">
        <x:f>IFERROR('升力标定计算'!M494,"")</x:f>
        <x:v>0.30441151140207345</x:v>
      </x:c>
      <x:c r="F247" s="22" t="n">
        <x:f>IF(AND(ISNUMBER(D247),ISNUMBER(E247)),AVERAGE(D247,E247),"")</x:f>
        <x:v>0.3023017023309752</x:v>
      </x:c>
      <x:c r="G247" s="22" t="n">
        <x:f>IFERROR('升力标定计算'!N493,"")</x:f>
        <x:v>0.06129528068501066</x:v>
      </x:c>
      <x:c r="H247" s="22" t="n">
        <x:f>IFERROR('升力标定计算'!N494,"")</x:f>
        <x:v>0.06050247805802914</x:v>
      </x:c>
      <x:c r="I247" s="22" t="n">
        <x:f>IF(AND(ISNUMBER(G247),ISNUMBER(H247)),AVERAGE(G247,H247),"")</x:f>
        <x:v>0.0608988793715199</x:v>
      </x:c>
      <x:c r="J247" s="22" t="n">
        <x:f>IFERROR('4000rpm'!AT36,"")</x:f>
        <x:v>0</x:v>
      </x:c>
      <x:c r="K247" s="22" t="n">
        <x:f>IFERROR('4000rpm'!AT46,"")</x:f>
        <x:v>0.3336614173228346</x:v>
      </x:c>
      <x:c r="L247" s="22" t="n">
        <x:f>IFERROR('4000rpm'!AT45,"")</x:f>
        <x:v>0.3002952755905512</x:v>
      </x:c>
      <x:c r="M247" s="22" t="n">
        <x:f>IFERROR('4000rpm'!AS45,"")</x:f>
        <x:v>0.059741986087437304</x:v>
      </x:c>
      <x:c r="N247" s="22" t="n">
        <x:f>IFERROR('4000rpm'!AT46,"")</x:f>
        <x:v>0.3336614173228346</x:v>
      </x:c>
      <x:c r="O247" s="22" t="n">
        <x:f>IFERROR('4000rpm'!AS46,"")</x:f>
        <x:v>0.05625936450161381</x:v>
      </x:c>
      <x:c r="P247" s="22" t="n">
        <x:f>IF(OR(NOT(AND(ISNUMBER(D247),ISNUMBER(E247),ISNUMBER(G247),ISNUMBER(H247))),OR(F247&lt;J247,F247&gt;K247)),"",IF(N247=L247,M247,M247+(F247-L247)*(O247-M247)/(N247-L247)))</x:f>
        <x:v>0.059532563459773605</x:v>
      </x:c>
      <x:c r="Q247" s="22" t="n">
        <x:f>IF(AND(ISNUMBER(I247),ISNUMBER(P247)),I247-P247,"")</x:f>
        <x:v>0.0013663159117462964</x:v>
      </x:c>
      <x:c r="R247" s="22" t="n">
        <x:f>IF(ISNUMBER(Q247),ABS(Q247),"")</x:f>
        <x:v>0.0013663159117462964</x:v>
      </x:c>
      <x:c r="S247" s="36" t="n">
        <x:f>IF(AND(ISNUMBER(Q247),ISNUMBER(P247)),IF(ABS(P247)&lt;1E-12,"",Q247/P247),"")</x:f>
        <x:v>0.02295073204212887</x:v>
      </x:c>
      <x:c r="T247" s="36" t="n">
        <x:f>IF(ISNUMBER(S247),ABS(S247),"")</x:f>
        <x:v>0.02295073204212887</x:v>
      </x:c>
      <x:c r="U247" s="37" t="n">
        <x:f>IF(ISNUMBER(Q247),Q247^2,"")</x:f>
        <x:v>0.0000018668191706911132</x:v>
      </x:c>
      <x:c r="V247" s="21" t="str">
        <x:f>IF(NOT(AND(ISNUMBER(D247),ISNUMBER(E247),ISNUMBER(G247),ISNUMBER(H247))),"缺少配对",IF(OR(F247&lt;J247,F247&gt;K247),"超出理论J范围","有效"))</x:f>
        <x:v>有效</x:v>
      </x:c>
      <x:c r="W247" s="20" t="str">
        <x:v>升力 y=0.915708x+28.7687 → C_T_prop；实验攻角 45° ↔ 理论 alpha_p_deg 45°；原升力源 4000rpm!C96/N96</x:v>
      </x:c>
      <x:c r="X247" s="20" t="str">
        <x:v>升力标定计算!M493</x:v>
      </x:c>
      <x:c r="Y247" s="20" t="str">
        <x:v>升力标定计算!M494</x:v>
      </x:c>
      <x:c r="Z247" s="20" t="str">
        <x:v>升力标定计算!N493</x:v>
      </x:c>
      <x:c r="AA247" s="20" t="str">
        <x:v>升力标定计算!N494</x:v>
      </x:c>
      <x:c r="AB247" s="20" t="str">
        <x:v>4000rpm!AT45:AS46</x:v>
      </x:c>
    </x:row>
    <x:row r="248">
      <x:c r="A248" s="21" t="n">
        <x:v>4000</x:v>
      </x:c>
      <x:c r="B248" s="21" t="n">
        <x:v>45</x:v>
      </x:c>
      <x:c r="C248" s="21" t="n">
        <x:v>12</x:v>
      </x:c>
      <x:c r="D248" s="22" t="n">
        <x:f>IFERROR('升力标定计算'!M495,"")</x:f>
        <x:v>0.32879375955577816</x:v>
      </x:c>
      <x:c r="E248" s="22" t="n">
        <x:f>IFERROR('升力标定计算'!M496,"")</x:f>
        <x:v>0.3322167683394649</x:v>
      </x:c>
      <x:c r="F248" s="22" t="n">
        <x:f>IF(AND(ISNUMBER(D248),ISNUMBER(E248)),AVERAGE(D248,E248),"")</x:f>
        <x:v>0.33050526394762153</x:v>
      </x:c>
      <x:c r="G248" s="22" t="n">
        <x:f>IFERROR('升力标定计算'!N495,"")</x:f>
        <x:v>0.058606890747430355</x:v>
      </x:c>
      <x:c r="H248" s="22" t="n">
        <x:f>IFERROR('升力标定计算'!N496,"")</x:f>
        <x:v>0.05744138907236276</x:v>
      </x:c>
      <x:c r="I248" s="22" t="n">
        <x:f>IF(AND(ISNUMBER(G248),ISNUMBER(H248)),AVERAGE(G248,H248),"")</x:f>
        <x:v>0.058024139909896556</x:v>
      </x:c>
      <x:c r="J248" s="22" t="n">
        <x:f>IFERROR('4000rpm'!AT36,"")</x:f>
        <x:v>0</x:v>
      </x:c>
      <x:c r="K248" s="22" t="n">
        <x:f>IFERROR('4000rpm'!AT46,"")</x:f>
        <x:v>0.3336614173228346</x:v>
      </x:c>
      <x:c r="L248" s="22" t="n">
        <x:f>IFERROR('4000rpm'!AT45,"")</x:f>
        <x:v>0.3002952755905512</x:v>
      </x:c>
      <x:c r="M248" s="22" t="n">
        <x:f>IFERROR('4000rpm'!AS45,"")</x:f>
        <x:v>0.059741986087437304</x:v>
      </x:c>
      <x:c r="N248" s="22" t="n">
        <x:f>IFERROR('4000rpm'!AT46,"")</x:f>
        <x:v>0.3336614173228346</x:v>
      </x:c>
      <x:c r="O248" s="22" t="n">
        <x:f>IFERROR('4000rpm'!AS46,"")</x:f>
        <x:v>0.05625936450161381</x:v>
      </x:c>
      <x:c r="P248" s="22" t="n">
        <x:f>IF(OR(NOT(AND(ISNUMBER(D248),ISNUMBER(E248),ISNUMBER(G248),ISNUMBER(H248))),OR(F248&lt;J248,F248&gt;K248)),"",IF(N248=L248,M248,M248+(F248-L248)*(O248-M248)/(N248-L248)))</x:f>
        <x:v>0.0565887908992141</x:v>
      </x:c>
      <x:c r="Q248" s="22" t="n">
        <x:f>IF(AND(ISNUMBER(I248),ISNUMBER(P248)),I248-P248,"")</x:f>
        <x:v>0.0014353490106824573</x:v>
      </x:c>
      <x:c r="R248" s="22" t="n">
        <x:f>IF(ISNUMBER(Q248),ABS(Q248),"")</x:f>
        <x:v>0.0014353490106824573</x:v>
      </x:c>
      <x:c r="S248" s="36" t="n">
        <x:f>IF(AND(ISNUMBER(Q248),ISNUMBER(P248)),IF(ABS(P248)&lt;1E-12,"",Q248/P248),"")</x:f>
        <x:v>0.025364546368181747</x:v>
      </x:c>
      <x:c r="T248" s="36" t="n">
        <x:f>IF(ISNUMBER(S248),ABS(S248),"")</x:f>
        <x:v>0.025364546368181747</x:v>
      </x:c>
      <x:c r="U248" s="37" t="n">
        <x:f>IF(ISNUMBER(Q248),Q248^2,"")</x:f>
        <x:v>0.000002060226782467109</x:v>
      </x:c>
      <x:c r="V248" s="21" t="str">
        <x:f>IF(NOT(AND(ISNUMBER(D248),ISNUMBER(E248),ISNUMBER(G248),ISNUMBER(H248))),"缺少配对",IF(OR(F248&lt;J248,F248&gt;K248),"超出理论J范围","有效"))</x:f>
        <x:v>有效</x:v>
      </x:c>
      <x:c r="W248" s="20" t="str">
        <x:v>升力 y=0.915708x+28.7687 → C_T_prop；实验攻角 45° ↔ 理论 alpha_p_deg 45°；原升力源 4000rpm!C97/N97</x:v>
      </x:c>
      <x:c r="X248" s="20" t="str">
        <x:v>升力标定计算!M495</x:v>
      </x:c>
      <x:c r="Y248" s="20" t="str">
        <x:v>升力标定计算!M496</x:v>
      </x:c>
      <x:c r="Z248" s="20" t="str">
        <x:v>升力标定计算!N495</x:v>
      </x:c>
      <x:c r="AA248" s="20" t="str">
        <x:v>升力标定计算!N496</x:v>
      </x:c>
      <x:c r="AB248" s="20" t="str">
        <x:v>4000rpm!AT45:AS46</x:v>
      </x:c>
    </x:row>
    <x:row r="249">
      <x:c r="A249" s="21" t="n">
        <x:v>4000</x:v>
      </x:c>
      <x:c r="B249" s="21" t="n">
        <x:v>45</x:v>
      </x:c>
      <x:c r="C249" s="21" t="n">
        <x:v>13</x:v>
      </x:c>
      <x:c r="D249" s="22" t="n">
        <x:f>IFERROR('升力标定计算'!M497,"")</x:f>
        <x:v>0.2987318054676946</x:v>
      </x:c>
      <x:c r="E249" s="22" t="n">
        <x:f>IFERROR('升力标定计算'!M498,"")</x:f>
        <x:v>0.3038779282997069</x:v>
      </x:c>
      <x:c r="F249" s="22" t="n">
        <x:f>IF(AND(ISNUMBER(D249),ISNUMBER(E249)),AVERAGE(D249,E249),"")</x:f>
        <x:v>0.30130486688370073</x:v>
      </x:c>
      <x:c r="G249" s="22" t="n">
        <x:f>IFERROR('升力标定计算'!N497,"")</x:f>
        <x:v>0.06067992352867411</x:v>
      </x:c>
      <x:c r="H249" s="22" t="n">
        <x:f>IFERROR('升力标定计算'!N498,"")</x:f>
        <x:v>0.05998984484032789</x:v>
      </x:c>
      <x:c r="I249" s="22" t="n">
        <x:f>IF(AND(ISNUMBER(G249),ISNUMBER(H249)),AVERAGE(G249,H249),"")</x:f>
        <x:v>0.060334884184501</x:v>
      </x:c>
      <x:c r="J249" s="22" t="n">
        <x:f>IFERROR('4000rpm'!AT36,"")</x:f>
        <x:v>0</x:v>
      </x:c>
      <x:c r="K249" s="22" t="n">
        <x:f>IFERROR('4000rpm'!AT46,"")</x:f>
        <x:v>0.3336614173228346</x:v>
      </x:c>
      <x:c r="L249" s="22" t="n">
        <x:f>IFERROR('4000rpm'!AT45,"")</x:f>
        <x:v>0.3002952755905512</x:v>
      </x:c>
      <x:c r="M249" s="22" t="n">
        <x:f>IFERROR('4000rpm'!AS45,"")</x:f>
        <x:v>0.059741986087437304</x:v>
      </x:c>
      <x:c r="N249" s="22" t="n">
        <x:f>IFERROR('4000rpm'!AT46,"")</x:f>
        <x:v>0.3336614173228346</x:v>
      </x:c>
      <x:c r="O249" s="22" t="n">
        <x:f>IFERROR('4000rpm'!AS46,"")</x:f>
        <x:v>0.05625936450161381</x:v>
      </x:c>
      <x:c r="P249" s="22" t="n">
        <x:f>IF(OR(NOT(AND(ISNUMBER(D249),ISNUMBER(E249),ISNUMBER(G249),ISNUMBER(H249))),OR(F249&lt;J249,F249&gt;K249)),"",IF(N249=L249,M249,M249+(F249-L249)*(O249-M249)/(N249-L249)))</x:f>
        <x:v>0.05963660907206066</x:v>
      </x:c>
      <x:c r="Q249" s="22" t="n">
        <x:f>IF(AND(ISNUMBER(I249),ISNUMBER(P249)),I249-P249,"")</x:f>
        <x:v>0.00069827511244034</x:v>
      </x:c>
      <x:c r="R249" s="22" t="n">
        <x:f>IF(ISNUMBER(Q249),ABS(Q249),"")</x:f>
        <x:v>0.00069827511244034</x:v>
      </x:c>
      <x:c r="S249" s="36" t="n">
        <x:f>IF(AND(ISNUMBER(Q249),ISNUMBER(P249)),IF(ABS(P249)&lt;1E-12,"",Q249/P249),"")</x:f>
        <x:v>0.011708833270459655</x:v>
      </x:c>
      <x:c r="T249" s="36" t="n">
        <x:f>IF(ISNUMBER(S249),ABS(S249),"")</x:f>
        <x:v>0.011708833270459655</x:v>
      </x:c>
      <x:c r="U249" s="37" t="n">
        <x:f>IF(ISNUMBER(Q249),Q249^2,"")</x:f>
        <x:v>4.875881326535694e-7</x:v>
      </x:c>
      <x:c r="V249" s="21" t="str">
        <x:f>IF(NOT(AND(ISNUMBER(D249),ISNUMBER(E249),ISNUMBER(G249),ISNUMBER(H249))),"缺少配对",IF(OR(F249&lt;J249,F249&gt;K249),"超出理论J范围","有效"))</x:f>
        <x:v>有效</x:v>
      </x:c>
      <x:c r="W249" s="20" t="str">
        <x:v>升力 y=0.915708x+28.7687 → C_T_prop；实验攻角 45° ↔ 理论 alpha_p_deg 45°；原升力源 4000rpm!C98/N98</x:v>
      </x:c>
      <x:c r="X249" s="20" t="str">
        <x:v>升力标定计算!M497</x:v>
      </x:c>
      <x:c r="Y249" s="20" t="str">
        <x:v>升力标定计算!M498</x:v>
      </x:c>
      <x:c r="Z249" s="20" t="str">
        <x:v>升力标定计算!N497</x:v>
      </x:c>
      <x:c r="AA249" s="20" t="str">
        <x:v>升力标定计算!N498</x:v>
      </x:c>
      <x:c r="AB249" s="20" t="str">
        <x:v>4000rpm!AT45:AS46</x:v>
      </x:c>
    </x:row>
    <x:row r="250">
      <x:c r="A250" s="21" t="n">
        <x:v>4000</x:v>
      </x:c>
      <x:c r="B250" s="21" t="n">
        <x:v>45</x:v>
      </x:c>
      <x:c r="C250" s="21" t="n">
        <x:v>14</x:v>
      </x:c>
      <x:c r="D250" s="22" t="n">
        <x:f>IFERROR('升力标定计算'!M499,"")</x:f>
        <x:v>0.2662048960931943</x:v>
      </x:c>
      <x:c r="E250" s="22" t="n">
        <x:f>IFERROR('升力标定计算'!M500,"")</x:f>
        <x:v>0.27123142576264386</x:v>
      </x:c>
      <x:c r="F250" s="22" t="n">
        <x:f>IF(AND(ISNUMBER(D250),ISNUMBER(E250)),AVERAGE(D250,E250),"")</x:f>
        <x:v>0.2687181609279191</x:v>
      </x:c>
      <x:c r="G250" s="22" t="n">
        <x:f>IFERROR('升力标定计算'!N499,"")</x:f>
        <x:v>0.062780115066637</x:v>
      </x:c>
      <x:c r="H250" s="22" t="n">
        <x:f>IFERROR('升力标定计算'!N500,"")</x:f>
        <x:v>0.062268110770143</x:v>
      </x:c>
      <x:c r="I250" s="22" t="n">
        <x:f>IF(AND(ISNUMBER(G250),ISNUMBER(H250)),AVERAGE(G250,H250),"")</x:f>
        <x:v>0.06252411291839</x:v>
      </x:c>
      <x:c r="J250" s="22" t="n">
        <x:f>IFERROR('4000rpm'!AT36,"")</x:f>
        <x:v>0</x:v>
      </x:c>
      <x:c r="K250" s="22" t="n">
        <x:f>IFERROR('4000rpm'!AT46,"")</x:f>
        <x:v>0.3336614173228346</x:v>
      </x:c>
      <x:c r="L250" s="22" t="n">
        <x:f>IFERROR('4000rpm'!AT44,"")</x:f>
        <x:v>0.2669291338582677</x:v>
      </x:c>
      <x:c r="M250" s="22" t="n">
        <x:f>IFERROR('4000rpm'!AS44,"")</x:f>
        <x:v>0.06298685906969502</x:v>
      </x:c>
      <x:c r="N250" s="22" t="n">
        <x:f>IFERROR('4000rpm'!AT45,"")</x:f>
        <x:v>0.3002952755905512</x:v>
      </x:c>
      <x:c r="O250" s="22" t="n">
        <x:f>IFERROR('4000rpm'!AS45,"")</x:f>
        <x:v>0.059741986087437304</x:v>
      </x:c>
      <x:c r="P250" s="22" t="n">
        <x:f>IF(OR(NOT(AND(ISNUMBER(D250),ISNUMBER(E250),ISNUMBER(G250),ISNUMBER(H250))),OR(F250&lt;J250,F250&gt;K250)),"",IF(N250=L250,M250,M250+(F250-L250)*(O250-M250)/(N250-L250)))</x:f>
        <x:v>0.06281287534543292</x:v>
      </x:c>
      <x:c r="Q250" s="22" t="n">
        <x:f>IF(AND(ISNUMBER(I250),ISNUMBER(P250)),I250-P250,"")</x:f>
        <x:v>-0.00028876242704292676</x:v>
      </x:c>
      <x:c r="R250" s="22" t="n">
        <x:f>IF(ISNUMBER(Q250),ABS(Q250),"")</x:f>
        <x:v>0.00028876242704292676</x:v>
      </x:c>
      <x:c r="S250" s="36" t="n">
        <x:f>IF(AND(ISNUMBER(Q250),ISNUMBER(P250)),IF(ABS(P250)&lt;1E-12,"",Q250/P250),"")</x:f>
        <x:v>-0.004597185297678344</x:v>
      </x:c>
      <x:c r="T250" s="36" t="n">
        <x:f>IF(ISNUMBER(S250),ABS(S250),"")</x:f>
        <x:v>0.004597185297678344</x:v>
      </x:c>
      <x:c r="U250" s="37" t="n">
        <x:f>IF(ISNUMBER(Q250),Q250^2,"")</x:f>
        <x:v>8.33837392717216e-8</x:v>
      </x:c>
      <x:c r="V250" s="21" t="str">
        <x:f>IF(NOT(AND(ISNUMBER(D250),ISNUMBER(E250),ISNUMBER(G250),ISNUMBER(H250))),"缺少配对",IF(OR(F250&lt;J250,F250&gt;K250),"超出理论J范围","有效"))</x:f>
        <x:v>有效</x:v>
      </x:c>
      <x:c r="W250" s="20" t="str">
        <x:v>升力 y=0.915708x+28.7687 → C_T_prop；实验攻角 45° ↔ 理论 alpha_p_deg 45°；原升力源 4000rpm!C99/N99</x:v>
      </x:c>
      <x:c r="X250" s="20" t="str">
        <x:v>升力标定计算!M499</x:v>
      </x:c>
      <x:c r="Y250" s="20" t="str">
        <x:v>升力标定计算!M500</x:v>
      </x:c>
      <x:c r="Z250" s="20" t="str">
        <x:v>升力标定计算!N499</x:v>
      </x:c>
      <x:c r="AA250" s="20" t="str">
        <x:v>升力标定计算!N500</x:v>
      </x:c>
      <x:c r="AB250" s="20" t="str">
        <x:v>4000rpm!AT44:AS45</x:v>
      </x:c>
    </x:row>
    <x:row r="251">
      <x:c r="A251" s="21" t="n">
        <x:v>4000</x:v>
      </x:c>
      <x:c r="B251" s="21" t="n">
        <x:v>45</x:v>
      </x:c>
      <x:c r="C251" s="21" t="n">
        <x:v>15</x:v>
      </x:c>
      <x:c r="D251" s="22" t="n">
        <x:f>IFERROR('升力标定计算'!M501,"")</x:f>
        <x:v>0.23439049362721445</x:v>
      </x:c>
      <x:c r="E251" s="22" t="n">
        <x:f>IFERROR('升力标定计算'!M502,"")</x:f>
        <x:v>0.23853089169729502</x:v>
      </x:c>
      <x:c r="F251" s="22" t="n">
        <x:f>IF(AND(ISNUMBER(D251),ISNUMBER(E251)),AVERAGE(D251,E251),"")</x:f>
        <x:v>0.23646069266225472</x:v>
      </x:c>
      <x:c r="G251" s="22" t="n">
        <x:f>IFERROR('升力标定计算'!N501,"")</x:f>
        <x:v>0.06547285466686793</x:v>
      </x:c>
      <x:c r="H251" s="22" t="n">
        <x:f>IFERROR('升力标定计算'!N502,"")</x:f>
        <x:v>0.06526865905259235</x:v>
      </x:c>
      <x:c r="I251" s="22" t="n">
        <x:f>IF(AND(ISNUMBER(G251),ISNUMBER(H251)),AVERAGE(G251,H251),"")</x:f>
        <x:v>0.06537075685973015</x:v>
      </x:c>
      <x:c r="J251" s="22" t="n">
        <x:f>IFERROR('4000rpm'!AT36,"")</x:f>
        <x:v>0</x:v>
      </x:c>
      <x:c r="K251" s="22" t="n">
        <x:f>IFERROR('4000rpm'!AT46,"")</x:f>
        <x:v>0.3336614173228346</x:v>
      </x:c>
      <x:c r="L251" s="22" t="n">
        <x:f>IFERROR('4000rpm'!AT43,"")</x:f>
        <x:v>0.23356299212598428</x:v>
      </x:c>
      <x:c r="M251" s="22" t="n">
        <x:f>IFERROR('4000rpm'!AS43,"")</x:f>
        <x:v>0.06600042119765143</x:v>
      </x:c>
      <x:c r="N251" s="22" t="n">
        <x:f>IFERROR('4000rpm'!AT44,"")</x:f>
        <x:v>0.2669291338582677</x:v>
      </x:c>
      <x:c r="O251" s="22" t="n">
        <x:f>IFERROR('4000rpm'!AS44,"")</x:f>
        <x:v>0.06298685906969502</x:v>
      </x:c>
      <x:c r="P251" s="22" t="n">
        <x:f>IF(OR(NOT(AND(ISNUMBER(D251),ISNUMBER(E251),ISNUMBER(G251),ISNUMBER(H251))),OR(F251&lt;J251,F251&gt;K251)),"",IF(N251=L251,M251,M251+(F251-L251)*(O251-M251)/(N251-L251)))</x:f>
        <x:v>0.0657387067727614</x:v>
      </x:c>
      <x:c r="Q251" s="22" t="n">
        <x:f>IF(AND(ISNUMBER(I251),ISNUMBER(P251)),I251-P251,"")</x:f>
        <x:v>-0.00036794991303125413</x:v>
      </x:c>
      <x:c r="R251" s="22" t="n">
        <x:f>IF(ISNUMBER(Q251),ABS(Q251),"")</x:f>
        <x:v>0.00036794991303125413</x:v>
      </x:c>
      <x:c r="S251" s="36" t="n">
        <x:f>IF(AND(ISNUMBER(Q251),ISNUMBER(P251)),IF(ABS(P251)&lt;1E-12,"",Q251/P251),"")</x:f>
        <x:v>-0.0055971577643464205</x:v>
      </x:c>
      <x:c r="T251" s="36" t="n">
        <x:f>IF(ISNUMBER(S251),ABS(S251),"")</x:f>
        <x:v>0.0055971577643464205</x:v>
      </x:c>
      <x:c r="U251" s="37" t="n">
        <x:f>IF(ISNUMBER(Q251),Q251^2,"")</x:f>
        <x:v>1.3538713849970748e-7</x:v>
      </x:c>
      <x:c r="V251" s="21" t="str">
        <x:f>IF(NOT(AND(ISNUMBER(D251),ISNUMBER(E251),ISNUMBER(G251),ISNUMBER(H251))),"缺少配对",IF(OR(F251&lt;J251,F251&gt;K251),"超出理论J范围","有效"))</x:f>
        <x:v>有效</x:v>
      </x:c>
      <x:c r="W251" s="20" t="str">
        <x:v>升力 y=0.915708x+28.7687 → C_T_prop；实验攻角 45° ↔ 理论 alpha_p_deg 45°；原升力源 4000rpm!C100/N100</x:v>
      </x:c>
      <x:c r="X251" s="20" t="str">
        <x:v>升力标定计算!M501</x:v>
      </x:c>
      <x:c r="Y251" s="20" t="str">
        <x:v>升力标定计算!M502</x:v>
      </x:c>
      <x:c r="Z251" s="20" t="str">
        <x:v>升力标定计算!N501</x:v>
      </x:c>
      <x:c r="AA251" s="20" t="str">
        <x:v>升力标定计算!N502</x:v>
      </x:c>
      <x:c r="AB251" s="20" t="str">
        <x:v>4000rpm!AT43:AS44</x:v>
      </x:c>
    </x:row>
    <x:row r="252">
      <x:c r="A252" s="21" t="n">
        <x:v>4000</x:v>
      </x:c>
      <x:c r="B252" s="21" t="n">
        <x:v>45</x:v>
      </x:c>
      <x:c r="C252" s="21" t="n">
        <x:v>16</x:v>
      </x:c>
      <x:c r="D252" s="22" t="n">
        <x:f>IFERROR('升力标定计算'!M503,"")</x:f>
        <x:v>0.2014461235842549</x:v>
      </x:c>
      <x:c r="E252" s="22" t="n">
        <x:f>IFERROR('升力标定计算'!M504,"")</x:f>
        <x:v>0.2048564654822723</x:v>
      </x:c>
      <x:c r="F252" s="22" t="n">
        <x:f>IF(AND(ISNUMBER(D252),ISNUMBER(E252)),AVERAGE(D252,E252),"")</x:f>
        <x:v>0.20315129453326358</x:v>
      </x:c>
      <x:c r="G252" s="22" t="n">
        <x:f>IFERROR('升力标定计算'!N503,"")</x:f>
        <x:v>0.06750907171330546</x:v>
      </x:c>
      <x:c r="H252" s="22" t="n">
        <x:f>IFERROR('升力标定计算'!N504,"")</x:f>
        <x:v>0.06729827982483497</x:v>
      </x:c>
      <x:c r="I252" s="22" t="n">
        <x:f>IF(AND(ISNUMBER(G252),ISNUMBER(H252)),AVERAGE(G252,H252),"")</x:f>
        <x:v>0.06740367576907022</x:v>
      </x:c>
      <x:c r="J252" s="22" t="n">
        <x:f>IFERROR('4000rpm'!AT36,"")</x:f>
        <x:v>0</x:v>
      </x:c>
      <x:c r="K252" s="22" t="n">
        <x:f>IFERROR('4000rpm'!AT46,"")</x:f>
        <x:v>0.3336614173228346</x:v>
      </x:c>
      <x:c r="L252" s="22" t="n">
        <x:f>IFERROR('4000rpm'!AT42,"")</x:f>
        <x:v>0.2001968503937008</x:v>
      </x:c>
      <x:c r="M252" s="22" t="n">
        <x:f>IFERROR('4000rpm'!AS42,"")</x:f>
        <x:v>0.0687925288376275</x:v>
      </x:c>
      <x:c r="N252" s="22" t="n">
        <x:f>IFERROR('4000rpm'!AT43,"")</x:f>
        <x:v>0.23356299212598428</x:v>
      </x:c>
      <x:c r="O252" s="22" t="n">
        <x:f>IFERROR('4000rpm'!AS43,"")</x:f>
        <x:v>0.06600042119765143</x:v>
      </x:c>
      <x:c r="P252" s="22" t="n">
        <x:f>IF(OR(NOT(AND(ISNUMBER(D252),ISNUMBER(E252),ISNUMBER(G252),ISNUMBER(H252))),OR(F252&lt;J252,F252&gt;K252)),"",IF(N252=L252,M252,M252+(F252-L252)*(O252-M252)/(N252-L252)))</x:f>
        <x:v>0.06854529839306056</x:v>
      </x:c>
      <x:c r="Q252" s="22" t="n">
        <x:f>IF(AND(ISNUMBER(I252),ISNUMBER(P252)),I252-P252,"")</x:f>
        <x:v>-0.0011416226239903404</x:v>
      </x:c>
      <x:c r="R252" s="22" t="n">
        <x:f>IF(ISNUMBER(Q252),ABS(Q252),"")</x:f>
        <x:v>0.0011416226239903404</x:v>
      </x:c>
      <x:c r="S252" s="36" t="n">
        <x:f>IF(AND(ISNUMBER(Q252),ISNUMBER(P252)),IF(ABS(P252)&lt;1E-12,"",Q252/P252),"")</x:f>
        <x:v>-0.016655009909562476</x:v>
      </x:c>
      <x:c r="T252" s="36" t="n">
        <x:f>IF(ISNUMBER(S252),ABS(S252),"")</x:f>
        <x:v>0.016655009909562476</x:v>
      </x:c>
      <x:c r="U252" s="37" t="n">
        <x:f>IF(ISNUMBER(Q252),Q252^2,"")</x:f>
        <x:v>0.0000013033022156065901</x:v>
      </x:c>
      <x:c r="V252" s="21" t="str">
        <x:f>IF(NOT(AND(ISNUMBER(D252),ISNUMBER(E252),ISNUMBER(G252),ISNUMBER(H252))),"缺少配对",IF(OR(F252&lt;J252,F252&gt;K252),"超出理论J范围","有效"))</x:f>
        <x:v>有效</x:v>
      </x:c>
      <x:c r="W252" s="20" t="str">
        <x:v>升力 y=0.915708x+28.7687 → C_T_prop；实验攻角 45° ↔ 理论 alpha_p_deg 45°；原升力源 4000rpm!C101/N101</x:v>
      </x:c>
      <x:c r="X252" s="20" t="str">
        <x:v>升力标定计算!M503</x:v>
      </x:c>
      <x:c r="Y252" s="20" t="str">
        <x:v>升力标定计算!M504</x:v>
      </x:c>
      <x:c r="Z252" s="20" t="str">
        <x:v>升力标定计算!N503</x:v>
      </x:c>
      <x:c r="AA252" s="20" t="str">
        <x:v>升力标定计算!N504</x:v>
      </x:c>
      <x:c r="AB252" s="20" t="str">
        <x:v>4000rpm!AT42:AS43</x:v>
      </x:c>
    </x:row>
    <x:row r="253">
      <x:c r="A253" s="21" t="n">
        <x:v>4000</x:v>
      </x:c>
      <x:c r="B253" s="21" t="n">
        <x:v>45</x:v>
      </x:c>
      <x:c r="C253" s="21" t="n">
        <x:v>17</x:v>
      </x:c>
      <x:c r="D253" s="22" t="n">
        <x:f>IFERROR('升力标定计算'!M505,"")</x:f>
        <x:v>0.1651468240124258</x:v>
      </x:c>
      <x:c r="E253" s="22" t="n">
        <x:f>IFERROR('升力标定计算'!M506,"")</x:f>
        <x:v>0.1709022435355144</x:v>
      </x:c>
      <x:c r="F253" s="22" t="n">
        <x:f>IF(AND(ISNUMBER(D253),ISNUMBER(E253)),AVERAGE(D253,E253),"")</x:f>
        <x:v>0.1680245337739701</x:v>
      </x:c>
      <x:c r="G253" s="22" t="n">
        <x:f>IFERROR('升力标定计算'!N505,"")</x:f>
        <x:v>0.06984576453641249</x:v>
      </x:c>
      <x:c r="H253" s="22" t="n">
        <x:f>IFERROR('升力标定计算'!N506,"")</x:f>
        <x:v>0.06915714803493717</x:v>
      </x:c>
      <x:c r="I253" s="22" t="n">
        <x:f>IF(AND(ISNUMBER(G253),ISNUMBER(H253)),AVERAGE(G253,H253),"")</x:f>
        <x:v>0.06950145628567483</x:v>
      </x:c>
      <x:c r="J253" s="22" t="n">
        <x:f>IFERROR('4000rpm'!AT36,"")</x:f>
        <x:v>0</x:v>
      </x:c>
      <x:c r="K253" s="22" t="n">
        <x:f>IFERROR('4000rpm'!AT46,"")</x:f>
        <x:v>0.3336614173228346</x:v>
      </x:c>
      <x:c r="L253" s="22" t="n">
        <x:f>IFERROR('4000rpm'!AT41,"")</x:f>
        <x:v>0.1668307086614173</x:v>
      </x:c>
      <x:c r="M253" s="22" t="n">
        <x:f>IFERROR('4000rpm'!AS41,"")</x:f>
        <x:v>0.07139907754523002</x:v>
      </x:c>
      <x:c r="N253" s="22" t="n">
        <x:f>IFERROR('4000rpm'!AT42,"")</x:f>
        <x:v>0.2001968503937008</x:v>
      </x:c>
      <x:c r="O253" s="22" t="n">
        <x:f>IFERROR('4000rpm'!AS42,"")</x:f>
        <x:v>0.0687925288376275</x:v>
      </x:c>
      <x:c r="P253" s="22" t="n">
        <x:f>IF(OR(NOT(AND(ISNUMBER(D253),ISNUMBER(E253),ISNUMBER(G253),ISNUMBER(H253))),OR(F253&lt;J253,F253&gt;K253)),"",IF(N253=L253,M253,M253+(F253-L253)*(O253-M253)/(N253-L253)))</x:f>
        <x:v>0.07130581643853104</x:v>
      </x:c>
      <x:c r="Q253" s="22" t="n">
        <x:f>IF(AND(ISNUMBER(I253),ISNUMBER(P253)),I253-P253,"")</x:f>
        <x:v>-0.0018043601528562048</x:v>
      </x:c>
      <x:c r="R253" s="22" t="n">
        <x:f>IF(ISNUMBER(Q253),ABS(Q253),"")</x:f>
        <x:v>0.0018043601528562048</x:v>
      </x:c>
      <x:c r="S253" s="36" t="n">
        <x:f>IF(AND(ISNUMBER(Q253),ISNUMBER(P253)),IF(ABS(P253)&lt;1E-12,"",Q253/P253),"")</x:f>
        <x:v>-0.025304529742137486</x:v>
      </x:c>
      <x:c r="T253" s="36" t="n">
        <x:f>IF(ISNUMBER(S253),ABS(S253),"")</x:f>
        <x:v>0.025304529742137486</x:v>
      </x:c>
      <x:c r="U253" s="37" t="n">
        <x:f>IF(ISNUMBER(Q253),Q253^2,"")</x:f>
        <x:v>0.0000032557155612152667</x:v>
      </x:c>
      <x:c r="V253" s="21" t="str">
        <x:f>IF(NOT(AND(ISNUMBER(D253),ISNUMBER(E253),ISNUMBER(G253),ISNUMBER(H253))),"缺少配对",IF(OR(F253&lt;J253,F253&gt;K253),"超出理论J范围","有效"))</x:f>
        <x:v>有效</x:v>
      </x:c>
      <x:c r="W253" s="20" t="str">
        <x:v>升力 y=0.915708x+28.7687 → C_T_prop；实验攻角 45° ↔ 理论 alpha_p_deg 45°；原升力源 4000rpm!C102/N102</x:v>
      </x:c>
      <x:c r="X253" s="20" t="str">
        <x:v>升力标定计算!M505</x:v>
      </x:c>
      <x:c r="Y253" s="20" t="str">
        <x:v>升力标定计算!M506</x:v>
      </x:c>
      <x:c r="Z253" s="20" t="str">
        <x:v>升力标定计算!N505</x:v>
      </x:c>
      <x:c r="AA253" s="20" t="str">
        <x:v>升力标定计算!N506</x:v>
      </x:c>
      <x:c r="AB253" s="20" t="str">
        <x:v>4000rpm!AT41:AS42</x:v>
      </x:c>
    </x:row>
    <x:row r="254">
      <x:c r="A254" s="21" t="n">
        <x:v>4000</x:v>
      </x:c>
      <x:c r="B254" s="21" t="n">
        <x:v>45</x:v>
      </x:c>
      <x:c r="C254" s="21" t="n">
        <x:v>18</x:v>
      </x:c>
      <x:c r="D254" s="22" t="n">
        <x:f>IFERROR('升力标定计算'!M507,"")</x:f>
        <x:v>0.13531752412724643</x:v>
      </x:c>
      <x:c r="E254" s="22" t="n">
        <x:f>IFERROR('升力标定计算'!M508,"")</x:f>
        <x:v>0.14036617699037576</x:v>
      </x:c>
      <x:c r="F254" s="22" t="n">
        <x:f>IF(AND(ISNUMBER(D254),ISNUMBER(E254)),AVERAGE(D254,E254),"")</x:f>
        <x:v>0.1378418505588111</x:v>
      </x:c>
      <x:c r="G254" s="22" t="n">
        <x:f>IFERROR('升力标定计算'!N507,"")</x:f>
        <x:v>0.0719979870752016</x:v>
      </x:c>
      <x:c r="H254" s="22" t="n">
        <x:f>IFERROR('升力标定计算'!N508,"")</x:f>
        <x:v>0.07121349152140692</x:v>
      </x:c>
      <x:c r="I254" s="22" t="n">
        <x:f>IF(AND(ISNUMBER(G254),ISNUMBER(H254)),AVERAGE(G254,H254),"")</x:f>
        <x:v>0.07160573929830426</x:v>
      </x:c>
      <x:c r="J254" s="22" t="n">
        <x:f>IFERROR('4000rpm'!AT36,"")</x:f>
        <x:v>0</x:v>
      </x:c>
      <x:c r="K254" s="22" t="n">
        <x:f>IFERROR('4000rpm'!AT46,"")</x:f>
        <x:v>0.3336614173228346</x:v>
      </x:c>
      <x:c r="L254" s="22" t="n">
        <x:f>IFERROR('4000rpm'!AT40,"")</x:f>
        <x:v>0.13346456692913386</x:v>
      </x:c>
      <x:c r="M254" s="22" t="n">
        <x:f>IFERROR('4000rpm'!AS40,"")</x:f>
        <x:v>0.073854824622494</x:v>
      </x:c>
      <x:c r="N254" s="22" t="n">
        <x:f>IFERROR('4000rpm'!AT41,"")</x:f>
        <x:v>0.1668307086614173</x:v>
      </x:c>
      <x:c r="O254" s="22" t="n">
        <x:f>IFERROR('4000rpm'!AS41,"")</x:f>
        <x:v>0.07139907754523002</x:v>
      </x:c>
      <x:c r="P254" s="22" t="n">
        <x:f>IF(OR(NOT(AND(ISNUMBER(D254),ISNUMBER(E254),ISNUMBER(G254),ISNUMBER(H254))),OR(F254&lt;J254,F254&gt;K254)),"",IF(N254=L254,M254,M254+(F254-L254)*(O254-M254)/(N254-L254)))</x:f>
        <x:v>0.07353265667253488</x:v>
      </x:c>
      <x:c r="Q254" s="22" t="n">
        <x:f>IF(AND(ISNUMBER(I254),ISNUMBER(P254)),I254-P254,"")</x:f>
        <x:v>-0.001926917374230619</x:v>
      </x:c>
      <x:c r="R254" s="22" t="n">
        <x:f>IF(ISNUMBER(Q254),ABS(Q254),"")</x:f>
        <x:v>0.001926917374230619</x:v>
      </x:c>
      <x:c r="S254" s="36" t="n">
        <x:f>IF(AND(ISNUMBER(Q254),ISNUMBER(P254)),IF(ABS(P254)&lt;1E-12,"",Q254/P254),"")</x:f>
        <x:v>-0.026204919846862275</x:v>
      </x:c>
      <x:c r="T254" s="36" t="n">
        <x:f>IF(ISNUMBER(S254),ABS(S254),"")</x:f>
        <x:v>0.026204919846862275</x:v>
      </x:c>
      <x:c r="U254" s="37" t="n">
        <x:f>IF(ISNUMBER(Q254),Q254^2,"")</x:f>
        <x:v>0.000003713010567111823</x:v>
      </x:c>
      <x:c r="V254" s="21" t="str">
        <x:f>IF(NOT(AND(ISNUMBER(D254),ISNUMBER(E254),ISNUMBER(G254),ISNUMBER(H254))),"缺少配对",IF(OR(F254&lt;J254,F254&gt;K254),"超出理论J范围","有效"))</x:f>
        <x:v>有效</x:v>
      </x:c>
      <x:c r="W254" s="20" t="str">
        <x:v>升力 y=0.915708x+28.7687 → C_T_prop；实验攻角 45° ↔ 理论 alpha_p_deg 45°；原升力源 4000rpm!C103/N103</x:v>
      </x:c>
      <x:c r="X254" s="20" t="str">
        <x:v>升力标定计算!M507</x:v>
      </x:c>
      <x:c r="Y254" s="20" t="str">
        <x:v>升力标定计算!M508</x:v>
      </x:c>
      <x:c r="Z254" s="20" t="str">
        <x:v>升力标定计算!N507</x:v>
      </x:c>
      <x:c r="AA254" s="20" t="str">
        <x:v>升力标定计算!N508</x:v>
      </x:c>
      <x:c r="AB254" s="20" t="str">
        <x:v>4000rpm!AT40:AS41</x:v>
      </x:c>
    </x:row>
    <x:row r="255">
      <x:c r="A255" s="21" t="n">
        <x:v>4000</x:v>
      </x:c>
      <x:c r="B255" s="21" t="n">
        <x:v>45</x:v>
      </x:c>
      <x:c r="C255" s="21" t="n">
        <x:v>19</x:v>
      </x:c>
      <x:c r="D255" s="22" t="n">
        <x:f>IFERROR('升力标定计算'!M509,"")</x:f>
        <x:v>0.10217593748722685</x:v>
      </x:c>
      <x:c r="E255" s="22" t="n">
        <x:f>IFERROR('升力标定计算'!M510,"")</x:f>
        <x:v>0.1035244168345216</x:v>
      </x:c>
      <x:c r="F255" s="22" t="n">
        <x:f>IF(AND(ISNUMBER(D255),ISNUMBER(E255)),AVERAGE(D255,E255),"")</x:f>
        <x:v>0.10285017716087422</x:v>
      </x:c>
      <x:c r="G255" s="22" t="n">
        <x:f>IFERROR('升力标定计算'!N509,"")</x:f>
        <x:v>0.07464795028454728</x:v>
      </x:c>
      <x:c r="H255" s="22" t="n">
        <x:f>IFERROR('升力标定计算'!N510,"")</x:f>
        <x:v>0.07392588274757068</x:v>
      </x:c>
      <x:c r="I255" s="22" t="n">
        <x:f>IF(AND(ISNUMBER(G255),ISNUMBER(H255)),AVERAGE(G255,H255),"")</x:f>
        <x:v>0.07428691651605898</x:v>
      </x:c>
      <x:c r="J255" s="22" t="n">
        <x:f>IFERROR('4000rpm'!AT36,"")</x:f>
        <x:v>0</x:v>
      </x:c>
      <x:c r="K255" s="22" t="n">
        <x:f>IFERROR('4000rpm'!AT46,"")</x:f>
        <x:v>0.3336614173228346</x:v>
      </x:c>
      <x:c r="L255" s="22" t="n">
        <x:f>IFERROR('4000rpm'!AT39,"")</x:f>
        <x:v>0.1000984251968504</x:v>
      </x:c>
      <x:c r="M255" s="22" t="n">
        <x:f>IFERROR('4000rpm'!AS39,"")</x:f>
        <x:v>0.07621588268547363</x:v>
      </x:c>
      <x:c r="N255" s="22" t="n">
        <x:f>IFERROR('4000rpm'!AT40,"")</x:f>
        <x:v>0.13346456692913386</x:v>
      </x:c>
      <x:c r="O255" s="22" t="n">
        <x:f>IFERROR('4000rpm'!AS40,"")</x:f>
        <x:v>0.073854824622494</x:v>
      </x:c>
      <x:c r="P255" s="22" t="n">
        <x:f>IF(OR(NOT(AND(ISNUMBER(D255),ISNUMBER(E255),ISNUMBER(G255),ISNUMBER(H255))),OR(F255&lt;J255,F255&gt;K255)),"",IF(N255=L255,M255,M255+(F255-L255)*(O255-M255)/(N255-L255)))</x:f>
        <x:v>0.0760211629538934</x:v>
      </x:c>
      <x:c r="Q255" s="22" t="n">
        <x:f>IF(AND(ISNUMBER(I255),ISNUMBER(P255)),I255-P255,"")</x:f>
        <x:v>-0.0017342464378344163</x:v>
      </x:c>
      <x:c r="R255" s="22" t="n">
        <x:f>IF(ISNUMBER(Q255),ABS(Q255),"")</x:f>
        <x:v>0.0017342464378344163</x:v>
      </x:c>
      <x:c r="S255" s="36" t="n">
        <x:f>IF(AND(ISNUMBER(Q255),ISNUMBER(P255)),IF(ABS(P255)&lt;1E-12,"",Q255/P255),"")</x:f>
        <x:v>-0.022812679659823563</x:v>
      </x:c>
      <x:c r="T255" s="36" t="n">
        <x:f>IF(ISNUMBER(S255),ABS(S255),"")</x:f>
        <x:v>0.022812679659823563</x:v>
      </x:c>
      <x:c r="U255" s="37" t="n">
        <x:f>IF(ISNUMBER(Q255),Q255^2,"")</x:f>
        <x:v>0.000003007610707141362</x:v>
      </x:c>
      <x:c r="V255" s="21" t="str">
        <x:f>IF(NOT(AND(ISNUMBER(D255),ISNUMBER(E255),ISNUMBER(G255),ISNUMBER(H255))),"缺少配对",IF(OR(F255&lt;J255,F255&gt;K255),"超出理论J范围","有效"))</x:f>
        <x:v>有效</x:v>
      </x:c>
      <x:c r="W255" s="20" t="str">
        <x:v>升力 y=0.915708x+28.7687 → C_T_prop；实验攻角 45° ↔ 理论 alpha_p_deg 45°；原升力源 4000rpm!C104/N104</x:v>
      </x:c>
      <x:c r="X255" s="20" t="str">
        <x:v>升力标定计算!M509</x:v>
      </x:c>
      <x:c r="Y255" s="20" t="str">
        <x:v>升力标定计算!M510</x:v>
      </x:c>
      <x:c r="Z255" s="20" t="str">
        <x:v>升力标定计算!N509</x:v>
      </x:c>
      <x:c r="AA255" s="20" t="str">
        <x:v>升力标定计算!N510</x:v>
      </x:c>
      <x:c r="AB255" s="20" t="str">
        <x:v>4000rpm!AT39:AS40</x:v>
      </x:c>
    </x:row>
    <x:row r="256">
      <x:c r="A256" s="21" t="n">
        <x:v>4000</x:v>
      </x:c>
      <x:c r="B256" s="21" t="n">
        <x:v>45</x:v>
      </x:c>
      <x:c r="C256" s="21" t="n">
        <x:v>20</x:v>
      </x:c>
      <x:c r="D256" s="22" t="n">
        <x:f>IFERROR('升力标定计算'!M511,"")</x:f>
        <x:v>0.0687101590407847</x:v>
      </x:c>
      <x:c r="E256" s="22" t="n">
        <x:f>IFERROR('升力标定计算'!M512,"")</x:f>
        <x:v>0.06967875406094988</x:v>
      </x:c>
      <x:c r="F256" s="22" t="n">
        <x:f>IF(AND(ISNUMBER(D256),ISNUMBER(E256)),AVERAGE(D256,E256),"")</x:f>
        <x:v>0.06919445655086728</x:v>
      </x:c>
      <x:c r="G256" s="22" t="n">
        <x:f>IFERROR('升力标定计算'!N511,"")</x:f>
        <x:v>0.07690974085360322</x:v>
      </x:c>
      <x:c r="H256" s="22" t="n">
        <x:f>IFERROR('升力标定计算'!N512,"")</x:f>
        <x:v>0.07636617510650724</x:v>
      </x:c>
      <x:c r="I256" s="22" t="n">
        <x:f>IF(AND(ISNUMBER(G256),ISNUMBER(H256)),AVERAGE(G256,H256),"")</x:f>
        <x:v>0.07663795798005524</x:v>
      </x:c>
      <x:c r="J256" s="22" t="n">
        <x:f>IFERROR('4000rpm'!AT36,"")</x:f>
        <x:v>0</x:v>
      </x:c>
      <x:c r="K256" s="22" t="n">
        <x:f>IFERROR('4000rpm'!AT46,"")</x:f>
        <x:v>0.3336614173228346</x:v>
      </x:c>
      <x:c r="L256" s="22" t="n">
        <x:f>IFERROR('4000rpm'!AT38,"")</x:f>
        <x:v>0.06673228346456693</x:v>
      </x:c>
      <x:c r="M256" s="22" t="n">
        <x:f>IFERROR('4000rpm'!AS38,"")</x:f>
        <x:v>0.07852610514876138</x:v>
      </x:c>
      <x:c r="N256" s="22" t="n">
        <x:f>IFERROR('4000rpm'!AT39,"")</x:f>
        <x:v>0.1000984251968504</x:v>
      </x:c>
      <x:c r="O256" s="22" t="n">
        <x:f>IFERROR('4000rpm'!AS39,"")</x:f>
        <x:v>0.07621588268547363</x:v>
      </x:c>
      <x:c r="P256" s="22" t="n">
        <x:f>IF(OR(NOT(AND(ISNUMBER(D256),ISNUMBER(E256),ISNUMBER(G256),ISNUMBER(H256))),OR(F256&lt;J256,F256&gt;K256)),"",IF(N256=L256,M256,M256+(F256-L256)*(O256-M256)/(N256-L256)))</x:f>
        <x:v>0.07835562791414093</x:v>
      </x:c>
      <x:c r="Q256" s="22" t="n">
        <x:f>IF(AND(ISNUMBER(I256),ISNUMBER(P256)),I256-P256,"")</x:f>
        <x:v>-0.0017176699340856888</x:v>
      </x:c>
      <x:c r="R256" s="22" t="n">
        <x:f>IF(ISNUMBER(Q256),ABS(Q256),"")</x:f>
        <x:v>0.0017176699340856888</x:v>
      </x:c>
      <x:c r="S256" s="36" t="n">
        <x:f>IF(AND(ISNUMBER(Q256),ISNUMBER(P256)),IF(ABS(P256)&lt;1E-12,"",Q256/P256),"")</x:f>
        <x:v>-0.021921462182242293</x:v>
      </x:c>
      <x:c r="T256" s="36" t="n">
        <x:f>IF(ISNUMBER(S256),ABS(S256),"")</x:f>
        <x:v>0.021921462182242293</x:v>
      </x:c>
      <x:c r="U256" s="37" t="n">
        <x:f>IF(ISNUMBER(Q256),Q256^2,"")</x:f>
        <x:v>0.0000029503900024619346</x:v>
      </x:c>
      <x:c r="V256" s="21" t="str">
        <x:f>IF(NOT(AND(ISNUMBER(D256),ISNUMBER(E256),ISNUMBER(G256),ISNUMBER(H256))),"缺少配对",IF(OR(F256&lt;J256,F256&gt;K256),"超出理论J范围","有效"))</x:f>
        <x:v>有效</x:v>
      </x:c>
      <x:c r="W256" s="20" t="str">
        <x:v>升力 y=0.915708x+28.7687 → C_T_prop；实验攻角 45° ↔ 理论 alpha_p_deg 45°；原升力源 4000rpm!C105/N105</x:v>
      </x:c>
      <x:c r="X256" s="20" t="str">
        <x:v>升力标定计算!M511</x:v>
      </x:c>
      <x:c r="Y256" s="20" t="str">
        <x:v>升力标定计算!M512</x:v>
      </x:c>
      <x:c r="Z256" s="20" t="str">
        <x:v>升力标定计算!N511</x:v>
      </x:c>
      <x:c r="AA256" s="20" t="str">
        <x:v>升力标定计算!N512</x:v>
      </x:c>
      <x:c r="AB256" s="20" t="str">
        <x:v>4000rpm!AT38:AS39</x:v>
      </x:c>
    </x:row>
    <x:row r="257">
      <x:c r="A257" s="21" t="n">
        <x:v>4000</x:v>
      </x:c>
      <x:c r="B257" s="21" t="n">
        <x:v>45</x:v>
      </x:c>
      <x:c r="C257" s="21" t="n">
        <x:v>21</x:v>
      </x:c>
      <x:c r="D257" s="22" t="n">
        <x:f>IFERROR('升力标定计算'!M513,"")</x:f>
        <x:v>0.0348248600488231</x:v>
      </x:c>
      <x:c r="E257" s="22" t="n">
        <x:f>IFERROR('升力标定计算'!M514,"")</x:f>
        <x:v>0.035311921862059864</x:v>
      </x:c>
      <x:c r="F257" s="22" t="n">
        <x:f>IF(AND(ISNUMBER(D257),ISNUMBER(E257)),AVERAGE(D257,E257),"")</x:f>
        <x:v>0.03506839095544148</x:v>
      </x:c>
      <x:c r="G257" s="22" t="n">
        <x:f>IFERROR('升力标定计算'!N513,"")</x:f>
        <x:v>0.07811808241293898</x:v>
      </x:c>
      <x:c r="H257" s="22" t="n">
        <x:f>IFERROR('升力标定计算'!N514,"")</x:f>
        <x:v>0.07770805572423858</x:v>
      </x:c>
      <x:c r="I257" s="22" t="n">
        <x:f>IF(AND(ISNUMBER(G257),ISNUMBER(H257)),AVERAGE(G257,H257),"")</x:f>
        <x:v>0.07791306906858878</x:v>
      </x:c>
      <x:c r="J257" s="22" t="n">
        <x:f>IFERROR('4000rpm'!AT36,"")</x:f>
        <x:v>0</x:v>
      </x:c>
      <x:c r="K257" s="22" t="n">
        <x:f>IFERROR('4000rpm'!AT46,"")</x:f>
        <x:v>0.3336614173228346</x:v>
      </x:c>
      <x:c r="L257" s="22" t="n">
        <x:f>IFERROR('4000rpm'!AT37,"")</x:f>
        <x:v>0.033366141732283465</x:v>
      </x:c>
      <x:c r="M257" s="22" t="n">
        <x:f>IFERROR('4000rpm'!AS37,"")</x:f>
        <x:v>0.08084659226623786</x:v>
      </x:c>
      <x:c r="N257" s="22" t="n">
        <x:f>IFERROR('4000rpm'!AT38,"")</x:f>
        <x:v>0.06673228346456693</x:v>
      </x:c>
      <x:c r="O257" s="22" t="n">
        <x:f>IFERROR('4000rpm'!AS38,"")</x:f>
        <x:v>0.07852610514876138</x:v>
      </x:c>
      <x:c r="P257" s="22" t="n">
        <x:f>IF(OR(NOT(AND(ISNUMBER(D257),ISNUMBER(E257),ISNUMBER(G257),ISNUMBER(H257))),OR(F257&lt;J257,F257&gt;K257)),"",IF(N257=L257,M257,M257+(F257-L257)*(O257-M257)/(N257-L257)))</x:f>
        <x:v>0.08072820736501775</x:v>
      </x:c>
      <x:c r="Q257" s="22" t="n">
        <x:f>IF(AND(ISNUMBER(I257),ISNUMBER(P257)),I257-P257,"")</x:f>
        <x:v>-0.0028151382964289734</x:v>
      </x:c>
      <x:c r="R257" s="22" t="n">
        <x:f>IF(ISNUMBER(Q257),ABS(Q257),"")</x:f>
        <x:v>0.0028151382964289734</x:v>
      </x:c>
      <x:c r="S257" s="36" t="n">
        <x:f>IF(AND(ISNUMBER(Q257),ISNUMBER(P257)),IF(ABS(P257)&lt;1E-12,"",Q257/P257),"")</x:f>
        <x:v>-0.03487180489094903</x:v>
      </x:c>
      <x:c r="T257" s="36" t="n">
        <x:f>IF(ISNUMBER(S257),ABS(S257),"")</x:f>
        <x:v>0.03487180489094903</x:v>
      </x:c>
      <x:c r="U257" s="37" t="n">
        <x:f>IF(ISNUMBER(Q257),Q257^2,"")</x:f>
        <x:v>0.000007925003628021023</x:v>
      </x:c>
      <x:c r="V257" s="21" t="str">
        <x:f>IF(NOT(AND(ISNUMBER(D257),ISNUMBER(E257),ISNUMBER(G257),ISNUMBER(H257))),"缺少配对",IF(OR(F257&lt;J257,F257&gt;K257),"超出理论J范围","有效"))</x:f>
        <x:v>有效</x:v>
      </x:c>
      <x:c r="W257" s="20" t="str">
        <x:v>升力 y=0.915708x+28.7687 → C_T_prop；实验攻角 45° ↔ 理论 alpha_p_deg 45°；原升力源 4000rpm!C106/N106</x:v>
      </x:c>
      <x:c r="X257" s="20" t="str">
        <x:v>升力标定计算!M513</x:v>
      </x:c>
      <x:c r="Y257" s="20" t="str">
        <x:v>升力标定计算!M514</x:v>
      </x:c>
      <x:c r="Z257" s="20" t="str">
        <x:v>升力标定计算!N513</x:v>
      </x:c>
      <x:c r="AA257" s="20" t="str">
        <x:v>升力标定计算!N514</x:v>
      </x:c>
      <x:c r="AB257" s="20" t="str">
        <x:v>4000rpm!AT37:AS38</x:v>
      </x:c>
    </x:row>
    <x:row r="258">
      <x:c r="A258" s="21" t="n">
        <x:v>4000</x:v>
      </x:c>
      <x:c r="B258" s="21" t="n">
        <x:v>45</x:v>
      </x:c>
      <x:c r="C258" s="21" t="n">
        <x:v>22</x:v>
      </x:c>
      <x:c r="D258" s="22" t="n">
        <x:f>IFERROR('升力标定计算'!M515,"")</x:f>
        <x:v>0.005416011080217391</x:v>
      </x:c>
      <x:c r="E258" s="22" t="n">
        <x:f>IFERROR('升力标定计算'!M516,"")</x:f>
        <x:v>0.005525885106419949</x:v>
      </x:c>
      <x:c r="F258" s="22" t="n">
        <x:f>IF(AND(ISNUMBER(D258),ISNUMBER(E258)),AVERAGE(D258,E258),"")</x:f>
        <x:v>0.00547094809331867</x:v>
      </x:c>
      <x:c r="G258" s="22" t="n">
        <x:f>IFERROR('升力标定计算'!N515,"")</x:f>
        <x:v>0.07825228144009086</x:v>
      </x:c>
      <x:c r="H258" s="22" t="n">
        <x:f>IFERROR('升力标定计算'!N516,"")</x:f>
        <x:v>0.0783637236596402</x:v>
      </x:c>
      <x:c r="I258" s="22" t="n">
        <x:f>IF(AND(ISNUMBER(G258),ISNUMBER(H258)),AVERAGE(G258,H258),"")</x:f>
        <x:v>0.07830800254986553</x:v>
      </x:c>
      <x:c r="J258" s="22" t="n">
        <x:f>IFERROR('4000rpm'!AT36,"")</x:f>
        <x:v>0</x:v>
      </x:c>
      <x:c r="K258" s="22" t="n">
        <x:f>IFERROR('4000rpm'!AT46,"")</x:f>
        <x:v>0.3336614173228346</x:v>
      </x:c>
      <x:c r="L258" s="22" t="n">
        <x:f>IFERROR('4000rpm'!AT36,"")</x:f>
        <x:v>0</x:v>
      </x:c>
      <x:c r="M258" s="22" t="n">
        <x:f>IFERROR('4000rpm'!AS36,"")</x:f>
        <x:v>0.08350690647788582</x:v>
      </x:c>
      <x:c r="N258" s="22" t="n">
        <x:f>IFERROR('4000rpm'!AT37,"")</x:f>
        <x:v>0.033366141732283465</x:v>
      </x:c>
      <x:c r="O258" s="22" t="n">
        <x:f>IFERROR('4000rpm'!AS37,"")</x:f>
        <x:v>0.08084659226623786</x:v>
      </x:c>
      <x:c r="P258" s="22" t="n">
        <x:f>IF(OR(NOT(AND(ISNUMBER(D258),ISNUMBER(E258),ISNUMBER(G258),ISNUMBER(H258))),OR(F258&lt;J258,F258&gt;K258)),"",IF(N258=L258,M258,M258+(F258-L258)*(O258-M258)/(N258-L258)))</x:f>
        <x:v>0.08307070258351221</x:v>
      </x:c>
      <x:c r="Q258" s="22" t="n">
        <x:f>IF(AND(ISNUMBER(I258),ISNUMBER(P258)),I258-P258,"")</x:f>
        <x:v>-0.004762700033646677</x:v>
      </x:c>
      <x:c r="R258" s="22" t="n">
        <x:f>IF(ISNUMBER(Q258),ABS(Q258),"")</x:f>
        <x:v>0.004762700033646677</x:v>
      </x:c>
      <x:c r="S258" s="36" t="n">
        <x:f>IF(AND(ISNUMBER(Q258),ISNUMBER(P258)),IF(ABS(P258)&lt;1E-12,"",Q258/P258),"")</x:f>
        <x:v>-0.057333089591467754</x:v>
      </x:c>
      <x:c r="T258" s="36" t="n">
        <x:f>IF(ISNUMBER(S258),ABS(S258),"")</x:f>
        <x:v>0.057333089591467754</x:v>
      </x:c>
      <x:c r="U258" s="37" t="n">
        <x:f>IF(ISNUMBER(Q258),Q258^2,"")</x:f>
        <x:v>0.000022683311610498062</x:v>
      </x:c>
      <x:c r="V258" s="21" t="str">
        <x:f>IF(NOT(AND(ISNUMBER(D258),ISNUMBER(E258),ISNUMBER(G258),ISNUMBER(H258))),"缺少配对",IF(OR(F258&lt;J258,F258&gt;K258),"超出理论J范围","有效"))</x:f>
        <x:v>有效</x:v>
      </x:c>
      <x:c r="W258" s="20" t="str">
        <x:v>升力 y=0.915708x+28.7687 → C_T_prop；实验攻角 45° ↔ 理论 alpha_p_deg 45°；原升力源 4000rpm!C107/N107</x:v>
      </x:c>
      <x:c r="X258" s="20" t="str">
        <x:v>升力标定计算!M515</x:v>
      </x:c>
      <x:c r="Y258" s="20" t="str">
        <x:v>升力标定计算!M516</x:v>
      </x:c>
      <x:c r="Z258" s="20" t="str">
        <x:v>升力标定计算!N515</x:v>
      </x:c>
      <x:c r="AA258" s="20" t="str">
        <x:v>升力标定计算!N516</x:v>
      </x:c>
      <x:c r="AB258" s="20" t="str">
        <x:v>4000rpm!AT36:AS37</x:v>
      </x:c>
    </x:row>
    <x:row r="259">
      <x:c r="A259" s="21" t="n">
        <x:v>4000</x:v>
      </x:c>
      <x:c r="B259" s="21" t="n">
        <x:v>45</x:v>
      </x:c>
      <x:c r="C259" s="21" t="n">
        <x:v>23</x:v>
      </x:c>
      <x:c r="D259" s="22" t="str">
        <x:f>IFERROR('升力标定计算'!M517,"")</x:f>
      </x:c>
      <x:c r="E259" s="22" t="str">
        <x:f>IFERROR('升力标定计算'!M518,"")</x:f>
      </x:c>
      <x:c r="F259" s="22" t="str">
        <x:f>IF(AND(ISNUMBER(D259),ISNUMBER(E259)),AVERAGE(D259,E259),"")</x:f>
      </x:c>
      <x:c r="G259" s="22" t="str">
        <x:f>IFERROR('升力标定计算'!N517,"")</x:f>
      </x:c>
      <x:c r="H259" s="22" t="str">
        <x:f>IFERROR('升力标定计算'!N518,"")</x:f>
      </x:c>
      <x:c r="I259" s="22" t="str">
        <x:f>IF(AND(ISNUMBER(G259),ISNUMBER(H259)),AVERAGE(G259,H259),"")</x:f>
      </x:c>
      <x:c r="J259" s="22" t="n">
        <x:f>IFERROR('4000rpm'!AT36,"")</x:f>
        <x:v>0</x:v>
      </x:c>
      <x:c r="K259" s="22" t="n">
        <x:f>IFERROR('4000rpm'!AT46,"")</x:f>
        <x:v>0.3336614173228346</x:v>
      </x:c>
      <x:c r="L259" s="22" t="n">
        <x:f>IFERROR('4000rpm'!AT36,"")</x:f>
        <x:v>0</x:v>
      </x:c>
      <x:c r="M259" s="22" t="n">
        <x:f>IFERROR('4000rpm'!AS36,"")</x:f>
        <x:v>0.08350690647788582</x:v>
      </x:c>
      <x:c r="N259" s="22" t="n">
        <x:f>IFERROR('4000rpm'!AT46,"")</x:f>
        <x:v>0.3336614173228346</x:v>
      </x:c>
      <x:c r="O259" s="22" t="n">
        <x:f>IFERROR('4000rpm'!AS46,"")</x:f>
        <x:v>0.05625936450161381</x:v>
      </x:c>
      <x:c r="P259" s="22" t="str">
        <x:f>IF(OR(NOT(AND(ISNUMBER(D259),ISNUMBER(E259),ISNUMBER(G259),ISNUMBER(H259))),OR(F259&lt;J259,F259&gt;K259)),"",IF(N259=L259,M259,M259+(F259-L259)*(O259-M259)/(N259-L259)))</x:f>
      </x:c>
      <x:c r="Q259" s="22" t="str">
        <x:f>IF(AND(ISNUMBER(I259),ISNUMBER(P259)),I259-P259,"")</x:f>
      </x:c>
      <x:c r="R259" s="22" t="str">
        <x:f>IF(ISNUMBER(Q259),ABS(Q259),"")</x:f>
      </x:c>
      <x:c r="S259" s="36" t="str">
        <x:f>IF(AND(ISNUMBER(Q259),ISNUMBER(P259)),IF(ABS(P259)&lt;1E-12,"",Q259/P259),"")</x:f>
      </x:c>
      <x:c r="T259" s="36" t="str">
        <x:f>IF(ISNUMBER(S259),ABS(S259),"")</x:f>
      </x:c>
      <x:c r="U259" s="37" t="str">
        <x:f>IF(ISNUMBER(Q259),Q259^2,"")</x:f>
      </x:c>
      <x:c r="V259" s="21" t="str">
        <x:f>IF(NOT(AND(ISNUMBER(D259),ISNUMBER(E259),ISNUMBER(G259),ISNUMBER(H259))),"缺少配对",IF(OR(F259&lt;J259,F259&gt;K259),"超出理论J范围","有效"))</x:f>
        <x:v>缺少配对</x:v>
      </x:c>
      <x:c r="W259" s="20" t="str">
        <x:v>升力 y=0.915708x+28.7687 → C_T_prop；实验攻角 45° ↔ 理论 alpha_p_deg 45°；原升力源 4000rpm!C108/N108</x:v>
      </x:c>
      <x:c r="X259" s="20" t="str">
        <x:v>升力标定计算!M517</x:v>
      </x:c>
      <x:c r="Y259" s="20" t="str">
        <x:v>升力标定计算!M518</x:v>
      </x:c>
      <x:c r="Z259" s="20" t="str">
        <x:v>升力标定计算!N517</x:v>
      </x:c>
      <x:c r="AA259" s="20" t="str">
        <x:v>升力标定计算!N518</x:v>
      </x:c>
      <x:c r="AB259" s="20" t="str">
        <x:v>4000rpm!AT36:AS46</x:v>
      </x:c>
    </x:row>
    <x:row r="260">
      <x:c r="A260" s="21" t="n">
        <x:v>4000</x:v>
      </x:c>
      <x:c r="B260" s="21" t="n">
        <x:v>60</x:v>
      </x:c>
      <x:c r="C260" s="21" t="n">
        <x:v>1</x:v>
      </x:c>
      <x:c r="D260" s="22" t="str">
        <x:f>IFERROR('升力标定计算'!M519,"")</x:f>
      </x:c>
      <x:c r="E260" s="22" t="str">
        <x:f>IFERROR('升力标定计算'!M520,"")</x:f>
      </x:c>
      <x:c r="F260" s="22" t="str">
        <x:f>IF(AND(ISNUMBER(D260),ISNUMBER(E260)),AVERAGE(D260,E260),"")</x:f>
      </x:c>
      <x:c r="G260" s="22" t="str">
        <x:f>IFERROR('升力标定计算'!N519,"")</x:f>
      </x:c>
      <x:c r="H260" s="22" t="str">
        <x:f>IFERROR('升力标定计算'!N520,"")</x:f>
      </x:c>
      <x:c r="I260" s="22" t="str">
        <x:f>IF(AND(ISNUMBER(G260),ISNUMBER(H260)),AVERAGE(G260,H260),"")</x:f>
      </x:c>
      <x:c r="J260" s="22" t="n">
        <x:f>IFERROR('4000rpm'!AT25,"")</x:f>
        <x:v>0</x:v>
      </x:c>
      <x:c r="K260" s="22" t="n">
        <x:f>IFERROR('4000rpm'!AT35,"")</x:f>
        <x:v>0.3336614173228346</x:v>
      </x:c>
      <x:c r="L260" s="22" t="n">
        <x:f>IFERROR('4000rpm'!AT25,"")</x:f>
        <x:v>0</x:v>
      </x:c>
      <x:c r="M260" s="22" t="n">
        <x:f>IFERROR('4000rpm'!AS25,"")</x:f>
        <x:v>0.08350690647788582</x:v>
      </x:c>
      <x:c r="N260" s="22" t="n">
        <x:f>IFERROR('4000rpm'!AT35,"")</x:f>
        <x:v>0.3336614173228346</x:v>
      </x:c>
      <x:c r="O260" s="22" t="n">
        <x:f>IFERROR('4000rpm'!AS35,"")</x:f>
        <x:v>0.04378661961015296</x:v>
      </x:c>
      <x:c r="P260" s="22" t="str">
        <x:f>IF(OR(NOT(AND(ISNUMBER(D260),ISNUMBER(E260),ISNUMBER(G260),ISNUMBER(H260))),OR(F260&lt;J260,F260&gt;K260)),"",IF(N260=L260,M260,M260+(F260-L260)*(O260-M260)/(N260-L260)))</x:f>
      </x:c>
      <x:c r="Q260" s="22" t="str">
        <x:f>IF(AND(ISNUMBER(I260),ISNUMBER(P260)),I260-P260,"")</x:f>
      </x:c>
      <x:c r="R260" s="22" t="str">
        <x:f>IF(ISNUMBER(Q260),ABS(Q260),"")</x:f>
      </x:c>
      <x:c r="S260" s="36" t="str">
        <x:f>IF(AND(ISNUMBER(Q260),ISNUMBER(P260)),IF(ABS(P260)&lt;1E-12,"",Q260/P260),"")</x:f>
      </x:c>
      <x:c r="T260" s="36" t="str">
        <x:f>IF(ISNUMBER(S260),ABS(S260),"")</x:f>
      </x:c>
      <x:c r="U260" s="37" t="str">
        <x:f>IF(ISNUMBER(Q260),Q260^2,"")</x:f>
      </x:c>
      <x:c r="V260" s="21" t="str">
        <x:f>IF(NOT(AND(ISNUMBER(D260),ISNUMBER(E260),ISNUMBER(G260),ISNUMBER(H260))),"缺少配对",IF(OR(F260&lt;J260,F260&gt;K260),"超出理论J范围","有效"))</x:f>
        <x:v>缺少配对</x:v>
      </x:c>
      <x:c r="W260" s="20" t="str">
        <x:v>升力 y=0.915708x+28.7687 → C_T_prop；实验攻角 60° ↔ 理论 alpha_p_deg 30°；原升力源 4000rpm!C115/O115</x:v>
      </x:c>
      <x:c r="X260" s="20" t="str">
        <x:v>升力标定计算!M519</x:v>
      </x:c>
      <x:c r="Y260" s="20" t="str">
        <x:v>升力标定计算!M520</x:v>
      </x:c>
      <x:c r="Z260" s="20" t="str">
        <x:v>升力标定计算!N519</x:v>
      </x:c>
      <x:c r="AA260" s="20" t="str">
        <x:v>升力标定计算!N520</x:v>
      </x:c>
      <x:c r="AB260" s="20" t="str">
        <x:v>4000rpm!AT25:AS35</x:v>
      </x:c>
    </x:row>
    <x:row r="261">
      <x:c r="A261" s="21" t="n">
        <x:v>4000</x:v>
      </x:c>
      <x:c r="B261" s="21" t="n">
        <x:v>60</x:v>
      </x:c>
      <x:c r="C261" s="21" t="n">
        <x:v>2</x:v>
      </x:c>
      <x:c r="D261" s="22" t="n">
        <x:f>IFERROR('升力标定计算'!M521,"")</x:f>
        <x:v>0.008020733096858367</x:v>
      </x:c>
      <x:c r="E261" s="22" t="n">
        <x:f>IFERROR('升力标定计算'!M522,"")</x:f>
        <x:v>0.008172124543490403</x:v>
      </x:c>
      <x:c r="F261" s="22" t="n">
        <x:f>IF(AND(ISNUMBER(D261),ISNUMBER(E261)),AVERAGE(D261,E261),"")</x:f>
        <x:v>0.008096428820174386</x:v>
      </x:c>
      <x:c r="G261" s="22" t="n">
        <x:f>IFERROR('升力标定计算'!N521,"")</x:f>
        <x:v>0.0773157453710891</x:v>
      </x:c>
      <x:c r="H261" s="22" t="n">
        <x:f>IFERROR('升力标定计算'!N522,"")</x:f>
        <x:v>0.07555625068100243</x:v>
      </x:c>
      <x:c r="I261" s="22" t="n">
        <x:f>IF(AND(ISNUMBER(G261),ISNUMBER(H261)),AVERAGE(G261,H261),"")</x:f>
        <x:v>0.07643599802604575</x:v>
      </x:c>
      <x:c r="J261" s="22" t="n">
        <x:f>IFERROR('4000rpm'!AT25,"")</x:f>
        <x:v>0</x:v>
      </x:c>
      <x:c r="K261" s="22" t="n">
        <x:f>IFERROR('4000rpm'!AT35,"")</x:f>
        <x:v>0.3336614173228346</x:v>
      </x:c>
      <x:c r="L261" s="22" t="n">
        <x:f>IFERROR('4000rpm'!AT25,"")</x:f>
        <x:v>0</x:v>
      </x:c>
      <x:c r="M261" s="22" t="n">
        <x:f>IFERROR('4000rpm'!AS25,"")</x:f>
        <x:v>0.08350690647788582</x:v>
      </x:c>
      <x:c r="N261" s="22" t="n">
        <x:f>IFERROR('4000rpm'!AT26,"")</x:f>
        <x:v>0.033366141732283465</x:v>
      </x:c>
      <x:c r="O261" s="22" t="n">
        <x:f>IFERROR('4000rpm'!AS26,"")</x:f>
        <x:v>0.08014052644221993</x:v>
      </x:c>
      <x:c r="P261" s="22" t="n">
        <x:f>IF(OR(NOT(AND(ISNUMBER(D261),ISNUMBER(E261),ISNUMBER(G261),ISNUMBER(H261))),OR(F261&lt;J261,F261&gt;K261)),"",IF(N261=L261,M261,M261+(F261-L261)*(O261-M261)/(N261-L261)))</x:f>
        <x:v>0.08269004078933503</x:v>
      </x:c>
      <x:c r="Q261" s="22" t="n">
        <x:f>IF(AND(ISNUMBER(I261),ISNUMBER(P261)),I261-P261,"")</x:f>
        <x:v>-0.00625404276328928</x:v>
      </x:c>
      <x:c r="R261" s="22" t="n">
        <x:f>IF(ISNUMBER(Q261),ABS(Q261),"")</x:f>
        <x:v>0.00625404276328928</x:v>
      </x:c>
      <x:c r="S261" s="36" t="n">
        <x:f>IF(AND(ISNUMBER(Q261),ISNUMBER(P261)),IF(ABS(P261)&lt;1E-12,"",Q261/P261),"")</x:f>
        <x:v>-0.07563235794286725</x:v>
      </x:c>
      <x:c r="T261" s="36" t="n">
        <x:f>IF(ISNUMBER(S261),ABS(S261),"")</x:f>
        <x:v>0.07563235794286725</x:v>
      </x:c>
      <x:c r="U261" s="37" t="n">
        <x:f>IF(ISNUMBER(Q261),Q261^2,"")</x:f>
        <x:v>0.00003911305088505102</x:v>
      </x:c>
      <x:c r="V261" s="21" t="str">
        <x:f>IF(NOT(AND(ISNUMBER(D261),ISNUMBER(E261),ISNUMBER(G261),ISNUMBER(H261))),"缺少配对",IF(OR(F261&lt;J261,F261&gt;K261),"超出理论J范围","有效"))</x:f>
        <x:v>有效</x:v>
      </x:c>
      <x:c r="W261" s="20" t="str">
        <x:v>升力 y=0.915708x+28.7687 → C_T_prop；实验攻角 60° ↔ 理论 alpha_p_deg 30°；原升力源 4000rpm!C116/O116</x:v>
      </x:c>
      <x:c r="X261" s="20" t="str">
        <x:v>升力标定计算!M521</x:v>
      </x:c>
      <x:c r="Y261" s="20" t="str">
        <x:v>升力标定计算!M522</x:v>
      </x:c>
      <x:c r="Z261" s="20" t="str">
        <x:v>升力标定计算!N521</x:v>
      </x:c>
      <x:c r="AA261" s="20" t="str">
        <x:v>升力标定计算!N522</x:v>
      </x:c>
      <x:c r="AB261" s="20" t="str">
        <x:v>4000rpm!AT25:AS26</x:v>
      </x:c>
    </x:row>
    <x:row r="262">
      <x:c r="A262" s="21" t="n">
        <x:v>4000</x:v>
      </x:c>
      <x:c r="B262" s="21" t="n">
        <x:v>60</x:v>
      </x:c>
      <x:c r="C262" s="21" t="n">
        <x:v>3</x:v>
      </x:c>
      <x:c r="D262" s="22" t="n">
        <x:f>IFERROR('升力标定计算'!M523,"")</x:f>
        <x:v>0.03345249436606158</x:v>
      </x:c>
      <x:c r="E262" s="22" t="n">
        <x:f>IFERROR('升力标定计算'!M524,"")</x:f>
        <x:v>0.03436566127789284</x:v>
      </x:c>
      <x:c r="F262" s="22" t="n">
        <x:f>IF(AND(ISNUMBER(D262),ISNUMBER(E262)),AVERAGE(D262,E262),"")</x:f>
        <x:v>0.03390907782197721</x:v>
      </x:c>
      <x:c r="G262" s="22" t="n">
        <x:f>IFERROR('升力标定计算'!N523,"")</x:f>
        <x:v>0.07452849225700788</x:v>
      </x:c>
      <x:c r="H262" s="22" t="n">
        <x:f>IFERROR('升力标定计算'!N524,"")</x:f>
        <x:v>0.0745562577897181</x:v>
      </x:c>
      <x:c r="I262" s="22" t="n">
        <x:f>IF(AND(ISNUMBER(G262),ISNUMBER(H262)),AVERAGE(G262,H262),"")</x:f>
        <x:v>0.07454237502336299</x:v>
      </x:c>
      <x:c r="J262" s="22" t="n">
        <x:f>IFERROR('4000rpm'!AT25,"")</x:f>
        <x:v>0</x:v>
      </x:c>
      <x:c r="K262" s="22" t="n">
        <x:f>IFERROR('4000rpm'!AT35,"")</x:f>
        <x:v>0.3336614173228346</x:v>
      </x:c>
      <x:c r="L262" s="22" t="n">
        <x:f>IFERROR('4000rpm'!AT26,"")</x:f>
        <x:v>0.033366141732283465</x:v>
      </x:c>
      <x:c r="M262" s="22" t="n">
        <x:f>IFERROR('4000rpm'!AS26,"")</x:f>
        <x:v>0.08014052644221993</x:v>
      </x:c>
      <x:c r="N262" s="22" t="n">
        <x:f>IFERROR('4000rpm'!AT27,"")</x:f>
        <x:v>0.06673228346456693</x:v>
      </x:c>
      <x:c r="O262" s="22" t="n">
        <x:f>IFERROR('4000rpm'!AS27,"")</x:f>
        <x:v>0.07692988331005637</x:v>
      </x:c>
      <x:c r="P262" s="22" t="n">
        <x:f>IF(OR(NOT(AND(ISNUMBER(D262),ISNUMBER(E262),ISNUMBER(G262),ISNUMBER(H262))),OR(F262&lt;J262,F262&gt;K262)),"",IF(N262=L262,M262,M262+(F262-L262)*(O262-M262)/(N262-L262)))</x:f>
        <x:v>0.08008828264245532</x:v>
      </x:c>
      <x:c r="Q262" s="22" t="n">
        <x:f>IF(AND(ISNUMBER(I262),ISNUMBER(P262)),I262-P262,"")</x:f>
        <x:v>-0.005545907619092336</x:v>
      </x:c>
      <x:c r="R262" s="22" t="n">
        <x:f>IF(ISNUMBER(Q262),ABS(Q262),"")</x:f>
        <x:v>0.005545907619092336</x:v>
      </x:c>
      <x:c r="S262" s="36" t="n">
        <x:f>IF(AND(ISNUMBER(Q262),ISNUMBER(P262)),IF(ABS(P262)&lt;1E-12,"",Q262/P262),"")</x:f>
        <x:v>-0.06924742841410877</x:v>
      </x:c>
      <x:c r="T262" s="36" t="n">
        <x:f>IF(ISNUMBER(S262),ABS(S262),"")</x:f>
        <x:v>0.06924742841410877</x:v>
      </x:c>
      <x:c r="U262" s="37" t="n">
        <x:f>IF(ISNUMBER(Q262),Q262^2,"")</x:f>
        <x:v>0.00003075709131950642</x:v>
      </x:c>
      <x:c r="V262" s="21" t="str">
        <x:f>IF(NOT(AND(ISNUMBER(D262),ISNUMBER(E262),ISNUMBER(G262),ISNUMBER(H262))),"缺少配对",IF(OR(F262&lt;J262,F262&gt;K262),"超出理论J范围","有效"))</x:f>
        <x:v>有效</x:v>
      </x:c>
      <x:c r="W262" s="20" t="str">
        <x:v>升力 y=0.915708x+28.7687 → C_T_prop；实验攻角 60° ↔ 理论 alpha_p_deg 30°；原升力源 4000rpm!C117/O117</x:v>
      </x:c>
      <x:c r="X262" s="20" t="str">
        <x:v>升力标定计算!M523</x:v>
      </x:c>
      <x:c r="Y262" s="20" t="str">
        <x:v>升力标定计算!M524</x:v>
      </x:c>
      <x:c r="Z262" s="20" t="str">
        <x:v>升力标定计算!N523</x:v>
      </x:c>
      <x:c r="AA262" s="20" t="str">
        <x:v>升力标定计算!N524</x:v>
      </x:c>
      <x:c r="AB262" s="20" t="str">
        <x:v>4000rpm!AT26:AS27</x:v>
      </x:c>
    </x:row>
    <x:row r="263">
      <x:c r="A263" s="21" t="n">
        <x:v>4000</x:v>
      </x:c>
      <x:c r="B263" s="21" t="n">
        <x:v>60</x:v>
      </x:c>
      <x:c r="C263" s="21" t="n">
        <x:v>4</x:v>
      </x:c>
      <x:c r="D263" s="22" t="n">
        <x:f>IFERROR('升力标定计算'!M525,"")</x:f>
        <x:v>0.06705901462983321</x:v>
      </x:c>
      <x:c r="E263" s="22" t="n">
        <x:f>IFERROR('升力标定计算'!M526,"")</x:f>
        <x:v>0.06797165107593794</x:v>
      </x:c>
      <x:c r="F263" s="22" t="n">
        <x:f>IF(AND(ISNUMBER(D263),ISNUMBER(E263)),AVERAGE(D263,E263),"")</x:f>
        <x:v>0.06751533285288558</x:v>
      </x:c>
      <x:c r="G263" s="22" t="n">
        <x:f>IFERROR('升力标定计算'!N525,"")</x:f>
        <x:v>0.0736813398567885</x:v>
      </x:c>
      <x:c r="H263" s="22" t="n">
        <x:f>IFERROR('升力标定计算'!N526,"")</x:f>
        <x:v>0.07180301422623712</x:v>
      </x:c>
      <x:c r="I263" s="22" t="n">
        <x:f>IF(AND(ISNUMBER(G263),ISNUMBER(H263)),AVERAGE(G263,H263),"")</x:f>
        <x:v>0.07274217704151281</x:v>
      </x:c>
      <x:c r="J263" s="22" t="n">
        <x:f>IFERROR('4000rpm'!AT25,"")</x:f>
        <x:v>0</x:v>
      </x:c>
      <x:c r="K263" s="22" t="n">
        <x:f>IFERROR('4000rpm'!AT35,"")</x:f>
        <x:v>0.3336614173228346</x:v>
      </x:c>
      <x:c r="L263" s="22" t="n">
        <x:f>IFERROR('4000rpm'!AT27,"")</x:f>
        <x:v>0.06673228346456693</x:v>
      </x:c>
      <x:c r="M263" s="22" t="n">
        <x:f>IFERROR('4000rpm'!AS27,"")</x:f>
        <x:v>0.07692988331005637</x:v>
      </x:c>
      <x:c r="N263" s="22" t="n">
        <x:f>IFERROR('4000rpm'!AT28,"")</x:f>
        <x:v>0.1000984251968504</x:v>
      </x:c>
      <x:c r="O263" s="22" t="n">
        <x:f>IFERROR('4000rpm'!AS28,"")</x:f>
        <x:v>0.0735685241322328</x:v>
      </x:c>
      <x:c r="P263" s="22" t="n">
        <x:f>IF(OR(NOT(AND(ISNUMBER(D263),ISNUMBER(E263),ISNUMBER(G263),ISNUMBER(H263))),OR(F263&lt;J263,F263&gt;K263)),"",IF(N263=L263,M263,M263+(F263-L263)*(O263-M263)/(N263-L263)))</x:f>
        <x:v>0.0768509976459831</x:v>
      </x:c>
      <x:c r="Q263" s="22" t="n">
        <x:f>IF(AND(ISNUMBER(I263),ISNUMBER(P263)),I263-P263,"")</x:f>
        <x:v>-0.004108820604470292</x:v>
      </x:c>
      <x:c r="R263" s="22" t="n">
        <x:f>IF(ISNUMBER(Q263),ABS(Q263),"")</x:f>
        <x:v>0.004108820604470292</x:v>
      </x:c>
      <x:c r="S263" s="36" t="n">
        <x:f>IF(AND(ISNUMBER(Q263),ISNUMBER(P263)),IF(ABS(P263)&lt;1E-12,"",Q263/P263),"")</x:f>
        <x:v>-0.053464765979977555</x:v>
      </x:c>
      <x:c r="T263" s="36" t="n">
        <x:f>IF(ISNUMBER(S263),ABS(S263),"")</x:f>
        <x:v>0.053464765979977555</x:v>
      </x:c>
      <x:c r="U263" s="37" t="n">
        <x:f>IF(ISNUMBER(Q263),Q263^2,"")</x:f>
        <x:v>0.000016882406759719618</x:v>
      </x:c>
      <x:c r="V263" s="21" t="str">
        <x:f>IF(NOT(AND(ISNUMBER(D263),ISNUMBER(E263),ISNUMBER(G263),ISNUMBER(H263))),"缺少配对",IF(OR(F263&lt;J263,F263&gt;K263),"超出理论J范围","有效"))</x:f>
        <x:v>有效</x:v>
      </x:c>
      <x:c r="W263" s="20" t="str">
        <x:v>升力 y=0.915708x+28.7687 → C_T_prop；实验攻角 60° ↔ 理论 alpha_p_deg 30°；原升力源 4000rpm!C118/O118</x:v>
      </x:c>
      <x:c r="X263" s="20" t="str">
        <x:v>升力标定计算!M525</x:v>
      </x:c>
      <x:c r="Y263" s="20" t="str">
        <x:v>升力标定计算!M526</x:v>
      </x:c>
      <x:c r="Z263" s="20" t="str">
        <x:v>升力标定计算!N525</x:v>
      </x:c>
      <x:c r="AA263" s="20" t="str">
        <x:v>升力标定计算!N526</x:v>
      </x:c>
      <x:c r="AB263" s="20" t="str">
        <x:v>4000rpm!AT27:AS28</x:v>
      </x:c>
    </x:row>
    <x:row r="264">
      <x:c r="A264" s="21" t="n">
        <x:v>4000</x:v>
      </x:c>
      <x:c r="B264" s="21" t="n">
        <x:v>60</x:v>
      </x:c>
      <x:c r="C264" s="21" t="n">
        <x:v>5</x:v>
      </x:c>
      <x:c r="D264" s="22" t="n">
        <x:f>IFERROR('升力标定计算'!M527,"")</x:f>
        <x:v>0.10028114745212462</x:v>
      </x:c>
      <x:c r="E264" s="22" t="n">
        <x:f>IFERROR('升力标定计算'!M528,"")</x:f>
        <x:v>0.10038232621349803</x:v>
      </x:c>
      <x:c r="F264" s="22" t="n">
        <x:f>IF(AND(ISNUMBER(D264),ISNUMBER(E264)),AVERAGE(D264,E264),"")</x:f>
        <x:v>0.10033173683281132</x:v>
      </x:c>
      <x:c r="G264" s="22" t="n">
        <x:f>IFERROR('升力标定计算'!N527,"")</x:f>
        <x:v>0.07149337426710153</x:v>
      </x:c>
      <x:c r="H264" s="22" t="n">
        <x:f>IFERROR('升力标定计算'!N528,"")</x:f>
        <x:v>0.06891798169333004</x:v>
      </x:c>
      <x:c r="I264" s="22" t="n">
        <x:f>IF(AND(ISNUMBER(G264),ISNUMBER(H264)),AVERAGE(G264,H264),"")</x:f>
        <x:v>0.07020567798021579</x:v>
      </x:c>
      <x:c r="J264" s="22" t="n">
        <x:f>IFERROR('4000rpm'!AT25,"")</x:f>
        <x:v>0</x:v>
      </x:c>
      <x:c r="K264" s="22" t="n">
        <x:f>IFERROR('4000rpm'!AT35,"")</x:f>
        <x:v>0.3336614173228346</x:v>
      </x:c>
      <x:c r="L264" s="22" t="n">
        <x:f>IFERROR('4000rpm'!AT28,"")</x:f>
        <x:v>0.1000984251968504</x:v>
      </x:c>
      <x:c r="M264" s="22" t="n">
        <x:f>IFERROR('4000rpm'!AS28,"")</x:f>
        <x:v>0.0735685241322328</x:v>
      </x:c>
      <x:c r="N264" s="22" t="n">
        <x:f>IFERROR('4000rpm'!AT29,"")</x:f>
        <x:v>0.13346456692913386</x:v>
      </x:c>
      <x:c r="O264" s="22" t="n">
        <x:f>IFERROR('4000rpm'!AS29,"")</x:f>
        <x:v>0.07004379036683321</x:v>
      </x:c>
      <x:c r="P264" s="22" t="n">
        <x:f>IF(OR(NOT(AND(ISNUMBER(D264),ISNUMBER(E264),ISNUMBER(G264),ISNUMBER(H264))),OR(F264&lt;J264,F264&gt;K264)),"",IF(N264=L264,M264,M264+(F264-L264)*(O264-M264)/(N264-L264)))</x:f>
        <x:v>0.07354387754864725</x:v>
      </x:c>
      <x:c r="Q264" s="22" t="n">
        <x:f>IF(AND(ISNUMBER(I264),ISNUMBER(P264)),I264-P264,"")</x:f>
        <x:v>-0.0033381995684314547</x:v>
      </x:c>
      <x:c r="R264" s="22" t="n">
        <x:f>IF(ISNUMBER(Q264),ABS(Q264),"")</x:f>
        <x:v>0.0033381995684314547</x:v>
      </x:c>
      <x:c r="S264" s="36" t="n">
        <x:f>IF(AND(ISNUMBER(Q264),ISNUMBER(P264)),IF(ABS(P264)&lt;1E-12,"",Q264/P264),"")</x:f>
        <x:v>-0.045390584229439465</x:v>
      </x:c>
      <x:c r="T264" s="36" t="n">
        <x:f>IF(ISNUMBER(S264),ABS(S264),"")</x:f>
        <x:v>0.045390584229439465</x:v>
      </x:c>
      <x:c r="U264" s="37" t="n">
        <x:f>IF(ISNUMBER(Q264),Q264^2,"")</x:f>
        <x:v>0.000011143576358675951</x:v>
      </x:c>
      <x:c r="V264" s="21" t="str">
        <x:f>IF(NOT(AND(ISNUMBER(D264),ISNUMBER(E264),ISNUMBER(G264),ISNUMBER(H264))),"缺少配对",IF(OR(F264&lt;J264,F264&gt;K264),"超出理论J范围","有效"))</x:f>
        <x:v>有效</x:v>
      </x:c>
      <x:c r="W264" s="20" t="str">
        <x:v>升力 y=0.915708x+28.7687 → C_T_prop；实验攻角 60° ↔ 理论 alpha_p_deg 30°；原升力源 4000rpm!C119/O119</x:v>
      </x:c>
      <x:c r="X264" s="20" t="str">
        <x:v>升力标定计算!M527</x:v>
      </x:c>
      <x:c r="Y264" s="20" t="str">
        <x:v>升力标定计算!M528</x:v>
      </x:c>
      <x:c r="Z264" s="20" t="str">
        <x:v>升力标定计算!N527</x:v>
      </x:c>
      <x:c r="AA264" s="20" t="str">
        <x:v>升力标定计算!N528</x:v>
      </x:c>
      <x:c r="AB264" s="20" t="str">
        <x:v>4000rpm!AT28:AS29</x:v>
      </x:c>
    </x:row>
    <x:row r="265">
      <x:c r="A265" s="21" t="n">
        <x:v>4000</x:v>
      </x:c>
      <x:c r="B265" s="21" t="n">
        <x:v>60</x:v>
      </x:c>
      <x:c r="C265" s="21" t="n">
        <x:v>6</x:v>
      </x:c>
      <x:c r="D265" s="22" t="n">
        <x:f>IFERROR('升力标定计算'!M529,"")</x:f>
        <x:v>0.1325834700987706</x:v>
      </x:c>
      <x:c r="E265" s="22" t="n">
        <x:f>IFERROR('升力标定计算'!M530,"")</x:f>
        <x:v>0.13621660675457603</x:v>
      </x:c>
      <x:c r="F265" s="22" t="n">
        <x:f>IF(AND(ISNUMBER(D265),ISNUMBER(E265)),AVERAGE(D265,E265),"")</x:f>
        <x:v>0.1344000384266733</x:v>
      </x:c>
      <x:c r="G265" s="22" t="n">
        <x:f>IFERROR('升力标定计算'!N529,"")</x:f>
        <x:v>0.06761167755431521</x:v>
      </x:c>
      <x:c r="H265" s="22" t="n">
        <x:f>IFERROR('升力标定计算'!N530,"")</x:f>
        <x:v>0.06530388875974086</x:v>
      </x:c>
      <x:c r="I265" s="22" t="n">
        <x:f>IF(AND(ISNUMBER(G265),ISNUMBER(H265)),AVERAGE(G265,H265),"")</x:f>
        <x:v>0.06645778315702804</x:v>
      </x:c>
      <x:c r="J265" s="22" t="n">
        <x:f>IFERROR('4000rpm'!AT25,"")</x:f>
        <x:v>0</x:v>
      </x:c>
      <x:c r="K265" s="22" t="n">
        <x:f>IFERROR('4000rpm'!AT35,"")</x:f>
        <x:v>0.3336614173228346</x:v>
      </x:c>
      <x:c r="L265" s="22" t="n">
        <x:f>IFERROR('4000rpm'!AT29,"")</x:f>
        <x:v>0.13346456692913386</x:v>
      </x:c>
      <x:c r="M265" s="22" t="n">
        <x:f>IFERROR('4000rpm'!AS29,"")</x:f>
        <x:v>0.07004379036683321</x:v>
      </x:c>
      <x:c r="N265" s="22" t="n">
        <x:f>IFERROR('4000rpm'!AT30,"")</x:f>
        <x:v>0.1668307086614173</x:v>
      </x:c>
      <x:c r="O265" s="22" t="n">
        <x:f>IFERROR('4000rpm'!AS30,"")</x:f>
        <x:v>0.06630860230487617</x:v>
      </x:c>
      <x:c r="P265" s="22" t="n">
        <x:f>IF(OR(NOT(AND(ISNUMBER(D265),ISNUMBER(E265),ISNUMBER(G265),ISNUMBER(H265))),OR(F265&lt;J265,F265&gt;K265)),"",IF(N265=L265,M265,M265+(F265-L265)*(O265-M265)/(N265-L265)))</x:f>
        <x:v>0.06993906858036038</x:v>
      </x:c>
      <x:c r="Q265" s="22" t="n">
        <x:f>IF(AND(ISNUMBER(I265),ISNUMBER(P265)),I265-P265,"")</x:f>
        <x:v>-0.003481285423332342</x:v>
      </x:c>
      <x:c r="R265" s="22" t="n">
        <x:f>IF(ISNUMBER(Q265),ABS(Q265),"")</x:f>
        <x:v>0.003481285423332342</x:v>
      </x:c>
      <x:c r="S265" s="36" t="n">
        <x:f>IF(AND(ISNUMBER(Q265),ISNUMBER(P265)),IF(ABS(P265)&lt;1E-12,"",Q265/P265),"")</x:f>
        <x:v>-0.049775976346215216</x:v>
      </x:c>
      <x:c r="T265" s="36" t="n">
        <x:f>IF(ISNUMBER(S265),ABS(S265),"")</x:f>
        <x:v>0.049775976346215216</x:v>
      </x:c>
      <x:c r="U265" s="37" t="n">
        <x:f>IF(ISNUMBER(Q265),Q265^2,"")</x:f>
        <x:v>0.000012119348198706244</x:v>
      </x:c>
      <x:c r="V265" s="21" t="str">
        <x:f>IF(NOT(AND(ISNUMBER(D265),ISNUMBER(E265),ISNUMBER(G265),ISNUMBER(H265))),"缺少配对",IF(OR(F265&lt;J265,F265&gt;K265),"超出理论J范围","有效"))</x:f>
        <x:v>有效</x:v>
      </x:c>
      <x:c r="W265" s="20" t="str">
        <x:v>升力 y=0.915708x+28.7687 → C_T_prop；实验攻角 60° ↔ 理论 alpha_p_deg 30°；原升力源 4000rpm!C120/O120</x:v>
      </x:c>
      <x:c r="X265" s="20" t="str">
        <x:v>升力标定计算!M529</x:v>
      </x:c>
      <x:c r="Y265" s="20" t="str">
        <x:v>升力标定计算!M530</x:v>
      </x:c>
      <x:c r="Z265" s="20" t="str">
        <x:v>升力标定计算!N529</x:v>
      </x:c>
      <x:c r="AA265" s="20" t="str">
        <x:v>升力标定计算!N530</x:v>
      </x:c>
      <x:c r="AB265" s="20" t="str">
        <x:v>4000rpm!AT29:AS30</x:v>
      </x:c>
    </x:row>
    <x:row r="266">
      <x:c r="A266" s="21" t="n">
        <x:v>4000</x:v>
      </x:c>
      <x:c r="B266" s="21" t="n">
        <x:v>60</x:v>
      </x:c>
      <x:c r="C266" s="21" t="n">
        <x:v>7</x:v>
      </x:c>
      <x:c r="D266" s="22" t="n">
        <x:f>IFERROR('升力标定计算'!M531,"")</x:f>
        <x:v>0.16532635764757384</x:v>
      </x:c>
      <x:c r="E266" s="22" t="n">
        <x:f>IFERROR('升力标定计算'!M532,"")</x:f>
        <x:v>0.16563709349176725</x:v>
      </x:c>
      <x:c r="F266" s="22" t="n">
        <x:f>IF(AND(ISNUMBER(D266),ISNUMBER(E266)),AVERAGE(D266,E266),"")</x:f>
        <x:v>0.16548172556967056</x:v>
      </x:c>
      <x:c r="G266" s="22" t="n">
        <x:f>IFERROR('升力标定计算'!N531,"")</x:f>
        <x:v>0.06444940083818526</x:v>
      </x:c>
      <x:c r="H266" s="22" t="n">
        <x:f>IFERROR('升力标定计算'!N532,"")</x:f>
        <x:v>0.060631998754158395</x:v>
      </x:c>
      <x:c r="I266" s="22" t="n">
        <x:f>IF(AND(ISNUMBER(G266),ISNUMBER(H266)),AVERAGE(G266,H266),"")</x:f>
        <x:v>0.06254069979617183</x:v>
      </x:c>
      <x:c r="J266" s="22" t="n">
        <x:f>IFERROR('4000rpm'!AT25,"")</x:f>
        <x:v>0</x:v>
      </x:c>
      <x:c r="K266" s="22" t="n">
        <x:f>IFERROR('4000rpm'!AT35,"")</x:f>
        <x:v>0.3336614173228346</x:v>
      </x:c>
      <x:c r="L266" s="22" t="n">
        <x:f>IFERROR('4000rpm'!AT29,"")</x:f>
        <x:v>0.13346456692913386</x:v>
      </x:c>
      <x:c r="M266" s="22" t="n">
        <x:f>IFERROR('4000rpm'!AS29,"")</x:f>
        <x:v>0.07004379036683321</x:v>
      </x:c>
      <x:c r="N266" s="22" t="n">
        <x:f>IFERROR('4000rpm'!AT30,"")</x:f>
        <x:v>0.1668307086614173</x:v>
      </x:c>
      <x:c r="O266" s="22" t="n">
        <x:f>IFERROR('4000rpm'!AS30,"")</x:f>
        <x:v>0.06630860230487617</x:v>
      </x:c>
      <x:c r="P266" s="22" t="n">
        <x:f>IF(OR(NOT(AND(ISNUMBER(D266),ISNUMBER(E266),ISNUMBER(G266),ISNUMBER(H266))),OR(F266&lt;J266,F266&gt;K266)),"",IF(N266=L266,M266,M266+(F266-L266)*(O266-M266)/(N266-L266)))</x:f>
        <x:v>0.0664596148366967</x:v>
      </x:c>
      <x:c r="Q266" s="22" t="n">
        <x:f>IF(AND(ISNUMBER(I266),ISNUMBER(P266)),I266-P266,"")</x:f>
        <x:v>-0.00391891504052487</x:v>
      </x:c>
      <x:c r="R266" s="22" t="n">
        <x:f>IF(ISNUMBER(Q266),ABS(Q266),"")</x:f>
        <x:v>0.00391891504052487</x:v>
      </x:c>
      <x:c r="S266" s="36" t="n">
        <x:f>IF(AND(ISNUMBER(Q266),ISNUMBER(P266)),IF(ABS(P266)&lt;1E-12,"",Q266/P266),"")</x:f>
        <x:v>-0.05896686356299768</x:v>
      </x:c>
      <x:c r="T266" s="36" t="n">
        <x:f>IF(ISNUMBER(S266),ABS(S266),"")</x:f>
        <x:v>0.05896686356299768</x:v>
      </x:c>
      <x:c r="U266" s="37" t="n">
        <x:f>IF(ISNUMBER(Q266),Q266^2,"")</x:f>
        <x:v>0.000015357895094852044</x:v>
      </x:c>
      <x:c r="V266" s="21" t="str">
        <x:f>IF(NOT(AND(ISNUMBER(D266),ISNUMBER(E266),ISNUMBER(G266),ISNUMBER(H266))),"缺少配对",IF(OR(F266&lt;J266,F266&gt;K266),"超出理论J范围","有效"))</x:f>
        <x:v>有效</x:v>
      </x:c>
      <x:c r="W266" s="20" t="str">
        <x:v>升力 y=0.915708x+28.7687 → C_T_prop；实验攻角 60° ↔ 理论 alpha_p_deg 30°；原升力源 4000rpm!C121/O121</x:v>
      </x:c>
      <x:c r="X266" s="20" t="str">
        <x:v>升力标定计算!M531</x:v>
      </x:c>
      <x:c r="Y266" s="20" t="str">
        <x:v>升力标定计算!M532</x:v>
      </x:c>
      <x:c r="Z266" s="20" t="str">
        <x:v>升力标定计算!N531</x:v>
      </x:c>
      <x:c r="AA266" s="20" t="str">
        <x:v>升力标定计算!N532</x:v>
      </x:c>
      <x:c r="AB266" s="20" t="str">
        <x:v>4000rpm!AT29:AS30</x:v>
      </x:c>
    </x:row>
    <x:row r="267">
      <x:c r="A267" s="21" t="n">
        <x:v>4000</x:v>
      </x:c>
      <x:c r="B267" s="21" t="n">
        <x:v>60</x:v>
      </x:c>
      <x:c r="C267" s="21" t="n">
        <x:v>8</x:v>
      </x:c>
      <x:c r="D267" s="22" t="n">
        <x:f>IFERROR('升力标定计算'!M533,"")</x:f>
        <x:v>0.19819702877335316</x:v>
      </x:c>
      <x:c r="E267" s="22" t="n">
        <x:f>IFERROR('升力标定计算'!M534,"")</x:f>
        <x:v>0.20178758873381974</x:v>
      </x:c>
      <x:c r="F267" s="22" t="n">
        <x:f>IF(AND(ISNUMBER(D267),ISNUMBER(E267)),AVERAGE(D267,E267),"")</x:f>
        <x:v>0.19999230875358645</x:v>
      </x:c>
      <x:c r="G267" s="22" t="n">
        <x:f>IFERROR('升力标定计算'!N533,"")</x:f>
        <x:v>0.06151265063020047</x:v>
      </x:c>
      <x:c r="H267" s="22" t="n">
        <x:f>IFERROR('升力标定计算'!N534,"")</x:f>
        <x:v>0.05545310236383757</x:v>
      </x:c>
      <x:c r="I267" s="22" t="n">
        <x:f>IF(AND(ISNUMBER(G267),ISNUMBER(H267)),AVERAGE(G267,H267),"")</x:f>
        <x:v>0.05848287649701902</x:v>
      </x:c>
      <x:c r="J267" s="22" t="n">
        <x:f>IFERROR('4000rpm'!AT25,"")</x:f>
        <x:v>0</x:v>
      </x:c>
      <x:c r="K267" s="22" t="n">
        <x:f>IFERROR('4000rpm'!AT35,"")</x:f>
        <x:v>0.3336614173228346</x:v>
      </x:c>
      <x:c r="L267" s="22" t="n">
        <x:f>IFERROR('4000rpm'!AT30,"")</x:f>
        <x:v>0.1668307086614173</x:v>
      </x:c>
      <x:c r="M267" s="22" t="n">
        <x:f>IFERROR('4000rpm'!AS30,"")</x:f>
        <x:v>0.06630860230487617</x:v>
      </x:c>
      <x:c r="N267" s="22" t="n">
        <x:f>IFERROR('4000rpm'!AT31,"")</x:f>
        <x:v>0.2001968503937008</x:v>
      </x:c>
      <x:c r="O267" s="22" t="n">
        <x:f>IFERROR('4000rpm'!AS31,"")</x:f>
        <x:v>0.062340242699003644</x:v>
      </x:c>
      <x:c r="P267" s="22" t="n">
        <x:f>IF(OR(NOT(AND(ISNUMBER(D267),ISNUMBER(E267),ISNUMBER(G267),ISNUMBER(H267))),OR(F267&lt;J267,F267&gt;K267)),"",IF(N267=L267,M267,M267+(F267-L267)*(O267-M267)/(N267-L267)))</x:f>
        <x:v>0.062364569598675215</x:v>
      </x:c>
      <x:c r="Q267" s="22" t="n">
        <x:f>IF(AND(ISNUMBER(I267),ISNUMBER(P267)),I267-P267,"")</x:f>
        <x:v>-0.003881693101656196</x:v>
      </x:c>
      <x:c r="R267" s="22" t="n">
        <x:f>IF(ISNUMBER(Q267),ABS(Q267),"")</x:f>
        <x:v>0.003881693101656196</x:v>
      </x:c>
      <x:c r="S267" s="36" t="n">
        <x:f>IF(AND(ISNUMBER(Q267),ISNUMBER(P267)),IF(ABS(P267)&lt;1E-12,"",Q267/P267),"")</x:f>
        <x:v>-0.06224196088637246</x:v>
      </x:c>
      <x:c r="T267" s="36" t="n">
        <x:f>IF(ISNUMBER(S267),ABS(S267),"")</x:f>
        <x:v>0.06224196088637246</x:v>
      </x:c>
      <x:c r="U267" s="37" t="n">
        <x:f>IF(ISNUMBER(Q267),Q267^2,"")</x:f>
        <x:v>0.000015067541335445298</x:v>
      </x:c>
      <x:c r="V267" s="21" t="str">
        <x:f>IF(NOT(AND(ISNUMBER(D267),ISNUMBER(E267),ISNUMBER(G267),ISNUMBER(H267))),"缺少配对",IF(OR(F267&lt;J267,F267&gt;K267),"超出理论J范围","有效"))</x:f>
        <x:v>有效</x:v>
      </x:c>
      <x:c r="W267" s="20" t="str">
        <x:v>升力 y=0.915708x+28.7687 → C_T_prop；实验攻角 60° ↔ 理论 alpha_p_deg 30°；原升力源 4000rpm!C122/O122</x:v>
      </x:c>
      <x:c r="X267" s="20" t="str">
        <x:v>升力标定计算!M533</x:v>
      </x:c>
      <x:c r="Y267" s="20" t="str">
        <x:v>升力标定计算!M534</x:v>
      </x:c>
      <x:c r="Z267" s="20" t="str">
        <x:v>升力标定计算!N533</x:v>
      </x:c>
      <x:c r="AA267" s="20" t="str">
        <x:v>升力标定计算!N534</x:v>
      </x:c>
      <x:c r="AB267" s="20" t="str">
        <x:v>4000rpm!AT30:AS31</x:v>
      </x:c>
    </x:row>
    <x:row r="268">
      <x:c r="A268" s="21" t="n">
        <x:v>4000</x:v>
      </x:c>
      <x:c r="B268" s="21" t="n">
        <x:v>60</x:v>
      </x:c>
      <x:c r="C268" s="21" t="n">
        <x:v>9</x:v>
      </x:c>
      <x:c r="D268" s="22" t="n">
        <x:f>IFERROR('升力标定计算'!M535,"")</x:f>
        <x:v>0.2298043811145126</x:v>
      </x:c>
      <x:c r="E268" s="22" t="n">
        <x:f>IFERROR('升力标定计算'!M536,"")</x:f>
        <x:v>0.23486830671418443</x:v>
      </x:c>
      <x:c r="F268" s="22" t="n">
        <x:f>IF(AND(ISNUMBER(D268),ISNUMBER(E268)),AVERAGE(D268,E268),"")</x:f>
        <x:v>0.23233634391434851</x:v>
      </x:c>
      <x:c r="G268" s="22" t="n">
        <x:f>IFERROR('升力标定计算'!N535,"")</x:f>
        <x:v>0.0579933822974252</x:v>
      </x:c>
      <x:c r="H268" s="22" t="n">
        <x:f>IFERROR('升力标定计算'!N536,"")</x:f>
        <x:v>0.051477877415040195</x:v>
      </x:c>
      <x:c r="I268" s="22" t="n">
        <x:f>IF(AND(ISNUMBER(G268),ISNUMBER(H268)),AVERAGE(G268,H268),"")</x:f>
        <x:v>0.0547356298562327</x:v>
      </x:c>
      <x:c r="J268" s="22" t="n">
        <x:f>IFERROR('4000rpm'!AT25,"")</x:f>
        <x:v>0</x:v>
      </x:c>
      <x:c r="K268" s="22" t="n">
        <x:f>IFERROR('4000rpm'!AT35,"")</x:f>
        <x:v>0.3336614173228346</x:v>
      </x:c>
      <x:c r="L268" s="22" t="n">
        <x:f>IFERROR('4000rpm'!AT31,"")</x:f>
        <x:v>0.2001968503937008</x:v>
      </x:c>
      <x:c r="M268" s="22" t="n">
        <x:f>IFERROR('4000rpm'!AS31,"")</x:f>
        <x:v>0.062340242699003644</x:v>
      </x:c>
      <x:c r="N268" s="22" t="n">
        <x:f>IFERROR('4000rpm'!AT32,"")</x:f>
        <x:v>0.23356299212598428</x:v>
      </x:c>
      <x:c r="O268" s="22" t="n">
        <x:f>IFERROR('4000rpm'!AS32,"")</x:f>
        <x:v>0.058120105082913244</x:v>
      </x:c>
      <x:c r="P268" s="22" t="n">
        <x:f>IF(OR(NOT(AND(ISNUMBER(D268),ISNUMBER(E268),ISNUMBER(G268),ISNUMBER(H268))),OR(F268&lt;J268,F268&gt;K268)),"",IF(N268=L268,M268,M268+(F268-L268)*(O268-M268)/(N268-L268)))</x:f>
        <x:v>0.05827525110792175</x:v>
      </x:c>
      <x:c r="Q268" s="22" t="n">
        <x:f>IF(AND(ISNUMBER(I268),ISNUMBER(P268)),I268-P268,"")</x:f>
        <x:v>-0.0035396212516890513</x:v>
      </x:c>
      <x:c r="R268" s="22" t="n">
        <x:f>IF(ISNUMBER(Q268),ABS(Q268),"")</x:f>
        <x:v>0.0035396212516890513</x:v>
      </x:c>
      <x:c r="S268" s="36" t="n">
        <x:f>IF(AND(ISNUMBER(Q268),ISNUMBER(P268)),IF(ABS(P268)&lt;1E-12,"",Q268/P268),"")</x:f>
        <x:v>-0.060739699690592786</x:v>
      </x:c>
      <x:c r="T268" s="36" t="n">
        <x:f>IF(ISNUMBER(S268),ABS(S268),"")</x:f>
        <x:v>0.060739699690592786</x:v>
      </x:c>
      <x:c r="U268" s="37" t="n">
        <x:f>IF(ISNUMBER(Q268),Q268^2,"")</x:f>
        <x:v>0.000012528918605408766</x:v>
      </x:c>
      <x:c r="V268" s="21" t="str">
        <x:f>IF(NOT(AND(ISNUMBER(D268),ISNUMBER(E268),ISNUMBER(G268),ISNUMBER(H268))),"缺少配对",IF(OR(F268&lt;J268,F268&gt;K268),"超出理论J范围","有效"))</x:f>
        <x:v>有效</x:v>
      </x:c>
      <x:c r="W268" s="20" t="str">
        <x:v>升力 y=0.915708x+28.7687 → C_T_prop；实验攻角 60° ↔ 理论 alpha_p_deg 30°；原升力源 4000rpm!C123/O123</x:v>
      </x:c>
      <x:c r="X268" s="20" t="str">
        <x:v>升力标定计算!M535</x:v>
      </x:c>
      <x:c r="Y268" s="20" t="str">
        <x:v>升力标定计算!M536</x:v>
      </x:c>
      <x:c r="Z268" s="20" t="str">
        <x:v>升力标定计算!N535</x:v>
      </x:c>
      <x:c r="AA268" s="20" t="str">
        <x:v>升力标定计算!N536</x:v>
      </x:c>
      <x:c r="AB268" s="20" t="str">
        <x:v>4000rpm!AT31:AS32</x:v>
      </x:c>
    </x:row>
    <x:row r="269">
      <x:c r="A269" s="21" t="n">
        <x:v>4000</x:v>
      </x:c>
      <x:c r="B269" s="21" t="n">
        <x:v>60</x:v>
      </x:c>
      <x:c r="C269" s="21" t="n">
        <x:v>10</x:v>
      </x:c>
      <x:c r="D269" s="22" t="n">
        <x:f>IFERROR('升力标定计算'!M537,"")</x:f>
        <x:v>0.2606473323125124</x:v>
      </x:c>
      <x:c r="E269" s="22" t="n">
        <x:f>IFERROR('升力标定计算'!M538,"")</x:f>
        <x:v>0.26689965017021494</x:v>
      </x:c>
      <x:c r="F269" s="22" t="n">
        <x:f>IF(AND(ISNUMBER(D269),ISNUMBER(E269)),AVERAGE(D269,E269),"")</x:f>
        <x:v>0.2637734912413637</x:v>
      </x:c>
      <x:c r="G269" s="22" t="n">
        <x:f>IFERROR('升力标定计算'!N537,"")</x:f>
        <x:v>0.05483397030319512</x:v>
      </x:c>
      <x:c r="H269" s="22" t="n">
        <x:f>IFERROR('升力标定计算'!N538,"")</x:f>
        <x:v>0.04898764090093346</x:v>
      </x:c>
      <x:c r="I269" s="22" t="n">
        <x:f>IF(AND(ISNUMBER(G269),ISNUMBER(H269)),AVERAGE(G269,H269),"")</x:f>
        <x:v>0.05191080560206429</x:v>
      </x:c>
      <x:c r="J269" s="22" t="n">
        <x:f>IFERROR('4000rpm'!AT25,"")</x:f>
        <x:v>0</x:v>
      </x:c>
      <x:c r="K269" s="22" t="n">
        <x:f>IFERROR('4000rpm'!AT35,"")</x:f>
        <x:v>0.3336614173228346</x:v>
      </x:c>
      <x:c r="L269" s="22" t="n">
        <x:f>IFERROR('4000rpm'!AT32,"")</x:f>
        <x:v>0.23356299212598428</x:v>
      </x:c>
      <x:c r="M269" s="22" t="n">
        <x:f>IFERROR('4000rpm'!AS32,"")</x:f>
        <x:v>0.058120105082913244</x:v>
      </x:c>
      <x:c r="N269" s="22" t="n">
        <x:f>IFERROR('4000rpm'!AT33,"")</x:f>
        <x:v>0.2669291338582677</x:v>
      </x:c>
      <x:c r="O269" s="22" t="n">
        <x:f>IFERROR('4000rpm'!AS33,"")</x:f>
        <x:v>0.053623493301125154</x:v>
      </x:c>
      <x:c r="P269" s="22" t="n">
        <x:f>IF(OR(NOT(AND(ISNUMBER(D269),ISNUMBER(E269),ISNUMBER(G269),ISNUMBER(H269))),OR(F269&lt;J269,F269&gt;K269)),"",IF(N269=L269,M269,M269+(F269-L269)*(O269-M269)/(N269-L269)))</x:f>
        <x:v>0.05404876571901919</x:v>
      </x:c>
      <x:c r="Q269" s="22" t="n">
        <x:f>IF(AND(ISNUMBER(I269),ISNUMBER(P269)),I269-P269,"")</x:f>
        <x:v>-0.0021379601169548984</x:v>
      </x:c>
      <x:c r="R269" s="22" t="n">
        <x:f>IF(ISNUMBER(Q269),ABS(Q269),"")</x:f>
        <x:v>0.0021379601169548984</x:v>
      </x:c>
      <x:c r="S269" s="36" t="n">
        <x:f>IF(AND(ISNUMBER(Q269),ISNUMBER(P269)),IF(ABS(P269)&lt;1E-12,"",Q269/P269),"")</x:f>
        <x:v>-0.039556132106131944</x:v>
      </x:c>
      <x:c r="T269" s="36" t="n">
        <x:f>IF(ISNUMBER(S269),ABS(S269),"")</x:f>
        <x:v>0.039556132106131944</x:v>
      </x:c>
      <x:c r="U269" s="37" t="n">
        <x:f>IF(ISNUMBER(Q269),Q269^2,"")</x:f>
        <x:v>0.000004570873461689803</x:v>
      </x:c>
      <x:c r="V269" s="21" t="str">
        <x:f>IF(NOT(AND(ISNUMBER(D269),ISNUMBER(E269),ISNUMBER(G269),ISNUMBER(H269))),"缺少配对",IF(OR(F269&lt;J269,F269&gt;K269),"超出理论J范围","有效"))</x:f>
        <x:v>有效</x:v>
      </x:c>
      <x:c r="W269" s="20" t="str">
        <x:v>升力 y=0.915708x+28.7687 → C_T_prop；实验攻角 60° ↔ 理论 alpha_p_deg 30°；原升力源 4000rpm!C124/O124</x:v>
      </x:c>
      <x:c r="X269" s="20" t="str">
        <x:v>升力标定计算!M537</x:v>
      </x:c>
      <x:c r="Y269" s="20" t="str">
        <x:v>升力标定计算!M538</x:v>
      </x:c>
      <x:c r="Z269" s="20" t="str">
        <x:v>升力标定计算!N537</x:v>
      </x:c>
      <x:c r="AA269" s="20" t="str">
        <x:v>升力标定计算!N538</x:v>
      </x:c>
      <x:c r="AB269" s="20" t="str">
        <x:v>4000rpm!AT32:AS33</x:v>
      </x:c>
    </x:row>
    <x:row r="270">
      <x:c r="A270" s="21" t="n">
        <x:v>4000</x:v>
      </x:c>
      <x:c r="B270" s="21" t="n">
        <x:v>60</x:v>
      </x:c>
      <x:c r="C270" s="21" t="n">
        <x:v>11</x:v>
      </x:c>
      <x:c r="D270" s="22" t="n">
        <x:f>IFERROR('升力标定计算'!M539,"")</x:f>
        <x:v>0.29408168305990834</x:v>
      </x:c>
      <x:c r="E270" s="22" t="n">
        <x:f>IFERROR('升力标定计算'!M540,"")</x:f>
        <x:v>0.29955981309177515</x:v>
      </x:c>
      <x:c r="F270" s="22" t="n">
        <x:f>IF(AND(ISNUMBER(D270),ISNUMBER(E270)),AVERAGE(D270,E270),"")</x:f>
        <x:v>0.29682074807584174</x:v>
      </x:c>
      <x:c r="G270" s="22" t="n">
        <x:f>IFERROR('升力标定计算'!N539,"")</x:f>
        <x:v>0.05223263349601112</x:v>
      </x:c>
      <x:c r="H270" s="22" t="n">
        <x:f>IFERROR('升力标定计算'!N540,"")</x:f>
        <x:v>0.04282597971936074</x:v>
      </x:c>
      <x:c r="I270" s="22" t="n">
        <x:f>IF(AND(ISNUMBER(G270),ISNUMBER(H270)),AVERAGE(G270,H270),"")</x:f>
        <x:v>0.04752930660768593</x:v>
      </x:c>
      <x:c r="J270" s="22" t="n">
        <x:f>IFERROR('4000rpm'!AT25,"")</x:f>
        <x:v>0</x:v>
      </x:c>
      <x:c r="K270" s="22" t="n">
        <x:f>IFERROR('4000rpm'!AT35,"")</x:f>
        <x:v>0.3336614173228346</x:v>
      </x:c>
      <x:c r="L270" s="22" t="n">
        <x:f>IFERROR('4000rpm'!AT33,"")</x:f>
        <x:v>0.2669291338582677</x:v>
      </x:c>
      <x:c r="M270" s="22" t="n">
        <x:f>IFERROR('4000rpm'!AS33,"")</x:f>
        <x:v>0.053623493301125154</x:v>
      </x:c>
      <x:c r="N270" s="22" t="n">
        <x:f>IFERROR('4000rpm'!AT34,"")</x:f>
        <x:v>0.3002952755905512</x:v>
      </x:c>
      <x:c r="O270" s="22" t="n">
        <x:f>IFERROR('4000rpm'!AS34,"")</x:f>
        <x:v>0.04884139239208115</x:v>
      </x:c>
      <x:c r="P270" s="22" t="n">
        <x:f>IF(OR(NOT(AND(ISNUMBER(D270),ISNUMBER(E270),ISNUMBER(G270),ISNUMBER(H270))),OR(F270&lt;J270,F270&gt;K270)),"",IF(N270=L270,M270,M270+(F270-L270)*(O270-M270)/(N270-L270)))</x:f>
        <x:v>0.04933936849372056</x:v>
      </x:c>
      <x:c r="Q270" s="22" t="n">
        <x:f>IF(AND(ISNUMBER(I270),ISNUMBER(P270)),I270-P270,"")</x:f>
        <x:v>-0.0018100618860346293</x:v>
      </x:c>
      <x:c r="R270" s="22" t="n">
        <x:f>IF(ISNUMBER(Q270),ABS(Q270),"")</x:f>
        <x:v>0.0018100618860346293</x:v>
      </x:c>
      <x:c r="S270" s="36" t="n">
        <x:f>IF(AND(ISNUMBER(Q270),ISNUMBER(P270)),IF(ABS(P270)&lt;1E-12,"",Q270/P270),"")</x:f>
        <x:v>-0.03668595568394834</x:v>
      </x:c>
      <x:c r="T270" s="36" t="n">
        <x:f>IF(ISNUMBER(S270),ABS(S270),"")</x:f>
        <x:v>0.03668595568394834</x:v>
      </x:c>
      <x:c r="U270" s="37" t="n">
        <x:f>IF(ISNUMBER(Q270),Q270^2,"")</x:f>
        <x:v>0.0000032763240312752394</x:v>
      </x:c>
      <x:c r="V270" s="21" t="str">
        <x:f>IF(NOT(AND(ISNUMBER(D270),ISNUMBER(E270),ISNUMBER(G270),ISNUMBER(H270))),"缺少配对",IF(OR(F270&lt;J270,F270&gt;K270),"超出理论J范围","有效"))</x:f>
        <x:v>有效</x:v>
      </x:c>
      <x:c r="W270" s="20" t="str">
        <x:v>升力 y=0.915708x+28.7687 → C_T_prop；实验攻角 60° ↔ 理论 alpha_p_deg 30°；原升力源 4000rpm!C125/O125</x:v>
      </x:c>
      <x:c r="X270" s="20" t="str">
        <x:v>升力标定计算!M539</x:v>
      </x:c>
      <x:c r="Y270" s="20" t="str">
        <x:v>升力标定计算!M540</x:v>
      </x:c>
      <x:c r="Z270" s="20" t="str">
        <x:v>升力标定计算!N539</x:v>
      </x:c>
      <x:c r="AA270" s="20" t="str">
        <x:v>升力标定计算!N540</x:v>
      </x:c>
      <x:c r="AB270" s="20" t="str">
        <x:v>4000rpm!AT33:AS34</x:v>
      </x:c>
    </x:row>
    <x:row r="271">
      <x:c r="A271" s="21" t="n">
        <x:v>4000</x:v>
      </x:c>
      <x:c r="B271" s="21" t="n">
        <x:v>60</x:v>
      </x:c>
      <x:c r="C271" s="21" t="n">
        <x:v>12</x:v>
      </x:c>
      <x:c r="D271" s="22" t="n">
        <x:f>IFERROR('升力标定计算'!M541,"")</x:f>
        <x:v>0.32184835636789666</x:v>
      </x:c>
      <x:c r="E271" s="22" t="n">
        <x:f>IFERROR('升力标定计算'!M542,"")</x:f>
        <x:v>0.3282975443747786</x:v>
      </x:c>
      <x:c r="F271" s="22" t="n">
        <x:f>IF(AND(ISNUMBER(D271),ISNUMBER(E271)),AVERAGE(D271,E271),"")</x:f>
        <x:v>0.32507295037133765</x:v>
      </x:c>
      <x:c r="G271" s="22" t="n">
        <x:f>IFERROR('升力标定计算'!N541,"")</x:f>
        <x:v>0.049413856271119536</x:v>
      </x:c>
      <x:c r="H271" s="22" t="n">
        <x:f>IFERROR('升力标定计算'!N542,"")</x:f>
        <x:v>0.03822982263130224</x:v>
      </x:c>
      <x:c r="I271" s="22" t="n">
        <x:f>IF(AND(ISNUMBER(G271),ISNUMBER(H271)),AVERAGE(G271,H271),"")</x:f>
        <x:v>0.04382183945121089</x:v>
      </x:c>
      <x:c r="J271" s="22" t="n">
        <x:f>IFERROR('4000rpm'!AT25,"")</x:f>
        <x:v>0</x:v>
      </x:c>
      <x:c r="K271" s="22" t="n">
        <x:f>IFERROR('4000rpm'!AT35,"")</x:f>
        <x:v>0.3336614173228346</x:v>
      </x:c>
      <x:c r="L271" s="22" t="n">
        <x:f>IFERROR('4000rpm'!AT34,"")</x:f>
        <x:v>0.3002952755905512</x:v>
      </x:c>
      <x:c r="M271" s="22" t="n">
        <x:f>IFERROR('4000rpm'!AS34,"")</x:f>
        <x:v>0.04884139239208115</x:v>
      </x:c>
      <x:c r="N271" s="22" t="n">
        <x:f>IFERROR('4000rpm'!AT35,"")</x:f>
        <x:v>0.3336614173228346</x:v>
      </x:c>
      <x:c r="O271" s="22" t="n">
        <x:f>IFERROR('4000rpm'!AS35,"")</x:f>
        <x:v>0.04378661961015296</x:v>
      </x:c>
      <x:c r="P271" s="22" t="n">
        <x:f>IF(OR(NOT(AND(ISNUMBER(D271),ISNUMBER(E271),ISNUMBER(G271),ISNUMBER(H271))),OR(F271&lt;J271,F271&gt;K271)),"",IF(N271=L271,M271,M271+(F271-L271)*(O271-M271)/(N271-L271)))</x:f>
        <x:v>0.04508772146763601</x:v>
      </x:c>
      <x:c r="Q271" s="22" t="n">
        <x:f>IF(AND(ISNUMBER(I271),ISNUMBER(P271)),I271-P271,"")</x:f>
        <x:v>-0.001265882016425121</x:v>
      </x:c>
      <x:c r="R271" s="22" t="n">
        <x:f>IF(ISNUMBER(Q271),ABS(Q271),"")</x:f>
        <x:v>0.001265882016425121</x:v>
      </x:c>
      <x:c r="S271" s="36" t="n">
        <x:f>IF(AND(ISNUMBER(Q271),ISNUMBER(P271)),IF(ABS(P271)&lt;1E-12,"",Q271/P271),"")</x:f>
        <x:v>-0.0280759811145873</x:v>
      </x:c>
      <x:c r="T271" s="36" t="n">
        <x:f>IF(ISNUMBER(S271),ABS(S271),"")</x:f>
        <x:v>0.0280759811145873</x:v>
      </x:c>
      <x:c r="U271" s="37" t="n">
        <x:f>IF(ISNUMBER(Q271),Q271^2,"")</x:f>
        <x:v>0.0000016024572795085307</x:v>
      </x:c>
      <x:c r="V271" s="21" t="str">
        <x:f>IF(NOT(AND(ISNUMBER(D271),ISNUMBER(E271),ISNUMBER(G271),ISNUMBER(H271))),"缺少配对",IF(OR(F271&lt;J271,F271&gt;K271),"超出理论J范围","有效"))</x:f>
        <x:v>有效</x:v>
      </x:c>
      <x:c r="W271" s="20" t="str">
        <x:v>升力 y=0.915708x+28.7687 → C_T_prop；实验攻角 60° ↔ 理论 alpha_p_deg 30°；原升力源 4000rpm!C126/O126</x:v>
      </x:c>
      <x:c r="X271" s="20" t="str">
        <x:v>升力标定计算!M541</x:v>
      </x:c>
      <x:c r="Y271" s="20" t="str">
        <x:v>升力标定计算!M542</x:v>
      </x:c>
      <x:c r="Z271" s="20" t="str">
        <x:v>升力标定计算!N541</x:v>
      </x:c>
      <x:c r="AA271" s="20" t="str">
        <x:v>升力标定计算!N542</x:v>
      </x:c>
      <x:c r="AB271" s="20" t="str">
        <x:v>4000rpm!AT34:AS35</x:v>
      </x:c>
    </x:row>
    <x:row r="272">
      <x:c r="A272" s="21" t="n">
        <x:v>4000</x:v>
      </x:c>
      <x:c r="B272" s="21" t="n">
        <x:v>60</x:v>
      </x:c>
      <x:c r="C272" s="21" t="n">
        <x:v>13</x:v>
      </x:c>
      <x:c r="D272" s="22" t="n">
        <x:f>IFERROR('升力标定计算'!M543,"")</x:f>
        <x:v>0.2948069669512075</x:v>
      </x:c>
      <x:c r="E272" s="22" t="n">
        <x:f>IFERROR('升力标定计算'!M544,"")</x:f>
        <x:v>0.29874877115035026</x:v>
      </x:c>
      <x:c r="F272" s="22" t="n">
        <x:f>IF(AND(ISNUMBER(D272),ISNUMBER(E272)),AVERAGE(D272,E272),"")</x:f>
        <x:v>0.29677786905077885</x:v>
      </x:c>
      <x:c r="G272" s="22" t="n">
        <x:f>IFERROR('升力标定计算'!N543,"")</x:f>
        <x:v>0.05224336349007961</x:v>
      </x:c>
      <x:c r="H272" s="22" t="n">
        <x:f>IFERROR('升力标定计算'!N544,"")</x:f>
        <x:v>0.04225388284358447</x:v>
      </x:c>
      <x:c r="I272" s="22" t="n">
        <x:f>IF(AND(ISNUMBER(G272),ISNUMBER(H272)),AVERAGE(G272,H272),"")</x:f>
        <x:v>0.04724862316683204</x:v>
      </x:c>
      <x:c r="J272" s="22" t="n">
        <x:f>IFERROR('4000rpm'!AT25,"")</x:f>
        <x:v>0</x:v>
      </x:c>
      <x:c r="K272" s="22" t="n">
        <x:f>IFERROR('4000rpm'!AT35,"")</x:f>
        <x:v>0.3336614173228346</x:v>
      </x:c>
      <x:c r="L272" s="22" t="n">
        <x:f>IFERROR('4000rpm'!AT33,"")</x:f>
        <x:v>0.2669291338582677</x:v>
      </x:c>
      <x:c r="M272" s="22" t="n">
        <x:f>IFERROR('4000rpm'!AS33,"")</x:f>
        <x:v>0.053623493301125154</x:v>
      </x:c>
      <x:c r="N272" s="22" t="n">
        <x:f>IFERROR('4000rpm'!AT34,"")</x:f>
        <x:v>0.3002952755905512</x:v>
      </x:c>
      <x:c r="O272" s="22" t="n">
        <x:f>IFERROR('4000rpm'!AS34,"")</x:f>
        <x:v>0.04884139239208115</x:v>
      </x:c>
      <x:c r="P272" s="22" t="n">
        <x:f>IF(OR(NOT(AND(ISNUMBER(D272),ISNUMBER(E272),ISNUMBER(G272),ISNUMBER(H272))),OR(F272&lt;J272,F272&gt;K272)),"",IF(N272=L272,M272,M272+(F272-L272)*(O272-M272)/(N272-L272)))</x:f>
        <x:v>0.04934551399973613</x:v>
      </x:c>
      <x:c r="Q272" s="22" t="n">
        <x:f>IF(AND(ISNUMBER(I272),ISNUMBER(P272)),I272-P272,"")</x:f>
        <x:v>-0.00209689083290409</x:v>
      </x:c>
      <x:c r="R272" s="22" t="n">
        <x:f>IF(ISNUMBER(Q272),ABS(Q272),"")</x:f>
        <x:v>0.00209689083290409</x:v>
      </x:c>
      <x:c r="S272" s="36" t="n">
        <x:f>IF(AND(ISNUMBER(Q272),ISNUMBER(P272)),IF(ABS(P272)&lt;1E-12,"",Q272/P272),"")</x:f>
        <x:v>-0.04249405189933381</x:v>
      </x:c>
      <x:c r="T272" s="36" t="n">
        <x:f>IF(ISNUMBER(S272),ABS(S272),"")</x:f>
        <x:v>0.04249405189933381</x:v>
      </x:c>
      <x:c r="U272" s="37" t="n">
        <x:f>IF(ISNUMBER(Q272),Q272^2,"")</x:f>
        <x:v>0.000004396951165117208</x:v>
      </x:c>
      <x:c r="V272" s="21" t="str">
        <x:f>IF(NOT(AND(ISNUMBER(D272),ISNUMBER(E272),ISNUMBER(G272),ISNUMBER(H272))),"缺少配对",IF(OR(F272&lt;J272,F272&gt;K272),"超出理论J范围","有效"))</x:f>
        <x:v>有效</x:v>
      </x:c>
      <x:c r="W272" s="20" t="str">
        <x:v>升力 y=0.915708x+28.7687 → C_T_prop；实验攻角 60° ↔ 理论 alpha_p_deg 30°；原升力源 4000rpm!C127/O127</x:v>
      </x:c>
      <x:c r="X272" s="20" t="str">
        <x:v>升力标定计算!M543</x:v>
      </x:c>
      <x:c r="Y272" s="20" t="str">
        <x:v>升力标定计算!M544</x:v>
      </x:c>
      <x:c r="Z272" s="20" t="str">
        <x:v>升力标定计算!N543</x:v>
      </x:c>
      <x:c r="AA272" s="20" t="str">
        <x:v>升力标定计算!N544</x:v>
      </x:c>
      <x:c r="AB272" s="20" t="str">
        <x:v>4000rpm!AT33:AS34</x:v>
      </x:c>
    </x:row>
    <x:row r="273">
      <x:c r="A273" s="21" t="n">
        <x:v>4000</x:v>
      </x:c>
      <x:c r="B273" s="21" t="n">
        <x:v>60</x:v>
      </x:c>
      <x:c r="C273" s="21" t="n">
        <x:v>14</x:v>
      </x:c>
      <x:c r="D273" s="22" t="n">
        <x:f>IFERROR('升力标定计算'!M545,"")</x:f>
        <x:v>0.25917112129495806</x:v>
      </x:c>
      <x:c r="E273" s="22" t="n">
        <x:f>IFERROR('升力标定计算'!M546,"")</x:f>
        <x:v>0.27174485984030156</x:v>
      </x:c>
      <x:c r="F273" s="22" t="n">
        <x:f>IF(AND(ISNUMBER(D273),ISNUMBER(E273)),AVERAGE(D273,E273),"")</x:f>
        <x:v>0.2654579905676298</x:v>
      </x:c>
      <x:c r="G273" s="22" t="n">
        <x:f>IFERROR('升力标定计算'!N545,"")</x:f>
        <x:v>0.05489487187925561</x:v>
      </x:c>
      <x:c r="H273" s="22" t="n">
        <x:f>IFERROR('升力标定计算'!N546,"")</x:f>
        <x:v>0.046713694892821664</x:v>
      </x:c>
      <x:c r="I273" s="22" t="n">
        <x:f>IF(AND(ISNUMBER(G273),ISNUMBER(H273)),AVERAGE(G273,H273),"")</x:f>
        <x:v>0.05080428338603864</x:v>
      </x:c>
      <x:c r="J273" s="22" t="n">
        <x:f>IFERROR('4000rpm'!AT25,"")</x:f>
        <x:v>0</x:v>
      </x:c>
      <x:c r="K273" s="22" t="n">
        <x:f>IFERROR('4000rpm'!AT35,"")</x:f>
        <x:v>0.3336614173228346</x:v>
      </x:c>
      <x:c r="L273" s="22" t="n">
        <x:f>IFERROR('4000rpm'!AT32,"")</x:f>
        <x:v>0.23356299212598428</x:v>
      </x:c>
      <x:c r="M273" s="22" t="n">
        <x:f>IFERROR('4000rpm'!AS32,"")</x:f>
        <x:v>0.058120105082913244</x:v>
      </x:c>
      <x:c r="N273" s="22" t="n">
        <x:f>IFERROR('4000rpm'!AT33,"")</x:f>
        <x:v>0.2669291338582677</x:v>
      </x:c>
      <x:c r="O273" s="22" t="n">
        <x:f>IFERROR('4000rpm'!AS33,"")</x:f>
        <x:v>0.053623493301125154</x:v>
      </x:c>
      <x:c r="P273" s="22" t="n">
        <x:f>IF(OR(NOT(AND(ISNUMBER(D273),ISNUMBER(E273),ISNUMBER(G273),ISNUMBER(H273))),OR(F273&lt;J273,F273&gt;K273)),"",IF(N273=L273,M273,M273+(F273-L273)*(O273-M273)/(N273-L273)))</x:f>
        <x:v>0.05382175297125598</x:v>
      </x:c>
      <x:c r="Q273" s="22" t="n">
        <x:f>IF(AND(ISNUMBER(I273),ISNUMBER(P273)),I273-P273,"")</x:f>
        <x:v>-0.0030174695852173417</x:v>
      </x:c>
      <x:c r="R273" s="22" t="n">
        <x:f>IF(ISNUMBER(Q273),ABS(Q273),"")</x:f>
        <x:v>0.0030174695852173417</x:v>
      </x:c>
      <x:c r="S273" s="36" t="n">
        <x:f>IF(AND(ISNUMBER(Q273),ISNUMBER(P273)),IF(ABS(P273)&lt;1E-12,"",Q273/P273),"")</x:f>
        <x:v>-0.056064126837876316</x:v>
      </x:c>
      <x:c r="T273" s="36" t="n">
        <x:f>IF(ISNUMBER(S273),ABS(S273),"")</x:f>
        <x:v>0.056064126837876316</x:v>
      </x:c>
      <x:c r="U273" s="37" t="n">
        <x:f>IF(ISNUMBER(Q273),Q273^2,"")</x:f>
        <x:v>0.000009105122697711715</x:v>
      </x:c>
      <x:c r="V273" s="21" t="str">
        <x:f>IF(NOT(AND(ISNUMBER(D273),ISNUMBER(E273),ISNUMBER(G273),ISNUMBER(H273))),"缺少配对",IF(OR(F273&lt;J273,F273&gt;K273),"超出理论J范围","有效"))</x:f>
        <x:v>有效</x:v>
      </x:c>
      <x:c r="W273" s="20" t="str">
        <x:v>升力 y=0.915708x+28.7687 → C_T_prop；实验攻角 60° ↔ 理论 alpha_p_deg 30°；原升力源 4000rpm!C128/O128</x:v>
      </x:c>
      <x:c r="X273" s="20" t="str">
        <x:v>升力标定计算!M545</x:v>
      </x:c>
      <x:c r="Y273" s="20" t="str">
        <x:v>升力标定计算!M546</x:v>
      </x:c>
      <x:c r="Z273" s="20" t="str">
        <x:v>升力标定计算!N545</x:v>
      </x:c>
      <x:c r="AA273" s="20" t="str">
        <x:v>升力标定计算!N546</x:v>
      </x:c>
      <x:c r="AB273" s="20" t="str">
        <x:v>4000rpm!AT32:AS33</x:v>
      </x:c>
    </x:row>
    <x:row r="274">
      <x:c r="A274" s="21" t="n">
        <x:v>4000</x:v>
      </x:c>
      <x:c r="B274" s="21" t="n">
        <x:v>60</x:v>
      </x:c>
      <x:c r="C274" s="21" t="n">
        <x:v>15</x:v>
      </x:c>
      <x:c r="D274" s="22" t="n">
        <x:f>IFERROR('升力标定计算'!M547,"")</x:f>
        <x:v>0.23137171041230672</x:v>
      </x:c>
      <x:c r="E274" s="22" t="n">
        <x:f>IFERROR('升力标定计算'!M548,"")</x:f>
        <x:v>0.2345560251415421</x:v>
      </x:c>
      <x:c r="F274" s="22" t="n">
        <x:f>IF(AND(ISNUMBER(D274),ISNUMBER(E274)),AVERAGE(D274,E274),"")</x:f>
        <x:v>0.2329638677769244</x:v>
      </x:c>
      <x:c r="G274" s="22" t="n">
        <x:f>IFERROR('升力标定计算'!N547,"")</x:f>
        <x:v>0.058382613177399824</x:v>
      </x:c>
      <x:c r="H274" s="22" t="n">
        <x:f>IFERROR('升力标定计算'!N548,"")</x:f>
        <x:v>0.050430758866299955</x:v>
      </x:c>
      <x:c r="I274" s="22" t="n">
        <x:f>IF(AND(ISNUMBER(G274),ISNUMBER(H274)),AVERAGE(G274,H274),"")</x:f>
        <x:v>0.05440668602184989</x:v>
      </x:c>
      <x:c r="J274" s="22" t="n">
        <x:f>IFERROR('4000rpm'!AT25,"")</x:f>
        <x:v>0</x:v>
      </x:c>
      <x:c r="K274" s="22" t="n">
        <x:f>IFERROR('4000rpm'!AT35,"")</x:f>
        <x:v>0.3336614173228346</x:v>
      </x:c>
      <x:c r="L274" s="22" t="n">
        <x:f>IFERROR('4000rpm'!AT31,"")</x:f>
        <x:v>0.2001968503937008</x:v>
      </x:c>
      <x:c r="M274" s="22" t="n">
        <x:f>IFERROR('4000rpm'!AS31,"")</x:f>
        <x:v>0.062340242699003644</x:v>
      </x:c>
      <x:c r="N274" s="22" t="n">
        <x:f>IFERROR('4000rpm'!AT32,"")</x:f>
        <x:v>0.23356299212598428</x:v>
      </x:c>
      <x:c r="O274" s="22" t="n">
        <x:f>IFERROR('4000rpm'!AS32,"")</x:f>
        <x:v>0.058120105082913244</x:v>
      </x:c>
      <x:c r="P274" s="22" t="n">
        <x:f>IF(OR(NOT(AND(ISNUMBER(D274),ISNUMBER(E274),ISNUMBER(G274),ISNUMBER(H274))),OR(F274&lt;J274,F274&gt;K274)),"",IF(N274=L274,M274,M274+(F274-L274)*(O274-M274)/(N274-L274)))</x:f>
        <x:v>0.05819588211528546</x:v>
      </x:c>
      <x:c r="Q274" s="22" t="n">
        <x:f>IF(AND(ISNUMBER(I274),ISNUMBER(P274)),I274-P274,"")</x:f>
        <x:v>-0.0037891960934355665</x:v>
      </x:c>
      <x:c r="R274" s="22" t="n">
        <x:f>IF(ISNUMBER(Q274),ABS(Q274),"")</x:f>
        <x:v>0.0037891960934355665</x:v>
      </x:c>
      <x:c r="S274" s="36" t="n">
        <x:f>IF(AND(ISNUMBER(Q274),ISNUMBER(P274)),IF(ABS(P274)&lt;1E-12,"",Q274/P274),"")</x:f>
        <x:v>-0.06511106895723665</x:v>
      </x:c>
      <x:c r="T274" s="36" t="n">
        <x:f>IF(ISNUMBER(S274),ABS(S274),"")</x:f>
        <x:v>0.06511106895723665</x:v>
      </x:c>
      <x:c r="U274" s="37" t="n">
        <x:f>IF(ISNUMBER(Q274),Q274^2,"")</x:f>
        <x:v>0.000014358007034507358</x:v>
      </x:c>
      <x:c r="V274" s="21" t="str">
        <x:f>IF(NOT(AND(ISNUMBER(D274),ISNUMBER(E274),ISNUMBER(G274),ISNUMBER(H274))),"缺少配对",IF(OR(F274&lt;J274,F274&gt;K274),"超出理论J范围","有效"))</x:f>
        <x:v>有效</x:v>
      </x:c>
      <x:c r="W274" s="20" t="str">
        <x:v>升力 y=0.915708x+28.7687 → C_T_prop；实验攻角 60° ↔ 理论 alpha_p_deg 30°；原升力源 4000rpm!C129/O129</x:v>
      </x:c>
      <x:c r="X274" s="20" t="str">
        <x:v>升力标定计算!M547</x:v>
      </x:c>
      <x:c r="Y274" s="20" t="str">
        <x:v>升力标定计算!M548</x:v>
      </x:c>
      <x:c r="Z274" s="20" t="str">
        <x:v>升力标定计算!N547</x:v>
      </x:c>
      <x:c r="AA274" s="20" t="str">
        <x:v>升力标定计算!N548</x:v>
      </x:c>
      <x:c r="AB274" s="20" t="str">
        <x:v>4000rpm!AT31:AS32</x:v>
      </x:c>
    </x:row>
    <x:row r="275">
      <x:c r="A275" s="21" t="n">
        <x:v>4000</x:v>
      </x:c>
      <x:c r="B275" s="21" t="n">
        <x:v>60</x:v>
      </x:c>
      <x:c r="C275" s="21" t="n">
        <x:v>16</x:v>
      </x:c>
      <x:c r="D275" s="22" t="n">
        <x:f>IFERROR('升力标定计算'!M549,"")</x:f>
        <x:v>0.19914138383446667</x:v>
      </x:c>
      <x:c r="E275" s="22" t="n">
        <x:f>IFERROR('升力标定计算'!M550,"")</x:f>
        <x:v>0.20204356729614636</x:v>
      </x:c>
      <x:c r="F275" s="22" t="n">
        <x:f>IF(AND(ISNUMBER(D275),ISNUMBER(E275)),AVERAGE(D275,E275),"")</x:f>
        <x:v>0.20059247556530652</x:v>
      </x:c>
      <x:c r="G275" s="22" t="n">
        <x:f>IFERROR('升力标定计算'!N549,"")</x:f>
        <x:v>0.0611889240395029</x:v>
      </x:c>
      <x:c r="H275" s="22" t="n">
        <x:f>IFERROR('升力标定计算'!N550,"")</x:f>
        <x:v>0.05444926689171304</x:v>
      </x:c>
      <x:c r="I275" s="22" t="n">
        <x:f>IF(AND(ISNUMBER(G275),ISNUMBER(H275)),AVERAGE(G275,H275),"")</x:f>
        <x:v>0.05781909546560797</x:v>
      </x:c>
      <x:c r="J275" s="22" t="n">
        <x:f>IFERROR('4000rpm'!AT25,"")</x:f>
        <x:v>0</x:v>
      </x:c>
      <x:c r="K275" s="22" t="n">
        <x:f>IFERROR('4000rpm'!AT35,"")</x:f>
        <x:v>0.3336614173228346</x:v>
      </x:c>
      <x:c r="L275" s="22" t="n">
        <x:f>IFERROR('4000rpm'!AT31,"")</x:f>
        <x:v>0.2001968503937008</x:v>
      </x:c>
      <x:c r="M275" s="22" t="n">
        <x:f>IFERROR('4000rpm'!AS31,"")</x:f>
        <x:v>0.062340242699003644</x:v>
      </x:c>
      <x:c r="N275" s="22" t="n">
        <x:f>IFERROR('4000rpm'!AT32,"")</x:f>
        <x:v>0.23356299212598428</x:v>
      </x:c>
      <x:c r="O275" s="22" t="n">
        <x:f>IFERROR('4000rpm'!AS32,"")</x:f>
        <x:v>0.058120105082913244</x:v>
      </x:c>
      <x:c r="P275" s="22" t="n">
        <x:f>IF(OR(NOT(AND(ISNUMBER(D275),ISNUMBER(E275),ISNUMBER(G275),ISNUMBER(H275))),OR(F275&lt;J275,F275&gt;K275)),"",IF(N275=L275,M275,M275+(F275-L275)*(O275-M275)/(N275-L275)))</x:f>
        <x:v>0.06229020416946788</x:v>
      </x:c>
      <x:c r="Q275" s="22" t="n">
        <x:f>IF(AND(ISNUMBER(I275),ISNUMBER(P275)),I275-P275,"")</x:f>
        <x:v>-0.004471108703859909</x:v>
      </x:c>
      <x:c r="R275" s="22" t="n">
        <x:f>IF(ISNUMBER(Q275),ABS(Q275),"")</x:f>
        <x:v>0.004471108703859909</x:v>
      </x:c>
      <x:c r="S275" s="36" t="n">
        <x:f>IF(AND(ISNUMBER(Q275),ISNUMBER(P275)),IF(ABS(P275)&lt;1E-12,"",Q275/P275),"")</x:f>
        <x:v>-0.07177868115018099</x:v>
      </x:c>
      <x:c r="T275" s="36" t="n">
        <x:f>IF(ISNUMBER(S275),ABS(S275),"")</x:f>
        <x:v>0.07177868115018099</x:v>
      </x:c>
      <x:c r="U275" s="37" t="n">
        <x:f>IF(ISNUMBER(Q275),Q275^2,"")</x:f>
        <x:v>0.000019990813041731837</x:v>
      </x:c>
      <x:c r="V275" s="21" t="str">
        <x:f>IF(NOT(AND(ISNUMBER(D275),ISNUMBER(E275),ISNUMBER(G275),ISNUMBER(H275))),"缺少配对",IF(OR(F275&lt;J275,F275&gt;K275),"超出理论J范围","有效"))</x:f>
        <x:v>有效</x:v>
      </x:c>
      <x:c r="W275" s="20" t="str">
        <x:v>升力 y=0.915708x+28.7687 → C_T_prop；实验攻角 60° ↔ 理论 alpha_p_deg 30°；原升力源 4000rpm!C130/O130</x:v>
      </x:c>
      <x:c r="X275" s="20" t="str">
        <x:v>升力标定计算!M549</x:v>
      </x:c>
      <x:c r="Y275" s="20" t="str">
        <x:v>升力标定计算!M550</x:v>
      </x:c>
      <x:c r="Z275" s="20" t="str">
        <x:v>升力标定计算!N549</x:v>
      </x:c>
      <x:c r="AA275" s="20" t="str">
        <x:v>升力标定计算!N550</x:v>
      </x:c>
      <x:c r="AB275" s="20" t="str">
        <x:v>4000rpm!AT31:AS32</x:v>
      </x:c>
    </x:row>
    <x:row r="276">
      <x:c r="A276" s="21" t="n">
        <x:v>4000</x:v>
      </x:c>
      <x:c r="B276" s="21" t="n">
        <x:v>60</x:v>
      </x:c>
      <x:c r="C276" s="21" t="n">
        <x:v>17</x:v>
      </x:c>
      <x:c r="D276" s="22" t="n">
        <x:f>IFERROR('升力标定计算'!M551,"")</x:f>
        <x:v>0.1659948586970898</x:v>
      </x:c>
      <x:c r="E276" s="22" t="n">
        <x:f>IFERROR('升力标定计算'!M552,"")</x:f>
        <x:v>0.16680953871338045</x:v>
      </x:c>
      <x:c r="F276" s="22" t="n">
        <x:f>IF(AND(ISNUMBER(D276),ISNUMBER(E276)),AVERAGE(D276,E276),"")</x:f>
        <x:v>0.16640219870523512</x:v>
      </x:c>
      <x:c r="G276" s="22" t="n">
        <x:f>IFERROR('升力标定计算'!N551,"")</x:f>
        <x:v>0.06390326407121633</x:v>
      </x:c>
      <x:c r="H276" s="22" t="n">
        <x:f>IFERROR('升力标定计算'!N552,"")</x:f>
        <x:v>0.05983050438013844</x:v>
      </x:c>
      <x:c r="I276" s="22" t="n">
        <x:f>IF(AND(ISNUMBER(G276),ISNUMBER(H276)),AVERAGE(G276,H276),"")</x:f>
        <x:v>0.061866884225677383</x:v>
      </x:c>
      <x:c r="J276" s="22" t="n">
        <x:f>IFERROR('4000rpm'!AT25,"")</x:f>
        <x:v>0</x:v>
      </x:c>
      <x:c r="K276" s="22" t="n">
        <x:f>IFERROR('4000rpm'!AT35,"")</x:f>
        <x:v>0.3336614173228346</x:v>
      </x:c>
      <x:c r="L276" s="22" t="n">
        <x:f>IFERROR('4000rpm'!AT29,"")</x:f>
        <x:v>0.13346456692913386</x:v>
      </x:c>
      <x:c r="M276" s="22" t="n">
        <x:f>IFERROR('4000rpm'!AS29,"")</x:f>
        <x:v>0.07004379036683321</x:v>
      </x:c>
      <x:c r="N276" s="22" t="n">
        <x:f>IFERROR('4000rpm'!AT30,"")</x:f>
        <x:v>0.1668307086614173</x:v>
      </x:c>
      <x:c r="O276" s="22" t="n">
        <x:f>IFERROR('4000rpm'!AS30,"")</x:f>
        <x:v>0.06630860230487617</x:v>
      </x:c>
      <x:c r="P276" s="22" t="n">
        <x:f>IF(OR(NOT(AND(ISNUMBER(D276),ISNUMBER(E276),ISNUMBER(G276),ISNUMBER(H276))),OR(F276&lt;J276,F276&gt;K276)),"",IF(N276=L276,M276,M276+(F276-L276)*(O276-M276)/(N276-L276)))</x:f>
        <x:v>0.06635657204874419</x:v>
      </x:c>
      <x:c r="Q276" s="22" t="n">
        <x:f>IF(AND(ISNUMBER(I276),ISNUMBER(P276)),I276-P276,"")</x:f>
        <x:v>-0.004489687823066808</x:v>
      </x:c>
      <x:c r="R276" s="22" t="n">
        <x:f>IF(ISNUMBER(Q276),ABS(Q276),"")</x:f>
        <x:v>0.004489687823066808</x:v>
      </x:c>
      <x:c r="S276" s="36" t="n">
        <x:f>IF(AND(ISNUMBER(Q276),ISNUMBER(P276)),IF(ABS(P276)&lt;1E-12,"",Q276/P276),"")</x:f>
        <x:v>-0.06766003252501915</x:v>
      </x:c>
      <x:c r="T276" s="36" t="n">
        <x:f>IF(ISNUMBER(S276),ABS(S276),"")</x:f>
        <x:v>0.06766003252501915</x:v>
      </x:c>
      <x:c r="U276" s="37" t="n">
        <x:f>IF(ISNUMBER(Q276),Q276^2,"")</x:f>
        <x:v>0.000020157296748594376</x:v>
      </x:c>
      <x:c r="V276" s="21" t="str">
        <x:f>IF(NOT(AND(ISNUMBER(D276),ISNUMBER(E276),ISNUMBER(G276),ISNUMBER(H276))),"缺少配对",IF(OR(F276&lt;J276,F276&gt;K276),"超出理论J范围","有效"))</x:f>
        <x:v>有效</x:v>
      </x:c>
      <x:c r="W276" s="20" t="str">
        <x:v>升力 y=0.915708x+28.7687 → C_T_prop；实验攻角 60° ↔ 理论 alpha_p_deg 30°；原升力源 4000rpm!C131/O131</x:v>
      </x:c>
      <x:c r="X276" s="20" t="str">
        <x:v>升力标定计算!M551</x:v>
      </x:c>
      <x:c r="Y276" s="20" t="str">
        <x:v>升力标定计算!M552</x:v>
      </x:c>
      <x:c r="Z276" s="20" t="str">
        <x:v>升力标定计算!N551</x:v>
      </x:c>
      <x:c r="AA276" s="20" t="str">
        <x:v>升力标定计算!N552</x:v>
      </x:c>
      <x:c r="AB276" s="20" t="str">
        <x:v>4000rpm!AT29:AS30</x:v>
      </x:c>
    </x:row>
    <x:row r="277">
      <x:c r="A277" s="21" t="n">
        <x:v>4000</x:v>
      </x:c>
      <x:c r="B277" s="21" t="n">
        <x:v>60</x:v>
      </x:c>
      <x:c r="C277" s="21" t="n">
        <x:v>18</x:v>
      </x:c>
      <x:c r="D277" s="22" t="n">
        <x:f>IFERROR('升力标定计算'!M553,"")</x:f>
        <x:v>0.133960421075691</x:v>
      </x:c>
      <x:c r="E277" s="22" t="n">
        <x:f>IFERROR('升力标定计算'!M554,"")</x:f>
        <x:v>0.13364026949801444</x:v>
      </x:c>
      <x:c r="F277" s="22" t="n">
        <x:f>IF(AND(ISNUMBER(D277),ISNUMBER(E277)),AVERAGE(D277,E277),"")</x:f>
        <x:v>0.13380034528685272</x:v>
      </x:c>
      <x:c r="G277" s="22" t="n">
        <x:f>IFERROR('升力标定计算'!N553,"")</x:f>
        <x:v>0.06751638978912941</x:v>
      </x:c>
      <x:c r="H277" s="22" t="n">
        <x:f>IFERROR('升力标定计算'!N554,"")</x:f>
        <x:v>0.06397878609085254</x:v>
      </x:c>
      <x:c r="I277" s="22" t="n">
        <x:f>IF(AND(ISNUMBER(G277),ISNUMBER(H277)),AVERAGE(G277,H277),"")</x:f>
        <x:v>0.06574758793999097</x:v>
      </x:c>
      <x:c r="J277" s="22" t="n">
        <x:f>IFERROR('4000rpm'!AT25,"")</x:f>
        <x:v>0</x:v>
      </x:c>
      <x:c r="K277" s="22" t="n">
        <x:f>IFERROR('4000rpm'!AT35,"")</x:f>
        <x:v>0.3336614173228346</x:v>
      </x:c>
      <x:c r="L277" s="22" t="n">
        <x:f>IFERROR('4000rpm'!AT29,"")</x:f>
        <x:v>0.13346456692913386</x:v>
      </x:c>
      <x:c r="M277" s="22" t="n">
        <x:f>IFERROR('4000rpm'!AS29,"")</x:f>
        <x:v>0.07004379036683321</x:v>
      </x:c>
      <x:c r="N277" s="22" t="n">
        <x:f>IFERROR('4000rpm'!AT30,"")</x:f>
        <x:v>0.1668307086614173</x:v>
      </x:c>
      <x:c r="O277" s="22" t="n">
        <x:f>IFERROR('4000rpm'!AS30,"")</x:f>
        <x:v>0.06630860230487617</x:v>
      </x:c>
      <x:c r="P277" s="22" t="n">
        <x:f>IF(OR(NOT(AND(ISNUMBER(D277),ISNUMBER(E277),ISNUMBER(G277),ISNUMBER(H277))),OR(F277&lt;J277,F277&gt;K277)),"",IF(N277=L277,M277,M277+(F277-L277)*(O277-M277)/(N277-L277)))</x:f>
        <x:v>0.07000620150434865</x:v>
      </x:c>
      <x:c r="Q277" s="22" t="n">
        <x:f>IF(AND(ISNUMBER(I277),ISNUMBER(P277)),I277-P277,"")</x:f>
        <x:v>-0.00425861356435768</x:v>
      </x:c>
      <x:c r="R277" s="22" t="n">
        <x:f>IF(ISNUMBER(Q277),ABS(Q277),"")</x:f>
        <x:v>0.00425861356435768</x:v>
      </x:c>
      <x:c r="S277" s="36" t="n">
        <x:f>IF(AND(ISNUMBER(Q277),ISNUMBER(P277)),IF(ABS(P277)&lt;1E-12,"",Q277/P277),"")</x:f>
        <x:v>-0.0608319473538804</x:v>
      </x:c>
      <x:c r="T277" s="36" t="n">
        <x:f>IF(ISNUMBER(S277),ABS(S277),"")</x:f>
        <x:v>0.0608319473538804</x:v>
      </x:c>
      <x:c r="U277" s="37" t="n">
        <x:f>IF(ISNUMBER(Q277),Q277^2,"")</x:f>
        <x:v>0.000018135789490531223</x:v>
      </x:c>
      <x:c r="V277" s="21" t="str">
        <x:f>IF(NOT(AND(ISNUMBER(D277),ISNUMBER(E277),ISNUMBER(G277),ISNUMBER(H277))),"缺少配对",IF(OR(F277&lt;J277,F277&gt;K277),"超出理论J范围","有效"))</x:f>
        <x:v>有效</x:v>
      </x:c>
      <x:c r="W277" s="20" t="str">
        <x:v>升力 y=0.915708x+28.7687 → C_T_prop；实验攻角 60° ↔ 理论 alpha_p_deg 30°；原升力源 4000rpm!C132/O132</x:v>
      </x:c>
      <x:c r="X277" s="20" t="str">
        <x:v>升力标定计算!M553</x:v>
      </x:c>
      <x:c r="Y277" s="20" t="str">
        <x:v>升力标定计算!M554</x:v>
      </x:c>
      <x:c r="Z277" s="20" t="str">
        <x:v>升力标定计算!N553</x:v>
      </x:c>
      <x:c r="AA277" s="20" t="str">
        <x:v>升力标定计算!N554</x:v>
      </x:c>
      <x:c r="AB277" s="20" t="str">
        <x:v>4000rpm!AT29:AS30</x:v>
      </x:c>
    </x:row>
    <x:row r="278">
      <x:c r="A278" s="21" t="n">
        <x:v>4000</x:v>
      </x:c>
      <x:c r="B278" s="21" t="n">
        <x:v>60</x:v>
      </x:c>
      <x:c r="C278" s="21" t="n">
        <x:v>19</x:v>
      </x:c>
      <x:c r="D278" s="22" t="n">
        <x:f>IFERROR('升力标定计算'!M555,"")</x:f>
        <x:v>0.1012822322670823</x:v>
      </x:c>
      <x:c r="E278" s="22" t="n">
        <x:f>IFERROR('升力标定计算'!M556,"")</x:f>
        <x:v>0.10403710487438905</x:v>
      </x:c>
      <x:c r="F278" s="22" t="n">
        <x:f>IF(AND(ISNUMBER(D278),ISNUMBER(E278)),AVERAGE(D278,E278),"")</x:f>
        <x:v>0.10265966857073568</x:v>
      </x:c>
      <x:c r="G278" s="22" t="n">
        <x:f>IFERROR('升力标定计算'!N555,"")</x:f>
        <x:v>0.07119116667679533</x:v>
      </x:c>
      <x:c r="H278" s="22" t="n">
        <x:f>IFERROR('升力标定计算'!N556,"")</x:f>
        <x:v>0.06854231592633679</x:v>
      </x:c>
      <x:c r="I278" s="22" t="n">
        <x:f>IF(AND(ISNUMBER(G278),ISNUMBER(H278)),AVERAGE(G278,H278),"")</x:f>
        <x:v>0.06986674130156606</x:v>
      </x:c>
      <x:c r="J278" s="22" t="n">
        <x:f>IFERROR('4000rpm'!AT25,"")</x:f>
        <x:v>0</x:v>
      </x:c>
      <x:c r="K278" s="22" t="n">
        <x:f>IFERROR('4000rpm'!AT35,"")</x:f>
        <x:v>0.3336614173228346</x:v>
      </x:c>
      <x:c r="L278" s="22" t="n">
        <x:f>IFERROR('4000rpm'!AT28,"")</x:f>
        <x:v>0.1000984251968504</x:v>
      </x:c>
      <x:c r="M278" s="22" t="n">
        <x:f>IFERROR('4000rpm'!AS28,"")</x:f>
        <x:v>0.0735685241322328</x:v>
      </x:c>
      <x:c r="N278" s="22" t="n">
        <x:f>IFERROR('4000rpm'!AT29,"")</x:f>
        <x:v>0.13346456692913386</x:v>
      </x:c>
      <x:c r="O278" s="22" t="n">
        <x:f>IFERROR('4000rpm'!AS29,"")</x:f>
        <x:v>0.07004379036683321</x:v>
      </x:c>
      <x:c r="P278" s="22" t="n">
        <x:f>IF(OR(NOT(AND(ISNUMBER(D278),ISNUMBER(E278),ISNUMBER(G278),ISNUMBER(H278))),OR(F278&lt;J278,F278&gt;K278)),"",IF(N278=L278,M278,M278+(F278-L278)*(O278-M278)/(N278-L278)))</x:f>
        <x:v>0.07329795940605696</x:v>
      </x:c>
      <x:c r="Q278" s="22" t="n">
        <x:f>IF(AND(ISNUMBER(I278),ISNUMBER(P278)),I278-P278,"")</x:f>
        <x:v>-0.003431218104490902</x:v>
      </x:c>
      <x:c r="R278" s="22" t="n">
        <x:f>IF(ISNUMBER(Q278),ABS(Q278),"")</x:f>
        <x:v>0.003431218104490902</x:v>
      </x:c>
      <x:c r="S278" s="36" t="n">
        <x:f>IF(AND(ISNUMBER(Q278),ISNUMBER(P278)),IF(ABS(P278)&lt;1E-12,"",Q278/P278),"")</x:f>
        <x:v>-0.04681191853490213</x:v>
      </x:c>
      <x:c r="T278" s="36" t="n">
        <x:f>IF(ISNUMBER(S278),ABS(S278),"")</x:f>
        <x:v>0.04681191853490213</x:v>
      </x:c>
      <x:c r="U278" s="37" t="n">
        <x:f>IF(ISNUMBER(Q278),Q278^2,"")</x:f>
        <x:v>0.000011773257680586137</x:v>
      </x:c>
      <x:c r="V278" s="21" t="str">
        <x:f>IF(NOT(AND(ISNUMBER(D278),ISNUMBER(E278),ISNUMBER(G278),ISNUMBER(H278))),"缺少配对",IF(OR(F278&lt;J278,F278&gt;K278),"超出理论J范围","有效"))</x:f>
        <x:v>有效</x:v>
      </x:c>
      <x:c r="W278" s="20" t="str">
        <x:v>升力 y=0.915708x+28.7687 → C_T_prop；实验攻角 60° ↔ 理论 alpha_p_deg 30°；原升力源 4000rpm!C133/O133</x:v>
      </x:c>
      <x:c r="X278" s="20" t="str">
        <x:v>升力标定计算!M555</x:v>
      </x:c>
      <x:c r="Y278" s="20" t="str">
        <x:v>升力标定计算!M556</x:v>
      </x:c>
      <x:c r="Z278" s="20" t="str">
        <x:v>升力标定计算!N555</x:v>
      </x:c>
      <x:c r="AA278" s="20" t="str">
        <x:v>升力标定计算!N556</x:v>
      </x:c>
      <x:c r="AB278" s="20" t="str">
        <x:v>4000rpm!AT28:AS29</x:v>
      </x:c>
    </x:row>
    <x:row r="279">
      <x:c r="A279" s="21" t="n">
        <x:v>4000</x:v>
      </x:c>
      <x:c r="B279" s="21" t="n">
        <x:v>60</x:v>
      </x:c>
      <x:c r="C279" s="21" t="n">
        <x:v>20</x:v>
      </x:c>
      <x:c r="D279" s="22" t="n">
        <x:f>IFERROR('升力标定计算'!M557,"")</x:f>
        <x:v>0.0680207416277272</x:v>
      </x:c>
      <x:c r="E279" s="22" t="n">
        <x:f>IFERROR('升力标定计算'!M558,"")</x:f>
        <x:v>0.0695308314074751</x:v>
      </x:c>
      <x:c r="F279" s="22" t="n">
        <x:f>IF(AND(ISNUMBER(D279),ISNUMBER(E279)),AVERAGE(D279,E279),"")</x:f>
        <x:v>0.06877578651760115</x:v>
      </x:c>
      <x:c r="G279" s="22" t="n">
        <x:f>IFERROR('升力标定计算'!N557,"")</x:f>
        <x:v>0.07374963312893848</x:v>
      </x:c>
      <x:c r="H279" s="22" t="n">
        <x:f>IFERROR('升力标定计算'!N558,"")</x:f>
        <x:v>0.07140731246829407</x:v>
      </x:c>
      <x:c r="I279" s="22" t="n">
        <x:f>IF(AND(ISNUMBER(G279),ISNUMBER(H279)),AVERAGE(G279,H279),"")</x:f>
        <x:v>0.07257847279861628</x:v>
      </x:c>
      <x:c r="J279" s="22" t="n">
        <x:f>IFERROR('4000rpm'!AT25,"")</x:f>
        <x:v>0</x:v>
      </x:c>
      <x:c r="K279" s="22" t="n">
        <x:f>IFERROR('4000rpm'!AT35,"")</x:f>
        <x:v>0.3336614173228346</x:v>
      </x:c>
      <x:c r="L279" s="22" t="n">
        <x:f>IFERROR('4000rpm'!AT27,"")</x:f>
        <x:v>0.06673228346456693</x:v>
      </x:c>
      <x:c r="M279" s="22" t="n">
        <x:f>IFERROR('4000rpm'!AS27,"")</x:f>
        <x:v>0.07692988331005637</x:v>
      </x:c>
      <x:c r="N279" s="22" t="n">
        <x:f>IFERROR('4000rpm'!AT28,"")</x:f>
        <x:v>0.1000984251968504</x:v>
      </x:c>
      <x:c r="O279" s="22" t="n">
        <x:f>IFERROR('4000rpm'!AS28,"")</x:f>
        <x:v>0.0735685241322328</x:v>
      </x:c>
      <x:c r="P279" s="22" t="n">
        <x:f>IF(OR(NOT(AND(ISNUMBER(D279),ISNUMBER(E279),ISNUMBER(G279),ISNUMBER(H279))),OR(F279&lt;J279,F279&gt;K279)),"",IF(N279=L279,M279,M279+(F279-L279)*(O279-M279)/(N279-L279)))</x:f>
        <x:v>0.07672401750161677</x:v>
      </x:c>
      <x:c r="Q279" s="22" t="n">
        <x:f>IF(AND(ISNUMBER(I279),ISNUMBER(P279)),I279-P279,"")</x:f>
        <x:v>-0.004145544703000492</x:v>
      </x:c>
      <x:c r="R279" s="22" t="n">
        <x:f>IF(ISNUMBER(Q279),ABS(Q279),"")</x:f>
        <x:v>0.004145544703000492</x:v>
      </x:c>
      <x:c r="S279" s="36" t="n">
        <x:f>IF(AND(ISNUMBER(Q279),ISNUMBER(P279)),IF(ABS(P279)&lt;1E-12,"",Q279/P279),"")</x:f>
        <x:v>-0.05403190341164206</x:v>
      </x:c>
      <x:c r="T279" s="36" t="n">
        <x:f>IF(ISNUMBER(S279),ABS(S279),"")</x:f>
        <x:v>0.05403190341164206</x:v>
      </x:c>
      <x:c r="U279" s="37" t="n">
        <x:f>IF(ISNUMBER(Q279),Q279^2,"")</x:f>
        <x:v>0.00001718554088457544</x:v>
      </x:c>
      <x:c r="V279" s="21" t="str">
        <x:f>IF(NOT(AND(ISNUMBER(D279),ISNUMBER(E279),ISNUMBER(G279),ISNUMBER(H279))),"缺少配对",IF(OR(F279&lt;J279,F279&gt;K279),"超出理论J范围","有效"))</x:f>
        <x:v>有效</x:v>
      </x:c>
      <x:c r="W279" s="20" t="str">
        <x:v>升力 y=0.915708x+28.7687 → C_T_prop；实验攻角 60° ↔ 理论 alpha_p_deg 30°；原升力源 4000rpm!C134/O134</x:v>
      </x:c>
      <x:c r="X279" s="20" t="str">
        <x:v>升力标定计算!M557</x:v>
      </x:c>
      <x:c r="Y279" s="20" t="str">
        <x:v>升力标定计算!M558</x:v>
      </x:c>
      <x:c r="Z279" s="20" t="str">
        <x:v>升力标定计算!N557</x:v>
      </x:c>
      <x:c r="AA279" s="20" t="str">
        <x:v>升力标定计算!N558</x:v>
      </x:c>
      <x:c r="AB279" s="20" t="str">
        <x:v>4000rpm!AT27:AS28</x:v>
      </x:c>
    </x:row>
    <x:row r="280">
      <x:c r="A280" s="21" t="n">
        <x:v>4000</x:v>
      </x:c>
      <x:c r="B280" s="21" t="n">
        <x:v>60</x:v>
      </x:c>
      <x:c r="C280" s="21" t="n">
        <x:v>21</x:v>
      </x:c>
      <x:c r="D280" s="22" t="n">
        <x:f>IFERROR('升力标定计算'!M559,"")</x:f>
        <x:v>0.034767850239473985</x:v>
      </x:c>
      <x:c r="E280" s="22" t="n">
        <x:f>IFERROR('升力标定计算'!M560,"")</x:f>
        <x:v>0.035641732045800664</x:v>
      </x:c>
      <x:c r="F280" s="22" t="n">
        <x:f>IF(AND(ISNUMBER(D280),ISNUMBER(E280)),AVERAGE(D280,E280),"")</x:f>
        <x:v>0.035204791142637325</x:v>
      </x:c>
      <x:c r="G280" s="22" t="n">
        <x:f>IFERROR('升力标定计算'!N559,"")</x:f>
        <x:v>0.07607705983808218</x:v>
      </x:c>
      <x:c r="H280" s="22" t="n">
        <x:f>IFERROR('升力标定计算'!N560,"")</x:f>
        <x:v>0.07451996385328684</x:v>
      </x:c>
      <x:c r="I280" s="22" t="n">
        <x:f>IF(AND(ISNUMBER(G280),ISNUMBER(H280)),AVERAGE(G280,H280),"")</x:f>
        <x:v>0.07529851184568451</x:v>
      </x:c>
      <x:c r="J280" s="22" t="n">
        <x:f>IFERROR('4000rpm'!AT25,"")</x:f>
        <x:v>0</x:v>
      </x:c>
      <x:c r="K280" s="22" t="n">
        <x:f>IFERROR('4000rpm'!AT35,"")</x:f>
        <x:v>0.3336614173228346</x:v>
      </x:c>
      <x:c r="L280" s="22" t="n">
        <x:f>IFERROR('4000rpm'!AT26,"")</x:f>
        <x:v>0.033366141732283465</x:v>
      </x:c>
      <x:c r="M280" s="22" t="n">
        <x:f>IFERROR('4000rpm'!AS26,"")</x:f>
        <x:v>0.08014052644221993</x:v>
      </x:c>
      <x:c r="N280" s="22" t="n">
        <x:f>IFERROR('4000rpm'!AT27,"")</x:f>
        <x:v>0.06673228346456693</x:v>
      </x:c>
      <x:c r="O280" s="22" t="n">
        <x:f>IFERROR('4000rpm'!AS27,"")</x:f>
        <x:v>0.07692988331005637</x:v>
      </x:c>
      <x:c r="P280" s="22" t="n">
        <x:f>IF(OR(NOT(AND(ISNUMBER(D280),ISNUMBER(E280),ISNUMBER(G280),ISNUMBER(H280))),OR(F280&lt;J280,F280&gt;K280)),"",IF(N280=L280,M280,M280+(F280-L280)*(O280-M280)/(N280-L280)))</x:f>
        <x:v>0.0799636031662483</x:v>
      </x:c>
      <x:c r="Q280" s="22" t="n">
        <x:f>IF(AND(ISNUMBER(I280),ISNUMBER(P280)),I280-P280,"")</x:f>
        <x:v>-0.004665091320563794</x:v>
      </x:c>
      <x:c r="R280" s="22" t="n">
        <x:f>IF(ISNUMBER(Q280),ABS(Q280),"")</x:f>
        <x:v>0.004665091320563794</x:v>
      </x:c>
      <x:c r="S280" s="36" t="n">
        <x:f>IF(AND(ISNUMBER(Q280),ISNUMBER(P280)),IF(ABS(P280)&lt;1E-12,"",Q280/P280),"")</x:f>
        <x:v>-0.05834018398176527</x:v>
      </x:c>
      <x:c r="T280" s="36" t="n">
        <x:f>IF(ISNUMBER(S280),ABS(S280),"")</x:f>
        <x:v>0.05834018398176527</x:v>
      </x:c>
      <x:c r="U280" s="37" t="n">
        <x:f>IF(ISNUMBER(Q280),Q280^2,"")</x:f>
        <x:v>0.000021763077029199644</x:v>
      </x:c>
      <x:c r="V280" s="21" t="str">
        <x:f>IF(NOT(AND(ISNUMBER(D280),ISNUMBER(E280),ISNUMBER(G280),ISNUMBER(H280))),"缺少配对",IF(OR(F280&lt;J280,F280&gt;K280),"超出理论J范围","有效"))</x:f>
        <x:v>有效</x:v>
      </x:c>
      <x:c r="W280" s="20" t="str">
        <x:v>升力 y=0.915708x+28.7687 → C_T_prop；实验攻角 60° ↔ 理论 alpha_p_deg 30°；原升力源 4000rpm!C135/O135</x:v>
      </x:c>
      <x:c r="X280" s="20" t="str">
        <x:v>升力标定计算!M559</x:v>
      </x:c>
      <x:c r="Y280" s="20" t="str">
        <x:v>升力标定计算!M560</x:v>
      </x:c>
      <x:c r="Z280" s="20" t="str">
        <x:v>升力标定计算!N559</x:v>
      </x:c>
      <x:c r="AA280" s="20" t="str">
        <x:v>升力标定计算!N560</x:v>
      </x:c>
      <x:c r="AB280" s="20" t="str">
        <x:v>4000rpm!AT26:AS27</x:v>
      </x:c>
    </x:row>
    <x:row r="281">
      <x:c r="A281" s="21" t="n">
        <x:v>4000</x:v>
      </x:c>
      <x:c r="B281" s="21" t="n">
        <x:v>60</x:v>
      </x:c>
      <x:c r="C281" s="21" t="n">
        <x:v>22</x:v>
      </x:c>
      <x:c r="D281" s="22" t="n">
        <x:f>IFERROR('升力标定计算'!M561,"")</x:f>
        <x:v>0.008753324966709188</x:v>
      </x:c>
      <x:c r="E281" s="22" t="n">
        <x:f>IFERROR('升力标定计算'!M562,"")</x:f>
        <x:v>0.009009484313729353</x:v>
      </x:c>
      <x:c r="F281" s="22" t="n">
        <x:f>IF(AND(ISNUMBER(D281),ISNUMBER(E281)),AVERAGE(D281,E281),"")</x:f>
        <x:v>0.00888140464021927</x:v>
      </x:c>
      <x:c r="G281" s="22" t="n">
        <x:f>IFERROR('升力标定计算'!N561,"")</x:f>
        <x:v>0.07645974820953703</x:v>
      </x:c>
      <x:c r="H281" s="22" t="n">
        <x:f>IFERROR('升力标定计算'!N562,"")</x:f>
        <x:v>0.07575520436162948</x:v>
      </x:c>
      <x:c r="I281" s="22" t="n">
        <x:f>IF(AND(ISNUMBER(G281),ISNUMBER(H281)),AVERAGE(G281,H281),"")</x:f>
        <x:v>0.07610747628558326</x:v>
      </x:c>
      <x:c r="J281" s="22" t="n">
        <x:f>IFERROR('4000rpm'!AT25,"")</x:f>
        <x:v>0</x:v>
      </x:c>
      <x:c r="K281" s="22" t="n">
        <x:f>IFERROR('4000rpm'!AT35,"")</x:f>
        <x:v>0.3336614173228346</x:v>
      </x:c>
      <x:c r="L281" s="22" t="n">
        <x:f>IFERROR('4000rpm'!AT25,"")</x:f>
        <x:v>0</x:v>
      </x:c>
      <x:c r="M281" s="22" t="n">
        <x:f>IFERROR('4000rpm'!AS25,"")</x:f>
        <x:v>0.08350690647788582</x:v>
      </x:c>
      <x:c r="N281" s="22" t="n">
        <x:f>IFERROR('4000rpm'!AT26,"")</x:f>
        <x:v>0.033366141732283465</x:v>
      </x:c>
      <x:c r="O281" s="22" t="n">
        <x:f>IFERROR('4000rpm'!AS26,"")</x:f>
        <x:v>0.08014052644221993</x:v>
      </x:c>
      <x:c r="P281" s="22" t="n">
        <x:f>IF(OR(NOT(AND(ISNUMBER(D281),ISNUMBER(E281),ISNUMBER(G281),ISNUMBER(H281))),OR(F281&lt;J281,F281&gt;K281)),"",IF(N281=L281,M281,M281+(F281-L281)*(O281-M281)/(N281-L281)))</x:f>
        <x:v>0.08261084293210952</x:v>
      </x:c>
      <x:c r="Q281" s="22" t="n">
        <x:f>IF(AND(ISNUMBER(I281),ISNUMBER(P281)),I281-P281,"")</x:f>
        <x:v>-0.00650336664652626</x:v>
      </x:c>
      <x:c r="R281" s="22" t="n">
        <x:f>IF(ISNUMBER(Q281),ABS(Q281),"")</x:f>
        <x:v>0.00650336664652626</x:v>
      </x:c>
      <x:c r="S281" s="36" t="n">
        <x:f>IF(AND(ISNUMBER(Q281),ISNUMBER(P281)),IF(ABS(P281)&lt;1E-12,"",Q281/P281),"")</x:f>
        <x:v>-0.07872291839305884</x:v>
      </x:c>
      <x:c r="T281" s="36" t="n">
        <x:f>IF(ISNUMBER(S281),ABS(S281),"")</x:f>
        <x:v>0.07872291839305884</x:v>
      </x:c>
      <x:c r="U281" s="37" t="n">
        <x:f>IF(ISNUMBER(Q281),Q281^2,"")</x:f>
        <x:v>0.000042293777739150205</x:v>
      </x:c>
      <x:c r="V281" s="21" t="str">
        <x:f>IF(NOT(AND(ISNUMBER(D281),ISNUMBER(E281),ISNUMBER(G281),ISNUMBER(H281))),"缺少配对",IF(OR(F281&lt;J281,F281&gt;K281),"超出理论J范围","有效"))</x:f>
        <x:v>有效</x:v>
      </x:c>
      <x:c r="W281" s="20" t="str">
        <x:v>升力 y=0.915708x+28.7687 → C_T_prop；实验攻角 60° ↔ 理论 alpha_p_deg 30°；原升力源 4000rpm!C136/O136</x:v>
      </x:c>
      <x:c r="X281" s="20" t="str">
        <x:v>升力标定计算!M561</x:v>
      </x:c>
      <x:c r="Y281" s="20" t="str">
        <x:v>升力标定计算!M562</x:v>
      </x:c>
      <x:c r="Z281" s="20" t="str">
        <x:v>升力标定计算!N561</x:v>
      </x:c>
      <x:c r="AA281" s="20" t="str">
        <x:v>升力标定计算!N562</x:v>
      </x:c>
      <x:c r="AB281" s="20" t="str">
        <x:v>4000rpm!AT25:AS26</x:v>
      </x:c>
    </x:row>
    <x:row r="282">
      <x:c r="A282" s="21" t="n">
        <x:v>4000</x:v>
      </x:c>
      <x:c r="B282" s="21" t="n">
        <x:v>60</x:v>
      </x:c>
      <x:c r="C282" s="21" t="n">
        <x:v>23</x:v>
      </x:c>
      <x:c r="D282" s="22" t="str">
        <x:f>IFERROR('升力标定计算'!M563,"")</x:f>
      </x:c>
      <x:c r="E282" s="22" t="str">
        <x:f>IFERROR('升力标定计算'!M564,"")</x:f>
      </x:c>
      <x:c r="F282" s="22" t="str">
        <x:f>IF(AND(ISNUMBER(D282),ISNUMBER(E282)),AVERAGE(D282,E282),"")</x:f>
      </x:c>
      <x:c r="G282" s="22" t="str">
        <x:f>IFERROR('升力标定计算'!N563,"")</x:f>
      </x:c>
      <x:c r="H282" s="22" t="str">
        <x:f>IFERROR('升力标定计算'!N564,"")</x:f>
      </x:c>
      <x:c r="I282" s="22" t="str">
        <x:f>IF(AND(ISNUMBER(G282),ISNUMBER(H282)),AVERAGE(G282,H282),"")</x:f>
      </x:c>
      <x:c r="J282" s="22" t="n">
        <x:f>IFERROR('4000rpm'!AT25,"")</x:f>
        <x:v>0</x:v>
      </x:c>
      <x:c r="K282" s="22" t="n">
        <x:f>IFERROR('4000rpm'!AT35,"")</x:f>
        <x:v>0.3336614173228346</x:v>
      </x:c>
      <x:c r="L282" s="22" t="n">
        <x:f>IFERROR('4000rpm'!AT25,"")</x:f>
        <x:v>0</x:v>
      </x:c>
      <x:c r="M282" s="22" t="n">
        <x:f>IFERROR('4000rpm'!AS25,"")</x:f>
        <x:v>0.08350690647788582</x:v>
      </x:c>
      <x:c r="N282" s="22" t="n">
        <x:f>IFERROR('4000rpm'!AT35,"")</x:f>
        <x:v>0.3336614173228346</x:v>
      </x:c>
      <x:c r="O282" s="22" t="n">
        <x:f>IFERROR('4000rpm'!AS35,"")</x:f>
        <x:v>0.04378661961015296</x:v>
      </x:c>
      <x:c r="P282" s="22" t="str">
        <x:f>IF(OR(NOT(AND(ISNUMBER(D282),ISNUMBER(E282),ISNUMBER(G282),ISNUMBER(H282))),OR(F282&lt;J282,F282&gt;K282)),"",IF(N282=L282,M282,M282+(F282-L282)*(O282-M282)/(N282-L282)))</x:f>
      </x:c>
      <x:c r="Q282" s="22" t="str">
        <x:f>IF(AND(ISNUMBER(I282),ISNUMBER(P282)),I282-P282,"")</x:f>
      </x:c>
      <x:c r="R282" s="22" t="str">
        <x:f>IF(ISNUMBER(Q282),ABS(Q282),"")</x:f>
      </x:c>
      <x:c r="S282" s="36" t="str">
        <x:f>IF(AND(ISNUMBER(Q282),ISNUMBER(P282)),IF(ABS(P282)&lt;1E-12,"",Q282/P282),"")</x:f>
      </x:c>
      <x:c r="T282" s="36" t="str">
        <x:f>IF(ISNUMBER(S282),ABS(S282),"")</x:f>
      </x:c>
      <x:c r="U282" s="37" t="str">
        <x:f>IF(ISNUMBER(Q282),Q282^2,"")</x:f>
      </x:c>
      <x:c r="V282" s="21" t="str">
        <x:f>IF(NOT(AND(ISNUMBER(D282),ISNUMBER(E282),ISNUMBER(G282),ISNUMBER(H282))),"缺少配对",IF(OR(F282&lt;J282,F282&gt;K282),"超出理论J范围","有效"))</x:f>
        <x:v>缺少配对</x:v>
      </x:c>
      <x:c r="W282" s="20" t="str">
        <x:v>升力 y=0.915708x+28.7687 → C_T_prop；实验攻角 60° ↔ 理论 alpha_p_deg 30°；原升力源 4000rpm!C137/O137</x:v>
      </x:c>
      <x:c r="X282" s="20" t="str">
        <x:v>升力标定计算!M563</x:v>
      </x:c>
      <x:c r="Y282" s="20" t="str">
        <x:v>升力标定计算!M564</x:v>
      </x:c>
      <x:c r="Z282" s="20" t="str">
        <x:v>升力标定计算!N563</x:v>
      </x:c>
      <x:c r="AA282" s="20" t="str">
        <x:v>升力标定计算!N564</x:v>
      </x:c>
      <x:c r="AB282" s="20" t="str">
        <x:v>4000rpm!AT25:AS35</x:v>
      </x:c>
    </x:row>
    <x:row r="283">
      <x:c r="A283" s="21" t="n">
        <x:v>4000</x:v>
      </x:c>
      <x:c r="B283" s="21" t="n">
        <x:v>60</x:v>
      </x:c>
      <x:c r="C283" s="21" t="n">
        <x:v>24</x:v>
      </x:c>
      <x:c r="D283" s="22" t="str">
        <x:f>IFERROR('升力标定计算'!M565,"")</x:f>
      </x:c>
      <x:c r="E283" s="22" t="str">
        <x:f>IFERROR('升力标定计算'!M566,"")</x:f>
      </x:c>
      <x:c r="F283" s="22" t="str">
        <x:f>IF(AND(ISNUMBER(D283),ISNUMBER(E283)),AVERAGE(D283,E283),"")</x:f>
      </x:c>
      <x:c r="G283" s="22" t="str">
        <x:f>IFERROR('升力标定计算'!N565,"")</x:f>
      </x:c>
      <x:c r="H283" s="22" t="str">
        <x:f>IFERROR('升力标定计算'!N566,"")</x:f>
      </x:c>
      <x:c r="I283" s="22" t="str">
        <x:f>IF(AND(ISNUMBER(G283),ISNUMBER(H283)),AVERAGE(G283,H283),"")</x:f>
      </x:c>
      <x:c r="J283" s="22" t="n">
        <x:f>IFERROR('4000rpm'!AT25,"")</x:f>
        <x:v>0</x:v>
      </x:c>
      <x:c r="K283" s="22" t="n">
        <x:f>IFERROR('4000rpm'!AT35,"")</x:f>
        <x:v>0.3336614173228346</x:v>
      </x:c>
      <x:c r="L283" s="22" t="n">
        <x:f>IFERROR('4000rpm'!AT25,"")</x:f>
        <x:v>0</x:v>
      </x:c>
      <x:c r="M283" s="22" t="n">
        <x:f>IFERROR('4000rpm'!AS25,"")</x:f>
        <x:v>0.08350690647788582</x:v>
      </x:c>
      <x:c r="N283" s="22" t="n">
        <x:f>IFERROR('4000rpm'!AT35,"")</x:f>
        <x:v>0.3336614173228346</x:v>
      </x:c>
      <x:c r="O283" s="22" t="n">
        <x:f>IFERROR('4000rpm'!AS35,"")</x:f>
        <x:v>0.04378661961015296</x:v>
      </x:c>
      <x:c r="P283" s="22" t="str">
        <x:f>IF(OR(NOT(AND(ISNUMBER(D283),ISNUMBER(E283),ISNUMBER(G283),ISNUMBER(H283))),OR(F283&lt;J283,F283&gt;K283)),"",IF(N283=L283,M283,M283+(F283-L283)*(O283-M283)/(N283-L283)))</x:f>
      </x:c>
      <x:c r="Q283" s="22" t="str">
        <x:f>IF(AND(ISNUMBER(I283),ISNUMBER(P283)),I283-P283,"")</x:f>
      </x:c>
      <x:c r="R283" s="22" t="str">
        <x:f>IF(ISNUMBER(Q283),ABS(Q283),"")</x:f>
      </x:c>
      <x:c r="S283" s="36" t="str">
        <x:f>IF(AND(ISNUMBER(Q283),ISNUMBER(P283)),IF(ABS(P283)&lt;1E-12,"",Q283/P283),"")</x:f>
      </x:c>
      <x:c r="T283" s="36" t="str">
        <x:f>IF(ISNUMBER(S283),ABS(S283),"")</x:f>
      </x:c>
      <x:c r="U283" s="37" t="str">
        <x:f>IF(ISNUMBER(Q283),Q283^2,"")</x:f>
      </x:c>
      <x:c r="V283" s="21" t="str">
        <x:f>IF(NOT(AND(ISNUMBER(D283),ISNUMBER(E283),ISNUMBER(G283),ISNUMBER(H283))),"缺少配对",IF(OR(F283&lt;J283,F283&gt;K283),"超出理论J范围","有效"))</x:f>
        <x:v>缺少配对</x:v>
      </x:c>
      <x:c r="W283" s="20" t="str">
        <x:v>升力 y=0.915708x+28.7687 → C_T_prop；实验攻角 60° ↔ 理论 alpha_p_deg 30°；原升力源 4000rpm!C142/O142</x:v>
      </x:c>
      <x:c r="X283" s="20" t="str">
        <x:v>升力标定计算!M565</x:v>
      </x:c>
      <x:c r="Y283" s="20" t="str">
        <x:v>升力标定计算!M566</x:v>
      </x:c>
      <x:c r="Z283" s="20" t="str">
        <x:v>升力标定计算!N565</x:v>
      </x:c>
      <x:c r="AA283" s="20" t="str">
        <x:v>升力标定计算!N566</x:v>
      </x:c>
      <x:c r="AB283" s="20" t="str">
        <x:v>4000rpm!AT25:AS35</x:v>
      </x:c>
    </x:row>
    <x:row r="284">
      <x:c r="A284" s="21" t="n">
        <x:v>4000</x:v>
      </x:c>
      <x:c r="B284" s="21" t="n">
        <x:v>75</x:v>
      </x:c>
      <x:c r="C284" s="21" t="n">
        <x:v>1</x:v>
      </x:c>
      <x:c r="D284" s="22" t="str">
        <x:f>IFERROR('升力标定计算'!M567,"")</x:f>
      </x:c>
      <x:c r="E284" s="22" t="str">
        <x:f>IFERROR('升力标定计算'!M568,"")</x:f>
      </x:c>
      <x:c r="F284" s="22" t="str">
        <x:f>IF(AND(ISNUMBER(D284),ISNUMBER(E284)),AVERAGE(D284,E284),"")</x:f>
      </x:c>
      <x:c r="G284" s="22" t="str">
        <x:f>IFERROR('升力标定计算'!N567,"")</x:f>
      </x:c>
      <x:c r="H284" s="22" t="str">
        <x:f>IFERROR('升力标定计算'!N568,"")</x:f>
      </x:c>
      <x:c r="I284" s="22" t="str">
        <x:f>IF(AND(ISNUMBER(G284),ISNUMBER(H284)),AVERAGE(G284,H284),"")</x:f>
      </x:c>
      <x:c r="J284" s="22" t="n">
        <x:f>IFERROR('4000rpm'!AT14,"")</x:f>
        <x:v>0</x:v>
      </x:c>
      <x:c r="K284" s="22" t="n">
        <x:f>IFERROR('4000rpm'!AT24,"")</x:f>
        <x:v>0.3336614173228346</x:v>
      </x:c>
      <x:c r="L284" s="22" t="n">
        <x:f>IFERROR('4000rpm'!AT14,"")</x:f>
        <x:v>0</x:v>
      </x:c>
      <x:c r="M284" s="22" t="n">
        <x:f>IFERROR('4000rpm'!AS14,"")</x:f>
        <x:v>0.08350690647788582</x:v>
      </x:c>
      <x:c r="N284" s="22" t="n">
        <x:f>IFERROR('4000rpm'!AT24,"")</x:f>
        <x:v>0.3336614173228346</x:v>
      </x:c>
      <x:c r="O284" s="22" t="n">
        <x:f>IFERROR('4000rpm'!AS24,"")</x:f>
        <x:v>0.03583273242879417</x:v>
      </x:c>
      <x:c r="P284" s="22" t="str">
        <x:f>IF(OR(NOT(AND(ISNUMBER(D284),ISNUMBER(E284),ISNUMBER(G284),ISNUMBER(H284))),OR(F284&lt;J284,F284&gt;K284)),"",IF(N284=L284,M284,M284+(F284-L284)*(O284-M284)/(N284-L284)))</x:f>
      </x:c>
      <x:c r="Q284" s="22" t="str">
        <x:f>IF(AND(ISNUMBER(I284),ISNUMBER(P284)),I284-P284,"")</x:f>
      </x:c>
      <x:c r="R284" s="22" t="str">
        <x:f>IF(ISNUMBER(Q284),ABS(Q284),"")</x:f>
      </x:c>
      <x:c r="S284" s="36" t="str">
        <x:f>IF(AND(ISNUMBER(Q284),ISNUMBER(P284)),IF(ABS(P284)&lt;1E-12,"",Q284/P284),"")</x:f>
      </x:c>
      <x:c r="T284" s="36" t="str">
        <x:f>IF(ISNUMBER(S284),ABS(S284),"")</x:f>
      </x:c>
      <x:c r="U284" s="37" t="str">
        <x:f>IF(ISNUMBER(Q284),Q284^2,"")</x:f>
      </x:c>
      <x:c r="V284" s="21" t="str">
        <x:f>IF(NOT(AND(ISNUMBER(D284),ISNUMBER(E284),ISNUMBER(G284),ISNUMBER(H284))),"缺少配对",IF(OR(F284&lt;J284,F284&gt;K284),"超出理论J范围","有效"))</x:f>
        <x:v>缺少配对</x:v>
      </x:c>
      <x:c r="W284" s="20" t="str">
        <x:v>升力 y=0.915708x+28.7687 → C_T_prop；实验攻角 75° ↔ 理论 alpha_p_deg 15°；原升力源 4000rpm!D145/O145</x:v>
      </x:c>
      <x:c r="X284" s="20" t="str">
        <x:v>升力标定计算!M567</x:v>
      </x:c>
      <x:c r="Y284" s="20" t="str">
        <x:v>升力标定计算!M568</x:v>
      </x:c>
      <x:c r="Z284" s="20" t="str">
        <x:v>升力标定计算!N567</x:v>
      </x:c>
      <x:c r="AA284" s="20" t="str">
        <x:v>升力标定计算!N568</x:v>
      </x:c>
      <x:c r="AB284" s="20" t="str">
        <x:v>4000rpm!AT14:AS24</x:v>
      </x:c>
    </x:row>
    <x:row r="285">
      <x:c r="A285" s="21" t="n">
        <x:v>4000</x:v>
      </x:c>
      <x:c r="B285" s="21" t="n">
        <x:v>75</x:v>
      </x:c>
      <x:c r="C285" s="21" t="n">
        <x:v>2</x:v>
      </x:c>
      <x:c r="D285" s="22" t="n">
        <x:f>IFERROR('升力标定计算'!M569,"")</x:f>
        <x:v>0.005454297396074129</x:v>
      </x:c>
      <x:c r="E285" s="22" t="n">
        <x:f>IFERROR('升力标定计算'!M570,"")</x:f>
        <x:v>0.009102878392419873</x:v>
      </x:c>
      <x:c r="F285" s="22" t="n">
        <x:f>IF(AND(ISNUMBER(D285),ISNUMBER(E285)),AVERAGE(D285,E285),"")</x:f>
        <x:v>0.007278587894247001</x:v>
      </x:c>
      <x:c r="G285" s="22" t="n">
        <x:f>IFERROR('升力标定计算'!N569,"")</x:f>
        <x:v>0.07693088791652736</x:v>
      </x:c>
      <x:c r="H285" s="22" t="n">
        <x:f>IFERROR('升力标定计算'!N570,"")</x:f>
        <x:v>0.07678538018955491</x:v>
      </x:c>
      <x:c r="I285" s="22" t="n">
        <x:f>IF(AND(ISNUMBER(G285),ISNUMBER(H285)),AVERAGE(G285,H285),"")</x:f>
        <x:v>0.07685813405304114</x:v>
      </x:c>
      <x:c r="J285" s="22" t="n">
        <x:f>IFERROR('4000rpm'!AT14,"")</x:f>
        <x:v>0</x:v>
      </x:c>
      <x:c r="K285" s="22" t="n">
        <x:f>IFERROR('4000rpm'!AT24,"")</x:f>
        <x:v>0.3336614173228346</x:v>
      </x:c>
      <x:c r="L285" s="22" t="n">
        <x:f>IFERROR('4000rpm'!AT14,"")</x:f>
        <x:v>0</x:v>
      </x:c>
      <x:c r="M285" s="22" t="n">
        <x:f>IFERROR('4000rpm'!AS14,"")</x:f>
        <x:v>0.08350690647788582</x:v>
      </x:c>
      <x:c r="N285" s="22" t="n">
        <x:f>IFERROR('4000rpm'!AT15,"")</x:f>
        <x:v>0.033366141732283465</x:v>
      </x:c>
      <x:c r="O285" s="22" t="n">
        <x:f>IFERROR('4000rpm'!AS15,"")</x:f>
        <x:v>0.0796736988020287</x:v>
      </x:c>
      <x:c r="P285" s="22" t="n">
        <x:f>IF(OR(NOT(AND(ISNUMBER(D285),ISNUMBER(E285),ISNUMBER(G285),ISNUMBER(H285))),OR(F285&lt;J285,F285&gt;K285)),"",IF(N285=L285,M285,M285+(F285-L285)*(O285-M285)/(N285-L285)))</x:f>
        <x:v>0.0826707193271661</x:v>
      </x:c>
      <x:c r="Q285" s="22" t="n">
        <x:f>IF(AND(ISNUMBER(I285),ISNUMBER(P285)),I285-P285,"")</x:f>
        <x:v>-0.005812585274124968</x:v>
      </x:c>
      <x:c r="R285" s="22" t="n">
        <x:f>IF(ISNUMBER(Q285),ABS(Q285),"")</x:f>
        <x:v>0.005812585274124968</x:v>
      </x:c>
      <x:c r="S285" s="36" t="n">
        <x:f>IF(AND(ISNUMBER(Q285),ISNUMBER(P285)),IF(ABS(P285)&lt;1E-12,"",Q285/P285),"")</x:f>
        <x:v>-0.0703100846518813</x:v>
      </x:c>
      <x:c r="T285" s="36" t="n">
        <x:f>IF(ISNUMBER(S285),ABS(S285),"")</x:f>
        <x:v>0.0703100846518813</x:v>
      </x:c>
      <x:c r="U285" s="37" t="n">
        <x:f>IF(ISNUMBER(Q285),Q285^2,"")</x:f>
        <x:v>0.000033786147568974426</x:v>
      </x:c>
      <x:c r="V285" s="21" t="str">
        <x:f>IF(NOT(AND(ISNUMBER(D285),ISNUMBER(E285),ISNUMBER(G285),ISNUMBER(H285))),"缺少配对",IF(OR(F285&lt;J285,F285&gt;K285),"超出理论J范围","有效"))</x:f>
        <x:v>有效</x:v>
      </x:c>
      <x:c r="W285" s="20" t="str">
        <x:v>升力 y=0.915708x+28.7687 → C_T_prop；实验攻角 75° ↔ 理论 alpha_p_deg 15°；原升力源 4000rpm!D146/O146</x:v>
      </x:c>
      <x:c r="X285" s="20" t="str">
        <x:v>升力标定计算!M569</x:v>
      </x:c>
      <x:c r="Y285" s="20" t="str">
        <x:v>升力标定计算!M570</x:v>
      </x:c>
      <x:c r="Z285" s="20" t="str">
        <x:v>升力标定计算!N569</x:v>
      </x:c>
      <x:c r="AA285" s="20" t="str">
        <x:v>升力标定计算!N570</x:v>
      </x:c>
      <x:c r="AB285" s="20" t="str">
        <x:v>4000rpm!AT14:AS15</x:v>
      </x:c>
    </x:row>
    <x:row r="286">
      <x:c r="A286" s="21" t="n">
        <x:v>4000</x:v>
      </x:c>
      <x:c r="B286" s="21" t="n">
        <x:v>75</x:v>
      </x:c>
      <x:c r="C286" s="21" t="n">
        <x:v>3</x:v>
      </x:c>
      <x:c r="D286" s="22" t="n">
        <x:f>IFERROR('升力标定计算'!M571,"")</x:f>
        <x:v>0.030811180475493905</x:v>
      </x:c>
      <x:c r="E286" s="22" t="n">
        <x:f>IFERROR('升力标定计算'!M572,"")</x:f>
        <x:v>0.038523061898073876</x:v>
      </x:c>
      <x:c r="F286" s="22" t="n">
        <x:f>IF(AND(ISNUMBER(D286),ISNUMBER(E286)),AVERAGE(D286,E286),"")</x:f>
        <x:v>0.03466712118678389</x:v>
      </x:c>
      <x:c r="G286" s="22" t="n">
        <x:f>IFERROR('升力标定计算'!N571,"")</x:f>
        <x:v>0.07497823308727922</x:v>
      </x:c>
      <x:c r="H286" s="22" t="n">
        <x:f>IFERROR('升力标定计算'!N572,"")</x:f>
        <x:v>0.07541543836623683</x:v>
      </x:c>
      <x:c r="I286" s="22" t="n">
        <x:f>IF(AND(ISNUMBER(G286),ISNUMBER(H286)),AVERAGE(G286,H286),"")</x:f>
        <x:v>0.07519683572675803</x:v>
      </x:c>
      <x:c r="J286" s="22" t="n">
        <x:f>IFERROR('4000rpm'!AT14,"")</x:f>
        <x:v>0</x:v>
      </x:c>
      <x:c r="K286" s="22" t="n">
        <x:f>IFERROR('4000rpm'!AT24,"")</x:f>
        <x:v>0.3336614173228346</x:v>
      </x:c>
      <x:c r="L286" s="22" t="n">
        <x:f>IFERROR('4000rpm'!AT15,"")</x:f>
        <x:v>0.033366141732283465</x:v>
      </x:c>
      <x:c r="M286" s="22" t="n">
        <x:f>IFERROR('4000rpm'!AS15,"")</x:f>
        <x:v>0.0796736988020287</x:v>
      </x:c>
      <x:c r="N286" s="22" t="n">
        <x:f>IFERROR('4000rpm'!AT16,"")</x:f>
        <x:v>0.06673228346456693</x:v>
      </x:c>
      <x:c r="O286" s="22" t="n">
        <x:f>IFERROR('4000rpm'!AS16,"")</x:f>
        <x:v>0.07587342401676941</x:v>
      </x:c>
      <x:c r="P286" s="22" t="n">
        <x:f>IF(OR(NOT(AND(ISNUMBER(D286),ISNUMBER(E286),ISNUMBER(G286),ISNUMBER(H286))),OR(F286&lt;J286,F286&gt;K286)),"",IF(N286=L286,M286,M286+(F286-L286)*(O286-M286)/(N286-L286)))</x:f>
        <x:v>0.079525522262567</x:v>
      </x:c>
      <x:c r="Q286" s="22" t="n">
        <x:f>IF(AND(ISNUMBER(I286),ISNUMBER(P286)),I286-P286,"")</x:f>
        <x:v>-0.004328686535808965</x:v>
      </x:c>
      <x:c r="R286" s="22" t="n">
        <x:f>IF(ISNUMBER(Q286),ABS(Q286),"")</x:f>
        <x:v>0.004328686535808965</x:v>
      </x:c>
      <x:c r="S286" s="36" t="n">
        <x:f>IF(AND(ISNUMBER(Q286),ISNUMBER(P286)),IF(ABS(P286)&lt;1E-12,"",Q286/P286),"")</x:f>
        <x:v>-0.054431412867897586</x:v>
      </x:c>
      <x:c r="T286" s="36" t="n">
        <x:f>IF(ISNUMBER(S286),ABS(S286),"")</x:f>
        <x:v>0.054431412867897586</x:v>
      </x:c>
      <x:c r="U286" s="37" t="n">
        <x:f>IF(ISNUMBER(Q286),Q286^2,"")</x:f>
        <x:v>0.000018737527125293817</x:v>
      </x:c>
      <x:c r="V286" s="21" t="str">
        <x:f>IF(NOT(AND(ISNUMBER(D286),ISNUMBER(E286),ISNUMBER(G286),ISNUMBER(H286))),"缺少配对",IF(OR(F286&lt;J286,F286&gt;K286),"超出理论J范围","有效"))</x:f>
        <x:v>有效</x:v>
      </x:c>
      <x:c r="W286" s="20" t="str">
        <x:v>升力 y=0.915708x+28.7687 → C_T_prop；实验攻角 75° ↔ 理论 alpha_p_deg 15°；原升力源 4000rpm!D147/O147</x:v>
      </x:c>
      <x:c r="X286" s="20" t="str">
        <x:v>升力标定计算!M571</x:v>
      </x:c>
      <x:c r="Y286" s="20" t="str">
        <x:v>升力标定计算!M572</x:v>
      </x:c>
      <x:c r="Z286" s="20" t="str">
        <x:v>升力标定计算!N571</x:v>
      </x:c>
      <x:c r="AA286" s="20" t="str">
        <x:v>升力标定计算!N572</x:v>
      </x:c>
      <x:c r="AB286" s="20" t="str">
        <x:v>4000rpm!AT15:AS16</x:v>
      </x:c>
    </x:row>
    <x:row r="287">
      <x:c r="A287" s="21" t="n">
        <x:v>4000</x:v>
      </x:c>
      <x:c r="B287" s="21" t="n">
        <x:v>75</x:v>
      </x:c>
      <x:c r="C287" s="21" t="n">
        <x:v>4</x:v>
      </x:c>
      <x:c r="D287" s="22" t="n">
        <x:f>IFERROR('升力标定计算'!M573,"")</x:f>
        <x:v>0.07181490398268357</x:v>
      </x:c>
      <x:c r="E287" s="22" t="n">
        <x:f>IFERROR('升力标定计算'!M574,"")</x:f>
        <x:v>0.06830600519725011</x:v>
      </x:c>
      <x:c r="F287" s="22" t="n">
        <x:f>IF(AND(ISNUMBER(D287),ISNUMBER(E287)),AVERAGE(D287,E287),"")</x:f>
        <x:v>0.07006045458996685</x:v>
      </x:c>
      <x:c r="G287" s="22" t="n">
        <x:f>IFERROR('升力标定计算'!N573,"")</x:f>
        <x:v>0.07257861713360549</x:v>
      </x:c>
      <x:c r="H287" s="22" t="n">
        <x:f>IFERROR('升力标定计算'!N574,"")</x:f>
        <x:v>0.07167148842751382</x:v>
      </x:c>
      <x:c r="I287" s="22" t="n">
        <x:f>IF(AND(ISNUMBER(G287),ISNUMBER(H287)),AVERAGE(G287,H287),"")</x:f>
        <x:v>0.07212505278055965</x:v>
      </x:c>
      <x:c r="J287" s="22" t="n">
        <x:f>IFERROR('4000rpm'!AT14,"")</x:f>
        <x:v>0</x:v>
      </x:c>
      <x:c r="K287" s="22" t="n">
        <x:f>IFERROR('4000rpm'!AT24,"")</x:f>
        <x:v>0.3336614173228346</x:v>
      </x:c>
      <x:c r="L287" s="22" t="n">
        <x:f>IFERROR('4000rpm'!AT16,"")</x:f>
        <x:v>0.06673228346456693</x:v>
      </x:c>
      <x:c r="M287" s="22" t="n">
        <x:f>IFERROR('4000rpm'!AS16,"")</x:f>
        <x:v>0.07587342401676941</x:v>
      </x:c>
      <x:c r="N287" s="22" t="n">
        <x:f>IFERROR('4000rpm'!AT17,"")</x:f>
        <x:v>0.1000984251968504</x:v>
      </x:c>
      <x:c r="O287" s="22" t="n">
        <x:f>IFERROR('4000rpm'!AS17,"")</x:f>
        <x:v>0.0718198439322701</x:v>
      </x:c>
      <x:c r="P287" s="22" t="n">
        <x:f>IF(OR(NOT(AND(ISNUMBER(D287),ISNUMBER(E287),ISNUMBER(G287),ISNUMBER(H287))),OR(F287&lt;J287,F287&gt;K287)),"",IF(N287=L287,M287,M287+(F287-L287)*(O287-M287)/(N287-L287)))</x:f>
        <x:v>0.07546909173586103</x:v>
      </x:c>
      <x:c r="Q287" s="22" t="n">
        <x:f>IF(AND(ISNUMBER(I287),ISNUMBER(P287)),I287-P287,"")</x:f>
        <x:v>-0.0033440389553013733</x:v>
      </x:c>
      <x:c r="R287" s="22" t="n">
        <x:f>IF(ISNUMBER(Q287),ABS(Q287),"")</x:f>
        <x:v>0.0033440389553013733</x:v>
      </x:c>
      <x:c r="S287" s="36" t="n">
        <x:f>IF(AND(ISNUMBER(Q287),ISNUMBER(P287)),IF(ABS(P287)&lt;1E-12,"",Q287/P287),"")</x:f>
        <x:v>-0.044310046383032986</x:v>
      </x:c>
      <x:c r="T287" s="36" t="n">
        <x:f>IF(ISNUMBER(S287),ABS(S287),"")</x:f>
        <x:v>0.044310046383032986</x:v>
      </x:c>
      <x:c r="U287" s="37" t="n">
        <x:f>IF(ISNUMBER(Q287),Q287^2,"")</x:f>
        <x:v>0.0000111825965345731</x:v>
      </x:c>
      <x:c r="V287" s="21" t="str">
        <x:f>IF(NOT(AND(ISNUMBER(D287),ISNUMBER(E287),ISNUMBER(G287),ISNUMBER(H287))),"缺少配对",IF(OR(F287&lt;J287,F287&gt;K287),"超出理论J范围","有效"))</x:f>
        <x:v>有效</x:v>
      </x:c>
      <x:c r="W287" s="20" t="str">
        <x:v>升力 y=0.915708x+28.7687 → C_T_prop；实验攻角 75° ↔ 理论 alpha_p_deg 15°；原升力源 4000rpm!D148/O148</x:v>
      </x:c>
      <x:c r="X287" s="20" t="str">
        <x:v>升力标定计算!M573</x:v>
      </x:c>
      <x:c r="Y287" s="20" t="str">
        <x:v>升力标定计算!M574</x:v>
      </x:c>
      <x:c r="Z287" s="20" t="str">
        <x:v>升力标定计算!N573</x:v>
      </x:c>
      <x:c r="AA287" s="20" t="str">
        <x:v>升力标定计算!N574</x:v>
      </x:c>
      <x:c r="AB287" s="20" t="str">
        <x:v>4000rpm!AT16:AS17</x:v>
      </x:c>
    </x:row>
    <x:row r="288">
      <x:c r="A288" s="21" t="n">
        <x:v>4000</x:v>
      </x:c>
      <x:c r="B288" s="21" t="n">
        <x:v>75</x:v>
      </x:c>
      <x:c r="C288" s="21" t="n">
        <x:v>5</x:v>
      </x:c>
      <x:c r="D288" s="22" t="n">
        <x:f>IFERROR('升力标定计算'!M575,"")</x:f>
        <x:v>0.10089142605986291</x:v>
      </x:c>
      <x:c r="E288" s="22" t="n">
        <x:f>IFERROR('升力标定计算'!M576,"")</x:f>
        <x:v>0.10216612270149192</x:v>
      </x:c>
      <x:c r="F288" s="22" t="n">
        <x:f>IF(AND(ISNUMBER(D288),ISNUMBER(E288)),AVERAGE(D288,E288),"")</x:f>
        <x:v>0.10152877438067742</x:v>
      </x:c>
      <x:c r="G288" s="22" t="n">
        <x:f>IFERROR('升力标定计算'!N575,"")</x:f>
        <x:v>0.06741470275287986</x:v>
      </x:c>
      <x:c r="H288" s="22" t="n">
        <x:f>IFERROR('升力标定计算'!N576,"")</x:f>
        <x:v>0.06762245503777958</x:v>
      </x:c>
      <x:c r="I288" s="22" t="n">
        <x:f>IF(AND(ISNUMBER(G288),ISNUMBER(H288)),AVERAGE(G288,H288),"")</x:f>
        <x:v>0.06751857889532972</x:v>
      </x:c>
      <x:c r="J288" s="22" t="n">
        <x:f>IFERROR('4000rpm'!AT14,"")</x:f>
        <x:v>0</x:v>
      </x:c>
      <x:c r="K288" s="22" t="n">
        <x:f>IFERROR('4000rpm'!AT24,"")</x:f>
        <x:v>0.3336614173228346</x:v>
      </x:c>
      <x:c r="L288" s="22" t="n">
        <x:f>IFERROR('4000rpm'!AT17,"")</x:f>
        <x:v>0.1000984251968504</x:v>
      </x:c>
      <x:c r="M288" s="22" t="n">
        <x:f>IFERROR('4000rpm'!AS17,"")</x:f>
        <x:v>0.0718198439322701</x:v>
      </x:c>
      <x:c r="N288" s="22" t="n">
        <x:f>IFERROR('4000rpm'!AT18,"")</x:f>
        <x:v>0.13346456692913386</x:v>
      </x:c>
      <x:c r="O288" s="22" t="n">
        <x:f>IFERROR('4000rpm'!AS18,"")</x:f>
        <x:v>0.0675360120022772</x:v>
      </x:c>
      <x:c r="P288" s="22" t="n">
        <x:f>IF(OR(NOT(AND(ISNUMBER(D288),ISNUMBER(E288),ISNUMBER(G288),ISNUMBER(H288))),OR(F288&lt;J288,F288&gt;K288)),"",IF(N288=L288,M288,M288+(F288-L288)*(O288-M288)/(N288-L288)))</x:f>
        <x:v>0.07163620341566854</x:v>
      </x:c>
      <x:c r="Q288" s="22" t="n">
        <x:f>IF(AND(ISNUMBER(I288),ISNUMBER(P288)),I288-P288,"")</x:f>
        <x:v>-0.004117624520338814</x:v>
      </x:c>
      <x:c r="R288" s="22" t="n">
        <x:f>IF(ISNUMBER(Q288),ABS(Q288),"")</x:f>
        <x:v>0.004117624520338814</x:v>
      </x:c>
      <x:c r="S288" s="36" t="n">
        <x:f>IF(AND(ISNUMBER(Q288),ISNUMBER(P288)),IF(ABS(P288)&lt;1E-12,"",Q288/P288),"")</x:f>
        <x:v>-0.05747965866429755</x:v>
      </x:c>
      <x:c r="T288" s="36" t="n">
        <x:f>IF(ISNUMBER(S288),ABS(S288),"")</x:f>
        <x:v>0.05747965866429755</x:v>
      </x:c>
      <x:c r="U288" s="37" t="n">
        <x:f>IF(ISNUMBER(Q288),Q288^2,"")</x:f>
        <x:v>0.00001695483169049545</x:v>
      </x:c>
      <x:c r="V288" s="21" t="str">
        <x:f>IF(NOT(AND(ISNUMBER(D288),ISNUMBER(E288),ISNUMBER(G288),ISNUMBER(H288))),"缺少配对",IF(OR(F288&lt;J288,F288&gt;K288),"超出理论J范围","有效"))</x:f>
        <x:v>有效</x:v>
      </x:c>
      <x:c r="W288" s="20" t="str">
        <x:v>升力 y=0.915708x+28.7687 → C_T_prop；实验攻角 75° ↔ 理论 alpha_p_deg 15°；原升力源 4000rpm!D149/O149</x:v>
      </x:c>
      <x:c r="X288" s="20" t="str">
        <x:v>升力标定计算!M575</x:v>
      </x:c>
      <x:c r="Y288" s="20" t="str">
        <x:v>升力标定计算!M576</x:v>
      </x:c>
      <x:c r="Z288" s="20" t="str">
        <x:v>升力标定计算!N575</x:v>
      </x:c>
      <x:c r="AA288" s="20" t="str">
        <x:v>升力标定计算!N576</x:v>
      </x:c>
      <x:c r="AB288" s="20" t="str">
        <x:v>4000rpm!AT17:AS18</x:v>
      </x:c>
    </x:row>
    <x:row r="289">
      <x:c r="A289" s="21" t="n">
        <x:v>4000</x:v>
      </x:c>
      <x:c r="B289" s="21" t="n">
        <x:v>75</x:v>
      </x:c>
      <x:c r="C289" s="21" t="n">
        <x:v>6</x:v>
      </x:c>
      <x:c r="D289" s="22" t="n">
        <x:f>IFERROR('升力标定计算'!M577,"")</x:f>
        <x:v>0.13440020370840375</x:v>
      </x:c>
      <x:c r="E289" s="22" t="n">
        <x:f>IFERROR('升力标定计算'!M578,"")</x:f>
        <x:v>0.1358706359851342</x:v>
      </x:c>
      <x:c r="F289" s="22" t="n">
        <x:f>IF(AND(ISNUMBER(D289),ISNUMBER(E289)),AVERAGE(D289,E289),"")</x:f>
        <x:v>0.13513541984676897</x:v>
      </x:c>
      <x:c r="G289" s="22" t="n">
        <x:f>IFERROR('升力标定计算'!N577,"")</x:f>
        <x:v>0.06302340063615294</x:v>
      </x:c>
      <x:c r="H289" s="22" t="n">
        <x:f>IFERROR('升力标定计算'!N578,"")</x:f>
        <x:v>0.0632322065006034</x:v>
      </x:c>
      <x:c r="I289" s="22" t="n">
        <x:f>IF(AND(ISNUMBER(G289),ISNUMBER(H289)),AVERAGE(G289,H289),"")</x:f>
        <x:v>0.06312780356837817</x:v>
      </x:c>
      <x:c r="J289" s="22" t="n">
        <x:f>IFERROR('4000rpm'!AT14,"")</x:f>
        <x:v>0</x:v>
      </x:c>
      <x:c r="K289" s="22" t="n">
        <x:f>IFERROR('4000rpm'!AT24,"")</x:f>
        <x:v>0.3336614173228346</x:v>
      </x:c>
      <x:c r="L289" s="22" t="n">
        <x:f>IFERROR('4000rpm'!AT18,"")</x:f>
        <x:v>0.13346456692913386</x:v>
      </x:c>
      <x:c r="M289" s="22" t="n">
        <x:f>IFERROR('4000rpm'!AS18,"")</x:f>
        <x:v>0.0675360120022772</x:v>
      </x:c>
      <x:c r="N289" s="22" t="n">
        <x:f>IFERROR('4000rpm'!AT19,"")</x:f>
        <x:v>0.1668307086614173</x:v>
      </x:c>
      <x:c r="O289" s="22" t="n">
        <x:f>IFERROR('4000rpm'!AS19,"")</x:f>
        <x:v>0.06297854794892306</x:v>
      </x:c>
      <x:c r="P289" s="22" t="n">
        <x:f>IF(OR(NOT(AND(ISNUMBER(D289),ISNUMBER(E289),ISNUMBER(G289),ISNUMBER(H289))),OR(F289&lt;J289,F289&gt;K289)),"",IF(N289=L289,M289,M289+(F289-L289)*(O289-M289)/(N289-L289)))</x:f>
        <x:v>0.0673077910658662</x:v>
      </x:c>
      <x:c r="Q289" s="22" t="n">
        <x:f>IF(AND(ISNUMBER(I289),ISNUMBER(P289)),I289-P289,"")</x:f>
        <x:v>-0.004179987497488019</x:v>
      </x:c>
      <x:c r="R289" s="22" t="n">
        <x:f>IF(ISNUMBER(Q289),ABS(Q289),"")</x:f>
        <x:v>0.004179987497488019</x:v>
      </x:c>
      <x:c r="S289" s="36" t="n">
        <x:f>IF(AND(ISNUMBER(Q289),ISNUMBER(P289)),IF(ABS(P289)&lt;1E-12,"",Q289/P289),"")</x:f>
        <x:v>-0.062102580270351745</x:v>
      </x:c>
      <x:c r="T289" s="36" t="n">
        <x:f>IF(ISNUMBER(S289),ABS(S289),"")</x:f>
        <x:v>0.062102580270351745</x:v>
      </x:c>
      <x:c r="U289" s="37" t="n">
        <x:f>IF(ISNUMBER(Q289),Q289^2,"")</x:f>
        <x:v>0.000017472295479156152</x:v>
      </x:c>
      <x:c r="V289" s="21" t="str">
        <x:f>IF(NOT(AND(ISNUMBER(D289),ISNUMBER(E289),ISNUMBER(G289),ISNUMBER(H289))),"缺少配对",IF(OR(F289&lt;J289,F289&gt;K289),"超出理论J范围","有效"))</x:f>
        <x:v>有效</x:v>
      </x:c>
      <x:c r="W289" s="20" t="str">
        <x:v>升力 y=0.915708x+28.7687 → C_T_prop；实验攻角 75° ↔ 理论 alpha_p_deg 15°；原升力源 4000rpm!D150/O150</x:v>
      </x:c>
      <x:c r="X289" s="20" t="str">
        <x:v>升力标定计算!M577</x:v>
      </x:c>
      <x:c r="Y289" s="20" t="str">
        <x:v>升力标定计算!M578</x:v>
      </x:c>
      <x:c r="Z289" s="20" t="str">
        <x:v>升力标定计算!N577</x:v>
      </x:c>
      <x:c r="AA289" s="20" t="str">
        <x:v>升力标定计算!N578</x:v>
      </x:c>
      <x:c r="AB289" s="20" t="str">
        <x:v>4000rpm!AT18:AS19</x:v>
      </x:c>
    </x:row>
    <x:row r="290">
      <x:c r="A290" s="21" t="n">
        <x:v>4000</x:v>
      </x:c>
      <x:c r="B290" s="21" t="n">
        <x:v>75</x:v>
      </x:c>
      <x:c r="C290" s="21" t="n">
        <x:v>7</x:v>
      </x:c>
      <x:c r="D290" s="22" t="n">
        <x:f>IFERROR('升力标定计算'!M579,"")</x:f>
        <x:v>0.16744521120244366</x:v>
      </x:c>
      <x:c r="E290" s="22" t="n">
        <x:f>IFERROR('升力标定计算'!M580,"")</x:f>
        <x:v>0.16867340339106754</x:v>
      </x:c>
      <x:c r="F290" s="22" t="n">
        <x:f>IF(AND(ISNUMBER(D290),ISNUMBER(E290)),AVERAGE(D290,E290),"")</x:f>
        <x:v>0.1680593072967556</x:v>
      </x:c>
      <x:c r="G290" s="22" t="n">
        <x:f>IFERROR('升力标定计算'!N579,"")</x:f>
        <x:v>0.05819415691807916</x:v>
      </x:c>
      <x:c r="H290" s="22" t="n">
        <x:f>IFERROR('升力标定计算'!N580,"")</x:f>
        <x:v>0.05776783188019365</x:v>
      </x:c>
      <x:c r="I290" s="22" t="n">
        <x:f>IF(AND(ISNUMBER(G290),ISNUMBER(H290)),AVERAGE(G290,H290),"")</x:f>
        <x:v>0.057980994399136405</x:v>
      </x:c>
      <x:c r="J290" s="22" t="n">
        <x:f>IFERROR('4000rpm'!AT14,"")</x:f>
        <x:v>0</x:v>
      </x:c>
      <x:c r="K290" s="22" t="n">
        <x:f>IFERROR('4000rpm'!AT24,"")</x:f>
        <x:v>0.3336614173228346</x:v>
      </x:c>
      <x:c r="L290" s="22" t="n">
        <x:f>IFERROR('4000rpm'!AT19,"")</x:f>
        <x:v>0.1668307086614173</x:v>
      </x:c>
      <x:c r="M290" s="22" t="n">
        <x:f>IFERROR('4000rpm'!AS19,"")</x:f>
        <x:v>0.06297854794892306</x:v>
      </x:c>
      <x:c r="N290" s="22" t="n">
        <x:f>IFERROR('4000rpm'!AT20,"")</x:f>
        <x:v>0.2001968503937008</x:v>
      </x:c>
      <x:c r="O290" s="22" t="n">
        <x:f>IFERROR('4000rpm'!AS20,"")</x:f>
        <x:v>0.05812167918287846</x:v>
      </x:c>
      <x:c r="P290" s="22" t="n">
        <x:f>IF(OR(NOT(AND(ISNUMBER(D290),ISNUMBER(E290),ISNUMBER(G290),ISNUMBER(H290))),OR(F290&lt;J290,F290&gt;K290)),"",IF(N290=L290,M290,M290+(F290-L290)*(O290-M290)/(N290-L290)))</x:f>
        <x:v>0.06279970970068155</x:v>
      </x:c>
      <x:c r="Q290" s="22" t="n">
        <x:f>IF(AND(ISNUMBER(I290),ISNUMBER(P290)),I290-P290,"")</x:f>
        <x:v>-0.004818715301545144</x:v>
      </x:c>
      <x:c r="R290" s="22" t="n">
        <x:f>IF(ISNUMBER(Q290),ABS(Q290),"")</x:f>
        <x:v>0.004818715301545144</x:v>
      </x:c>
      <x:c r="S290" s="36" t="n">
        <x:f>IF(AND(ISNUMBER(Q290),ISNUMBER(P290)),IF(ABS(P290)&lt;1E-12,"",Q290/P290),"")</x:f>
        <x:v>-0.07673149007395567</x:v>
      </x:c>
      <x:c r="T290" s="36" t="n">
        <x:f>IF(ISNUMBER(S290),ABS(S290),"")</x:f>
        <x:v>0.07673149007395567</x:v>
      </x:c>
      <x:c r="U290" s="37" t="n">
        <x:f>IF(ISNUMBER(Q290),Q290^2,"")</x:f>
        <x:v>0.00002322001715734531</x:v>
      </x:c>
      <x:c r="V290" s="21" t="str">
        <x:f>IF(NOT(AND(ISNUMBER(D290),ISNUMBER(E290),ISNUMBER(G290),ISNUMBER(H290))),"缺少配对",IF(OR(F290&lt;J290,F290&gt;K290),"超出理论J范围","有效"))</x:f>
        <x:v>有效</x:v>
      </x:c>
      <x:c r="W290" s="20" t="str">
        <x:v>升力 y=0.915708x+28.7687 → C_T_prop；实验攻角 75° ↔ 理论 alpha_p_deg 15°；原升力源 4000rpm!D151/O151</x:v>
      </x:c>
      <x:c r="X290" s="20" t="str">
        <x:v>升力标定计算!M579</x:v>
      </x:c>
      <x:c r="Y290" s="20" t="str">
        <x:v>升力标定计算!M580</x:v>
      </x:c>
      <x:c r="Z290" s="20" t="str">
        <x:v>升力标定计算!N579</x:v>
      </x:c>
      <x:c r="AA290" s="20" t="str">
        <x:v>升力标定计算!N580</x:v>
      </x:c>
      <x:c r="AB290" s="20" t="str">
        <x:v>4000rpm!AT19:AS20</x:v>
      </x:c>
    </x:row>
    <x:row r="291">
      <x:c r="A291" s="21" t="n">
        <x:v>4000</x:v>
      </x:c>
      <x:c r="B291" s="21" t="n">
        <x:v>75</x:v>
      </x:c>
      <x:c r="C291" s="21" t="n">
        <x:v>8</x:v>
      </x:c>
      <x:c r="D291" s="22" t="n">
        <x:f>IFERROR('升力标定计算'!M581,"")</x:f>
        <x:v>0.1970470005979393</x:v>
      </x:c>
      <x:c r="E291" s="22" t="n">
        <x:f>IFERROR('升力标定计算'!M582,"")</x:f>
        <x:v>0.2018393214387206</x:v>
      </x:c>
      <x:c r="F291" s="22" t="n">
        <x:f>IF(AND(ISNUMBER(D291),ISNUMBER(E291)),AVERAGE(D291,E291),"")</x:f>
        <x:v>0.19944316101832996</x:v>
      </x:c>
      <x:c r="G291" s="22" t="n">
        <x:f>IFERROR('升力标定计算'!N581,"")</x:f>
        <x:v>0.05405797914200888</x:v>
      </x:c>
      <x:c r="H291" s="22" t="n">
        <x:f>IFERROR('升力标定计算'!N582,"")</x:f>
        <x:v>0.05300929637032563</x:v>
      </x:c>
      <x:c r="I291" s="22" t="n">
        <x:f>IF(AND(ISNUMBER(G291),ISNUMBER(H291)),AVERAGE(G291,H291),"")</x:f>
        <x:v>0.053533637756167256</x:v>
      </x:c>
      <x:c r="J291" s="22" t="n">
        <x:f>IFERROR('4000rpm'!AT14,"")</x:f>
        <x:v>0</x:v>
      </x:c>
      <x:c r="K291" s="22" t="n">
        <x:f>IFERROR('4000rpm'!AT24,"")</x:f>
        <x:v>0.3336614173228346</x:v>
      </x:c>
      <x:c r="L291" s="22" t="n">
        <x:f>IFERROR('4000rpm'!AT19,"")</x:f>
        <x:v>0.1668307086614173</x:v>
      </x:c>
      <x:c r="M291" s="22" t="n">
        <x:f>IFERROR('4000rpm'!AS19,"")</x:f>
        <x:v>0.06297854794892306</x:v>
      </x:c>
      <x:c r="N291" s="22" t="n">
        <x:f>IFERROR('4000rpm'!AT20,"")</x:f>
        <x:v>0.2001968503937008</x:v>
      </x:c>
      <x:c r="O291" s="22" t="n">
        <x:f>IFERROR('4000rpm'!AS20,"")</x:f>
        <x:v>0.05812167918287846</x:v>
      </x:c>
      <x:c r="P291" s="22" t="n">
        <x:f>IF(OR(NOT(AND(ISNUMBER(D291),ISNUMBER(E291),ISNUMBER(G291),ISNUMBER(H291))),OR(F291&lt;J291,F291&gt;K291)),"",IF(N291=L291,M291,M291+(F291-L291)*(O291-M291)/(N291-L291)))</x:f>
        <x:v>0.05823138831304728</x:v>
      </x:c>
      <x:c r="Q291" s="22" t="n">
        <x:f>IF(AND(ISNUMBER(I291),ISNUMBER(P291)),I291-P291,"")</x:f>
        <x:v>-0.004697750556880022</x:v>
      </x:c>
      <x:c r="R291" s="22" t="n">
        <x:f>IF(ISNUMBER(Q291),ABS(Q291),"")</x:f>
        <x:v>0.004697750556880022</x:v>
      </x:c>
      <x:c r="S291" s="36" t="n">
        <x:f>IF(AND(ISNUMBER(Q291),ISNUMBER(P291)),IF(ABS(P291)&lt;1E-12,"",Q291/P291),"")</x:f>
        <x:v>-0.080673854650782</x:v>
      </x:c>
      <x:c r="T291" s="36" t="n">
        <x:f>IF(ISNUMBER(S291),ABS(S291),"")</x:f>
        <x:v>0.080673854650782</x:v>
      </x:c>
      <x:c r="U291" s="37" t="n">
        <x:f>IF(ISNUMBER(Q291),Q291^2,"")</x:f>
        <x:v>0.000022068860294666556</x:v>
      </x:c>
      <x:c r="V291" s="21" t="str">
        <x:f>IF(NOT(AND(ISNUMBER(D291),ISNUMBER(E291),ISNUMBER(G291),ISNUMBER(H291))),"缺少配对",IF(OR(F291&lt;J291,F291&gt;K291),"超出理论J范围","有效"))</x:f>
        <x:v>有效</x:v>
      </x:c>
      <x:c r="W291" s="20" t="str">
        <x:v>升力 y=0.915708x+28.7687 → C_T_prop；实验攻角 75° ↔ 理论 alpha_p_deg 15°；原升力源 4000rpm!D152/O152</x:v>
      </x:c>
      <x:c r="X291" s="20" t="str">
        <x:v>升力标定计算!M581</x:v>
      </x:c>
      <x:c r="Y291" s="20" t="str">
        <x:v>升力标定计算!M582</x:v>
      </x:c>
      <x:c r="Z291" s="20" t="str">
        <x:v>升力标定计算!N581</x:v>
      </x:c>
      <x:c r="AA291" s="20" t="str">
        <x:v>升力标定计算!N582</x:v>
      </x:c>
      <x:c r="AB291" s="20" t="str">
        <x:v>4000rpm!AT19:AS20</x:v>
      </x:c>
    </x:row>
    <x:row r="292">
      <x:c r="A292" s="21" t="n">
        <x:v>4000</x:v>
      </x:c>
      <x:c r="B292" s="21" t="n">
        <x:v>75</x:v>
      </x:c>
      <x:c r="C292" s="21" t="n">
        <x:v>9</x:v>
      </x:c>
      <x:c r="D292" s="22" t="n">
        <x:f>IFERROR('升力标定计算'!M583,"")</x:f>
        <x:v>0.23047772567705174</x:v>
      </x:c>
      <x:c r="E292" s="22" t="n">
        <x:f>IFERROR('升力标定计算'!M584,"")</x:f>
        <x:v>0.23285947722165876</x:v>
      </x:c>
      <x:c r="F292" s="22" t="n">
        <x:f>IF(AND(ISNUMBER(D292),ISNUMBER(E292)),AVERAGE(D292,E292),"")</x:f>
        <x:v>0.23166860144935525</x:v>
      </x:c>
      <x:c r="G292" s="22" t="n">
        <x:f>IFERROR('升力标定计算'!N583,"")</x:f>
        <x:v>0.04802486254608096</x:v>
      </x:c>
      <x:c r="H292" s="22" t="n">
        <x:f>IFERROR('升力标定计算'!N584,"")</x:f>
        <x:v>0.0476707633458308</x:v>
      </x:c>
      <x:c r="I292" s="22" t="n">
        <x:f>IF(AND(ISNUMBER(G292),ISNUMBER(H292)),AVERAGE(G292,H292),"")</x:f>
        <x:v>0.04784781294595588</x:v>
      </x:c>
      <x:c r="J292" s="22" t="n">
        <x:f>IFERROR('4000rpm'!AT14,"")</x:f>
        <x:v>0</x:v>
      </x:c>
      <x:c r="K292" s="22" t="n">
        <x:f>IFERROR('4000rpm'!AT24,"")</x:f>
        <x:v>0.3336614173228346</x:v>
      </x:c>
      <x:c r="L292" s="22" t="n">
        <x:f>IFERROR('4000rpm'!AT20,"")</x:f>
        <x:v>0.2001968503937008</x:v>
      </x:c>
      <x:c r="M292" s="22" t="n">
        <x:f>IFERROR('4000rpm'!AS20,"")</x:f>
        <x:v>0.05812167918287846</x:v>
      </x:c>
      <x:c r="N292" s="22" t="n">
        <x:f>IFERROR('4000rpm'!AT21,"")</x:f>
        <x:v>0.23356299212598428</x:v>
      </x:c>
      <x:c r="O292" s="22" t="n">
        <x:f>IFERROR('4000rpm'!AS21,"")</x:f>
        <x:v>0.052983091860911505</x:v>
      </x:c>
      <x:c r="P292" s="22" t="n">
        <x:f>IF(OR(NOT(AND(ISNUMBER(D292),ISNUMBER(E292),ISNUMBER(G292),ISNUMBER(H292))),OR(F292&lt;J292,F292&gt;K292)),"",IF(N292=L292,M292,M292+(F292-L292)*(O292-M292)/(N292-L292)))</x:f>
        <x:v>0.05327483946517106</x:v>
      </x:c>
      <x:c r="Q292" s="22" t="n">
        <x:f>IF(AND(ISNUMBER(I292),ISNUMBER(P292)),I292-P292,"")</x:f>
        <x:v>-0.005427026519215179</x:v>
      </x:c>
      <x:c r="R292" s="22" t="n">
        <x:f>IF(ISNUMBER(Q292),ABS(Q292),"")</x:f>
        <x:v>0.005427026519215179</x:v>
      </x:c>
      <x:c r="S292" s="36" t="n">
        <x:f>IF(AND(ISNUMBER(Q292),ISNUMBER(P292)),IF(ABS(P292)&lt;1E-12,"",Q292/P292),"")</x:f>
        <x:v>-0.10186847250404481</x:v>
      </x:c>
      <x:c r="T292" s="36" t="n">
        <x:f>IF(ISNUMBER(S292),ABS(S292),"")</x:f>
        <x:v>0.10186847250404481</x:v>
      </x:c>
      <x:c r="U292" s="37" t="n">
        <x:f>IF(ISNUMBER(Q292),Q292^2,"")</x:f>
        <x:v>0.000029452616840264826</x:v>
      </x:c>
      <x:c r="V292" s="21" t="str">
        <x:f>IF(NOT(AND(ISNUMBER(D292),ISNUMBER(E292),ISNUMBER(G292),ISNUMBER(H292))),"缺少配对",IF(OR(F292&lt;J292,F292&gt;K292),"超出理论J范围","有效"))</x:f>
        <x:v>有效</x:v>
      </x:c>
      <x:c r="W292" s="20" t="str">
        <x:v>升力 y=0.915708x+28.7687 → C_T_prop；实验攻角 75° ↔ 理论 alpha_p_deg 15°；原升力源 4000rpm!D153/O153</x:v>
      </x:c>
      <x:c r="X292" s="20" t="str">
        <x:v>升力标定计算!M583</x:v>
      </x:c>
      <x:c r="Y292" s="20" t="str">
        <x:v>升力标定计算!M584</x:v>
      </x:c>
      <x:c r="Z292" s="20" t="str">
        <x:v>升力标定计算!N583</x:v>
      </x:c>
      <x:c r="AA292" s="20" t="str">
        <x:v>升力标定计算!N584</x:v>
      </x:c>
      <x:c r="AB292" s="20" t="str">
        <x:v>4000rpm!AT20:AS21</x:v>
      </x:c>
    </x:row>
    <x:row r="293">
      <x:c r="A293" s="21" t="n">
        <x:v>4000</x:v>
      </x:c>
      <x:c r="B293" s="21" t="n">
        <x:v>75</x:v>
      </x:c>
      <x:c r="C293" s="21" t="n">
        <x:v>10</x:v>
      </x:c>
      <x:c r="D293" s="22" t="n">
        <x:f>IFERROR('升力标定计算'!M585,"")</x:f>
        <x:v>0.2619998603762237</x:v>
      </x:c>
      <x:c r="E293" s="22" t="n">
        <x:f>IFERROR('升力标定计算'!M586,"")</x:f>
        <x:v>0.26485338299127553</x:v>
      </x:c>
      <x:c r="F293" s="22" t="n">
        <x:f>IF(AND(ISNUMBER(D293),ISNUMBER(E293)),AVERAGE(D293,E293),"")</x:f>
        <x:v>0.26342662168374964</x:v>
      </x:c>
      <x:c r="G293" s="22" t="n">
        <x:f>IFERROR('升力标定计算'!N585,"")</x:f>
        <x:v>0.04318022645252632</x:v>
      </x:c>
      <x:c r="H293" s="22" t="n">
        <x:f>IFERROR('升力标定计算'!N586,"")</x:f>
        <x:v>0.04276392000696819</x:v>
      </x:c>
      <x:c r="I293" s="22" t="n">
        <x:f>IF(AND(ISNUMBER(G293),ISNUMBER(H293)),AVERAGE(G293,H293),"")</x:f>
        <x:v>0.04297207322974725</x:v>
      </x:c>
      <x:c r="J293" s="22" t="n">
        <x:f>IFERROR('4000rpm'!AT14,"")</x:f>
        <x:v>0</x:v>
      </x:c>
      <x:c r="K293" s="22" t="n">
        <x:f>IFERROR('4000rpm'!AT24,"")</x:f>
        <x:v>0.3336614173228346</x:v>
      </x:c>
      <x:c r="L293" s="22" t="n">
        <x:f>IFERROR('4000rpm'!AT21,"")</x:f>
        <x:v>0.23356299212598428</x:v>
      </x:c>
      <x:c r="M293" s="22" t="n">
        <x:f>IFERROR('4000rpm'!AS21,"")</x:f>
        <x:v>0.052983091860911505</x:v>
      </x:c>
      <x:c r="N293" s="22" t="n">
        <x:f>IFERROR('4000rpm'!AT22,"")</x:f>
        <x:v>0.2669291338582677</x:v>
      </x:c>
      <x:c r="O293" s="22" t="n">
        <x:f>IFERROR('4000rpm'!AS22,"")</x:f>
        <x:v>0.04754026702113885</x:v>
      </x:c>
      <x:c r="P293" s="22" t="n">
        <x:f>IF(OR(NOT(AND(ISNUMBER(D293),ISNUMBER(E293),ISNUMBER(G293),ISNUMBER(H293))),OR(F293&lt;J293,F293&gt;K293)),"",IF(N293=L293,M293,M293+(F293-L293)*(O293-M293)/(N293-L293)))</x:f>
        <x:v>0.04811161148218057</x:v>
      </x:c>
      <x:c r="Q293" s="22" t="n">
        <x:f>IF(AND(ISNUMBER(I293),ISNUMBER(P293)),I293-P293,"")</x:f>
        <x:v>-0.005139538252433323</x:v>
      </x:c>
      <x:c r="R293" s="22" t="n">
        <x:f>IF(ISNUMBER(Q293),ABS(Q293),"")</x:f>
        <x:v>0.005139538252433323</x:v>
      </x:c>
      <x:c r="S293" s="36" t="n">
        <x:f>IF(AND(ISNUMBER(Q293),ISNUMBER(P293)),IF(ABS(P293)&lt;1E-12,"",Q293/P293),"")</x:f>
        <x:v>-0.10682531917137902</x:v>
      </x:c>
      <x:c r="T293" s="36" t="n">
        <x:f>IF(ISNUMBER(S293),ABS(S293),"")</x:f>
        <x:v>0.10682531917137902</x:v>
      </x:c>
      <x:c r="U293" s="37" t="n">
        <x:f>IF(ISNUMBER(Q293),Q293^2,"")</x:f>
        <x:v>0.00002641485344822538</x:v>
      </x:c>
      <x:c r="V293" s="21" t="str">
        <x:f>IF(NOT(AND(ISNUMBER(D293),ISNUMBER(E293),ISNUMBER(G293),ISNUMBER(H293))),"缺少配对",IF(OR(F293&lt;J293,F293&gt;K293),"超出理论J范围","有效"))</x:f>
        <x:v>有效</x:v>
      </x:c>
      <x:c r="W293" s="20" t="str">
        <x:v>升力 y=0.915708x+28.7687 → C_T_prop；实验攻角 75° ↔ 理论 alpha_p_deg 15°；原升力源 4000rpm!D154/O154</x:v>
      </x:c>
      <x:c r="X293" s="20" t="str">
        <x:v>升力标定计算!M585</x:v>
      </x:c>
      <x:c r="Y293" s="20" t="str">
        <x:v>升力标定计算!M586</x:v>
      </x:c>
      <x:c r="Z293" s="20" t="str">
        <x:v>升力标定计算!N585</x:v>
      </x:c>
      <x:c r="AA293" s="20" t="str">
        <x:v>升力标定计算!N586</x:v>
      </x:c>
      <x:c r="AB293" s="20" t="str">
        <x:v>4000rpm!AT21:AS22</x:v>
      </x:c>
    </x:row>
    <x:row r="294">
      <x:c r="A294" s="21" t="n">
        <x:v>4000</x:v>
      </x:c>
      <x:c r="B294" s="21" t="n">
        <x:v>75</x:v>
      </x:c>
      <x:c r="C294" s="21" t="n">
        <x:v>11</x:v>
      </x:c>
      <x:c r="D294" s="22" t="n">
        <x:f>IFERROR('升力标定计算'!M587,"")</x:f>
        <x:v>0.29494415303331734</x:v>
      </x:c>
      <x:c r="E294" s="22" t="n">
        <x:f>IFERROR('升力标定计算'!M588,"")</x:f>
        <x:v>0.29673964221489</x:v>
      </x:c>
      <x:c r="F294" s="22" t="n">
        <x:f>IF(AND(ISNUMBER(D294),ISNUMBER(E294)),AVERAGE(D294,E294),"")</x:f>
        <x:v>0.2958418976241037</x:v>
      </x:c>
      <x:c r="G294" s="22" t="n">
        <x:f>IFERROR('升力标定计算'!N587,"")</x:f>
        <x:v>0.05163254860487432</x:v>
      </x:c>
      <x:c r="H294" s="22" t="n">
        <x:f>IFERROR('升力标定计算'!N588,"")</x:f>
        <x:v>0.0371380772965098</x:v>
      </x:c>
      <x:c r="I294" s="22" t="n">
        <x:f>IF(AND(ISNUMBER(G294),ISNUMBER(H294)),AVERAGE(G294,H294),"")</x:f>
        <x:v>0.04438531295069206</x:v>
      </x:c>
      <x:c r="J294" s="22" t="n">
        <x:f>IFERROR('4000rpm'!AT14,"")</x:f>
        <x:v>0</x:v>
      </x:c>
      <x:c r="K294" s="22" t="n">
        <x:f>IFERROR('4000rpm'!AT24,"")</x:f>
        <x:v>0.3336614173228346</x:v>
      </x:c>
      <x:c r="L294" s="22" t="n">
        <x:f>IFERROR('4000rpm'!AT22,"")</x:f>
        <x:v>0.2669291338582677</x:v>
      </x:c>
      <x:c r="M294" s="22" t="n">
        <x:f>IFERROR('4000rpm'!AS22,"")</x:f>
        <x:v>0.04754026702113885</x:v>
      </x:c>
      <x:c r="N294" s="22" t="n">
        <x:f>IFERROR('4000rpm'!AT23,"")</x:f>
        <x:v>0.3002952755905512</x:v>
      </x:c>
      <x:c r="O294" s="22" t="n">
        <x:f>IFERROR('4000rpm'!AS23,"")</x:f>
        <x:v>0.04181512409446762</x:v>
      </x:c>
      <x:c r="P294" s="22" t="n">
        <x:f>IF(OR(NOT(AND(ISNUMBER(D294),ISNUMBER(E294),ISNUMBER(G294),ISNUMBER(H294))),OR(F294&lt;J294,F294&gt;K294)),"",IF(N294=L294,M294,M294+(F294-L294)*(O294-M294)/(N294-L294)))</x:f>
        <x:v>0.04257925875435644</x:v>
      </x:c>
      <x:c r="Q294" s="22" t="n">
        <x:f>IF(AND(ISNUMBER(I294),ISNUMBER(P294)),I294-P294,"")</x:f>
        <x:v>0.0018060541963356228</x:v>
      </x:c>
      <x:c r="R294" s="22" t="n">
        <x:f>IF(ISNUMBER(Q294),ABS(Q294),"")</x:f>
        <x:v>0.0018060541963356228</x:v>
      </x:c>
      <x:c r="S294" s="36" t="n">
        <x:f>IF(AND(ISNUMBER(Q294),ISNUMBER(P294)),IF(ABS(P294)&lt;1E-12,"",Q294/P294),"")</x:f>
        <x:v>0.04241629021197647</x:v>
      </x:c>
      <x:c r="T294" s="36" t="n">
        <x:f>IF(ISNUMBER(S294),ABS(S294),"")</x:f>
        <x:v>0.04241629021197647</x:v>
      </x:c>
      <x:c r="U294" s="37" t="n">
        <x:f>IF(ISNUMBER(Q294),Q294^2,"")</x:f>
        <x:v>0.000003261831760101512</x:v>
      </x:c>
      <x:c r="V294" s="21" t="str">
        <x:f>IF(NOT(AND(ISNUMBER(D294),ISNUMBER(E294),ISNUMBER(G294),ISNUMBER(H294))),"缺少配对",IF(OR(F294&lt;J294,F294&gt;K294),"超出理论J范围","有效"))</x:f>
        <x:v>有效</x:v>
      </x:c>
      <x:c r="W294" s="20" t="str">
        <x:v>升力 y=0.915708x+28.7687 → C_T_prop；实验攻角 75° ↔ 理论 alpha_p_deg 15°；原升力源 4000rpm!D155/O155</x:v>
      </x:c>
      <x:c r="X294" s="20" t="str">
        <x:v>升力标定计算!M587</x:v>
      </x:c>
      <x:c r="Y294" s="20" t="str">
        <x:v>升力标定计算!M588</x:v>
      </x:c>
      <x:c r="Z294" s="20" t="str">
        <x:v>升力标定计算!N587</x:v>
      </x:c>
      <x:c r="AA294" s="20" t="str">
        <x:v>升力标定计算!N588</x:v>
      </x:c>
      <x:c r="AB294" s="20" t="str">
        <x:v>4000rpm!AT22:AS23</x:v>
      </x:c>
    </x:row>
    <x:row r="295">
      <x:c r="A295" s="21" t="n">
        <x:v>4000</x:v>
      </x:c>
      <x:c r="B295" s="21" t="n">
        <x:v>75</x:v>
      </x:c>
      <x:c r="C295" s="21" t="n">
        <x:v>12</x:v>
      </x:c>
      <x:c r="D295" s="22" t="n">
        <x:f>IFERROR('升力标定计算'!M589,"")</x:f>
        <x:v>0.3215909262875102</x:v>
      </x:c>
      <x:c r="E295" s="22" t="n">
        <x:f>IFERROR('升力标定计算'!M590,"")</x:f>
        <x:v>0.3261711896819416</x:v>
      </x:c>
      <x:c r="F295" s="22" t="n">
        <x:f>IF(AND(ISNUMBER(D295),ISNUMBER(E295)),AVERAGE(D295,E295),"")</x:f>
        <x:v>0.3238810579847259</x:v>
      </x:c>
      <x:c r="G295" s="22" t="n">
        <x:f>IFERROR('升力标定计算'!N589,"")</x:f>
        <x:v>0.0344920927166337</x:v>
      </x:c>
      <x:c r="H295" s="22" t="n">
        <x:f>IFERROR('升力标定计算'!N590,"")</x:f>
        <x:v>0.0375576018409231</x:v>
      </x:c>
      <x:c r="I295" s="22" t="n">
        <x:f>IF(AND(ISNUMBER(G295),ISNUMBER(H295)),AVERAGE(G295,H295),"")</x:f>
        <x:v>0.0360248472787784</x:v>
      </x:c>
      <x:c r="J295" s="22" t="n">
        <x:f>IFERROR('4000rpm'!AT14,"")</x:f>
        <x:v>0</x:v>
      </x:c>
      <x:c r="K295" s="22" t="n">
        <x:f>IFERROR('4000rpm'!AT24,"")</x:f>
        <x:v>0.3336614173228346</x:v>
      </x:c>
      <x:c r="L295" s="22" t="n">
        <x:f>IFERROR('4000rpm'!AT23,"")</x:f>
        <x:v>0.3002952755905512</x:v>
      </x:c>
      <x:c r="M295" s="22" t="n">
        <x:f>IFERROR('4000rpm'!AS23,"")</x:f>
        <x:v>0.04181512409446762</x:v>
      </x:c>
      <x:c r="N295" s="22" t="n">
        <x:f>IFERROR('4000rpm'!AT24,"")</x:f>
        <x:v>0.3336614173228346</x:v>
      </x:c>
      <x:c r="O295" s="22" t="n">
        <x:f>IFERROR('4000rpm'!AS24,"")</x:f>
        <x:v>0.03583273242879417</x:v>
      </x:c>
      <x:c r="P295" s="22" t="n">
        <x:f>IF(OR(NOT(AND(ISNUMBER(D295),ISNUMBER(E295),ISNUMBER(G295),ISNUMBER(H295))),OR(F295&lt;J295,F295&gt;K295)),"",IF(N295=L295,M295,M295+(F295-L295)*(O295-M295)/(N295-L295)))</x:f>
        <x:v>0.03758630467760417</x:v>
      </x:c>
      <x:c r="Q295" s="22" t="n">
        <x:f>IF(AND(ISNUMBER(I295),ISNUMBER(P295)),I295-P295,"")</x:f>
        <x:v>-0.0015614573988257663</x:v>
      </x:c>
      <x:c r="R295" s="22" t="n">
        <x:f>IF(ISNUMBER(Q295),ABS(Q295),"")</x:f>
        <x:v>0.0015614573988257663</x:v>
      </x:c>
      <x:c r="S295" s="36" t="n">
        <x:f>IF(AND(ISNUMBER(Q295),ISNUMBER(P295)),IF(ABS(P295)&lt;1E-12,"",Q295/P295),"")</x:f>
        <x:v>-0.04154325391174094</x:v>
      </x:c>
      <x:c r="T295" s="36" t="n">
        <x:f>IF(ISNUMBER(S295),ABS(S295),"")</x:f>
        <x:v>0.04154325391174094</x:v>
      </x:c>
      <x:c r="U295" s="37" t="n">
        <x:f>IF(ISNUMBER(Q295),Q295^2,"")</x:f>
        <x:v>0.000002438149208347728</x:v>
      </x:c>
      <x:c r="V295" s="21" t="str">
        <x:f>IF(NOT(AND(ISNUMBER(D295),ISNUMBER(E295),ISNUMBER(G295),ISNUMBER(H295))),"缺少配对",IF(OR(F295&lt;J295,F295&gt;K295),"超出理论J范围","有效"))</x:f>
        <x:v>有效</x:v>
      </x:c>
      <x:c r="W295" s="20" t="str">
        <x:v>升力 y=0.915708x+28.7687 → C_T_prop；实验攻角 75° ↔ 理论 alpha_p_deg 15°；原升力源 4000rpm!D156/O156</x:v>
      </x:c>
      <x:c r="X295" s="20" t="str">
        <x:v>升力标定计算!M589</x:v>
      </x:c>
      <x:c r="Y295" s="20" t="str">
        <x:v>升力标定计算!M590</x:v>
      </x:c>
      <x:c r="Z295" s="20" t="str">
        <x:v>升力标定计算!N589</x:v>
      </x:c>
      <x:c r="AA295" s="20" t="str">
        <x:v>升力标定计算!N590</x:v>
      </x:c>
      <x:c r="AB295" s="20" t="str">
        <x:v>4000rpm!AT23:AS24</x:v>
      </x:c>
    </x:row>
    <x:row r="296">
      <x:c r="A296" s="21" t="n">
        <x:v>4000</x:v>
      </x:c>
      <x:c r="B296" s="21" t="n">
        <x:v>75</x:v>
      </x:c>
      <x:c r="C296" s="21" t="n">
        <x:v>13</x:v>
      </x:c>
      <x:c r="D296" s="22" t="n">
        <x:f>IFERROR('升力标定计算'!M591,"")</x:f>
        <x:v>0.29219192155618445</x:v>
      </x:c>
      <x:c r="E296" s="22" t="n">
        <x:f>IFERROR('升力标定计算'!M592,"")</x:f>
        <x:v>0.2946368425069064</x:v>
      </x:c>
      <x:c r="F296" s="22" t="n">
        <x:f>IF(AND(ISNUMBER(D296),ISNUMBER(E296)),AVERAGE(D296,E296),"")</x:f>
        <x:v>0.29341438203154546</x:v>
      </x:c>
      <x:c r="G296" s="22" t="n">
        <x:f>IFERROR('升力标定计算'!N591,"")</x:f>
        <x:v>0.03956120303572827</x:v>
      </x:c>
      <x:c r="H296" s="22" t="n">
        <x:f>IFERROR('升力标定计算'!N592,"")</x:f>
        <x:v>0.041818249830802505</x:v>
      </x:c>
      <x:c r="I296" s="22" t="n">
        <x:f>IF(AND(ISNUMBER(G296),ISNUMBER(H296)),AVERAGE(G296,H296),"")</x:f>
        <x:v>0.04068972643326539</x:v>
      </x:c>
      <x:c r="J296" s="22" t="n">
        <x:f>IFERROR('4000rpm'!AT14,"")</x:f>
        <x:v>0</x:v>
      </x:c>
      <x:c r="K296" s="22" t="n">
        <x:f>IFERROR('4000rpm'!AT24,"")</x:f>
        <x:v>0.3336614173228346</x:v>
      </x:c>
      <x:c r="L296" s="22" t="n">
        <x:f>IFERROR('4000rpm'!AT22,"")</x:f>
        <x:v>0.2669291338582677</x:v>
      </x:c>
      <x:c r="M296" s="22" t="n">
        <x:f>IFERROR('4000rpm'!AS22,"")</x:f>
        <x:v>0.04754026702113885</x:v>
      </x:c>
      <x:c r="N296" s="22" t="n">
        <x:f>IFERROR('4000rpm'!AT23,"")</x:f>
        <x:v>0.3002952755905512</x:v>
      </x:c>
      <x:c r="O296" s="22" t="n">
        <x:f>IFERROR('4000rpm'!AS23,"")</x:f>
        <x:v>0.04181512409446762</x:v>
      </x:c>
      <x:c r="P296" s="22" t="n">
        <x:f>IF(OR(NOT(AND(ISNUMBER(D296),ISNUMBER(E296),ISNUMBER(G296),ISNUMBER(H296))),OR(F296&lt;J296,F296&gt;K296)),"",IF(N296=L296,M296,M296+(F296-L296)*(O296-M296)/(N296-L296)))</x:f>
        <x:v>0.04299578499930348</x:v>
      </x:c>
      <x:c r="Q296" s="22" t="n">
        <x:f>IF(AND(ISNUMBER(I296),ISNUMBER(P296)),I296-P296,"")</x:f>
        <x:v>-0.002306058566038091</x:v>
      </x:c>
      <x:c r="R296" s="22" t="n">
        <x:f>IF(ISNUMBER(Q296),ABS(Q296),"")</x:f>
        <x:v>0.002306058566038091</x:v>
      </x:c>
      <x:c r="S296" s="36" t="n">
        <x:f>IF(AND(ISNUMBER(Q296),ISNUMBER(P296)),IF(ABS(P296)&lt;1E-12,"",Q296/P296),"")</x:f>
        <x:v>-0.053634526409401494</x:v>
      </x:c>
      <x:c r="T296" s="36" t="n">
        <x:f>IF(ISNUMBER(S296),ABS(S296),"")</x:f>
        <x:v>0.053634526409401494</x:v>
      </x:c>
      <x:c r="U296" s="37" t="n">
        <x:f>IF(ISNUMBER(Q296),Q296^2,"")</x:f>
        <x:v>0.000005317906109997657</x:v>
      </x:c>
      <x:c r="V296" s="21" t="str">
        <x:f>IF(NOT(AND(ISNUMBER(D296),ISNUMBER(E296),ISNUMBER(G296),ISNUMBER(H296))),"缺少配对",IF(OR(F296&lt;J296,F296&gt;K296),"超出理论J范围","有效"))</x:f>
        <x:v>有效</x:v>
      </x:c>
      <x:c r="W296" s="20" t="str">
        <x:v>升力 y=0.915708x+28.7687 → C_T_prop；实验攻角 75° ↔ 理论 alpha_p_deg 15°；原升力源 4000rpm!D157/O157</x:v>
      </x:c>
      <x:c r="X296" s="20" t="str">
        <x:v>升力标定计算!M591</x:v>
      </x:c>
      <x:c r="Y296" s="20" t="str">
        <x:v>升力标定计算!M592</x:v>
      </x:c>
      <x:c r="Z296" s="20" t="str">
        <x:v>升力标定计算!N591</x:v>
      </x:c>
      <x:c r="AA296" s="20" t="str">
        <x:v>升力标定计算!N592</x:v>
      </x:c>
      <x:c r="AB296" s="20" t="str">
        <x:v>4000rpm!AT22:AS23</x:v>
      </x:c>
    </x:row>
    <x:row r="297">
      <x:c r="A297" s="21" t="n">
        <x:v>4000</x:v>
      </x:c>
      <x:c r="B297" s="21" t="n">
        <x:v>75</x:v>
      </x:c>
      <x:c r="C297" s="21" t="n">
        <x:v>14</x:v>
      </x:c>
      <x:c r="D297" s="22" t="n">
        <x:f>IFERROR('升力标定计算'!M593,"")</x:f>
        <x:v>0.2641003801547683</x:v>
      </x:c>
      <x:c r="E297" s="22" t="n">
        <x:f>IFERROR('升力标定计算'!M594,"")</x:f>
        <x:v>0.26532240250696953</x:v>
      </x:c>
      <x:c r="F297" s="22" t="n">
        <x:f>IF(AND(ISNUMBER(D297),ISNUMBER(E297)),AVERAGE(D297,E297),"")</x:f>
        <x:v>0.2647113913308689</x:v>
      </x:c>
      <x:c r="G297" s="22" t="n">
        <x:f>IFERROR('升力标定计算'!N593,"")</x:f>
        <x:v>0.04344282661662094</x:v>
      </x:c>
      <x:c r="H297" s="22" t="n">
        <x:f>IFERROR('升力标定计算'!N594,"")</x:f>
        <x:v>0.0434496555654798</x:v>
      </x:c>
      <x:c r="I297" s="22" t="n">
        <x:f>IF(AND(ISNUMBER(G297),ISNUMBER(H297)),AVERAGE(G297,H297),"")</x:f>
        <x:v>0.04344624109105037</x:v>
      </x:c>
      <x:c r="J297" s="22" t="n">
        <x:f>IFERROR('4000rpm'!AT14,"")</x:f>
        <x:v>0</x:v>
      </x:c>
      <x:c r="K297" s="22" t="n">
        <x:f>IFERROR('4000rpm'!AT24,"")</x:f>
        <x:v>0.3336614173228346</x:v>
      </x:c>
      <x:c r="L297" s="22" t="n">
        <x:f>IFERROR('4000rpm'!AT21,"")</x:f>
        <x:v>0.23356299212598428</x:v>
      </x:c>
      <x:c r="M297" s="22" t="n">
        <x:f>IFERROR('4000rpm'!AS21,"")</x:f>
        <x:v>0.052983091860911505</x:v>
      </x:c>
      <x:c r="N297" s="22" t="n">
        <x:f>IFERROR('4000rpm'!AT22,"")</x:f>
        <x:v>0.2669291338582677</x:v>
      </x:c>
      <x:c r="O297" s="22" t="n">
        <x:f>IFERROR('4000rpm'!AS22,"")</x:f>
        <x:v>0.04754026702113885</x:v>
      </x:c>
      <x:c r="P297" s="22" t="n">
        <x:f>IF(OR(NOT(AND(ISNUMBER(D297),ISNUMBER(E297),ISNUMBER(G297),ISNUMBER(H297))),OR(F297&lt;J297,F297&gt;K297)),"",IF(N297=L297,M297,M297+(F297-L297)*(O297-M297)/(N297-L297)))</x:f>
        <x:v>0.04790203447430133</x:v>
      </x:c>
      <x:c r="Q297" s="22" t="n">
        <x:f>IF(AND(ISNUMBER(I297),ISNUMBER(P297)),I297-P297,"")</x:f>
        <x:v>-0.004455793383250958</x:v>
      </x:c>
      <x:c r="R297" s="22" t="n">
        <x:f>IF(ISNUMBER(Q297),ABS(Q297),"")</x:f>
        <x:v>0.004455793383250958</x:v>
      </x:c>
      <x:c r="S297" s="36" t="n">
        <x:f>IF(AND(ISNUMBER(Q297),ISNUMBER(P297)),IF(ABS(P297)&lt;1E-12,"",Q297/P297),"")</x:f>
        <x:v>-0.09301887554778951</x:v>
      </x:c>
      <x:c r="T297" s="36" t="n">
        <x:f>IF(ISNUMBER(S297),ABS(S297),"")</x:f>
        <x:v>0.09301887554778951</x:v>
      </x:c>
      <x:c r="U297" s="37" t="n">
        <x:f>IF(ISNUMBER(Q297),Q297^2,"")</x:f>
        <x:v>0.00001985409467422302</x:v>
      </x:c>
      <x:c r="V297" s="21" t="str">
        <x:f>IF(NOT(AND(ISNUMBER(D297),ISNUMBER(E297),ISNUMBER(G297),ISNUMBER(H297))),"缺少配对",IF(OR(F297&lt;J297,F297&gt;K297),"超出理论J范围","有效"))</x:f>
        <x:v>有效</x:v>
      </x:c>
      <x:c r="W297" s="20" t="str">
        <x:v>升力 y=0.915708x+28.7687 → C_T_prop；实验攻角 75° ↔ 理论 alpha_p_deg 15°；原升力源 4000rpm!D158/O158</x:v>
      </x:c>
      <x:c r="X297" s="20" t="str">
        <x:v>升力标定计算!M593</x:v>
      </x:c>
      <x:c r="Y297" s="20" t="str">
        <x:v>升力标定计算!M594</x:v>
      </x:c>
      <x:c r="Z297" s="20" t="str">
        <x:v>升力标定计算!N593</x:v>
      </x:c>
      <x:c r="AA297" s="20" t="str">
        <x:v>升力标定计算!N594</x:v>
      </x:c>
      <x:c r="AB297" s="20" t="str">
        <x:v>4000rpm!AT21:AS22</x:v>
      </x:c>
    </x:row>
    <x:row r="298">
      <x:c r="A298" s="21" t="n">
        <x:v>4000</x:v>
      </x:c>
      <x:c r="B298" s="21" t="n">
        <x:v>75</x:v>
      </x:c>
      <x:c r="C298" s="21" t="n">
        <x:v>15</x:v>
      </x:c>
      <x:c r="D298" s="22" t="n">
        <x:f>IFERROR('升力标定计算'!M595,"")</x:f>
        <x:v>0.23023050104395373</x:v>
      </x:c>
      <x:c r="E298" s="22" t="n">
        <x:f>IFERROR('升力标定计算'!M596,"")</x:f>
        <x:v>0.2343753942796169</x:v>
      </x:c>
      <x:c r="F298" s="22" t="n">
        <x:f>IF(AND(ISNUMBER(D298),ISNUMBER(E298)),AVERAGE(D298,E298),"")</x:f>
        <x:v>0.23230294766178533</x:v>
      </x:c>
      <x:c r="G298" s="22" t="n">
        <x:f>IFERROR('升力标定计算'!N595,"")</x:f>
        <x:v>0.04866237334738528</x:v>
      </x:c>
      <x:c r="H298" s="22" t="n">
        <x:f>IFERROR('升力标定计算'!N596,"")</x:f>
        <x:v>0.04809925258362749</x:v>
      </x:c>
      <x:c r="I298" s="22" t="n">
        <x:f>IF(AND(ISNUMBER(G298),ISNUMBER(H298)),AVERAGE(G298,H298),"")</x:f>
        <x:v>0.048380812965506385</x:v>
      </x:c>
      <x:c r="J298" s="22" t="n">
        <x:f>IFERROR('4000rpm'!AT14,"")</x:f>
        <x:v>0</x:v>
      </x:c>
      <x:c r="K298" s="22" t="n">
        <x:f>IFERROR('4000rpm'!AT24,"")</x:f>
        <x:v>0.3336614173228346</x:v>
      </x:c>
      <x:c r="L298" s="22" t="n">
        <x:f>IFERROR('4000rpm'!AT20,"")</x:f>
        <x:v>0.2001968503937008</x:v>
      </x:c>
      <x:c r="M298" s="22" t="n">
        <x:f>IFERROR('4000rpm'!AS20,"")</x:f>
        <x:v>0.05812167918287846</x:v>
      </x:c>
      <x:c r="N298" s="22" t="n">
        <x:f>IFERROR('4000rpm'!AT21,"")</x:f>
        <x:v>0.23356299212598428</x:v>
      </x:c>
      <x:c r="O298" s="22" t="n">
        <x:f>IFERROR('4000rpm'!AS21,"")</x:f>
        <x:v>0.052983091860911505</x:v>
      </x:c>
      <x:c r="P298" s="22" t="n">
        <x:f>IF(OR(NOT(AND(ISNUMBER(D298),ISNUMBER(E298),ISNUMBER(G298),ISNUMBER(H298))),OR(F298&lt;J298,F298&gt;K298)),"",IF(N298=L298,M298,M298+(F298-L298)*(O298-M298)/(N298-L298)))</x:f>
        <x:v>0.053177146317695836</x:v>
      </x:c>
      <x:c r="Q298" s="22" t="n">
        <x:f>IF(AND(ISNUMBER(I298),ISNUMBER(P298)),I298-P298,"")</x:f>
        <x:v>-0.004796333352189451</x:v>
      </x:c>
      <x:c r="R298" s="22" t="n">
        <x:f>IF(ISNUMBER(Q298),ABS(Q298),"")</x:f>
        <x:v>0.004796333352189451</x:v>
      </x:c>
      <x:c r="S298" s="36" t="n">
        <x:f>IF(AND(ISNUMBER(Q298),ISNUMBER(P298)),IF(ABS(P298)&lt;1E-12,"",Q298/P298),"")</x:f>
        <x:v>-0.09019538813788074</x:v>
      </x:c>
      <x:c r="T298" s="36" t="n">
        <x:f>IF(ISNUMBER(S298),ABS(S298),"")</x:f>
        <x:v>0.09019538813788074</x:v>
      </x:c>
      <x:c r="U298" s="37" t="n">
        <x:f>IF(ISNUMBER(Q298),Q298^2,"")</x:f>
        <x:v>0.000023004813625324898</x:v>
      </x:c>
      <x:c r="V298" s="21" t="str">
        <x:f>IF(NOT(AND(ISNUMBER(D298),ISNUMBER(E298),ISNUMBER(G298),ISNUMBER(H298))),"缺少配对",IF(OR(F298&lt;J298,F298&gt;K298),"超出理论J范围","有效"))</x:f>
        <x:v>有效</x:v>
      </x:c>
      <x:c r="W298" s="20" t="str">
        <x:v>升力 y=0.915708x+28.7687 → C_T_prop；实验攻角 75° ↔ 理论 alpha_p_deg 15°；原升力源 4000rpm!D159/O159</x:v>
      </x:c>
      <x:c r="X298" s="20" t="str">
        <x:v>升力标定计算!M595</x:v>
      </x:c>
      <x:c r="Y298" s="20" t="str">
        <x:v>升力标定计算!M596</x:v>
      </x:c>
      <x:c r="Z298" s="20" t="str">
        <x:v>升力标定计算!N595</x:v>
      </x:c>
      <x:c r="AA298" s="20" t="str">
        <x:v>升力标定计算!N596</x:v>
      </x:c>
      <x:c r="AB298" s="20" t="str">
        <x:v>4000rpm!AT20:AS21</x:v>
      </x:c>
    </x:row>
    <x:row r="299">
      <x:c r="A299" s="21" t="n">
        <x:v>4000</x:v>
      </x:c>
      <x:c r="B299" s="21" t="n">
        <x:v>75</x:v>
      </x:c>
      <x:c r="C299" s="21" t="n">
        <x:v>16</x:v>
      </x:c>
      <x:c r="D299" s="22" t="n">
        <x:f>IFERROR('升力标定计算'!M597,"")</x:f>
        <x:v>0.197535272712998</x:v>
      </x:c>
      <x:c r="E299" s="22" t="n">
        <x:f>IFERROR('升力标定计算'!M598,"")</x:f>
        <x:v>0.19886749309607016</x:v>
      </x:c>
      <x:c r="F299" s="22" t="n">
        <x:f>IF(AND(ISNUMBER(D299),ISNUMBER(E299)),AVERAGE(D299,E299),"")</x:f>
        <x:v>0.1982013829045341</x:v>
      </x:c>
      <x:c r="G299" s="22" t="n">
        <x:f>IFERROR('升力标定计算'!N597,"")</x:f>
        <x:v>0.0529315939223959</x:v>
      </x:c>
      <x:c r="H299" s="22" t="n">
        <x:f>IFERROR('升力标定计算'!N598,"")</x:f>
        <x:v>0.05296507976590805</x:v>
      </x:c>
      <x:c r="I299" s="22" t="n">
        <x:f>IF(AND(ISNUMBER(G299),ISNUMBER(H299)),AVERAGE(G299,H299),"")</x:f>
        <x:v>0.052948336844151976</x:v>
      </x:c>
      <x:c r="J299" s="22" t="n">
        <x:f>IFERROR('4000rpm'!AT14,"")</x:f>
        <x:v>0</x:v>
      </x:c>
      <x:c r="K299" s="22" t="n">
        <x:f>IFERROR('4000rpm'!AT24,"")</x:f>
        <x:v>0.3336614173228346</x:v>
      </x:c>
      <x:c r="L299" s="22" t="n">
        <x:f>IFERROR('4000rpm'!AT19,"")</x:f>
        <x:v>0.1668307086614173</x:v>
      </x:c>
      <x:c r="M299" s="22" t="n">
        <x:f>IFERROR('4000rpm'!AS19,"")</x:f>
        <x:v>0.06297854794892306</x:v>
      </x:c>
      <x:c r="N299" s="22" t="n">
        <x:f>IFERROR('4000rpm'!AT20,"")</x:f>
        <x:v>0.2001968503937008</x:v>
      </x:c>
      <x:c r="O299" s="22" t="n">
        <x:f>IFERROR('4000rpm'!AS20,"")</x:f>
        <x:v>0.05812167918287846</x:v>
      </x:c>
      <x:c r="P299" s="22" t="n">
        <x:f>IF(OR(NOT(AND(ISNUMBER(D299),ISNUMBER(E299),ISNUMBER(G299),ISNUMBER(H299))),OR(F299&lt;J299,F299&gt;K299)),"",IF(N299=L299,M299,M299+(F299-L299)*(O299-M299)/(N299-L299)))</x:f>
        <x:v>0.05841214500297698</x:v>
      </x:c>
      <x:c r="Q299" s="22" t="n">
        <x:f>IF(AND(ISNUMBER(I299),ISNUMBER(P299)),I299-P299,"")</x:f>
        <x:v>-0.005463808158825002</x:v>
      </x:c>
      <x:c r="R299" s="22" t="n">
        <x:f>IF(ISNUMBER(Q299),ABS(Q299),"")</x:f>
        <x:v>0.005463808158825002</x:v>
      </x:c>
      <x:c r="S299" s="36" t="n">
        <x:f>IF(AND(ISNUMBER(Q299),ISNUMBER(P299)),IF(ABS(P299)&lt;1E-12,"",Q299/P299),"")</x:f>
        <x:v>-0.0935389063104349</x:v>
      </x:c>
      <x:c r="T299" s="36" t="n">
        <x:f>IF(ISNUMBER(S299),ABS(S299),"")</x:f>
        <x:v>0.0935389063104349</x:v>
      </x:c>
      <x:c r="U299" s="37" t="n">
        <x:f>IF(ISNUMBER(Q299),Q299^2,"")</x:f>
        <x:v>0.000029853199596442663</x:v>
      </x:c>
      <x:c r="V299" s="21" t="str">
        <x:f>IF(NOT(AND(ISNUMBER(D299),ISNUMBER(E299),ISNUMBER(G299),ISNUMBER(H299))),"缺少配对",IF(OR(F299&lt;J299,F299&gt;K299),"超出理论J范围","有效"))</x:f>
        <x:v>有效</x:v>
      </x:c>
      <x:c r="W299" s="20" t="str">
        <x:v>升力 y=0.915708x+28.7687 → C_T_prop；实验攻角 75° ↔ 理论 alpha_p_deg 15°；原升力源 4000rpm!D160/O160</x:v>
      </x:c>
      <x:c r="X299" s="20" t="str">
        <x:v>升力标定计算!M597</x:v>
      </x:c>
      <x:c r="Y299" s="20" t="str">
        <x:v>升力标定计算!M598</x:v>
      </x:c>
      <x:c r="Z299" s="20" t="str">
        <x:v>升力标定计算!N597</x:v>
      </x:c>
      <x:c r="AA299" s="20" t="str">
        <x:v>升力标定计算!N598</x:v>
      </x:c>
      <x:c r="AB299" s="20" t="str">
        <x:v>4000rpm!AT19:AS20</x:v>
      </x:c>
    </x:row>
    <x:row r="300">
      <x:c r="A300" s="21" t="n">
        <x:v>4000</x:v>
      </x:c>
      <x:c r="B300" s="21" t="n">
        <x:v>75</x:v>
      </x:c>
      <x:c r="C300" s="21" t="n">
        <x:v>17</x:v>
      </x:c>
      <x:c r="D300" s="22" t="n">
        <x:f>IFERROR('升力标定计算'!M599,"")</x:f>
        <x:v>0.1699395701381691</x:v>
      </x:c>
      <x:c r="E300" s="22" t="n">
        <x:f>IFERROR('升力标定计算'!M600,"")</x:f>
        <x:v>0.1691834389544183</x:v>
      </x:c>
      <x:c r="F300" s="22" t="n">
        <x:f>IF(AND(ISNUMBER(D300),ISNUMBER(E300)),AVERAGE(D300,E300),"")</x:f>
        <x:v>0.1695615045462937</x:v>
      </x:c>
      <x:c r="G300" s="22" t="n">
        <x:f>IFERROR('升力标定计算'!N599,"")</x:f>
        <x:v>0.058386736032829865</x:v>
      </x:c>
      <x:c r="H300" s="22" t="n">
        <x:f>IFERROR('升力标定计算'!N600,"")</x:f>
        <x:v>0.056940062778842435</x:v>
      </x:c>
      <x:c r="I300" s="22" t="n">
        <x:f>IF(AND(ISNUMBER(G300),ISNUMBER(H300)),AVERAGE(G300,H300),"")</x:f>
        <x:v>0.05766339940583615</x:v>
      </x:c>
      <x:c r="J300" s="22" t="n">
        <x:f>IFERROR('4000rpm'!AT14,"")</x:f>
        <x:v>0</x:v>
      </x:c>
      <x:c r="K300" s="22" t="n">
        <x:f>IFERROR('4000rpm'!AT24,"")</x:f>
        <x:v>0.3336614173228346</x:v>
      </x:c>
      <x:c r="L300" s="22" t="n">
        <x:f>IFERROR('4000rpm'!AT19,"")</x:f>
        <x:v>0.1668307086614173</x:v>
      </x:c>
      <x:c r="M300" s="22" t="n">
        <x:f>IFERROR('4000rpm'!AS19,"")</x:f>
        <x:v>0.06297854794892306</x:v>
      </x:c>
      <x:c r="N300" s="22" t="n">
        <x:f>IFERROR('4000rpm'!AT20,"")</x:f>
        <x:v>0.2001968503937008</x:v>
      </x:c>
      <x:c r="O300" s="22" t="n">
        <x:f>IFERROR('4000rpm'!AS20,"")</x:f>
        <x:v>0.05812167918287846</x:v>
      </x:c>
      <x:c r="P300" s="22" t="n">
        <x:f>IF(OR(NOT(AND(ISNUMBER(D300),ISNUMBER(E300),ISNUMBER(G300),ISNUMBER(H300))),OR(F300&lt;J300,F300&gt;K300)),"",IF(N300=L300,M300,M300+(F300-L300)*(O300-M300)/(N300-L300)))</x:f>
        <x:v>0.06258104567412853</x:v>
      </x:c>
      <x:c r="Q300" s="22" t="n">
        <x:f>IF(AND(ISNUMBER(I300),ISNUMBER(P300)),I300-P300,"")</x:f>
        <x:v>-0.004917646268292386</x:v>
      </x:c>
      <x:c r="R300" s="22" t="n">
        <x:f>IF(ISNUMBER(Q300),ABS(Q300),"")</x:f>
        <x:v>0.004917646268292386</x:v>
      </x:c>
      <x:c r="S300" s="36" t="n">
        <x:f>IF(AND(ISNUMBER(Q300),ISNUMBER(P300)),IF(ABS(P300)&lt;1E-12,"",Q300/P300),"")</x:f>
        <x:v>-0.07858044261355923</x:v>
      </x:c>
      <x:c r="T300" s="36" t="n">
        <x:f>IF(ISNUMBER(S300),ABS(S300),"")</x:f>
        <x:v>0.07858044261355923</x:v>
      </x:c>
      <x:c r="U300" s="37" t="n">
        <x:f>IF(ISNUMBER(Q300),Q300^2,"")</x:f>
        <x:v>0.00002418324482005003</x:v>
      </x:c>
      <x:c r="V300" s="21" t="str">
        <x:f>IF(NOT(AND(ISNUMBER(D300),ISNUMBER(E300),ISNUMBER(G300),ISNUMBER(H300))),"缺少配对",IF(OR(F300&lt;J300,F300&gt;K300),"超出理论J范围","有效"))</x:f>
        <x:v>有效</x:v>
      </x:c>
      <x:c r="W300" s="20" t="str">
        <x:v>升力 y=0.915708x+28.7687 → C_T_prop；实验攻角 75° ↔ 理论 alpha_p_deg 15°；原升力源 4000rpm!D161/O161</x:v>
      </x:c>
      <x:c r="X300" s="20" t="str">
        <x:v>升力标定计算!M599</x:v>
      </x:c>
      <x:c r="Y300" s="20" t="str">
        <x:v>升力标定计算!M600</x:v>
      </x:c>
      <x:c r="Z300" s="20" t="str">
        <x:v>升力标定计算!N599</x:v>
      </x:c>
      <x:c r="AA300" s="20" t="str">
        <x:v>升力标定计算!N600</x:v>
      </x:c>
      <x:c r="AB300" s="20" t="str">
        <x:v>4000rpm!AT19:AS20</x:v>
      </x:c>
    </x:row>
    <x:row r="301">
      <x:c r="A301" s="21" t="n">
        <x:v>4000</x:v>
      </x:c>
      <x:c r="B301" s="21" t="n">
        <x:v>75</x:v>
      </x:c>
      <x:c r="C301" s="21" t="n">
        <x:v>18</x:v>
      </x:c>
      <x:c r="D301" s="22" t="n">
        <x:f>IFERROR('升力标定计算'!M601,"")</x:f>
        <x:v>0.1332571036316915</x:v>
      </x:c>
      <x:c r="E301" s="22" t="n">
        <x:f>IFERROR('升力标定计算'!M602,"")</x:f>
        <x:v>0.13796741532982218</x:v>
      </x:c>
      <x:c r="F301" s="22" t="n">
        <x:f>IF(AND(ISNUMBER(D301),ISNUMBER(E301)),AVERAGE(D301,E301),"")</x:f>
        <x:v>0.13561225948075684</x:v>
      </x:c>
      <x:c r="G301" s="22" t="n">
        <x:f>IFERROR('升力标定计算'!N601,"")</x:f>
        <x:v>0.06337044459645533</x:v>
      </x:c>
      <x:c r="H301" s="22" t="n">
        <x:f>IFERROR('升力标定计算'!N602,"")</x:f>
        <x:v>0.06331463489131342</x:v>
      </x:c>
      <x:c r="I301" s="22" t="n">
        <x:f>IF(AND(ISNUMBER(G301),ISNUMBER(H301)),AVERAGE(G301,H301),"")</x:f>
        <x:v>0.06334253974388437</x:v>
      </x:c>
      <x:c r="J301" s="22" t="n">
        <x:f>IFERROR('4000rpm'!AT14,"")</x:f>
        <x:v>0</x:v>
      </x:c>
      <x:c r="K301" s="22" t="n">
        <x:f>IFERROR('4000rpm'!AT24,"")</x:f>
        <x:v>0.3336614173228346</x:v>
      </x:c>
      <x:c r="L301" s="22" t="n">
        <x:f>IFERROR('4000rpm'!AT18,"")</x:f>
        <x:v>0.13346456692913386</x:v>
      </x:c>
      <x:c r="M301" s="22" t="n">
        <x:f>IFERROR('4000rpm'!AS18,"")</x:f>
        <x:v>0.0675360120022772</x:v>
      </x:c>
      <x:c r="N301" s="22" t="n">
        <x:f>IFERROR('4000rpm'!AT19,"")</x:f>
        <x:v>0.1668307086614173</x:v>
      </x:c>
      <x:c r="O301" s="22" t="n">
        <x:f>IFERROR('4000rpm'!AS19,"")</x:f>
        <x:v>0.06297854794892306</x:v>
      </x:c>
      <x:c r="P301" s="22" t="n">
        <x:f>IF(OR(NOT(AND(ISNUMBER(D301),ISNUMBER(E301),ISNUMBER(G301),ISNUMBER(H301))),OR(F301&lt;J301,F301&gt;K301)),"",IF(N301=L301,M301,M301+(F301-L301)*(O301-M301)/(N301-L301)))</x:f>
        <x:v>0.06724265978672248</x:v>
      </x:c>
      <x:c r="Q301" s="22" t="n">
        <x:f>IF(AND(ISNUMBER(I301),ISNUMBER(P301)),I301-P301,"")</x:f>
        <x:v>-0.003900120042838101</x:v>
      </x:c>
      <x:c r="R301" s="22" t="n">
        <x:f>IF(ISNUMBER(Q301),ABS(Q301),"")</x:f>
        <x:v>0.003900120042838101</x:v>
      </x:c>
      <x:c r="S301" s="36" t="n">
        <x:f>IF(AND(ISNUMBER(Q301),ISNUMBER(P301)),IF(ABS(P301)&lt;1E-12,"",Q301/P301),"")</x:f>
        <x:v>-0.05800068074654308</x:v>
      </x:c>
      <x:c r="T301" s="36" t="n">
        <x:f>IF(ISNUMBER(S301),ABS(S301),"")</x:f>
        <x:v>0.05800068074654308</x:v>
      </x:c>
      <x:c r="U301" s="37" t="n">
        <x:f>IF(ISNUMBER(Q301),Q301^2,"")</x:f>
        <x:v>0.000015210936348547472</x:v>
      </x:c>
      <x:c r="V301" s="21" t="str">
        <x:f>IF(NOT(AND(ISNUMBER(D301),ISNUMBER(E301),ISNUMBER(G301),ISNUMBER(H301))),"缺少配对",IF(OR(F301&lt;J301,F301&gt;K301),"超出理论J范围","有效"))</x:f>
        <x:v>有效</x:v>
      </x:c>
      <x:c r="W301" s="20" t="str">
        <x:v>升力 y=0.915708x+28.7687 → C_T_prop；实验攻角 75° ↔ 理论 alpha_p_deg 15°；原升力源 4000rpm!D162/O162</x:v>
      </x:c>
      <x:c r="X301" s="20" t="str">
        <x:v>升力标定计算!M601</x:v>
      </x:c>
      <x:c r="Y301" s="20" t="str">
        <x:v>升力标定计算!M602</x:v>
      </x:c>
      <x:c r="Z301" s="20" t="str">
        <x:v>升力标定计算!N601</x:v>
      </x:c>
      <x:c r="AA301" s="20" t="str">
        <x:v>升力标定计算!N602</x:v>
      </x:c>
      <x:c r="AB301" s="20" t="str">
        <x:v>4000rpm!AT18:AS19</x:v>
      </x:c>
    </x:row>
    <x:row r="302">
      <x:c r="A302" s="21" t="n">
        <x:v>4000</x:v>
      </x:c>
      <x:c r="B302" s="21" t="n">
        <x:v>75</x:v>
      </x:c>
      <x:c r="C302" s="21" t="n">
        <x:v>19</x:v>
      </x:c>
      <x:c r="D302" s="22" t="n">
        <x:f>IFERROR('升力标定计算'!M603,"")</x:f>
        <x:v>0.10315545804929772</x:v>
      </x:c>
      <x:c r="E302" s="22" t="n">
        <x:f>IFERROR('升力标定计算'!M604,"")</x:f>
        <x:v>0.10363972207544203</x:v>
      </x:c>
      <x:c r="F302" s="22" t="n">
        <x:f>IF(AND(ISNUMBER(D302),ISNUMBER(E302)),AVERAGE(D302,E302),"")</x:f>
        <x:v>0.10339759006236987</x:v>
      </x:c>
      <x:c r="G302" s="22" t="n">
        <x:f>IFERROR('升力标定计算'!N603,"")</x:f>
        <x:v>0.06762721222806177</x:v>
      </x:c>
      <x:c r="H302" s="22" t="n">
        <x:f>IFERROR('升力标定计算'!N604,"")</x:f>
        <x:v>0.06717314576881388</x:v>
      </x:c>
      <x:c r="I302" s="22" t="n">
        <x:f>IF(AND(ISNUMBER(G302),ISNUMBER(H302)),AVERAGE(G302,H302),"")</x:f>
        <x:v>0.06740017899843782</x:v>
      </x:c>
      <x:c r="J302" s="22" t="n">
        <x:f>IFERROR('4000rpm'!AT14,"")</x:f>
        <x:v>0</x:v>
      </x:c>
      <x:c r="K302" s="22" t="n">
        <x:f>IFERROR('4000rpm'!AT24,"")</x:f>
        <x:v>0.3336614173228346</x:v>
      </x:c>
      <x:c r="L302" s="22" t="n">
        <x:f>IFERROR('4000rpm'!AT17,"")</x:f>
        <x:v>0.1000984251968504</x:v>
      </x:c>
      <x:c r="M302" s="22" t="n">
        <x:f>IFERROR('4000rpm'!AS17,"")</x:f>
        <x:v>0.0718198439322701</x:v>
      </x:c>
      <x:c r="N302" s="22" t="n">
        <x:f>IFERROR('4000rpm'!AT18,"")</x:f>
        <x:v>0.13346456692913386</x:v>
      </x:c>
      <x:c r="O302" s="22" t="n">
        <x:f>IFERROR('4000rpm'!AS18,"")</x:f>
        <x:v>0.0675360120022772</x:v>
      </x:c>
      <x:c r="P302" s="22" t="n">
        <x:f>IF(OR(NOT(AND(ISNUMBER(D302),ISNUMBER(E302),ISNUMBER(G302),ISNUMBER(H302))),OR(F302&lt;J302,F302&gt;K302)),"",IF(N302=L302,M302,M302+(F302-L302)*(O302-M302)/(N302-L302)))</x:f>
        <x:v>0.07139626880312808</x:v>
      </x:c>
      <x:c r="Q302" s="22" t="n">
        <x:f>IF(AND(ISNUMBER(I302),ISNUMBER(P302)),I302-P302,"")</x:f>
        <x:v>-0.003996089804690253</x:v>
      </x:c>
      <x:c r="R302" s="22" t="n">
        <x:f>IF(ISNUMBER(Q302),ABS(Q302),"")</x:f>
        <x:v>0.003996089804690253</x:v>
      </x:c>
      <x:c r="S302" s="36" t="n">
        <x:f>IF(AND(ISNUMBER(Q302),ISNUMBER(P302)),IF(ABS(P302)&lt;1E-12,"",Q302/P302),"")</x:f>
        <x:v>-0.05597056921432809</x:v>
      </x:c>
      <x:c r="T302" s="36" t="n">
        <x:f>IF(ISNUMBER(S302),ABS(S302),"")</x:f>
        <x:v>0.05597056921432809</x:v>
      </x:c>
      <x:c r="U302" s="37" t="n">
        <x:f>IF(ISNUMBER(Q302),Q302^2,"")</x:f>
        <x:v>0.000015968733727149385</x:v>
      </x:c>
      <x:c r="V302" s="21" t="str">
        <x:f>IF(NOT(AND(ISNUMBER(D302),ISNUMBER(E302),ISNUMBER(G302),ISNUMBER(H302))),"缺少配对",IF(OR(F302&lt;J302,F302&gt;K302),"超出理论J范围","有效"))</x:f>
        <x:v>有效</x:v>
      </x:c>
      <x:c r="W302" s="20" t="str">
        <x:v>升力 y=0.915708x+28.7687 → C_T_prop；实验攻角 75° ↔ 理论 alpha_p_deg 15°；原升力源 4000rpm!D163/O163</x:v>
      </x:c>
      <x:c r="X302" s="20" t="str">
        <x:v>升力标定计算!M603</x:v>
      </x:c>
      <x:c r="Y302" s="20" t="str">
        <x:v>升力标定计算!M604</x:v>
      </x:c>
      <x:c r="Z302" s="20" t="str">
        <x:v>升力标定计算!N603</x:v>
      </x:c>
      <x:c r="AA302" s="20" t="str">
        <x:v>升力标定计算!N604</x:v>
      </x:c>
      <x:c r="AB302" s="20" t="str">
        <x:v>4000rpm!AT17:AS18</x:v>
      </x:c>
    </x:row>
    <x:row r="303">
      <x:c r="A303" s="21" t="n">
        <x:v>4000</x:v>
      </x:c>
      <x:c r="B303" s="21" t="n">
        <x:v>75</x:v>
      </x:c>
      <x:c r="C303" s="21" t="n">
        <x:v>20</x:v>
      </x:c>
      <x:c r="D303" s="22" t="n">
        <x:f>IFERROR('升力标定计算'!M605,"")</x:f>
        <x:v>0.06959174802218998</x:v>
      </x:c>
      <x:c r="E303" s="22" t="n">
        <x:f>IFERROR('升力标定计算'!M606,"")</x:f>
        <x:v>0.06989152256004294</x:v>
      </x:c>
      <x:c r="F303" s="22" t="n">
        <x:f>IF(AND(ISNUMBER(D303),ISNUMBER(E303)),AVERAGE(D303,E303),"")</x:f>
        <x:v>0.06974163529111646</x:v>
      </x:c>
      <x:c r="G303" s="22" t="n">
        <x:f>IFERROR('升力标定计算'!N605,"")</x:f>
        <x:v>0.07194376757360392</x:v>
      </x:c>
      <x:c r="H303" s="22" t="n">
        <x:f>IFERROR('升力标定计算'!N606,"")</x:f>
        <x:v>0.07133000308528684</x:v>
      </x:c>
      <x:c r="I303" s="22" t="n">
        <x:f>IF(AND(ISNUMBER(G303),ISNUMBER(H303)),AVERAGE(G303,H303),"")</x:f>
        <x:v>0.07163688532944537</x:v>
      </x:c>
      <x:c r="J303" s="22" t="n">
        <x:f>IFERROR('4000rpm'!AT14,"")</x:f>
        <x:v>0</x:v>
      </x:c>
      <x:c r="K303" s="22" t="n">
        <x:f>IFERROR('4000rpm'!AT24,"")</x:f>
        <x:v>0.3336614173228346</x:v>
      </x:c>
      <x:c r="L303" s="22" t="n">
        <x:f>IFERROR('4000rpm'!AT16,"")</x:f>
        <x:v>0.06673228346456693</x:v>
      </x:c>
      <x:c r="M303" s="22" t="n">
        <x:f>IFERROR('4000rpm'!AS16,"")</x:f>
        <x:v>0.07587342401676941</x:v>
      </x:c>
      <x:c r="N303" s="22" t="n">
        <x:f>IFERROR('4000rpm'!AT17,"")</x:f>
        <x:v>0.1000984251968504</x:v>
      </x:c>
      <x:c r="O303" s="22" t="n">
        <x:f>IFERROR('4000rpm'!AS17,"")</x:f>
        <x:v>0.0718198439322701</x:v>
      </x:c>
      <x:c r="P303" s="22" t="n">
        <x:f>IF(OR(NOT(AND(ISNUMBER(D303),ISNUMBER(E303),ISNUMBER(G303),ISNUMBER(H303))),OR(F303&lt;J303,F303&gt;K303)),"",IF(N303=L303,M303,M303+(F303-L303)*(O303-M303)/(N303-L303)))</x:f>
        <x:v>0.07550782439997135</x:v>
      </x:c>
      <x:c r="Q303" s="22" t="n">
        <x:f>IF(AND(ISNUMBER(I303),ISNUMBER(P303)),I303-P303,"")</x:f>
        <x:v>-0.0038709390705259777</x:v>
      </x:c>
      <x:c r="R303" s="22" t="n">
        <x:f>IF(ISNUMBER(Q303),ABS(Q303),"")</x:f>
        <x:v>0.0038709390705259777</x:v>
      </x:c>
      <x:c r="S303" s="36" t="n">
        <x:f>IF(AND(ISNUMBER(Q303),ISNUMBER(P303)),IF(ABS(P303)&lt;1E-12,"",Q303/P303),"")</x:f>
        <x:v>-0.05126540330471297</x:v>
      </x:c>
      <x:c r="T303" s="36" t="n">
        <x:f>IF(ISNUMBER(S303),ABS(S303),"")</x:f>
        <x:v>0.05126540330471297</x:v>
      </x:c>
      <x:c r="U303" s="37" t="n">
        <x:f>IF(ISNUMBER(Q303),Q303^2,"")</x:f>
        <x:v>0.00001498416928772452</x:v>
      </x:c>
      <x:c r="V303" s="21" t="str">
        <x:f>IF(NOT(AND(ISNUMBER(D303),ISNUMBER(E303),ISNUMBER(G303),ISNUMBER(H303))),"缺少配对",IF(OR(F303&lt;J303,F303&gt;K303),"超出理论J范围","有效"))</x:f>
        <x:v>有效</x:v>
      </x:c>
      <x:c r="W303" s="20" t="str">
        <x:v>升力 y=0.915708x+28.7687 → C_T_prop；实验攻角 75° ↔ 理论 alpha_p_deg 15°；原升力源 4000rpm!D164/O164</x:v>
      </x:c>
      <x:c r="X303" s="20" t="str">
        <x:v>升力标定计算!M605</x:v>
      </x:c>
      <x:c r="Y303" s="20" t="str">
        <x:v>升力标定计算!M606</x:v>
      </x:c>
      <x:c r="Z303" s="20" t="str">
        <x:v>升力标定计算!N605</x:v>
      </x:c>
      <x:c r="AA303" s="20" t="str">
        <x:v>升力标定计算!N606</x:v>
      </x:c>
      <x:c r="AB303" s="20" t="str">
        <x:v>4000rpm!AT16:AS17</x:v>
      </x:c>
    </x:row>
    <x:row r="304">
      <x:c r="A304" s="21" t="n">
        <x:v>4000</x:v>
      </x:c>
      <x:c r="B304" s="21" t="n">
        <x:v>75</x:v>
      </x:c>
      <x:c r="C304" s="21" t="n">
        <x:v>21</x:v>
      </x:c>
      <x:c r="D304" s="22" t="n">
        <x:f>IFERROR('升力标定计算'!M607,"")</x:f>
        <x:v>0.035635674058223286</x:v>
      </x:c>
      <x:c r="E304" s="22" t="n">
        <x:f>IFERROR('升力标定计算'!M608,"")</x:f>
        <x:v>0.03593303115151005</x:v>
      </x:c>
      <x:c r="F304" s="22" t="n">
        <x:f>IF(AND(ISNUMBER(D304),ISNUMBER(E304)),AVERAGE(D304,E304),"")</x:f>
        <x:v>0.03578435260486667</x:v>
      </x:c>
      <x:c r="G304" s="22" t="n">
        <x:f>IFERROR('升力标定计算'!N607,"")</x:f>
        <x:v>0.07504713611382133</x:v>
      </x:c>
      <x:c r="H304" s="22" t="n">
        <x:f>IFERROR('升力标定计算'!N608,"")</x:f>
        <x:v>0.07482821526706315</x:v>
      </x:c>
      <x:c r="I304" s="22" t="n">
        <x:f>IF(AND(ISNUMBER(G304),ISNUMBER(H304)),AVERAGE(G304,H304),"")</x:f>
        <x:v>0.07493767569044224</x:v>
      </x:c>
      <x:c r="J304" s="22" t="n">
        <x:f>IFERROR('4000rpm'!AT14,"")</x:f>
        <x:v>0</x:v>
      </x:c>
      <x:c r="K304" s="22" t="n">
        <x:f>IFERROR('4000rpm'!AT24,"")</x:f>
        <x:v>0.3336614173228346</x:v>
      </x:c>
      <x:c r="L304" s="22" t="n">
        <x:f>IFERROR('4000rpm'!AT15,"")</x:f>
        <x:v>0.033366141732283465</x:v>
      </x:c>
      <x:c r="M304" s="22" t="n">
        <x:f>IFERROR('4000rpm'!AS15,"")</x:f>
        <x:v>0.0796736988020287</x:v>
      </x:c>
      <x:c r="N304" s="22" t="n">
        <x:f>IFERROR('4000rpm'!AT16,"")</x:f>
        <x:v>0.06673228346456693</x:v>
      </x:c>
      <x:c r="O304" s="22" t="n">
        <x:f>IFERROR('4000rpm'!AS16,"")</x:f>
        <x:v>0.07587342401676941</x:v>
      </x:c>
      <x:c r="P304" s="22" t="n">
        <x:f>IF(OR(NOT(AND(ISNUMBER(D304),ISNUMBER(E304),ISNUMBER(G304),ISNUMBER(H304))),OR(F304&lt;J304,F304&gt;K304)),"",IF(N304=L304,M304,M304+(F304-L304)*(O304-M304)/(N304-L304)))</x:f>
        <x:v>0.07939827391538001</x:v>
      </x:c>
      <x:c r="Q304" s="22" t="n">
        <x:f>IF(AND(ISNUMBER(I304),ISNUMBER(P304)),I304-P304,"")</x:f>
        <x:v>-0.004460598224937773</x:v>
      </x:c>
      <x:c r="R304" s="22" t="n">
        <x:f>IF(ISNUMBER(Q304),ABS(Q304),"")</x:f>
        <x:v>0.004460598224937773</x:v>
      </x:c>
      <x:c r="S304" s="36" t="n">
        <x:f>IF(AND(ISNUMBER(Q304),ISNUMBER(P304)),IF(ABS(P304)&lt;1E-12,"",Q304/P304),"")</x:f>
        <x:v>-0.05618004025744599</x:v>
      </x:c>
      <x:c r="T304" s="36" t="n">
        <x:f>IF(ISNUMBER(S304),ABS(S304),"")</x:f>
        <x:v>0.05618004025744599</x:v>
      </x:c>
      <x:c r="U304" s="37" t="n">
        <x:f>IF(ISNUMBER(Q304),Q304^2,"")</x:f>
        <x:v>0.00001989693652431801</x:v>
      </x:c>
      <x:c r="V304" s="21" t="str">
        <x:f>IF(NOT(AND(ISNUMBER(D304),ISNUMBER(E304),ISNUMBER(G304),ISNUMBER(H304))),"缺少配对",IF(OR(F304&lt;J304,F304&gt;K304),"超出理论J范围","有效"))</x:f>
        <x:v>有效</x:v>
      </x:c>
      <x:c r="W304" s="20" t="str">
        <x:v>升力 y=0.915708x+28.7687 → C_T_prop；实验攻角 75° ↔ 理论 alpha_p_deg 15°；原升力源 4000rpm!D165/O165</x:v>
      </x:c>
      <x:c r="X304" s="20" t="str">
        <x:v>升力标定计算!M607</x:v>
      </x:c>
      <x:c r="Y304" s="20" t="str">
        <x:v>升力标定计算!M608</x:v>
      </x:c>
      <x:c r="Z304" s="20" t="str">
        <x:v>升力标定计算!N607</x:v>
      </x:c>
      <x:c r="AA304" s="20" t="str">
        <x:v>升力标定计算!N608</x:v>
      </x:c>
      <x:c r="AB304" s="20" t="str">
        <x:v>4000rpm!AT15:AS16</x:v>
      </x:c>
    </x:row>
    <x:row r="305">
      <x:c r="A305" s="21" t="n">
        <x:v>4000</x:v>
      </x:c>
      <x:c r="B305" s="21" t="n">
        <x:v>75</x:v>
      </x:c>
      <x:c r="C305" s="21" t="n">
        <x:v>22</x:v>
      </x:c>
      <x:c r="D305" s="22" t="n">
        <x:f>IFERROR('升力标定计算'!M609,"")</x:f>
        <x:v>0.009346294085529117</x:v>
      </x:c>
      <x:c r="E305" s="22" t="n">
        <x:f>IFERROR('升力标定计算'!M610,"")</x:f>
        <x:v>0.0095954011898154</x:v>
      </x:c>
      <x:c r="F305" s="22" t="n">
        <x:f>IF(AND(ISNUMBER(D305),ISNUMBER(E305)),AVERAGE(D305,E305),"")</x:f>
        <x:v>0.009470847637672258</x:v>
      </x:c>
      <x:c r="G305" s="22" t="n">
        <x:f>IFERROR('升力标定计算'!N609,"")</x:f>
        <x:v>0.07673788189796152</x:v>
      </x:c>
      <x:c r="H305" s="22" t="n">
        <x:f>IFERROR('升力标定计算'!N610,"")</x:f>
        <x:v>0.07756199400358343</x:v>
      </x:c>
      <x:c r="I305" s="22" t="n">
        <x:f>IF(AND(ISNUMBER(G305),ISNUMBER(H305)),AVERAGE(G305,H305),"")</x:f>
        <x:v>0.07714993795077248</x:v>
      </x:c>
      <x:c r="J305" s="22" t="n">
        <x:f>IFERROR('4000rpm'!AT14,"")</x:f>
        <x:v>0</x:v>
      </x:c>
      <x:c r="K305" s="22" t="n">
        <x:f>IFERROR('4000rpm'!AT24,"")</x:f>
        <x:v>0.3336614173228346</x:v>
      </x:c>
      <x:c r="L305" s="22" t="n">
        <x:f>IFERROR('4000rpm'!AT14,"")</x:f>
        <x:v>0</x:v>
      </x:c>
      <x:c r="M305" s="22" t="n">
        <x:f>IFERROR('4000rpm'!AS14,"")</x:f>
        <x:v>0.08350690647788582</x:v>
      </x:c>
      <x:c r="N305" s="22" t="n">
        <x:f>IFERROR('4000rpm'!AT15,"")</x:f>
        <x:v>0.033366141732283465</x:v>
      </x:c>
      <x:c r="O305" s="22" t="n">
        <x:f>IFERROR('4000rpm'!AS15,"")</x:f>
        <x:v>0.0796736988020287</x:v>
      </x:c>
      <x:c r="P305" s="22" t="n">
        <x:f>IF(OR(NOT(AND(ISNUMBER(D305),ISNUMBER(E305),ISNUMBER(G305),ISNUMBER(H305))),OR(F305&lt;J305,F305&gt;K305)),"",IF(N305=L305,M305,M305+(F305-L305)*(O305-M305)/(N305-L305)))</x:f>
        <x:v>0.08241886560840546</x:v>
      </x:c>
      <x:c r="Q305" s="22" t="n">
        <x:f>IF(AND(ISNUMBER(I305),ISNUMBER(P305)),I305-P305,"")</x:f>
        <x:v>-0.005268927657632982</x:v>
      </x:c>
      <x:c r="R305" s="22" t="n">
        <x:f>IF(ISNUMBER(Q305),ABS(Q305),"")</x:f>
        <x:v>0.005268927657632982</x:v>
      </x:c>
      <x:c r="S305" s="36" t="n">
        <x:f>IF(AND(ISNUMBER(Q305),ISNUMBER(P305)),IF(ABS(P305)&lt;1E-12,"",Q305/P305),"")</x:f>
        <x:v>-0.0639286602495489</x:v>
      </x:c>
      <x:c r="T305" s="36" t="n">
        <x:f>IF(ISNUMBER(S305),ABS(S305),"")</x:f>
        <x:v>0.0639286602495489</x:v>
      </x:c>
      <x:c r="U305" s="37" t="n">
        <x:f>IF(ISNUMBER(Q305),Q305^2,"")</x:f>
        <x:v>0.000027761598661369786</x:v>
      </x:c>
      <x:c r="V305" s="21" t="str">
        <x:f>IF(NOT(AND(ISNUMBER(D305),ISNUMBER(E305),ISNUMBER(G305),ISNUMBER(H305))),"缺少配对",IF(OR(F305&lt;J305,F305&gt;K305),"超出理论J范围","有效"))</x:f>
        <x:v>有效</x:v>
      </x:c>
      <x:c r="W305" s="20" t="str">
        <x:v>升力 y=0.915708x+28.7687 → C_T_prop；实验攻角 75° ↔ 理论 alpha_p_deg 15°；原升力源 4000rpm!D166/O166</x:v>
      </x:c>
      <x:c r="X305" s="20" t="str">
        <x:v>升力标定计算!M609</x:v>
      </x:c>
      <x:c r="Y305" s="20" t="str">
        <x:v>升力标定计算!M610</x:v>
      </x:c>
      <x:c r="Z305" s="20" t="str">
        <x:v>升力标定计算!N609</x:v>
      </x:c>
      <x:c r="AA305" s="20" t="str">
        <x:v>升力标定计算!N610</x:v>
      </x:c>
      <x:c r="AB305" s="20" t="str">
        <x:v>4000rpm!AT14:AS15</x:v>
      </x:c>
    </x:row>
    <x:row r="306">
      <x:c r="A306" s="21" t="n">
        <x:v>4000</x:v>
      </x:c>
      <x:c r="B306" s="21" t="n">
        <x:v>75</x:v>
      </x:c>
      <x:c r="C306" s="21" t="n">
        <x:v>23</x:v>
      </x:c>
      <x:c r="D306" s="22" t="str">
        <x:f>IFERROR('升力标定计算'!M611,"")</x:f>
      </x:c>
      <x:c r="E306" s="22" t="str">
        <x:f>IFERROR('升力标定计算'!M612,"")</x:f>
      </x:c>
      <x:c r="F306" s="22" t="str">
        <x:f>IF(AND(ISNUMBER(D306),ISNUMBER(E306)),AVERAGE(D306,E306),"")</x:f>
      </x:c>
      <x:c r="G306" s="22" t="str">
        <x:f>IFERROR('升力标定计算'!N611,"")</x:f>
      </x:c>
      <x:c r="H306" s="22" t="str">
        <x:f>IFERROR('升力标定计算'!N612,"")</x:f>
      </x:c>
      <x:c r="I306" s="22" t="str">
        <x:f>IF(AND(ISNUMBER(G306),ISNUMBER(H306)),AVERAGE(G306,H306),"")</x:f>
      </x:c>
      <x:c r="J306" s="22" t="n">
        <x:f>IFERROR('4000rpm'!AT14,"")</x:f>
        <x:v>0</x:v>
      </x:c>
      <x:c r="K306" s="22" t="n">
        <x:f>IFERROR('4000rpm'!AT24,"")</x:f>
        <x:v>0.3336614173228346</x:v>
      </x:c>
      <x:c r="L306" s="22" t="n">
        <x:f>IFERROR('4000rpm'!AT14,"")</x:f>
        <x:v>0</x:v>
      </x:c>
      <x:c r="M306" s="22" t="n">
        <x:f>IFERROR('4000rpm'!AS14,"")</x:f>
        <x:v>0.08350690647788582</x:v>
      </x:c>
      <x:c r="N306" s="22" t="n">
        <x:f>IFERROR('4000rpm'!AT24,"")</x:f>
        <x:v>0.3336614173228346</x:v>
      </x:c>
      <x:c r="O306" s="22" t="n">
        <x:f>IFERROR('4000rpm'!AS24,"")</x:f>
        <x:v>0.03583273242879417</x:v>
      </x:c>
      <x:c r="P306" s="22" t="str">
        <x:f>IF(OR(NOT(AND(ISNUMBER(D306),ISNUMBER(E306),ISNUMBER(G306),ISNUMBER(H306))),OR(F306&lt;J306,F306&gt;K306)),"",IF(N306=L306,M306,M306+(F306-L306)*(O306-M306)/(N306-L306)))</x:f>
      </x:c>
      <x:c r="Q306" s="22" t="str">
        <x:f>IF(AND(ISNUMBER(I306),ISNUMBER(P306)),I306-P306,"")</x:f>
      </x:c>
      <x:c r="R306" s="22" t="str">
        <x:f>IF(ISNUMBER(Q306),ABS(Q306),"")</x:f>
      </x:c>
      <x:c r="S306" s="36" t="str">
        <x:f>IF(AND(ISNUMBER(Q306),ISNUMBER(P306)),IF(ABS(P306)&lt;1E-12,"",Q306/P306),"")</x:f>
      </x:c>
      <x:c r="T306" s="36" t="str">
        <x:f>IF(ISNUMBER(S306),ABS(S306),"")</x:f>
      </x:c>
      <x:c r="U306" s="37" t="str">
        <x:f>IF(ISNUMBER(Q306),Q306^2,"")</x:f>
      </x:c>
      <x:c r="V306" s="21" t="str">
        <x:f>IF(NOT(AND(ISNUMBER(D306),ISNUMBER(E306),ISNUMBER(G306),ISNUMBER(H306))),"缺少配对",IF(OR(F306&lt;J306,F306&gt;K306),"超出理论J范围","有效"))</x:f>
        <x:v>缺少配对</x:v>
      </x:c>
      <x:c r="W306" s="20" t="str">
        <x:v>升力 y=0.915708x+28.7687 → C_T_prop；实验攻角 75° ↔ 理论 alpha_p_deg 15°；原升力源 4000rpm!D167/O167</x:v>
      </x:c>
      <x:c r="X306" s="20" t="str">
        <x:v>升力标定计算!M611</x:v>
      </x:c>
      <x:c r="Y306" s="20" t="str">
        <x:v>升力标定计算!M612</x:v>
      </x:c>
      <x:c r="Z306" s="20" t="str">
        <x:v>升力标定计算!N611</x:v>
      </x:c>
      <x:c r="AA306" s="20" t="str">
        <x:v>升力标定计算!N612</x:v>
      </x:c>
      <x:c r="AB306" s="20" t="str">
        <x:v>4000rpm!AT14:AS24</x:v>
      </x:c>
    </x:row>
    <x:row r="307">
      <x:c r="A307" s="21" t="n">
        <x:v>4000</x:v>
      </x:c>
      <x:c r="B307" s="21" t="n">
        <x:v>75</x:v>
      </x:c>
      <x:c r="C307" s="21" t="n">
        <x:v>24</x:v>
      </x:c>
      <x:c r="D307" s="22" t="str">
        <x:f>IFERROR('升力标定计算'!M613,"")</x:f>
      </x:c>
      <x:c r="E307" s="22" t="str">
        <x:f>IFERROR('升力标定计算'!M614,"")</x:f>
      </x:c>
      <x:c r="F307" s="22" t="str">
        <x:f>IF(AND(ISNUMBER(D307),ISNUMBER(E307)),AVERAGE(D307,E307),"")</x:f>
      </x:c>
      <x:c r="G307" s="22" t="str">
        <x:f>IFERROR('升力标定计算'!N613,"")</x:f>
      </x:c>
      <x:c r="H307" s="22" t="str">
        <x:f>IFERROR('升力标定计算'!N614,"")</x:f>
      </x:c>
      <x:c r="I307" s="22" t="str">
        <x:f>IF(AND(ISNUMBER(G307),ISNUMBER(H307)),AVERAGE(G307,H307),"")</x:f>
      </x:c>
      <x:c r="J307" s="22" t="n">
        <x:f>IFERROR('4000rpm'!AT14,"")</x:f>
        <x:v>0</x:v>
      </x:c>
      <x:c r="K307" s="22" t="n">
        <x:f>IFERROR('4000rpm'!AT24,"")</x:f>
        <x:v>0.3336614173228346</x:v>
      </x:c>
      <x:c r="L307" s="22" t="n">
        <x:f>IFERROR('4000rpm'!AT14,"")</x:f>
        <x:v>0</x:v>
      </x:c>
      <x:c r="M307" s="22" t="n">
        <x:f>IFERROR('4000rpm'!AS14,"")</x:f>
        <x:v>0.08350690647788582</x:v>
      </x:c>
      <x:c r="N307" s="22" t="n">
        <x:f>IFERROR('4000rpm'!AT24,"")</x:f>
        <x:v>0.3336614173228346</x:v>
      </x:c>
      <x:c r="O307" s="22" t="n">
        <x:f>IFERROR('4000rpm'!AS24,"")</x:f>
        <x:v>0.03583273242879417</x:v>
      </x:c>
      <x:c r="P307" s="22" t="str">
        <x:f>IF(OR(NOT(AND(ISNUMBER(D307),ISNUMBER(E307),ISNUMBER(G307),ISNUMBER(H307))),OR(F307&lt;J307,F307&gt;K307)),"",IF(N307=L307,M307,M307+(F307-L307)*(O307-M307)/(N307-L307)))</x:f>
      </x:c>
      <x:c r="Q307" s="22" t="str">
        <x:f>IF(AND(ISNUMBER(I307),ISNUMBER(P307)),I307-P307,"")</x:f>
      </x:c>
      <x:c r="R307" s="22" t="str">
        <x:f>IF(ISNUMBER(Q307),ABS(Q307),"")</x:f>
      </x:c>
      <x:c r="S307" s="36" t="str">
        <x:f>IF(AND(ISNUMBER(Q307),ISNUMBER(P307)),IF(ABS(P307)&lt;1E-12,"",Q307/P307),"")</x:f>
      </x:c>
      <x:c r="T307" s="36" t="str">
        <x:f>IF(ISNUMBER(S307),ABS(S307),"")</x:f>
      </x:c>
      <x:c r="U307" s="37" t="str">
        <x:f>IF(ISNUMBER(Q307),Q307^2,"")</x:f>
      </x:c>
      <x:c r="V307" s="21" t="str">
        <x:f>IF(NOT(AND(ISNUMBER(D307),ISNUMBER(E307),ISNUMBER(G307),ISNUMBER(H307))),"缺少配对",IF(OR(F307&lt;J307,F307&gt;K307),"超出理论J范围","有效"))</x:f>
        <x:v>缺少配对</x:v>
      </x:c>
      <x:c r="W307" s="20" t="str">
        <x:v>升力 y=0.915708x+28.7687 → C_T_prop；实验攻角 75° ↔ 理论 alpha_p_deg 15°；原升力源 4000rpm!D170/O170</x:v>
      </x:c>
      <x:c r="X307" s="20" t="str">
        <x:v>升力标定计算!M613</x:v>
      </x:c>
      <x:c r="Y307" s="20" t="str">
        <x:v>升力标定计算!M614</x:v>
      </x:c>
      <x:c r="Z307" s="20" t="str">
        <x:v>升力标定计算!N613</x:v>
      </x:c>
      <x:c r="AA307" s="20" t="str">
        <x:v>升力标定计算!N614</x:v>
      </x:c>
      <x:c r="AB307" s="20" t="str">
        <x:v>4000rpm!AT14:AS24</x:v>
      </x:c>
    </x:row>
    <x:row r="308">
      <x:c r="A308" s="21" t="n">
        <x:v>4000</x:v>
      </x:c>
      <x:c r="B308" s="21" t="n">
        <x:v>90</x:v>
      </x:c>
      <x:c r="C308" s="21" t="n">
        <x:v>1</x:v>
      </x:c>
      <x:c r="D308" s="22" t="str">
        <x:f>IFERROR('升力标定计算'!M615,"")</x:f>
      </x:c>
      <x:c r="E308" s="22" t="str">
        <x:f>IFERROR('升力标定计算'!M616,"")</x:f>
      </x:c>
      <x:c r="F308" s="22" t="str">
        <x:f>IF(AND(ISNUMBER(D308),ISNUMBER(E308)),AVERAGE(D308,E308),"")</x:f>
      </x:c>
      <x:c r="G308" s="22" t="str">
        <x:f>IFERROR('升力标定计算'!N615,"")</x:f>
      </x:c>
      <x:c r="H308" s="22" t="str">
        <x:f>IFERROR('升力标定计算'!N616,"")</x:f>
      </x:c>
      <x:c r="I308" s="22" t="str">
        <x:f>IF(AND(ISNUMBER(G308),ISNUMBER(H308)),AVERAGE(G308,H308),"")</x:f>
      </x:c>
      <x:c r="J308" s="22" t="n">
        <x:f>IFERROR('4000rpm'!AT3,"")</x:f>
        <x:v>0</x:v>
      </x:c>
      <x:c r="K308" s="22" t="n">
        <x:f>IFERROR('4000rpm'!AT13,"")</x:f>
        <x:v>0.3336614173228346</x:v>
      </x:c>
      <x:c r="L308" s="22" t="n">
        <x:f>IFERROR('4000rpm'!AT3,"")</x:f>
        <x:v>0</x:v>
      </x:c>
      <x:c r="M308" s="22" t="n">
        <x:f>IFERROR('4000rpm'!AS3,"")</x:f>
        <x:v>0.08350690647788582</x:v>
      </x:c>
      <x:c r="N308" s="22" t="n">
        <x:f>IFERROR('4000rpm'!AT13,"")</x:f>
        <x:v>0.3336614173228346</x:v>
      </x:c>
      <x:c r="O308" s="22" t="n">
        <x:f>IFERROR('4000rpm'!AS13,"")</x:f>
        <x:v>0.03304017026372573</x:v>
      </x:c>
      <x:c r="P308" s="22" t="str">
        <x:f>IF(OR(NOT(AND(ISNUMBER(D308),ISNUMBER(E308),ISNUMBER(G308),ISNUMBER(H308))),OR(F308&lt;J308,F308&gt;K308)),"",IF(N308=L308,M308,M308+(F308-L308)*(O308-M308)/(N308-L308)))</x:f>
      </x:c>
      <x:c r="Q308" s="22" t="str">
        <x:f>IF(AND(ISNUMBER(I308),ISNUMBER(P308)),I308-P308,"")</x:f>
      </x:c>
      <x:c r="R308" s="22" t="str">
        <x:f>IF(ISNUMBER(Q308),ABS(Q308),"")</x:f>
      </x:c>
      <x:c r="S308" s="36" t="str">
        <x:f>IF(AND(ISNUMBER(Q308),ISNUMBER(P308)),IF(ABS(P308)&lt;1E-12,"",Q308/P308),"")</x:f>
      </x:c>
      <x:c r="T308" s="36" t="str">
        <x:f>IF(ISNUMBER(S308),ABS(S308),"")</x:f>
      </x:c>
      <x:c r="U308" s="37" t="str">
        <x:f>IF(ISNUMBER(Q308),Q308^2,"")</x:f>
      </x:c>
      <x:c r="V308" s="21" t="str">
        <x:f>IF(NOT(AND(ISNUMBER(D308),ISNUMBER(E308),ISNUMBER(G308),ISNUMBER(H308))),"缺少配对",IF(OR(F308&lt;J308,F308&gt;K308),"超出理论J范围","有效"))</x:f>
        <x:v>缺少配对</x:v>
      </x:c>
      <x:c r="W308" s="20" t="str">
        <x:v>升力 y=0.915708x+28.7687 → C_T_prop；实验攻角 90° ↔ 理论 alpha_p_deg 0°；原升力源 4000rpm!D173/O173</x:v>
      </x:c>
      <x:c r="X308" s="20" t="str">
        <x:v>升力标定计算!M615</x:v>
      </x:c>
      <x:c r="Y308" s="20" t="str">
        <x:v>升力标定计算!M616</x:v>
      </x:c>
      <x:c r="Z308" s="20" t="str">
        <x:v>升力标定计算!N615</x:v>
      </x:c>
      <x:c r="AA308" s="20" t="str">
        <x:v>升力标定计算!N616</x:v>
      </x:c>
      <x:c r="AB308" s="20" t="str">
        <x:v>4000rpm!AT3:AS13</x:v>
      </x:c>
    </x:row>
    <x:row r="309">
      <x:c r="A309" s="21" t="n">
        <x:v>4000</x:v>
      </x:c>
      <x:c r="B309" s="21" t="n">
        <x:v>90</x:v>
      </x:c>
      <x:c r="C309" s="21" t="n">
        <x:v>2</x:v>
      </x:c>
      <x:c r="D309" s="22" t="n">
        <x:f>IFERROR('升力标定计算'!M617,"")</x:f>
        <x:v>0.00839112026413225</x:v>
      </x:c>
      <x:c r="E309" s="22" t="n">
        <x:f>IFERROR('升力标定计算'!M618,"")</x:f>
        <x:v>0.004052650916305614</x:v>
      </x:c>
      <x:c r="F309" s="22" t="n">
        <x:f>IF(AND(ISNUMBER(D309),ISNUMBER(E309)),AVERAGE(D309,E309),"")</x:f>
        <x:v>0.006221885590218932</x:v>
      </x:c>
      <x:c r="G309" s="22" t="n">
        <x:f>IFERROR('升力标定计算'!N617,"")</x:f>
        <x:v>0.074350540836857</x:v>
      </x:c>
      <x:c r="H309" s="22" t="n">
        <x:f>IFERROR('升力标定计算'!N618,"")</x:f>
        <x:v>0.08289728790959232</x:v>
      </x:c>
      <x:c r="I309" s="22" t="n">
        <x:f>IF(AND(ISNUMBER(G309),ISNUMBER(H309)),AVERAGE(G309,H309),"")</x:f>
        <x:v>0.07862391437322466</x:v>
      </x:c>
      <x:c r="J309" s="22" t="n">
        <x:f>IFERROR('4000rpm'!AT3,"")</x:f>
        <x:v>0</x:v>
      </x:c>
      <x:c r="K309" s="22" t="n">
        <x:f>IFERROR('4000rpm'!AT13,"")</x:f>
        <x:v>0.3336614173228346</x:v>
      </x:c>
      <x:c r="L309" s="22" t="n">
        <x:f>IFERROR('4000rpm'!AT3,"")</x:f>
        <x:v>0</x:v>
      </x:c>
      <x:c r="M309" s="22" t="n">
        <x:f>IFERROR('4000rpm'!AS3,"")</x:f>
        <x:v>0.08350690647788582</x:v>
      </x:c>
      <x:c r="N309" s="22" t="n">
        <x:f>IFERROR('4000rpm'!AT4,"")</x:f>
        <x:v>0.033366141732283465</x:v>
      </x:c>
      <x:c r="O309" s="22" t="n">
        <x:f>IFERROR('4000rpm'!AS4,"")</x:f>
        <x:v>0.07975749420384352</x:v>
      </x:c>
      <x:c r="P309" s="22" t="n">
        <x:f>IF(OR(NOT(AND(ISNUMBER(D309),ISNUMBER(E309),ISNUMBER(G309),ISNUMBER(H309))),OR(F309&lt;J309,F309&gt;K309)),"",IF(N309=L309,M309,M309+(F309-L309)*(O309-M309)/(N309-L309)))</x:f>
        <x:v>0.08280774220570741</x:v>
      </x:c>
      <x:c r="Q309" s="22" t="n">
        <x:f>IF(AND(ISNUMBER(I309),ISNUMBER(P309)),I309-P309,"")</x:f>
        <x:v>-0.0041838278324827505</x:v>
      </x:c>
      <x:c r="R309" s="22" t="n">
        <x:f>IF(ISNUMBER(Q309),ABS(Q309),"")</x:f>
        <x:v>0.0041838278324827505</x:v>
      </x:c>
      <x:c r="S309" s="36" t="n">
        <x:f>IF(AND(ISNUMBER(Q309),ISNUMBER(P309)),IF(ABS(P309)&lt;1E-12,"",Q309/P309),"")</x:f>
        <x:v>-0.050524597350927236</x:v>
      </x:c>
      <x:c r="T309" s="36" t="n">
        <x:f>IF(ISNUMBER(S309),ABS(S309),"")</x:f>
        <x:v>0.050524597350927236</x:v>
      </x:c>
      <x:c r="U309" s="37" t="n">
        <x:f>IF(ISNUMBER(Q309),Q309^2,"")</x:f>
        <x:v>0.00001750441533185731</x:v>
      </x:c>
      <x:c r="V309" s="21" t="str">
        <x:f>IF(NOT(AND(ISNUMBER(D309),ISNUMBER(E309),ISNUMBER(G309),ISNUMBER(H309))),"缺少配对",IF(OR(F309&lt;J309,F309&gt;K309),"超出理论J范围","有效"))</x:f>
        <x:v>有效</x:v>
      </x:c>
      <x:c r="W309" s="20" t="str">
        <x:v>升力 y=0.915708x+28.7687 → C_T_prop；实验攻角 90° ↔ 理论 alpha_p_deg 0°；原升力源 4000rpm!D174/O174</x:v>
      </x:c>
      <x:c r="X309" s="20" t="str">
        <x:v>升力标定计算!M617</x:v>
      </x:c>
      <x:c r="Y309" s="20" t="str">
        <x:v>升力标定计算!M618</x:v>
      </x:c>
      <x:c r="Z309" s="20" t="str">
        <x:v>升力标定计算!N617</x:v>
      </x:c>
      <x:c r="AA309" s="20" t="str">
        <x:v>升力标定计算!N618</x:v>
      </x:c>
      <x:c r="AB309" s="20" t="str">
        <x:v>4000rpm!AT3:AS4</x:v>
      </x:c>
    </x:row>
    <x:row r="310">
      <x:c r="A310" s="21" t="n">
        <x:v>4000</x:v>
      </x:c>
      <x:c r="B310" s="21" t="n">
        <x:v>90</x:v>
      </x:c>
      <x:c r="C310" s="21" t="n">
        <x:v>3</x:v>
      </x:c>
      <x:c r="D310" s="22" t="n">
        <x:f>IFERROR('升力标定计算'!M619,"")</x:f>
        <x:v>0.0344598232058519</x:v>
      </x:c>
      <x:c r="E310" s="22" t="n">
        <x:f>IFERROR('升力标定计算'!M620,"")</x:f>
        <x:v>0.033992726507332184</x:v>
      </x:c>
      <x:c r="F310" s="22" t="n">
        <x:f>IF(AND(ISNUMBER(D310),ISNUMBER(E310)),AVERAGE(D310,E310),"")</x:f>
        <x:v>0.03422627485659204</x:v>
      </x:c>
      <x:c r="G310" s="22" t="n">
        <x:f>IFERROR('升力标定计算'!N619,"")</x:f>
        <x:v>0.07391518521678758</x:v>
      </x:c>
      <x:c r="H310" s="22" t="n">
        <x:f>IFERROR('升力标定计算'!N620,"")</x:f>
        <x:v>0.08037269964752211</x:v>
      </x:c>
      <x:c r="I310" s="22" t="n">
        <x:f>IF(AND(ISNUMBER(G310),ISNUMBER(H310)),AVERAGE(G310,H310),"")</x:f>
        <x:v>0.07714394243215485</x:v>
      </x:c>
      <x:c r="J310" s="22" t="n">
        <x:f>IFERROR('4000rpm'!AT3,"")</x:f>
        <x:v>0</x:v>
      </x:c>
      <x:c r="K310" s="22" t="n">
        <x:f>IFERROR('4000rpm'!AT13,"")</x:f>
        <x:v>0.3336614173228346</x:v>
      </x:c>
      <x:c r="L310" s="22" t="n">
        <x:f>IFERROR('4000rpm'!AT4,"")</x:f>
        <x:v>0.033366141732283465</x:v>
      </x:c>
      <x:c r="M310" s="22" t="n">
        <x:f>IFERROR('4000rpm'!AS4,"")</x:f>
        <x:v>0.07975749420384352</x:v>
      </x:c>
      <x:c r="N310" s="22" t="n">
        <x:f>IFERROR('4000rpm'!AT5,"")</x:f>
        <x:v>0.06673228346456693</x:v>
      </x:c>
      <x:c r="O310" s="22" t="n">
        <x:f>IFERROR('4000rpm'!AS5,"")</x:f>
        <x:v>0.07576976669850342</x:v>
      </x:c>
      <x:c r="P310" s="22" t="n">
        <x:f>IF(OR(NOT(AND(ISNUMBER(D310),ISNUMBER(E310),ISNUMBER(G310),ISNUMBER(H310))),OR(F310&lt;J310,F310&gt;K310)),"",IF(N310=L310,M310,M310+(F310-L310)*(O310-M310)/(N310-L310)))</x:f>
        <x:v>0.07965469608755006</x:v>
      </x:c>
      <x:c r="Q310" s="22" t="n">
        <x:f>IF(AND(ISNUMBER(I310),ISNUMBER(P310)),I310-P310,"")</x:f>
        <x:v>-0.0025107536553952148</x:v>
      </x:c>
      <x:c r="R310" s="22" t="n">
        <x:f>IF(ISNUMBER(Q310),ABS(Q310),"")</x:f>
        <x:v>0.0025107536553952148</x:v>
      </x:c>
      <x:c r="S310" s="36" t="n">
        <x:f>IF(AND(ISNUMBER(Q310),ISNUMBER(P310)),IF(ABS(P310)&lt;1E-12,"",Q310/P310),"")</x:f>
        <x:v>-0.031520472473281366</x:v>
      </x:c>
      <x:c r="T310" s="36" t="n">
        <x:f>IF(ISNUMBER(S310),ABS(S310),"")</x:f>
        <x:v>0.031520472473281366</x:v>
      </x:c>
      <x:c r="U310" s="37" t="n">
        <x:f>IF(ISNUMBER(Q310),Q310^2,"")</x:f>
        <x:v>0.000006303883918080433</x:v>
      </x:c>
      <x:c r="V310" s="21" t="str">
        <x:f>IF(NOT(AND(ISNUMBER(D310),ISNUMBER(E310),ISNUMBER(G310),ISNUMBER(H310))),"缺少配对",IF(OR(F310&lt;J310,F310&gt;K310),"超出理论J范围","有效"))</x:f>
        <x:v>有效</x:v>
      </x:c>
      <x:c r="W310" s="20" t="str">
        <x:v>升力 y=0.915708x+28.7687 → C_T_prop；实验攻角 90° ↔ 理论 alpha_p_deg 0°；原升力源 4000rpm!D175/O175</x:v>
      </x:c>
      <x:c r="X310" s="20" t="str">
        <x:v>升力标定计算!M619</x:v>
      </x:c>
      <x:c r="Y310" s="20" t="str">
        <x:v>升力标定计算!M620</x:v>
      </x:c>
      <x:c r="Z310" s="20" t="str">
        <x:v>升力标定计算!N619</x:v>
      </x:c>
      <x:c r="AA310" s="20" t="str">
        <x:v>升力标定计算!N620</x:v>
      </x:c>
      <x:c r="AB310" s="20" t="str">
        <x:v>4000rpm!AT4:AS5</x:v>
      </x:c>
    </x:row>
    <x:row r="311">
      <x:c r="A311" s="21" t="n">
        <x:v>4000</x:v>
      </x:c>
      <x:c r="B311" s="21" t="n">
        <x:v>90</x:v>
      </x:c>
      <x:c r="C311" s="21" t="n">
        <x:v>4</x:v>
      </x:c>
      <x:c r="D311" s="22" t="n">
        <x:f>IFERROR('升力标定计算'!M621,"")</x:f>
        <x:v>0.06816846862158739</x:v>
      </x:c>
      <x:c r="E311" s="22" t="n">
        <x:f>IFERROR('升力标定计算'!M622,"")</x:f>
        <x:v>0.06799632962255756</x:v>
      </x:c>
      <x:c r="F311" s="22" t="n">
        <x:f>IF(AND(ISNUMBER(D311),ISNUMBER(E311)),AVERAGE(D311,E311),"")</x:f>
        <x:v>0.06808239912207248</x:v>
      </x:c>
      <x:c r="G311" s="22" t="n">
        <x:f>IFERROR('升力标定计算'!N621,"")</x:f>
        <x:v>0.0714847818320471</x:v>
      </x:c>
      <x:c r="H311" s="22" t="n">
        <x:f>IFERROR('升力标定计算'!N622,"")</x:f>
        <x:v>0.07814794099788264</x:v>
      </x:c>
      <x:c r="I311" s="22" t="n">
        <x:f>IF(AND(ISNUMBER(G311),ISNUMBER(H311)),AVERAGE(G311,H311),"")</x:f>
        <x:v>0.07481636141496487</x:v>
      </x:c>
      <x:c r="J311" s="22" t="n">
        <x:f>IFERROR('4000rpm'!AT3,"")</x:f>
        <x:v>0</x:v>
      </x:c>
      <x:c r="K311" s="22" t="n">
        <x:f>IFERROR('4000rpm'!AT13,"")</x:f>
        <x:v>0.3336614173228346</x:v>
      </x:c>
      <x:c r="L311" s="22" t="n">
        <x:f>IFERROR('4000rpm'!AT5,"")</x:f>
        <x:v>0.06673228346456693</x:v>
      </x:c>
      <x:c r="M311" s="22" t="n">
        <x:f>IFERROR('4000rpm'!AS5,"")</x:f>
        <x:v>0.07576976669850342</x:v>
      </x:c>
      <x:c r="N311" s="22" t="n">
        <x:f>IFERROR('4000rpm'!AT6,"")</x:f>
        <x:v>0.1000984251968504</x:v>
      </x:c>
      <x:c r="O311" s="22" t="n">
        <x:f>IFERROR('4000rpm'!AS6,"")</x:f>
        <x:v>0.0714387004343732</x:v>
      </x:c>
      <x:c r="P311" s="22" t="n">
        <x:f>IF(OR(NOT(AND(ISNUMBER(D311),ISNUMBER(E311),ISNUMBER(G311),ISNUMBER(H311))),OR(F311&lt;J311,F311&gt;K311)),"",IF(N311=L311,M311,M311+(F311-L311)*(O311-M311)/(N311-L311)))</x:f>
        <x:v>0.07559451597806312</x:v>
      </x:c>
      <x:c r="Q311" s="22" t="n">
        <x:f>IF(AND(ISNUMBER(I311),ISNUMBER(P311)),I311-P311,"")</x:f>
        <x:v>-0.0007781545630982517</x:v>
      </x:c>
      <x:c r="R311" s="22" t="n">
        <x:f>IF(ISNUMBER(Q311),ABS(Q311),"")</x:f>
        <x:v>0.0007781545630982517</x:v>
      </x:c>
      <x:c r="S311" s="36" t="n">
        <x:f>IF(AND(ISNUMBER(Q311),ISNUMBER(P311)),IF(ABS(P311)&lt;1E-12,"",Q311/P311),"")</x:f>
        <x:v>-0.010293796488148235</x:v>
      </x:c>
      <x:c r="T311" s="36" t="n">
        <x:f>IF(ISNUMBER(S311),ABS(S311),"")</x:f>
        <x:v>0.010293796488148235</x:v>
      </x:c>
      <x:c r="U311" s="37" t="n">
        <x:f>IF(ISNUMBER(Q311),Q311^2,"")</x:f>
        <x:v>6.05524524070631e-7</x:v>
      </x:c>
      <x:c r="V311" s="21" t="str">
        <x:f>IF(NOT(AND(ISNUMBER(D311),ISNUMBER(E311),ISNUMBER(G311),ISNUMBER(H311))),"缺少配对",IF(OR(F311&lt;J311,F311&gt;K311),"超出理论J范围","有效"))</x:f>
        <x:v>有效</x:v>
      </x:c>
      <x:c r="W311" s="20" t="str">
        <x:v>升力 y=0.915708x+28.7687 → C_T_prop；实验攻角 90° ↔ 理论 alpha_p_deg 0°；原升力源 4000rpm!D176/O176</x:v>
      </x:c>
      <x:c r="X311" s="20" t="str">
        <x:v>升力标定计算!M621</x:v>
      </x:c>
      <x:c r="Y311" s="20" t="str">
        <x:v>升力标定计算!M622</x:v>
      </x:c>
      <x:c r="Z311" s="20" t="str">
        <x:v>升力标定计算!N621</x:v>
      </x:c>
      <x:c r="AA311" s="20" t="str">
        <x:v>升力标定计算!N622</x:v>
      </x:c>
      <x:c r="AB311" s="20" t="str">
        <x:v>4000rpm!AT5:AS6</x:v>
      </x:c>
    </x:row>
    <x:row r="312">
      <x:c r="A312" s="21" t="n">
        <x:v>4000</x:v>
      </x:c>
      <x:c r="B312" s="21" t="n">
        <x:v>90</x:v>
      </x:c>
      <x:c r="C312" s="21" t="n">
        <x:v>5</x:v>
      </x:c>
      <x:c r="D312" s="22" t="n">
        <x:f>IFERROR('升力标定计算'!M623,"")</x:f>
        <x:v>0.10194979066235087</x:v>
      </x:c>
      <x:c r="E312" s="22" t="n">
        <x:f>IFERROR('升力标定计算'!M624,"")</x:f>
        <x:v>0.10137294583626799</x:v>
      </x:c>
      <x:c r="F312" s="22" t="n">
        <x:f>IF(AND(ISNUMBER(D312),ISNUMBER(E312)),AVERAGE(D312,E312),"")</x:f>
        <x:v>0.10166136824930944</x:v>
      </x:c>
      <x:c r="G312" s="22" t="n">
        <x:f>IFERROR('升力标定计算'!N623,"")</x:f>
        <x:v>0.06788201271552095</x:v>
      </x:c>
      <x:c r="H312" s="22" t="n">
        <x:f>IFERROR('升力标定计算'!N624,"")</x:f>
        <x:v>0.07375664828299229</x:v>
      </x:c>
      <x:c r="I312" s="22" t="n">
        <x:f>IF(AND(ISNUMBER(G312),ISNUMBER(H312)),AVERAGE(G312,H312),"")</x:f>
        <x:v>0.07081933049925662</x:v>
      </x:c>
      <x:c r="J312" s="22" t="n">
        <x:f>IFERROR('4000rpm'!AT3,"")</x:f>
        <x:v>0</x:v>
      </x:c>
      <x:c r="K312" s="22" t="n">
        <x:f>IFERROR('4000rpm'!AT13,"")</x:f>
        <x:v>0.3336614173228346</x:v>
      </x:c>
      <x:c r="L312" s="22" t="n">
        <x:f>IFERROR('4000rpm'!AT6,"")</x:f>
        <x:v>0.1000984251968504</x:v>
      </x:c>
      <x:c r="M312" s="22" t="n">
        <x:f>IFERROR('4000rpm'!AS6,"")</x:f>
        <x:v>0.0714387004343732</x:v>
      </x:c>
      <x:c r="N312" s="22" t="n">
        <x:f>IFERROR('4000rpm'!AT7,"")</x:f>
        <x:v>0.13346456692913386</x:v>
      </x:c>
      <x:c r="O312" s="22" t="n">
        <x:f>IFERROR('4000rpm'!AS7,"")</x:f>
        <x:v>0.06680466918800777</x:v>
      </x:c>
      <x:c r="P312" s="22" t="n">
        <x:f>IF(OR(NOT(AND(ISNUMBER(D312),ISNUMBER(E312),ISNUMBER(G312),ISNUMBER(H312))),OR(F312&lt;J312,F312&gt;K312)),"",IF(N312=L312,M312,M312+(F312-L312)*(O312-M312)/(N312-L312)))</x:f>
        <x:v>0.07122163227589394</x:v>
      </x:c>
      <x:c r="Q312" s="22" t="n">
        <x:f>IF(AND(ISNUMBER(I312),ISNUMBER(P312)),I312-P312,"")</x:f>
        <x:v>-0.0004023017766373177</x:v>
      </x:c>
      <x:c r="R312" s="22" t="n">
        <x:f>IF(ISNUMBER(Q312),ABS(Q312),"")</x:f>
        <x:v>0.0004023017766373177</x:v>
      </x:c>
      <x:c r="S312" s="36" t="n">
        <x:f>IF(AND(ISNUMBER(Q312),ISNUMBER(P312)),IF(ABS(P312)&lt;1E-12,"",Q312/P312),"")</x:f>
        <x:v>-0.005648589673975823</x:v>
      </x:c>
      <x:c r="T312" s="36" t="n">
        <x:f>IF(ISNUMBER(S312),ABS(S312),"")</x:f>
        <x:v>0.005648589673975823</x:v>
      </x:c>
      <x:c r="U312" s="37" t="n">
        <x:f>IF(ISNUMBER(Q312),Q312^2,"")</x:f>
        <x:v>1.6184671948554225e-7</x:v>
      </x:c>
      <x:c r="V312" s="21" t="str">
        <x:f>IF(NOT(AND(ISNUMBER(D312),ISNUMBER(E312),ISNUMBER(G312),ISNUMBER(H312))),"缺少配对",IF(OR(F312&lt;J312,F312&gt;K312),"超出理论J范围","有效"))</x:f>
        <x:v>有效</x:v>
      </x:c>
      <x:c r="W312" s="20" t="str">
        <x:v>升力 y=0.915708x+28.7687 → C_T_prop；实验攻角 90° ↔ 理论 alpha_p_deg 0°；原升力源 4000rpm!D177/O177</x:v>
      </x:c>
      <x:c r="X312" s="20" t="str">
        <x:v>升力标定计算!M623</x:v>
      </x:c>
      <x:c r="Y312" s="20" t="str">
        <x:v>升力标定计算!M624</x:v>
      </x:c>
      <x:c r="Z312" s="20" t="str">
        <x:v>升力标定计算!N623</x:v>
      </x:c>
      <x:c r="AA312" s="20" t="str">
        <x:v>升力标定计算!N624</x:v>
      </x:c>
      <x:c r="AB312" s="20" t="str">
        <x:v>4000rpm!AT6:AS7</x:v>
      </x:c>
    </x:row>
    <x:row r="313">
      <x:c r="A313" s="21" t="n">
        <x:v>4000</x:v>
      </x:c>
      <x:c r="B313" s="21" t="n">
        <x:v>90</x:v>
      </x:c>
      <x:c r="C313" s="21" t="n">
        <x:v>6</x:v>
      </x:c>
      <x:c r="D313" s="22" t="n">
        <x:f>IFERROR('升力标定计算'!M625,"")</x:f>
        <x:v>0.13464069189224384</x:v>
      </x:c>
      <x:c r="E313" s="22" t="n">
        <x:f>IFERROR('升力标定计算'!M626,"")</x:f>
        <x:v>0.13063694973147918</x:v>
      </x:c>
      <x:c r="F313" s="22" t="n">
        <x:f>IF(AND(ISNUMBER(D313),ISNUMBER(E313)),AVERAGE(D313,E313),"")</x:f>
        <x:v>0.1326388208118615</x:v>
      </x:c>
      <x:c r="G313" s="22" t="n">
        <x:f>IFERROR('升力标定计算'!N625,"")</x:f>
        <x:v>0.061126461605391605</x:v>
      </x:c>
      <x:c r="H313" s="22" t="n">
        <x:f>IFERROR('升力标定计算'!N626,"")</x:f>
        <x:v>0.06836909644217899</x:v>
      </x:c>
      <x:c r="I313" s="22" t="n">
        <x:f>IF(AND(ISNUMBER(G313),ISNUMBER(H313)),AVERAGE(G313,H313),"")</x:f>
        <x:v>0.0647477790237853</x:v>
      </x:c>
      <x:c r="J313" s="22" t="n">
        <x:f>IFERROR('4000rpm'!AT3,"")</x:f>
        <x:v>0</x:v>
      </x:c>
      <x:c r="K313" s="22" t="n">
        <x:f>IFERROR('4000rpm'!AT13,"")</x:f>
        <x:v>0.3336614173228346</x:v>
      </x:c>
      <x:c r="L313" s="22" t="n">
        <x:f>IFERROR('4000rpm'!AT6,"")</x:f>
        <x:v>0.1000984251968504</x:v>
      </x:c>
      <x:c r="M313" s="22" t="n">
        <x:f>IFERROR('4000rpm'!AS6,"")</x:f>
        <x:v>0.0714387004343732</x:v>
      </x:c>
      <x:c r="N313" s="22" t="n">
        <x:f>IFERROR('4000rpm'!AT7,"")</x:f>
        <x:v>0.13346456692913386</x:v>
      </x:c>
      <x:c r="O313" s="22" t="n">
        <x:f>IFERROR('4000rpm'!AS7,"")</x:f>
        <x:v>0.06680466918800777</x:v>
      </x:c>
      <x:c r="P313" s="22" t="n">
        <x:f>IF(OR(NOT(AND(ISNUMBER(D313),ISNUMBER(E313),ISNUMBER(G313),ISNUMBER(H313))),OR(F313&lt;J313,F313&gt;K313)),"",IF(N313=L313,M313,M313+(F313-L313)*(O313-M313)/(N313-L313)))</x:f>
        <x:v>0.06691935231018917</x:v>
      </x:c>
      <x:c r="Q313" s="22" t="n">
        <x:f>IF(AND(ISNUMBER(I313),ISNUMBER(P313)),I313-P313,"")</x:f>
        <x:v>-0.002171573286403869</x:v>
      </x:c>
      <x:c r="R313" s="22" t="n">
        <x:f>IF(ISNUMBER(Q313),ABS(Q313),"")</x:f>
        <x:v>0.002171573286403869</x:v>
      </x:c>
      <x:c r="S313" s="36" t="n">
        <x:f>IF(AND(ISNUMBER(Q313),ISNUMBER(P313)),IF(ABS(P313)&lt;1E-12,"",Q313/P313),"")</x:f>
        <x:v>-0.032450602276274935</x:v>
      </x:c>
      <x:c r="T313" s="36" t="n">
        <x:f>IF(ISNUMBER(S313),ABS(S313),"")</x:f>
        <x:v>0.032450602276274935</x:v>
      </x:c>
      <x:c r="U313" s="37" t="n">
        <x:f>IF(ISNUMBER(Q313),Q313^2,"")</x:f>
        <x:v>0.0000047157305382229</x:v>
      </x:c>
      <x:c r="V313" s="21" t="str">
        <x:f>IF(NOT(AND(ISNUMBER(D313),ISNUMBER(E313),ISNUMBER(G313),ISNUMBER(H313))),"缺少配对",IF(OR(F313&lt;J313,F313&gt;K313),"超出理论J范围","有效"))</x:f>
        <x:v>有效</x:v>
      </x:c>
      <x:c r="W313" s="20" t="str">
        <x:v>升力 y=0.915708x+28.7687 → C_T_prop；实验攻角 90° ↔ 理论 alpha_p_deg 0°；原升力源 4000rpm!D178/O178</x:v>
      </x:c>
      <x:c r="X313" s="20" t="str">
        <x:v>升力标定计算!M625</x:v>
      </x:c>
      <x:c r="Y313" s="20" t="str">
        <x:v>升力标定计算!M626</x:v>
      </x:c>
      <x:c r="Z313" s="20" t="str">
        <x:v>升力标定计算!N625</x:v>
      </x:c>
      <x:c r="AA313" s="20" t="str">
        <x:v>升力标定计算!N626</x:v>
      </x:c>
      <x:c r="AB313" s="20" t="str">
        <x:v>4000rpm!AT6:AS7</x:v>
      </x:c>
    </x:row>
    <x:row r="314">
      <x:c r="A314" s="21" t="n">
        <x:v>4000</x:v>
      </x:c>
      <x:c r="B314" s="21" t="n">
        <x:v>90</x:v>
      </x:c>
      <x:c r="C314" s="21" t="n">
        <x:v>7</x:v>
      </x:c>
      <x:c r="D314" s="22" t="n">
        <x:f>IFERROR('升力标定计算'!M627,"")</x:f>
        <x:v>0.167788204207974</x:v>
      </x:c>
      <x:c r="E314" s="22" t="n">
        <x:f>IFERROR('升力标定计算'!M628,"")</x:f>
        <x:v>0.16658662571389415</x:v>
      </x:c>
      <x:c r="F314" s="22" t="n">
        <x:f>IF(AND(ISNUMBER(D314),ISNUMBER(E314)),AVERAGE(D314,E314),"")</x:f>
        <x:v>0.1671874149609341</x:v>
      </x:c>
      <x:c r="G314" s="22" t="n">
        <x:f>IFERROR('升力标定计算'!N627,"")</x:f>
        <x:v>0.057457094108642845</x:v>
      </x:c>
      <x:c r="H314" s="22" t="n">
        <x:f>IFERROR('升力标定计算'!N628,"")</x:f>
        <x:v>0.06271652068216049</x:v>
      </x:c>
      <x:c r="I314" s="22" t="n">
        <x:f>IF(AND(ISNUMBER(G314),ISNUMBER(H314)),AVERAGE(G314,H314),"")</x:f>
        <x:v>0.06008680739540167</x:v>
      </x:c>
      <x:c r="J314" s="22" t="n">
        <x:f>IFERROR('4000rpm'!AT3,"")</x:f>
        <x:v>0</x:v>
      </x:c>
      <x:c r="K314" s="22" t="n">
        <x:f>IFERROR('4000rpm'!AT13,"")</x:f>
        <x:v>0.3336614173228346</x:v>
      </x:c>
      <x:c r="L314" s="22" t="n">
        <x:f>IFERROR('4000rpm'!AT8,"")</x:f>
        <x:v>0.1668307086614173</x:v>
      </x:c>
      <x:c r="M314" s="22" t="n">
        <x:f>IFERROR('4000rpm'!AS8,"")</x:f>
        <x:v>0.061925620929567694</x:v>
      </x:c>
      <x:c r="N314" s="22" t="n">
        <x:f>IFERROR('4000rpm'!AT9,"")</x:f>
        <x:v>0.2001968503937008</x:v>
      </x:c>
      <x:c r="O314" s="22" t="n">
        <x:f>IFERROR('4000rpm'!AS9,"")</x:f>
        <x:v>0.05669910912823138</x:v>
      </x:c>
      <x:c r="P314" s="22" t="n">
        <x:f>IF(OR(NOT(AND(ISNUMBER(D314),ISNUMBER(E314),ISNUMBER(G314),ISNUMBER(H314))),OR(F314&lt;J314,F314&gt;K314)),"",IF(N314=L314,M314,M314+(F314-L314)*(O314-M314)/(N314-L314)))</x:f>
        <x:v>0.06186974603402256</x:v>
      </x:c>
      <x:c r="Q314" s="22" t="n">
        <x:f>IF(AND(ISNUMBER(I314),ISNUMBER(P314)),I314-P314,"")</x:f>
        <x:v>-0.00178293863862089</x:v>
      </x:c>
      <x:c r="R314" s="22" t="n">
        <x:f>IF(ISNUMBER(Q314),ABS(Q314),"")</x:f>
        <x:v>0.00178293863862089</x:v>
      </x:c>
      <x:c r="S314" s="36" t="n">
        <x:f>IF(AND(ISNUMBER(Q314),ISNUMBER(P314)),IF(ABS(P314)&lt;1E-12,"",Q314/P314),"")</x:f>
        <x:v>-0.028817616895347217</x:v>
      </x:c>
      <x:c r="T314" s="36" t="n">
        <x:f>IF(ISNUMBER(S314),ABS(S314),"")</x:f>
        <x:v>0.028817616895347217</x:v>
      </x:c>
      <x:c r="U314" s="37" t="n">
        <x:f>IF(ISNUMBER(Q314),Q314^2,"")</x:f>
        <x:v>0.000003178870189087313</x:v>
      </x:c>
      <x:c r="V314" s="21" t="str">
        <x:f>IF(NOT(AND(ISNUMBER(D314),ISNUMBER(E314),ISNUMBER(G314),ISNUMBER(H314))),"缺少配对",IF(OR(F314&lt;J314,F314&gt;K314),"超出理论J范围","有效"))</x:f>
        <x:v>有效</x:v>
      </x:c>
      <x:c r="W314" s="20" t="str">
        <x:v>升力 y=0.915708x+28.7687 → C_T_prop；实验攻角 90° ↔ 理论 alpha_p_deg 0°；原升力源 4000rpm!D179/O179</x:v>
      </x:c>
      <x:c r="X314" s="20" t="str">
        <x:v>升力标定计算!M627</x:v>
      </x:c>
      <x:c r="Y314" s="20" t="str">
        <x:v>升力标定计算!M628</x:v>
      </x:c>
      <x:c r="Z314" s="20" t="str">
        <x:v>升力标定计算!N627</x:v>
      </x:c>
      <x:c r="AA314" s="20" t="str">
        <x:v>升力标定计算!N628</x:v>
      </x:c>
      <x:c r="AB314" s="20" t="str">
        <x:v>4000rpm!AT8:AS9</x:v>
      </x:c>
    </x:row>
    <x:row r="315">
      <x:c r="A315" s="21" t="n">
        <x:v>4000</x:v>
      </x:c>
      <x:c r="B315" s="21" t="n">
        <x:v>90</x:v>
      </x:c>
      <x:c r="C315" s="21" t="n">
        <x:v>8</x:v>
      </x:c>
      <x:c r="D315" s="22" t="n">
        <x:f>IFERROR('升力标定计算'!M629,"")</x:f>
        <x:v>0.20072459622214295</x:v>
      </x:c>
      <x:c r="E315" s="22" t="n">
        <x:f>IFERROR('升力标定计算'!M630,"")</x:f>
        <x:v>0.2003835239125084</x:v>
      </x:c>
      <x:c r="F315" s="22" t="n">
        <x:f>IF(AND(ISNUMBER(D315),ISNUMBER(E315)),AVERAGE(D315,E315),"")</x:f>
        <x:v>0.20055406006732568</x:v>
      </x:c>
      <x:c r="G315" s="22" t="n">
        <x:f>IFERROR('升力标定计算'!N629,"")</x:f>
        <x:v>0.053607855081183195</x:v>
      </x:c>
      <x:c r="H315" s="22" t="n">
        <x:f>IFERROR('升力标定计算'!N630,"")</x:f>
        <x:v>0.05841505363678616</x:v>
      </x:c>
      <x:c r="I315" s="22" t="n">
        <x:f>IF(AND(ISNUMBER(G315),ISNUMBER(H315)),AVERAGE(G315,H315),"")</x:f>
        <x:v>0.05601145435898468</x:v>
      </x:c>
      <x:c r="J315" s="22" t="n">
        <x:f>IFERROR('4000rpm'!AT3,"")</x:f>
        <x:v>0</x:v>
      </x:c>
      <x:c r="K315" s="22" t="n">
        <x:f>IFERROR('4000rpm'!AT13,"")</x:f>
        <x:v>0.3336614173228346</x:v>
      </x:c>
      <x:c r="L315" s="22" t="n">
        <x:f>IFERROR('4000rpm'!AT9,"")</x:f>
        <x:v>0.2001968503937008</x:v>
      </x:c>
      <x:c r="M315" s="22" t="n">
        <x:f>IFERROR('4000rpm'!AS9,"")</x:f>
        <x:v>0.05669910912823138</x:v>
      </x:c>
      <x:c r="N315" s="22" t="n">
        <x:f>IFERROR('4000rpm'!AT10,"")</x:f>
        <x:v>0.23356299212598428</x:v>
      </x:c>
      <x:c r="O315" s="22" t="n">
        <x:f>IFERROR('4000rpm'!AS10,"")</x:f>
        <x:v>0.051158128983391817</x:v>
      </x:c>
      <x:c r="P315" s="22" t="n">
        <x:f>IF(OR(NOT(AND(ISNUMBER(D315),ISNUMBER(E315),ISNUMBER(G315),ISNUMBER(H315))),OR(F315&lt;J315,F315&gt;K315)),"",IF(N315=L315,M315,M315+(F315-L315)*(O315-M315)/(N315-L315)))</x:f>
        <x:v>0.05663978876314449</x:v>
      </x:c>
      <x:c r="Q315" s="22" t="n">
        <x:f>IF(AND(ISNUMBER(I315),ISNUMBER(P315)),I315-P315,"")</x:f>
        <x:v>-0.000628334404159811</x:v>
      </x:c>
      <x:c r="R315" s="22" t="n">
        <x:f>IF(ISNUMBER(Q315),ABS(Q315),"")</x:f>
        <x:v>0.000628334404159811</x:v>
      </x:c>
      <x:c r="S315" s="36" t="n">
        <x:f>IF(AND(ISNUMBER(Q315),ISNUMBER(P315)),IF(ABS(P315)&lt;1E-12,"",Q315/P315),"")</x:f>
        <x:v>-0.011093516022585667</x:v>
      </x:c>
      <x:c r="T315" s="36" t="n">
        <x:f>IF(ISNUMBER(S315),ABS(S315),"")</x:f>
        <x:v>0.011093516022585667</x:v>
      </x:c>
      <x:c r="U315" s="37" t="n">
        <x:f>IF(ISNUMBER(Q315),Q315^2,"")</x:f>
        <x:v>3.948041234508647e-7</x:v>
      </x:c>
      <x:c r="V315" s="21" t="str">
        <x:f>IF(NOT(AND(ISNUMBER(D315),ISNUMBER(E315),ISNUMBER(G315),ISNUMBER(H315))),"缺少配对",IF(OR(F315&lt;J315,F315&gt;K315),"超出理论J范围","有效"))</x:f>
        <x:v>有效</x:v>
      </x:c>
      <x:c r="W315" s="20" t="str">
        <x:v>升力 y=0.915708x+28.7687 → C_T_prop；实验攻角 90° ↔ 理论 alpha_p_deg 0°；原升力源 4000rpm!D180/O180</x:v>
      </x:c>
      <x:c r="X315" s="20" t="str">
        <x:v>升力标定计算!M629</x:v>
      </x:c>
      <x:c r="Y315" s="20" t="str">
        <x:v>升力标定计算!M630</x:v>
      </x:c>
      <x:c r="Z315" s="20" t="str">
        <x:v>升力标定计算!N629</x:v>
      </x:c>
      <x:c r="AA315" s="20" t="str">
        <x:v>升力标定计算!N630</x:v>
      </x:c>
      <x:c r="AB315" s="20" t="str">
        <x:v>4000rpm!AT9:AS10</x:v>
      </x:c>
    </x:row>
    <x:row r="316">
      <x:c r="A316" s="21" t="n">
        <x:v>4000</x:v>
      </x:c>
      <x:c r="B316" s="21" t="n">
        <x:v>90</x:v>
      </x:c>
      <x:c r="C316" s="21" t="n">
        <x:v>9</x:v>
      </x:c>
      <x:c r="D316" s="22" t="n">
        <x:f>IFERROR('升力标定计算'!M631,"")</x:f>
        <x:v>0.23045881539883215</x:v>
      </x:c>
      <x:c r="E316" s="22" t="n">
        <x:f>IFERROR('升力标定计算'!M632,"")</x:f>
        <x:v>0.23166992419880308</x:v>
      </x:c>
      <x:c r="F316" s="22" t="n">
        <x:f>IF(AND(ISNUMBER(D316),ISNUMBER(E316)),AVERAGE(D316,E316),"")</x:f>
        <x:v>0.23106436979881761</x:v>
      </x:c>
      <x:c r="G316" s="22" t="n">
        <x:f>IFERROR('升力标定计算'!N631,"")</x:f>
        <x:v>0.047860901880775936</x:v>
      </x:c>
      <x:c r="H316" s="22" t="n">
        <x:f>IFERROR('升力标定计算'!N632,"")</x:f>
        <x:v>0.053086315664218356</x:v>
      </x:c>
      <x:c r="I316" s="22" t="n">
        <x:f>IF(AND(ISNUMBER(G316),ISNUMBER(H316)),AVERAGE(G316,H316),"")</x:f>
        <x:v>0.050473608772497146</x:v>
      </x:c>
      <x:c r="J316" s="22" t="n">
        <x:f>IFERROR('4000rpm'!AT3,"")</x:f>
        <x:v>0</x:v>
      </x:c>
      <x:c r="K316" s="22" t="n">
        <x:f>IFERROR('4000rpm'!AT13,"")</x:f>
        <x:v>0.3336614173228346</x:v>
      </x:c>
      <x:c r="L316" s="22" t="n">
        <x:f>IFERROR('4000rpm'!AT9,"")</x:f>
        <x:v>0.2001968503937008</x:v>
      </x:c>
      <x:c r="M316" s="22" t="n">
        <x:f>IFERROR('4000rpm'!AS9,"")</x:f>
        <x:v>0.05669910912823138</x:v>
      </x:c>
      <x:c r="N316" s="22" t="n">
        <x:f>IFERROR('4000rpm'!AT10,"")</x:f>
        <x:v>0.23356299212598428</x:v>
      </x:c>
      <x:c r="O316" s="22" t="n">
        <x:f>IFERROR('4000rpm'!AS10,"")</x:f>
        <x:v>0.051158128983391817</x:v>
      </x:c>
      <x:c r="P316" s="22" t="n">
        <x:f>IF(OR(NOT(AND(ISNUMBER(D316),ISNUMBER(E316),ISNUMBER(G316),ISNUMBER(H316))),OR(F316&lt;J316,F316&gt;K316)),"",IF(N316=L316,M316,M316+(F316-L316)*(O316-M316)/(N316-L316)))</x:f>
        <x:v>0.05157306508284762</x:v>
      </x:c>
      <x:c r="Q316" s="22" t="n">
        <x:f>IF(AND(ISNUMBER(I316),ISNUMBER(P316)),I316-P316,"")</x:f>
        <x:v>-0.0010994563103504731</x:v>
      </x:c>
      <x:c r="R316" s="22" t="n">
        <x:f>IF(ISNUMBER(Q316),ABS(Q316),"")</x:f>
        <x:v>0.0010994563103504731</x:v>
      </x:c>
      <x:c r="S316" s="36" t="n">
        <x:f>IF(AND(ISNUMBER(Q316),ISNUMBER(P316)),IF(ABS(P316)&lt;1E-12,"",Q316/P316),"")</x:f>
        <x:v>-0.02131842093511977</x:v>
      </x:c>
      <x:c r="T316" s="36" t="n">
        <x:f>IF(ISNUMBER(S316),ABS(S316),"")</x:f>
        <x:v>0.02131842093511977</x:v>
      </x:c>
      <x:c r="U316" s="37" t="n">
        <x:f>IF(ISNUMBER(Q316),Q316^2,"")</x:f>
        <x:v>0.0000012088041783694759</x:v>
      </x:c>
      <x:c r="V316" s="21" t="str">
        <x:f>IF(NOT(AND(ISNUMBER(D316),ISNUMBER(E316),ISNUMBER(G316),ISNUMBER(H316))),"缺少配对",IF(OR(F316&lt;J316,F316&gt;K316),"超出理论J范围","有效"))</x:f>
        <x:v>有效</x:v>
      </x:c>
      <x:c r="W316" s="20" t="str">
        <x:v>升力 y=0.915708x+28.7687 → C_T_prop；实验攻角 90° ↔ 理论 alpha_p_deg 0°；原升力源 4000rpm!D181/O181</x:v>
      </x:c>
      <x:c r="X316" s="20" t="str">
        <x:v>升力标定计算!M631</x:v>
      </x:c>
      <x:c r="Y316" s="20" t="str">
        <x:v>升力标定计算!M632</x:v>
      </x:c>
      <x:c r="Z316" s="20" t="str">
        <x:v>升力标定计算!N631</x:v>
      </x:c>
      <x:c r="AA316" s="20" t="str">
        <x:v>升力标定计算!N632</x:v>
      </x:c>
      <x:c r="AB316" s="20" t="str">
        <x:v>4000rpm!AT9:AS10</x:v>
      </x:c>
    </x:row>
    <x:row r="317">
      <x:c r="A317" s="21" t="n">
        <x:v>4000</x:v>
      </x:c>
      <x:c r="B317" s="21" t="n">
        <x:v>90</x:v>
      </x:c>
      <x:c r="C317" s="21" t="n">
        <x:v>10</x:v>
      </x:c>
      <x:c r="D317" s="22" t="n">
        <x:f>IFERROR('升力标定计算'!M633,"")</x:f>
        <x:v>0.2644208486577392</x:v>
      </x:c>
      <x:c r="E317" s="22" t="n">
        <x:f>IFERROR('升力标定计算'!M634,"")</x:f>
        <x:v>0.2636421018898251</x:v>
      </x:c>
      <x:c r="F317" s="22" t="n">
        <x:f>IF(AND(ISNUMBER(D317),ISNUMBER(E317)),AVERAGE(D317,E317),"")</x:f>
        <x:v>0.2640314752737821</x:v>
      </x:c>
      <x:c r="G317" s="22" t="n">
        <x:f>IFERROR('升力标定计算'!N633,"")</x:f>
        <x:v>0.04486560712327025</x:v>
      </x:c>
      <x:c r="H317" s="22" t="n">
        <x:f>IFERROR('升力标定计算'!N634,"")</x:f>
        <x:v>0.048137728240406755</x:v>
      </x:c>
      <x:c r="I317" s="22" t="n">
        <x:f>IF(AND(ISNUMBER(G317),ISNUMBER(H317)),AVERAGE(G317,H317),"")</x:f>
        <x:v>0.0465016676818385</x:v>
      </x:c>
      <x:c r="J317" s="22" t="n">
        <x:f>IFERROR('4000rpm'!AT3,"")</x:f>
        <x:v>0</x:v>
      </x:c>
      <x:c r="K317" s="22" t="n">
        <x:f>IFERROR('4000rpm'!AT13,"")</x:f>
        <x:v>0.3336614173228346</x:v>
      </x:c>
      <x:c r="L317" s="22" t="n">
        <x:f>IFERROR('4000rpm'!AT10,"")</x:f>
        <x:v>0.23356299212598428</x:v>
      </x:c>
      <x:c r="M317" s="22" t="n">
        <x:f>IFERROR('4000rpm'!AS10,"")</x:f>
        <x:v>0.051158128983391817</x:v>
      </x:c>
      <x:c r="N317" s="22" t="n">
        <x:f>IFERROR('4000rpm'!AT11,"")</x:f>
        <x:v>0.2669291338582677</x:v>
      </x:c>
      <x:c r="O317" s="22" t="n">
        <x:f>IFERROR('4000rpm'!AS11,"")</x:f>
        <x:v>0.045356398435604406</x:v>
      </x:c>
      <x:c r="P317" s="22" t="n">
        <x:f>IF(OR(NOT(AND(ISNUMBER(D317),ISNUMBER(E317),ISNUMBER(G317),ISNUMBER(H317))),OR(F317&lt;J317,F317&gt;K317)),"",IF(N317=L317,M317,M317+(F317-L317)*(O317-M317)/(N317-L317)))</x:f>
        <x:v>0.04586024555288745</x:v>
      </x:c>
      <x:c r="Q317" s="22" t="n">
        <x:f>IF(AND(ISNUMBER(I317),ISNUMBER(P317)),I317-P317,"")</x:f>
        <x:v>0.0006414221289510469</x:v>
      </x:c>
      <x:c r="R317" s="22" t="n">
        <x:f>IF(ISNUMBER(Q317),ABS(Q317),"")</x:f>
        <x:v>0.0006414221289510469</x:v>
      </x:c>
      <x:c r="S317" s="36" t="n">
        <x:f>IF(AND(ISNUMBER(Q317),ISNUMBER(P317)),IF(ABS(P317)&lt;1E-12,"",Q317/P317),"")</x:f>
        <x:v>0.01398645212685002</x:v>
      </x:c>
      <x:c r="T317" s="36" t="n">
        <x:f>IF(ISNUMBER(S317),ABS(S317),"")</x:f>
        <x:v>0.01398645212685002</x:v>
      </x:c>
      <x:c r="U317" s="37" t="n">
        <x:f>IF(ISNUMBER(Q317),Q317^2,"")</x:f>
        <x:v>4.114223475080934e-7</x:v>
      </x:c>
      <x:c r="V317" s="21" t="str">
        <x:f>IF(NOT(AND(ISNUMBER(D317),ISNUMBER(E317),ISNUMBER(G317),ISNUMBER(H317))),"缺少配对",IF(OR(F317&lt;J317,F317&gt;K317),"超出理论J范围","有效"))</x:f>
        <x:v>有效</x:v>
      </x:c>
      <x:c r="W317" s="20" t="str">
        <x:v>升力 y=0.915708x+28.7687 → C_T_prop；实验攻角 90° ↔ 理论 alpha_p_deg 0°；原升力源 4000rpm!D182/O182</x:v>
      </x:c>
      <x:c r="X317" s="20" t="str">
        <x:v>升力标定计算!M633</x:v>
      </x:c>
      <x:c r="Y317" s="20" t="str">
        <x:v>升力标定计算!M634</x:v>
      </x:c>
      <x:c r="Z317" s="20" t="str">
        <x:v>升力标定计算!N633</x:v>
      </x:c>
      <x:c r="AA317" s="20" t="str">
        <x:v>升力标定计算!N634</x:v>
      </x:c>
      <x:c r="AB317" s="20" t="str">
        <x:v>4000rpm!AT10:AS11</x:v>
      </x:c>
    </x:row>
    <x:row r="318">
      <x:c r="A318" s="21" t="n">
        <x:v>4000</x:v>
      </x:c>
      <x:c r="B318" s="21" t="n">
        <x:v>90</x:v>
      </x:c>
      <x:c r="C318" s="21" t="n">
        <x:v>11</x:v>
      </x:c>
      <x:c r="D318" s="22" t="n">
        <x:f>IFERROR('升力标定计算'!M635,"")</x:f>
        <x:v>0.292605181430521</x:v>
      </x:c>
      <x:c r="E318" s="22" t="n">
        <x:f>IFERROR('升力标定计算'!M636,"")</x:f>
        <x:v>0.2948849672860472</x:v>
      </x:c>
      <x:c r="F318" s="22" t="n">
        <x:f>IF(AND(ISNUMBER(D318),ISNUMBER(E318)),AVERAGE(D318,E318),"")</x:f>
        <x:v>0.2937450743582841</x:v>
      </x:c>
      <x:c r="G318" s="22" t="n">
        <x:f>IFERROR('升力标定计算'!N635,"")</x:f>
        <x:v>0.03989283041714936</x:v>
      </x:c>
      <x:c r="H318" s="22" t="n">
        <x:f>IFERROR('升力标定计算'!N636,"")</x:f>
        <x:v>0.043972316551231974</x:v>
      </x:c>
      <x:c r="I318" s="22" t="n">
        <x:f>IF(AND(ISNUMBER(G318),ISNUMBER(H318)),AVERAGE(G318,H318),"")</x:f>
        <x:v>0.04193257348419067</x:v>
      </x:c>
      <x:c r="J318" s="22" t="n">
        <x:f>IFERROR('4000rpm'!AT3,"")</x:f>
        <x:v>0</x:v>
      </x:c>
      <x:c r="K318" s="22" t="n">
        <x:f>IFERROR('4000rpm'!AT13,"")</x:f>
        <x:v>0.3336614173228346</x:v>
      </x:c>
      <x:c r="L318" s="22" t="n">
        <x:f>IFERROR('4000rpm'!AT11,"")</x:f>
        <x:v>0.2669291338582677</x:v>
      </x:c>
      <x:c r="M318" s="22" t="n">
        <x:f>IFERROR('4000rpm'!AS11,"")</x:f>
        <x:v>0.045356398435604406</x:v>
      </x:c>
      <x:c r="N318" s="22" t="n">
        <x:f>IFERROR('4000rpm'!AT12,"")</x:f>
        <x:v>0.3002952755905512</x:v>
      </x:c>
      <x:c r="O318" s="22" t="n">
        <x:f>IFERROR('4000rpm'!AS12,"")</x:f>
        <x:v>0.0393442187750197</x:v>
      </x:c>
      <x:c r="P318" s="22" t="n">
        <x:f>IF(OR(NOT(AND(ISNUMBER(D318),ISNUMBER(E318),ISNUMBER(G318),ISNUMBER(H318))),OR(F318&lt;J318,F318&gt;K318)),"",IF(N318=L318,M318,M318+(F318-L318)*(O318-M318)/(N318-L318)))</x:f>
        <x:v>0.04052448669263961</x:v>
      </x:c>
      <x:c r="Q318" s="22" t="n">
        <x:f>IF(AND(ISNUMBER(I318),ISNUMBER(P318)),I318-P318,"")</x:f>
        <x:v>0.0014080867915510567</x:v>
      </x:c>
      <x:c r="R318" s="22" t="n">
        <x:f>IF(ISNUMBER(Q318),ABS(Q318),"")</x:f>
        <x:v>0.0014080867915510567</x:v>
      </x:c>
      <x:c r="S318" s="36" t="n">
        <x:f>IF(AND(ISNUMBER(Q318),ISNUMBER(P318)),IF(ABS(P318)&lt;1E-12,"",Q318/P318),"")</x:f>
        <x:v>0.03474656698876349</x:v>
      </x:c>
      <x:c r="T318" s="36" t="n">
        <x:f>IF(ISNUMBER(S318),ABS(S318),"")</x:f>
        <x:v>0.03474656698876349</x:v>
      </x:c>
      <x:c r="U318" s="37" t="n">
        <x:f>IF(ISNUMBER(Q318),Q318^2,"")</x:f>
        <x:v>0.000001982708412540549</x:v>
      </x:c>
      <x:c r="V318" s="21" t="str">
        <x:f>IF(NOT(AND(ISNUMBER(D318),ISNUMBER(E318),ISNUMBER(G318),ISNUMBER(H318))),"缺少配对",IF(OR(F318&lt;J318,F318&gt;K318),"超出理论J范围","有效"))</x:f>
        <x:v>有效</x:v>
      </x:c>
      <x:c r="W318" s="20" t="str">
        <x:v>升力 y=0.915708x+28.7687 → C_T_prop；实验攻角 90° ↔ 理论 alpha_p_deg 0°；原升力源 4000rpm!D183/O183</x:v>
      </x:c>
      <x:c r="X318" s="20" t="str">
        <x:v>升力标定计算!M635</x:v>
      </x:c>
      <x:c r="Y318" s="20" t="str">
        <x:v>升力标定计算!M636</x:v>
      </x:c>
      <x:c r="Z318" s="20" t="str">
        <x:v>升力标定计算!N635</x:v>
      </x:c>
      <x:c r="AA318" s="20" t="str">
        <x:v>升力标定计算!N636</x:v>
      </x:c>
      <x:c r="AB318" s="20" t="str">
        <x:v>4000rpm!AT11:AS12</x:v>
      </x:c>
    </x:row>
    <x:row r="319">
      <x:c r="A319" s="21" t="n">
        <x:v>4000</x:v>
      </x:c>
      <x:c r="B319" s="21" t="n">
        <x:v>90</x:v>
      </x:c>
      <x:c r="C319" s="21" t="n">
        <x:v>12</x:v>
      </x:c>
      <x:c r="D319" s="22" t="n">
        <x:f>IFERROR('升力标定计算'!M637,"")</x:f>
        <x:v>0.3249347593574695</x:v>
      </x:c>
      <x:c r="E319" s="22" t="n">
        <x:f>IFERROR('升力标定计算'!M638,"")</x:f>
        <x:v>0.32132248666711133</x:v>
      </x:c>
      <x:c r="F319" s="22" t="n">
        <x:f>IF(AND(ISNUMBER(D319),ISNUMBER(E319)),AVERAGE(D319,E319),"")</x:f>
        <x:v>0.3231286230122904</x:v>
      </x:c>
      <x:c r="G319" s="22" t="n">
        <x:f>IFERROR('升力标定计算'!N637,"")</x:f>
        <x:v>0.04020381704564525</x:v>
      </x:c>
      <x:c r="H319" s="22" t="n">
        <x:f>IFERROR('升力标定计算'!N638,"")</x:f>
        <x:v>0.03926150936482992</x:v>
      </x:c>
      <x:c r="I319" s="22" t="n">
        <x:f>IF(AND(ISNUMBER(G319),ISNUMBER(H319)),AVERAGE(G319,H319),"")</x:f>
        <x:v>0.039732663205237585</x:v>
      </x:c>
      <x:c r="J319" s="22" t="n">
        <x:f>IFERROR('4000rpm'!AT3,"")</x:f>
        <x:v>0</x:v>
      </x:c>
      <x:c r="K319" s="22" t="n">
        <x:f>IFERROR('4000rpm'!AT13,"")</x:f>
        <x:v>0.3336614173228346</x:v>
      </x:c>
      <x:c r="L319" s="22" t="n">
        <x:f>IFERROR('4000rpm'!AT12,"")</x:f>
        <x:v>0.3002952755905512</x:v>
      </x:c>
      <x:c r="M319" s="22" t="n">
        <x:f>IFERROR('4000rpm'!AS12,"")</x:f>
        <x:v>0.0393442187750197</x:v>
      </x:c>
      <x:c r="N319" s="22" t="n">
        <x:f>IFERROR('4000rpm'!AT13,"")</x:f>
        <x:v>0.3336614173228346</x:v>
      </x:c>
      <x:c r="O319" s="22" t="n">
        <x:f>IFERROR('4000rpm'!AS13,"")</x:f>
        <x:v>0.03304017026372573</x:v>
      </x:c>
      <x:c r="P319" s="22" t="n">
        <x:f>IF(OR(NOT(AND(ISNUMBER(D319),ISNUMBER(E319),ISNUMBER(G319),ISNUMBER(H319))),OR(F319&lt;J319,F319&gt;K319)),"",IF(N319=L319,M319,M319+(F319-L319)*(O319-M319)/(N319-L319)))</x:f>
        <x:v>0.035030188972688635</x:v>
      </x:c>
      <x:c r="Q319" s="22" t="n">
        <x:f>IF(AND(ISNUMBER(I319),ISNUMBER(P319)),I319-P319,"")</x:f>
        <x:v>0.0047024742325489505</x:v>
      </x:c>
      <x:c r="R319" s="22" t="n">
        <x:f>IF(ISNUMBER(Q319),ABS(Q319),"")</x:f>
        <x:v>0.0047024742325489505</x:v>
      </x:c>
      <x:c r="S319" s="36" t="n">
        <x:f>IF(AND(ISNUMBER(Q319),ISNUMBER(P319)),IF(ABS(P319)&lt;1E-12,"",Q319/P319),"")</x:f>
        <x:v>0.1342406184624138</x:v>
      </x:c>
      <x:c r="T319" s="36" t="n">
        <x:f>IF(ISNUMBER(S319),ABS(S319),"")</x:f>
        <x:v>0.1342406184624138</x:v>
      </x:c>
      <x:c r="U319" s="37" t="n">
        <x:f>IF(ISNUMBER(Q319),Q319^2,"")</x:f>
        <x:v>0.000022113263907786842</x:v>
      </x:c>
      <x:c r="V319" s="21" t="str">
        <x:f>IF(NOT(AND(ISNUMBER(D319),ISNUMBER(E319),ISNUMBER(G319),ISNUMBER(H319))),"缺少配对",IF(OR(F319&lt;J319,F319&gt;K319),"超出理论J范围","有效"))</x:f>
        <x:v>有效</x:v>
      </x:c>
      <x:c r="W319" s="20" t="str">
        <x:v>升力 y=0.915708x+28.7687 → C_T_prop；实验攻角 90° ↔ 理论 alpha_p_deg 0°；原升力源 4000rpm!D184/O184</x:v>
      </x:c>
      <x:c r="X319" s="20" t="str">
        <x:v>升力标定计算!M637</x:v>
      </x:c>
      <x:c r="Y319" s="20" t="str">
        <x:v>升力标定计算!M638</x:v>
      </x:c>
      <x:c r="Z319" s="20" t="str">
        <x:v>升力标定计算!N637</x:v>
      </x:c>
      <x:c r="AA319" s="20" t="str">
        <x:v>升力标定计算!N638</x:v>
      </x:c>
      <x:c r="AB319" s="20" t="str">
        <x:v>4000rpm!AT12:AS13</x:v>
      </x:c>
    </x:row>
    <x:row r="320">
      <x:c r="A320" s="21" t="n">
        <x:v>4000</x:v>
      </x:c>
      <x:c r="B320" s="21" t="n">
        <x:v>90</x:v>
      </x:c>
      <x:c r="C320" s="21" t="n">
        <x:v>13</x:v>
      </x:c>
      <x:c r="D320" s="22" t="n">
        <x:f>IFERROR('升力标定计算'!M639,"")</x:f>
        <x:v>0.2945272894413088</x:v>
      </x:c>
      <x:c r="E320" s="22" t="n">
        <x:f>IFERROR('升力标定计算'!M640,"")</x:f>
        <x:v>0.2905101720582413</x:v>
      </x:c>
      <x:c r="F320" s="22" t="n">
        <x:f>IF(AND(ISNUMBER(D320),ISNUMBER(E320)),AVERAGE(D320,E320),"")</x:f>
        <x:v>0.2925187307497751</x:v>
      </x:c>
      <x:c r="G320" s="22" t="n">
        <x:f>IFERROR('升力标定计算'!N639,"")</x:f>
        <x:v>0.041796402452047035</x:v>
      </x:c>
      <x:c r="H320" s="22" t="n">
        <x:f>IFERROR('升力标定计算'!N640,"")</x:f>
        <x:v>0.044271747663414025</x:v>
      </x:c>
      <x:c r="I320" s="22" t="n">
        <x:f>IF(AND(ISNUMBER(G320),ISNUMBER(H320)),AVERAGE(G320,H320),"")</x:f>
        <x:v>0.043034075057730534</x:v>
      </x:c>
      <x:c r="J320" s="22" t="n">
        <x:f>IFERROR('4000rpm'!AT3,"")</x:f>
        <x:v>0</x:v>
      </x:c>
      <x:c r="K320" s="22" t="n">
        <x:f>IFERROR('4000rpm'!AT13,"")</x:f>
        <x:v>0.3336614173228346</x:v>
      </x:c>
      <x:c r="L320" s="22" t="n">
        <x:f>IFERROR('4000rpm'!AT11,"")</x:f>
        <x:v>0.2669291338582677</x:v>
      </x:c>
      <x:c r="M320" s="22" t="n">
        <x:f>IFERROR('4000rpm'!AS11,"")</x:f>
        <x:v>0.045356398435604406</x:v>
      </x:c>
      <x:c r="N320" s="22" t="n">
        <x:f>IFERROR('4000rpm'!AT12,"")</x:f>
        <x:v>0.3002952755905512</x:v>
      </x:c>
      <x:c r="O320" s="22" t="n">
        <x:f>IFERROR('4000rpm'!AS12,"")</x:f>
        <x:v>0.0393442187750197</x:v>
      </x:c>
      <x:c r="P320" s="22" t="n">
        <x:f>IF(OR(NOT(AND(ISNUMBER(D320),ISNUMBER(E320),ISNUMBER(G320),ISNUMBER(H320))),OR(F320&lt;J320,F320&gt;K320)),"",IF(N320=L320,M320,M320+(F320-L320)*(O320-M320)/(N320-L320)))</x:f>
        <x:v>0.040745459143069276</x:v>
      </x:c>
      <x:c r="Q320" s="22" t="n">
        <x:f>IF(AND(ISNUMBER(I320),ISNUMBER(P320)),I320-P320,"")</x:f>
        <x:v>0.0022886159146612572</x:v>
      </x:c>
      <x:c r="R320" s="22" t="n">
        <x:f>IF(ISNUMBER(Q320),ABS(Q320),"")</x:f>
        <x:v>0.0022886159146612572</x:v>
      </x:c>
      <x:c r="S320" s="36" t="n">
        <x:f>IF(AND(ISNUMBER(Q320),ISNUMBER(P320)),IF(ABS(P320)&lt;1E-12,"",Q320/P320),"")</x:f>
        <x:v>0.0561686127189107</x:v>
      </x:c>
      <x:c r="T320" s="36" t="n">
        <x:f>IF(ISNUMBER(S320),ABS(S320),"")</x:f>
        <x:v>0.0561686127189107</x:v>
      </x:c>
      <x:c r="U320" s="37" t="n">
        <x:f>IF(ISNUMBER(Q320),Q320^2,"")</x:f>
        <x:v>0.000005237762804840783</x:v>
      </x:c>
      <x:c r="V320" s="21" t="str">
        <x:f>IF(NOT(AND(ISNUMBER(D320),ISNUMBER(E320),ISNUMBER(G320),ISNUMBER(H320))),"缺少配对",IF(OR(F320&lt;J320,F320&gt;K320),"超出理论J范围","有效"))</x:f>
        <x:v>有效</x:v>
      </x:c>
      <x:c r="W320" s="20" t="str">
        <x:v>升力 y=0.915708x+28.7687 → C_T_prop；实验攻角 90° ↔ 理论 alpha_p_deg 0°；原升力源 4000rpm!D185/O185</x:v>
      </x:c>
      <x:c r="X320" s="20" t="str">
        <x:v>升力标定计算!M639</x:v>
      </x:c>
      <x:c r="Y320" s="20" t="str">
        <x:v>升力标定计算!M640</x:v>
      </x:c>
      <x:c r="Z320" s="20" t="str">
        <x:v>升力标定计算!N639</x:v>
      </x:c>
      <x:c r="AA320" s="20" t="str">
        <x:v>升力标定计算!N640</x:v>
      </x:c>
      <x:c r="AB320" s="20" t="str">
        <x:v>4000rpm!AT11:AS12</x:v>
      </x:c>
    </x:row>
    <x:row r="321">
      <x:c r="A321" s="21" t="n">
        <x:v>4000</x:v>
      </x:c>
      <x:c r="B321" s="21" t="n">
        <x:v>90</x:v>
      </x:c>
      <x:c r="C321" s="21" t="n">
        <x:v>14</x:v>
      </x:c>
      <x:c r="D321" s="22" t="n">
        <x:f>IFERROR('升力标定计算'!M641,"")</x:f>
        <x:v>0.2637608454615388</x:v>
      </x:c>
      <x:c r="E321" s="22" t="n">
        <x:f>IFERROR('升力标定计算'!M642,"")</x:f>
        <x:v>0.2607285198704656</x:v>
      </x:c>
      <x:c r="F321" s="22" t="n">
        <x:f>IF(AND(ISNUMBER(D321),ISNUMBER(E321)),AVERAGE(D321,E321),"")</x:f>
        <x:v>0.2622446826660022</x:v>
      </x:c>
      <x:c r="G321" s="22" t="n">
        <x:f>IFERROR('升力标定计算'!N641,"")</x:f>
        <x:v>0.04608913146032429</x:v>
      </x:c>
      <x:c r="H321" s="22" t="n">
        <x:f>IFERROR('升力标定计算'!N642,"")</x:f>
        <x:v>0.048914893559491884</x:v>
      </x:c>
      <x:c r="I321" s="22" t="n">
        <x:f>IF(AND(ISNUMBER(G321),ISNUMBER(H321)),AVERAGE(G321,H321),"")</x:f>
        <x:v>0.047502012509908084</x:v>
      </x:c>
      <x:c r="J321" s="22" t="n">
        <x:f>IFERROR('4000rpm'!AT3,"")</x:f>
        <x:v>0</x:v>
      </x:c>
      <x:c r="K321" s="22" t="n">
        <x:f>IFERROR('4000rpm'!AT13,"")</x:f>
        <x:v>0.3336614173228346</x:v>
      </x:c>
      <x:c r="L321" s="22" t="n">
        <x:f>IFERROR('4000rpm'!AT10,"")</x:f>
        <x:v>0.23356299212598428</x:v>
      </x:c>
      <x:c r="M321" s="22" t="n">
        <x:f>IFERROR('4000rpm'!AS10,"")</x:f>
        <x:v>0.051158128983391817</x:v>
      </x:c>
      <x:c r="N321" s="22" t="n">
        <x:f>IFERROR('4000rpm'!AT11,"")</x:f>
        <x:v>0.2669291338582677</x:v>
      </x:c>
      <x:c r="O321" s="22" t="n">
        <x:f>IFERROR('4000rpm'!AS11,"")</x:f>
        <x:v>0.045356398435604406</x:v>
      </x:c>
      <x:c r="P321" s="22" t="n">
        <x:f>IF(OR(NOT(AND(ISNUMBER(D321),ISNUMBER(E321),ISNUMBER(G321),ISNUMBER(H321))),OR(F321&lt;J321,F321&gt;K321)),"",IF(N321=L321,M321,M321+(F321-L321)*(O321-M321)/(N321-L321)))</x:f>
        <x:v>0.04617093443439776</x:v>
      </x:c>
      <x:c r="Q321" s="22" t="n">
        <x:f>IF(AND(ISNUMBER(I321),ISNUMBER(P321)),I321-P321,"")</x:f>
        <x:v>0.0013310780755103266</x:v>
      </x:c>
      <x:c r="R321" s="22" t="n">
        <x:f>IF(ISNUMBER(Q321),ABS(Q321),"")</x:f>
        <x:v>0.0013310780755103266</x:v>
      </x:c>
      <x:c r="S321" s="36" t="n">
        <x:f>IF(AND(ISNUMBER(Q321),ISNUMBER(P321)),IF(ABS(P321)&lt;1E-12,"",Q321/P321),"")</x:f>
        <x:v>0.028829351015227916</x:v>
      </x:c>
      <x:c r="T321" s="36" t="n">
        <x:f>IF(ISNUMBER(S321),ABS(S321),"")</x:f>
        <x:v>0.028829351015227916</x:v>
      </x:c>
      <x:c r="U321" s="37" t="n">
        <x:f>IF(ISNUMBER(Q321),Q321^2,"")</x:f>
        <x:v>0.0000017717688431042747</x:v>
      </x:c>
      <x:c r="V321" s="21" t="str">
        <x:f>IF(NOT(AND(ISNUMBER(D321),ISNUMBER(E321),ISNUMBER(G321),ISNUMBER(H321))),"缺少配对",IF(OR(F321&lt;J321,F321&gt;K321),"超出理论J范围","有效"))</x:f>
        <x:v>有效</x:v>
      </x:c>
      <x:c r="W321" s="20" t="str">
        <x:v>升力 y=0.915708x+28.7687 → C_T_prop；实验攻角 90° ↔ 理论 alpha_p_deg 0°；原升力源 4000rpm!D186/O186</x:v>
      </x:c>
      <x:c r="X321" s="20" t="str">
        <x:v>升力标定计算!M641</x:v>
      </x:c>
      <x:c r="Y321" s="20" t="str">
        <x:v>升力标定计算!M642</x:v>
      </x:c>
      <x:c r="Z321" s="20" t="str">
        <x:v>升力标定计算!N641</x:v>
      </x:c>
      <x:c r="AA321" s="20" t="str">
        <x:v>升力标定计算!N642</x:v>
      </x:c>
      <x:c r="AB321" s="20" t="str">
        <x:v>4000rpm!AT10:AS11</x:v>
      </x:c>
    </x:row>
    <x:row r="322">
      <x:c r="A322" s="21" t="n">
        <x:v>4000</x:v>
      </x:c>
      <x:c r="B322" s="21" t="n">
        <x:v>90</x:v>
      </x:c>
      <x:c r="C322" s="21" t="n">
        <x:v>15</x:v>
      </x:c>
      <x:c r="D322" s="22" t="n">
        <x:f>IFERROR('升力标定计算'!M643,"")</x:f>
        <x:v>0.23275572615864776</x:v>
      </x:c>
      <x:c r="E322" s="22" t="n">
        <x:f>IFERROR('升力标定计算'!M644,"")</x:f>
        <x:v>0.22836748321953138</x:v>
      </x:c>
      <x:c r="F322" s="22" t="n">
        <x:f>IF(AND(ISNUMBER(D322),ISNUMBER(E322)),AVERAGE(D322,E322),"")</x:f>
        <x:v>0.23056160468908957</x:v>
      </x:c>
      <x:c r="G322" s="22" t="n">
        <x:f>IFERROR('升力标定计算'!N643,"")</x:f>
        <x:v>0.05024593835065763</x:v>
      </x:c>
      <x:c r="H322" s="22" t="n">
        <x:f>IFERROR('升力标定计算'!N644,"")</x:f>
        <x:v>0.052997257670150136</x:v>
      </x:c>
      <x:c r="I322" s="22" t="n">
        <x:f>IF(AND(ISNUMBER(G322),ISNUMBER(H322)),AVERAGE(G322,H322),"")</x:f>
        <x:v>0.051621598010403884</x:v>
      </x:c>
      <x:c r="J322" s="22" t="n">
        <x:f>IFERROR('4000rpm'!AT3,"")</x:f>
        <x:v>0</x:v>
      </x:c>
      <x:c r="K322" s="22" t="n">
        <x:f>IFERROR('4000rpm'!AT13,"")</x:f>
        <x:v>0.3336614173228346</x:v>
      </x:c>
      <x:c r="L322" s="22" t="n">
        <x:f>IFERROR('4000rpm'!AT9,"")</x:f>
        <x:v>0.2001968503937008</x:v>
      </x:c>
      <x:c r="M322" s="22" t="n">
        <x:f>IFERROR('4000rpm'!AS9,"")</x:f>
        <x:v>0.05669910912823138</x:v>
      </x:c>
      <x:c r="N322" s="22" t="n">
        <x:f>IFERROR('4000rpm'!AT10,"")</x:f>
        <x:v>0.23356299212598428</x:v>
      </x:c>
      <x:c r="O322" s="22" t="n">
        <x:f>IFERROR('4000rpm'!AS10,"")</x:f>
        <x:v>0.051158128983391817</x:v>
      </x:c>
      <x:c r="P322" s="22" t="n">
        <x:f>IF(OR(NOT(AND(ISNUMBER(D322),ISNUMBER(E322),ISNUMBER(G322),ISNUMBER(H322))),OR(F322&lt;J322,F322&gt;K322)),"",IF(N322=L322,M322,M322+(F322-L322)*(O322-M322)/(N322-L322)))</x:f>
        <x:v>0.05165655725023315</x:v>
      </x:c>
      <x:c r="Q322" s="22" t="n">
        <x:f>IF(AND(ISNUMBER(I322),ISNUMBER(P322)),I322-P322,"")</x:f>
        <x:v>-0.00003495923982926863</x:v>
      </x:c>
      <x:c r="R322" s="22" t="n">
        <x:f>IF(ISNUMBER(Q322),ABS(Q322),"")</x:f>
        <x:v>0.00003495923982926863</x:v>
      </x:c>
      <x:c r="S322" s="36" t="n">
        <x:f>IF(AND(ISNUMBER(Q322),ISNUMBER(P322)),IF(ABS(P322)&lt;1E-12,"",Q322/P322),"")</x:f>
        <x:v>-0.0006767628678760011</x:v>
      </x:c>
      <x:c r="T322" s="36" t="n">
        <x:f>IF(ISNUMBER(S322),ABS(S322),"")</x:f>
        <x:v>0.0006767628678760011</x:v>
      </x:c>
      <x:c r="U322" s="37" t="n">
        <x:f>IF(ISNUMBER(Q322),Q322^2,"")</x:f>
        <x:v>1.222148449440322e-9</x:v>
      </x:c>
      <x:c r="V322" s="21" t="str">
        <x:f>IF(NOT(AND(ISNUMBER(D322),ISNUMBER(E322),ISNUMBER(G322),ISNUMBER(H322))),"缺少配对",IF(OR(F322&lt;J322,F322&gt;K322),"超出理论J范围","有效"))</x:f>
        <x:v>有效</x:v>
      </x:c>
      <x:c r="W322" s="20" t="str">
        <x:v>升力 y=0.915708x+28.7687 → C_T_prop；实验攻角 90° ↔ 理论 alpha_p_deg 0°；原升力源 4000rpm!D187/O187</x:v>
      </x:c>
      <x:c r="X322" s="20" t="str">
        <x:v>升力标定计算!M643</x:v>
      </x:c>
      <x:c r="Y322" s="20" t="str">
        <x:v>升力标定计算!M644</x:v>
      </x:c>
      <x:c r="Z322" s="20" t="str">
        <x:v>升力标定计算!N643</x:v>
      </x:c>
      <x:c r="AA322" s="20" t="str">
        <x:v>升力标定计算!N644</x:v>
      </x:c>
      <x:c r="AB322" s="20" t="str">
        <x:v>4000rpm!AT9:AS10</x:v>
      </x:c>
    </x:row>
    <x:row r="323">
      <x:c r="A323" s="21" t="n">
        <x:v>4000</x:v>
      </x:c>
      <x:c r="B323" s="21" t="n">
        <x:v>90</x:v>
      </x:c>
      <x:c r="C323" s="21" t="n">
        <x:v>16</x:v>
      </x:c>
      <x:c r="D323" s="22" t="n">
        <x:f>IFERROR('升力标定计算'!M645,"")</x:f>
        <x:v>0.20190696272501527</x:v>
      </x:c>
      <x:c r="E323" s="22" t="n">
        <x:f>IFERROR('升力标定计算'!M646,"")</x:f>
        <x:v>0.20174214529008103</x:v>
      </x:c>
      <x:c r="F323" s="22" t="n">
        <x:f>IF(AND(ISNUMBER(D323),ISNUMBER(E323)),AVERAGE(D323,E323),"")</x:f>
        <x:v>0.20182455400754815</x:v>
      </x:c>
      <x:c r="G323" s="22" t="n">
        <x:f>IFERROR('升力标定计算'!N645,"")</x:f>
        <x:v>0.05448881317399784</x:v>
      </x:c>
      <x:c r="H323" s="22" t="n">
        <x:f>IFERROR('升力标定计算'!N646,"")</x:f>
        <x:v>0.058273561806902414</x:v>
      </x:c>
      <x:c r="I323" s="22" t="n">
        <x:f>IF(AND(ISNUMBER(G323),ISNUMBER(H323)),AVERAGE(G323,H323),"")</x:f>
        <x:v>0.056381187490450124</x:v>
      </x:c>
      <x:c r="J323" s="22" t="n">
        <x:f>IFERROR('4000rpm'!AT3,"")</x:f>
        <x:v>0</x:v>
      </x:c>
      <x:c r="K323" s="22" t="n">
        <x:f>IFERROR('4000rpm'!AT13,"")</x:f>
        <x:v>0.3336614173228346</x:v>
      </x:c>
      <x:c r="L323" s="22" t="n">
        <x:f>IFERROR('4000rpm'!AT9,"")</x:f>
        <x:v>0.2001968503937008</x:v>
      </x:c>
      <x:c r="M323" s="22" t="n">
        <x:f>IFERROR('4000rpm'!AS9,"")</x:f>
        <x:v>0.05669910912823138</x:v>
      </x:c>
      <x:c r="N323" s="22" t="n">
        <x:f>IFERROR('4000rpm'!AT10,"")</x:f>
        <x:v>0.23356299212598428</x:v>
      </x:c>
      <x:c r="O323" s="22" t="n">
        <x:f>IFERROR('4000rpm'!AS10,"")</x:f>
        <x:v>0.051158128983391817</x:v>
      </x:c>
      <x:c r="P323" s="22" t="n">
        <x:f>IF(OR(NOT(AND(ISNUMBER(D323),ISNUMBER(E323),ISNUMBER(G323),ISNUMBER(H323))),OR(F323&lt;J323,F323&gt;K323)),"",IF(N323=L323,M323,M323+(F323-L323)*(O323-M323)/(N323-L323)))</x:f>
        <x:v>0.05642880297541404</x:v>
      </x:c>
      <x:c r="Q323" s="22" t="n">
        <x:f>IF(AND(ISNUMBER(I323),ISNUMBER(P323)),I323-P323,"")</x:f>
        <x:v>-0.0000476154849639171</x:v>
      </x:c>
      <x:c r="R323" s="22" t="n">
        <x:f>IF(ISNUMBER(Q323),ABS(Q323),"")</x:f>
        <x:v>0.0000476154849639171</x:v>
      </x:c>
      <x:c r="S323" s="36" t="n">
        <x:f>IF(AND(ISNUMBER(Q323),ISNUMBER(P323)),IF(ABS(P323)&lt;1E-12,"",Q323/P323),"")</x:f>
        <x:v>-0.0008438152584002731</x:v>
      </x:c>
      <x:c r="T323" s="36" t="n">
        <x:f>IF(ISNUMBER(S323),ABS(S323),"")</x:f>
        <x:v>0.0008438152584002731</x:v>
      </x:c>
      <x:c r="U323" s="37" t="n">
        <x:f>IF(ISNUMBER(Q323),Q323^2,"")</x:f>
        <x:v>2.267234408349015e-9</x:v>
      </x:c>
      <x:c r="V323" s="21" t="str">
        <x:f>IF(NOT(AND(ISNUMBER(D323),ISNUMBER(E323),ISNUMBER(G323),ISNUMBER(H323))),"缺少配对",IF(OR(F323&lt;J323,F323&gt;K323),"超出理论J范围","有效"))</x:f>
        <x:v>有效</x:v>
      </x:c>
      <x:c r="W323" s="20" t="str">
        <x:v>升力 y=0.915708x+28.7687 → C_T_prop；实验攻角 90° ↔ 理论 alpha_p_deg 0°；原升力源 4000rpm!D188/O188</x:v>
      </x:c>
      <x:c r="X323" s="20" t="str">
        <x:v>升力标定计算!M645</x:v>
      </x:c>
      <x:c r="Y323" s="20" t="str">
        <x:v>升力标定计算!M646</x:v>
      </x:c>
      <x:c r="Z323" s="20" t="str">
        <x:v>升力标定计算!N645</x:v>
      </x:c>
      <x:c r="AA323" s="20" t="str">
        <x:v>升力标定计算!N646</x:v>
      </x:c>
      <x:c r="AB323" s="20" t="str">
        <x:v>4000rpm!AT9:AS10</x:v>
      </x:c>
    </x:row>
    <x:row r="324">
      <x:c r="A324" s="21" t="n">
        <x:v>4000</x:v>
      </x:c>
      <x:c r="B324" s="21" t="n">
        <x:v>90</x:v>
      </x:c>
      <x:c r="C324" s="21" t="n">
        <x:v>17</x:v>
      </x:c>
      <x:c r="D324" s="22" t="n">
        <x:f>IFERROR('升力标定计算'!M647,"")</x:f>
        <x:v>0.1686609589608664</x:v>
      </x:c>
      <x:c r="E324" s="22" t="n">
        <x:f>IFERROR('升力标定计算'!M648,"")</x:f>
        <x:v>0.16905494657852024</x:v>
      </x:c>
      <x:c r="F324" s="22" t="n">
        <x:f>IF(AND(ISNUMBER(D324),ISNUMBER(E324)),AVERAGE(D324,E324),"")</x:f>
        <x:v>0.16885795276969331</x:v>
      </x:c>
      <x:c r="G324" s="22" t="n">
        <x:f>IFERROR('升力标定计算'!N647,"")</x:f>
        <x:v>0.05841498062735752</x:v>
      </x:c>
      <x:c r="H324" s="22" t="n">
        <x:f>IFERROR('升力标定计算'!N648,"")</x:f>
        <x:v>0.06329964205397112</x:v>
      </x:c>
      <x:c r="I324" s="22" t="n">
        <x:f>IF(AND(ISNUMBER(G324),ISNUMBER(H324)),AVERAGE(G324,H324),"")</x:f>
        <x:v>0.06085731134066432</x:v>
      </x:c>
      <x:c r="J324" s="22" t="n">
        <x:f>IFERROR('4000rpm'!AT3,"")</x:f>
        <x:v>0</x:v>
      </x:c>
      <x:c r="K324" s="22" t="n">
        <x:f>IFERROR('4000rpm'!AT13,"")</x:f>
        <x:v>0.3336614173228346</x:v>
      </x:c>
      <x:c r="L324" s="22" t="n">
        <x:f>IFERROR('4000rpm'!AT8,"")</x:f>
        <x:v>0.1668307086614173</x:v>
      </x:c>
      <x:c r="M324" s="22" t="n">
        <x:f>IFERROR('4000rpm'!AS8,"")</x:f>
        <x:v>0.061925620929567694</x:v>
      </x:c>
      <x:c r="N324" s="22" t="n">
        <x:f>IFERROR('4000rpm'!AT9,"")</x:f>
        <x:v>0.2001968503937008</x:v>
      </x:c>
      <x:c r="O324" s="22" t="n">
        <x:f>IFERROR('4000rpm'!AS9,"")</x:f>
        <x:v>0.05669910912823138</x:v>
      </x:c>
      <x:c r="P324" s="22" t="n">
        <x:f>IF(OR(NOT(AND(ISNUMBER(D324),ISNUMBER(E324),ISNUMBER(G324),ISNUMBER(H324))),OR(F324&lt;J324,F324&gt;K324)),"",IF(N324=L324,M324,M324+(F324-L324)*(O324-M324)/(N324-L324)))</x:f>
        <x:v>0.061608071021007474</x:v>
      </x:c>
      <x:c r="Q324" s="22" t="n">
        <x:f>IF(AND(ISNUMBER(I324),ISNUMBER(P324)),I324-P324,"")</x:f>
        <x:v>-0.0007507596803431535</x:v>
      </x:c>
      <x:c r="R324" s="22" t="n">
        <x:f>IF(ISNUMBER(Q324),ABS(Q324),"")</x:f>
        <x:v>0.0007507596803431535</x:v>
      </x:c>
      <x:c r="S324" s="36" t="n">
        <x:f>IF(AND(ISNUMBER(Q324),ISNUMBER(P324)),IF(ABS(P324)&lt;1E-12,"",Q324/P324),"")</x:f>
        <x:v>-0.012186060493391444</x:v>
      </x:c>
      <x:c r="T324" s="36" t="n">
        <x:f>IF(ISNUMBER(S324),ABS(S324),"")</x:f>
        <x:v>0.012186060493391444</x:v>
      </x:c>
      <x:c r="U324" s="37" t="n">
        <x:f>IF(ISNUMBER(Q324),Q324^2,"")</x:f>
        <x:v>5.63640097628954e-7</x:v>
      </x:c>
      <x:c r="V324" s="21" t="str">
        <x:f>IF(NOT(AND(ISNUMBER(D324),ISNUMBER(E324),ISNUMBER(G324),ISNUMBER(H324))),"缺少配对",IF(OR(F324&lt;J324,F324&gt;K324),"超出理论J范围","有效"))</x:f>
        <x:v>有效</x:v>
      </x:c>
      <x:c r="W324" s="20" t="str">
        <x:v>升力 y=0.915708x+28.7687 → C_T_prop；实验攻角 90° ↔ 理论 alpha_p_deg 0°；原升力源 4000rpm!D189/O189</x:v>
      </x:c>
      <x:c r="X324" s="20" t="str">
        <x:v>升力标定计算!M647</x:v>
      </x:c>
      <x:c r="Y324" s="20" t="str">
        <x:v>升力标定计算!M648</x:v>
      </x:c>
      <x:c r="Z324" s="20" t="str">
        <x:v>升力标定计算!N647</x:v>
      </x:c>
      <x:c r="AA324" s="20" t="str">
        <x:v>升力标定计算!N648</x:v>
      </x:c>
      <x:c r="AB324" s="20" t="str">
        <x:v>4000rpm!AT8:AS9</x:v>
      </x:c>
    </x:row>
    <x:row r="325">
      <x:c r="A325" s="21" t="n">
        <x:v>4000</x:v>
      </x:c>
      <x:c r="B325" s="21" t="n">
        <x:v>90</x:v>
      </x:c>
      <x:c r="C325" s="21" t="n">
        <x:v>18</x:v>
      </x:c>
      <x:c r="D325" s="22" t="n">
        <x:f>IFERROR('升力标定计算'!M649,"")</x:f>
        <x:v>0.13696596271606484</x:v>
      </x:c>
      <x:c r="E325" s="22" t="n">
        <x:f>IFERROR('升力标定计算'!M650,"")</x:f>
        <x:v>0.12662460323972055</x:v>
      </x:c>
      <x:c r="F325" s="22" t="n">
        <x:f>IF(AND(ISNUMBER(D325),ISNUMBER(E325)),AVERAGE(D325,E325),"")</x:f>
        <x:v>0.1317952829778927</x:v>
      </x:c>
      <x:c r="G325" s="22" t="n">
        <x:f>IFERROR('升力标定计算'!N649,"")</x:f>
        <x:v>0.0639419503806342</x:v>
      </x:c>
      <x:c r="H325" s="22" t="n">
        <x:f>IFERROR('升力标定计算'!N650,"")</x:f>
        <x:v>0.07069252396304836</x:v>
      </x:c>
      <x:c r="I325" s="22" t="n">
        <x:f>IF(AND(ISNUMBER(G325),ISNUMBER(H325)),AVERAGE(G325,H325),"")</x:f>
        <x:v>0.06731723717184128</x:v>
      </x:c>
      <x:c r="J325" s="22" t="n">
        <x:f>IFERROR('4000rpm'!AT3,"")</x:f>
        <x:v>0</x:v>
      </x:c>
      <x:c r="K325" s="22" t="n">
        <x:f>IFERROR('4000rpm'!AT13,"")</x:f>
        <x:v>0.3336614173228346</x:v>
      </x:c>
      <x:c r="L325" s="22" t="n">
        <x:f>IFERROR('4000rpm'!AT6,"")</x:f>
        <x:v>0.1000984251968504</x:v>
      </x:c>
      <x:c r="M325" s="22" t="n">
        <x:f>IFERROR('4000rpm'!AS6,"")</x:f>
        <x:v>0.0714387004343732</x:v>
      </x:c>
      <x:c r="N325" s="22" t="n">
        <x:f>IFERROR('4000rpm'!AT7,"")</x:f>
        <x:v>0.13346456692913386</x:v>
      </x:c>
      <x:c r="O325" s="22" t="n">
        <x:f>IFERROR('4000rpm'!AS7,"")</x:f>
        <x:v>0.06680466918800777</x:v>
      </x:c>
      <x:c r="P325" s="22" t="n">
        <x:f>IF(OR(NOT(AND(ISNUMBER(D325),ISNUMBER(E325),ISNUMBER(G325),ISNUMBER(H325))),OR(F325&lt;J325,F325&gt;K325)),"",IF(N325=L325,M325,M325+(F325-L325)*(O325-M325)/(N325-L325)))</x:f>
        <x:v>0.06703650642142764</x:v>
      </x:c>
      <x:c r="Q325" s="22" t="n">
        <x:f>IF(AND(ISNUMBER(I325),ISNUMBER(P325)),I325-P325,"")</x:f>
        <x:v>0.0002807307504136408</x:v>
      </x:c>
      <x:c r="R325" s="22" t="n">
        <x:f>IF(ISNUMBER(Q325),ABS(Q325),"")</x:f>
        <x:v>0.0002807307504136408</x:v>
      </x:c>
      <x:c r="S325" s="36" t="n">
        <x:f>IF(AND(ISNUMBER(Q325),ISNUMBER(P325)),IF(ABS(P325)&lt;1E-12,"",Q325/P325),"")</x:f>
        <x:v>0.004187729423857739</x:v>
      </x:c>
      <x:c r="T325" s="36" t="n">
        <x:f>IF(ISNUMBER(S325),ABS(S325),"")</x:f>
        <x:v>0.004187729423857739</x:v>
      </x:c>
      <x:c r="U325" s="37" t="n">
        <x:f>IF(ISNUMBER(Q325),Q325^2,"")</x:f>
        <x:v>7.88097542278059e-8</x:v>
      </x:c>
      <x:c r="V325" s="21" t="str">
        <x:f>IF(NOT(AND(ISNUMBER(D325),ISNUMBER(E325),ISNUMBER(G325),ISNUMBER(H325))),"缺少配对",IF(OR(F325&lt;J325,F325&gt;K325),"超出理论J范围","有效"))</x:f>
        <x:v>有效</x:v>
      </x:c>
      <x:c r="W325" s="20" t="str">
        <x:v>升力 y=0.915708x+28.7687 → C_T_prop；实验攻角 90° ↔ 理论 alpha_p_deg 0°；原升力源 4000rpm!D190/O190</x:v>
      </x:c>
      <x:c r="X325" s="20" t="str">
        <x:v>升力标定计算!M649</x:v>
      </x:c>
      <x:c r="Y325" s="20" t="str">
        <x:v>升力标定计算!M650</x:v>
      </x:c>
      <x:c r="Z325" s="20" t="str">
        <x:v>升力标定计算!N649</x:v>
      </x:c>
      <x:c r="AA325" s="20" t="str">
        <x:v>升力标定计算!N650</x:v>
      </x:c>
      <x:c r="AB325" s="20" t="str">
        <x:v>4000rpm!AT6:AS7</x:v>
      </x:c>
    </x:row>
    <x:row r="326">
      <x:c r="A326" s="21" t="n">
        <x:v>4000</x:v>
      </x:c>
      <x:c r="B326" s="21" t="n">
        <x:v>90</x:v>
      </x:c>
      <x:c r="C326" s="21" t="n">
        <x:v>19</x:v>
      </x:c>
      <x:c r="D326" s="22" t="n">
        <x:f>IFERROR('升力标定计算'!M651,"")</x:f>
        <x:v>0.09991780760638867</x:v>
      </x:c>
      <x:c r="E326" s="22" t="n">
        <x:f>IFERROR('升力标定计算'!M652,"")</x:f>
        <x:v>0.10314941254618157</x:v>
      </x:c>
      <x:c r="F326" s="22" t="n">
        <x:f>IF(AND(ISNUMBER(D326),ISNUMBER(E326)),AVERAGE(D326,E326),"")</x:f>
        <x:v>0.10153361007628511</x:v>
      </x:c>
      <x:c r="G326" s="22" t="n">
        <x:f>IFERROR('升力标定计算'!N651,"")</x:f>
        <x:v>0.06848425321345375</x:v>
      </x:c>
      <x:c r="H326" s="22" t="n">
        <x:f>IFERROR('升力标定计算'!N652,"")</x:f>
        <x:v>0.07346468344165684</x:v>
      </x:c>
      <x:c r="I326" s="22" t="n">
        <x:f>IF(AND(ISNUMBER(G326),ISNUMBER(H326)),AVERAGE(G326,H326),"")</x:f>
        <x:v>0.0709744683275553</x:v>
      </x:c>
      <x:c r="J326" s="22" t="n">
        <x:f>IFERROR('4000rpm'!AT3,"")</x:f>
        <x:v>0</x:v>
      </x:c>
      <x:c r="K326" s="22" t="n">
        <x:f>IFERROR('4000rpm'!AT13,"")</x:f>
        <x:v>0.3336614173228346</x:v>
      </x:c>
      <x:c r="L326" s="22" t="n">
        <x:f>IFERROR('4000rpm'!AT6,"")</x:f>
        <x:v>0.1000984251968504</x:v>
      </x:c>
      <x:c r="M326" s="22" t="n">
        <x:f>IFERROR('4000rpm'!AS6,"")</x:f>
        <x:v>0.0714387004343732</x:v>
      </x:c>
      <x:c r="N326" s="22" t="n">
        <x:f>IFERROR('4000rpm'!AT7,"")</x:f>
        <x:v>0.13346456692913386</x:v>
      </x:c>
      <x:c r="O326" s="22" t="n">
        <x:f>IFERROR('4000rpm'!AS7,"")</x:f>
        <x:v>0.06680466918800777</x:v>
      </x:c>
      <x:c r="P326" s="22" t="n">
        <x:f>IF(OR(NOT(AND(ISNUMBER(D326),ISNUMBER(E326),ISNUMBER(G326),ISNUMBER(H326))),OR(F326&lt;J326,F326&gt;K326)),"",IF(N326=L326,M326,M326+(F326-L326)*(O326-M326)/(N326-L326)))</x:f>
        <x:v>0.07123937587269705</x:v>
      </x:c>
      <x:c r="Q326" s="22" t="n">
        <x:f>IF(AND(ISNUMBER(I326),ISNUMBER(P326)),I326-P326,"")</x:f>
        <x:v>-0.00026490754514174597</x:v>
      </x:c>
      <x:c r="R326" s="22" t="n">
        <x:f>IF(ISNUMBER(Q326),ABS(Q326),"")</x:f>
        <x:v>0.00026490754514174597</x:v>
      </x:c>
      <x:c r="S326" s="36" t="n">
        <x:f>IF(AND(ISNUMBER(Q326),ISNUMBER(P326)),IF(ABS(P326)&lt;1E-12,"",Q326/P326),"")</x:f>
        <x:v>-0.003718555109398053</x:v>
      </x:c>
      <x:c r="T326" s="36" t="n">
        <x:f>IF(ISNUMBER(S326),ABS(S326),"")</x:f>
        <x:v>0.003718555109398053</x:v>
      </x:c>
      <x:c r="U326" s="37" t="n">
        <x:f>IF(ISNUMBER(Q326),Q326^2,"")</x:f>
        <x:v>7.017600747302618e-8</x:v>
      </x:c>
      <x:c r="V326" s="21" t="str">
        <x:f>IF(NOT(AND(ISNUMBER(D326),ISNUMBER(E326),ISNUMBER(G326),ISNUMBER(H326))),"缺少配对",IF(OR(F326&lt;J326,F326&gt;K326),"超出理论J范围","有效"))</x:f>
        <x:v>有效</x:v>
      </x:c>
      <x:c r="W326" s="20" t="str">
        <x:v>升力 y=0.915708x+28.7687 → C_T_prop；实验攻角 90° ↔ 理论 alpha_p_deg 0°；原升力源 4000rpm!D191/O191</x:v>
      </x:c>
      <x:c r="X326" s="20" t="str">
        <x:v>升力标定计算!M651</x:v>
      </x:c>
      <x:c r="Y326" s="20" t="str">
        <x:v>升力标定计算!M652</x:v>
      </x:c>
      <x:c r="Z326" s="20" t="str">
        <x:v>升力标定计算!N651</x:v>
      </x:c>
      <x:c r="AA326" s="20" t="str">
        <x:v>升力标定计算!N652</x:v>
      </x:c>
      <x:c r="AB326" s="20" t="str">
        <x:v>4000rpm!AT6:AS7</x:v>
      </x:c>
    </x:row>
    <x:row r="327">
      <x:c r="A327" s="21" t="n">
        <x:v>4000</x:v>
      </x:c>
      <x:c r="B327" s="21" t="n">
        <x:v>90</x:v>
      </x:c>
      <x:c r="C327" s="21" t="n">
        <x:v>20</x:v>
      </x:c>
      <x:c r="D327" s="22" t="n">
        <x:f>IFERROR('升力标定计算'!M653,"")</x:f>
        <x:v>0.06585878542779396</x:v>
      </x:c>
      <x:c r="E327" s="22" t="n">
        <x:f>IFERROR('升力标定计算'!M654,"")</x:f>
        <x:v>0.06989473986397066</x:v>
      </x:c>
      <x:c r="F327" s="22" t="n">
        <x:f>IF(AND(ISNUMBER(D327),ISNUMBER(E327)),AVERAGE(D327,E327),"")</x:f>
        <x:v>0.0678767626458823</x:v>
      </x:c>
      <x:c r="G327" s="22" t="n">
        <x:f>IFERROR('升力标定计算'!N653,"")</x:f>
        <x:v>0.07291542100959153</x:v>
      </x:c>
      <x:c r="H327" s="22" t="n">
        <x:f>IFERROR('升力标定计算'!N654,"")</x:f>
        <x:v>0.07830114716331825</x:v>
      </x:c>
      <x:c r="I327" s="22" t="n">
        <x:f>IF(AND(ISNUMBER(G327),ISNUMBER(H327)),AVERAGE(G327,H327),"")</x:f>
        <x:v>0.0756082840864549</x:v>
      </x:c>
      <x:c r="J327" s="22" t="n">
        <x:f>IFERROR('4000rpm'!AT3,"")</x:f>
        <x:v>0</x:v>
      </x:c>
      <x:c r="K327" s="22" t="n">
        <x:f>IFERROR('4000rpm'!AT13,"")</x:f>
        <x:v>0.3336614173228346</x:v>
      </x:c>
      <x:c r="L327" s="22" t="n">
        <x:f>IFERROR('4000rpm'!AT5,"")</x:f>
        <x:v>0.06673228346456693</x:v>
      </x:c>
      <x:c r="M327" s="22" t="n">
        <x:f>IFERROR('4000rpm'!AS5,"")</x:f>
        <x:v>0.07576976669850342</x:v>
      </x:c>
      <x:c r="N327" s="22" t="n">
        <x:f>IFERROR('4000rpm'!AT6,"")</x:f>
        <x:v>0.1000984251968504</x:v>
      </x:c>
      <x:c r="O327" s="22" t="n">
        <x:f>IFERROR('4000rpm'!AS6,"")</x:f>
        <x:v>0.0714387004343732</x:v>
      </x:c>
      <x:c r="P327" s="22" t="n">
        <x:f>IF(OR(NOT(AND(ISNUMBER(D327),ISNUMBER(E327),ISNUMBER(G327),ISNUMBER(H327))),OR(F327&lt;J327,F327&gt;K327)),"",IF(N327=L327,M327,M327+(F327-L327)*(O327-M327)/(N327-L327)))</x:f>
        <x:v>0.07562120846207424</x:v>
      </x:c>
      <x:c r="Q327" s="22" t="n">
        <x:f>IF(AND(ISNUMBER(I327),ISNUMBER(P327)),I327-P327,"")</x:f>
        <x:v>-0.00001292437561933868</x:v>
      </x:c>
      <x:c r="R327" s="22" t="n">
        <x:f>IF(ISNUMBER(Q327),ABS(Q327),"")</x:f>
        <x:v>0.00001292437561933868</x:v>
      </x:c>
      <x:c r="S327" s="36" t="n">
        <x:f>IF(AND(ISNUMBER(Q327),ISNUMBER(P327)),IF(ABS(P327)&lt;1E-12,"",Q327/P327),"")</x:f>
        <x:v>-0.00017090940335634216</x:v>
      </x:c>
      <x:c r="T327" s="36" t="n">
        <x:f>IF(ISNUMBER(S327),ABS(S327),"")</x:f>
        <x:v>0.00017090940335634216</x:v>
      </x:c>
      <x:c r="U327" s="37" t="n">
        <x:f>IF(ISNUMBER(Q327),Q327^2,"")</x:f>
        <x:v>1.6703948514975607e-10</x:v>
      </x:c>
      <x:c r="V327" s="21" t="str">
        <x:f>IF(NOT(AND(ISNUMBER(D327),ISNUMBER(E327),ISNUMBER(G327),ISNUMBER(H327))),"缺少配对",IF(OR(F327&lt;J327,F327&gt;K327),"超出理论J范围","有效"))</x:f>
        <x:v>有效</x:v>
      </x:c>
      <x:c r="W327" s="20" t="str">
        <x:v>升力 y=0.915708x+28.7687 → C_T_prop；实验攻角 90° ↔ 理论 alpha_p_deg 0°；原升力源 4000rpm!D192/O192</x:v>
      </x:c>
      <x:c r="X327" s="20" t="str">
        <x:v>升力标定计算!M653</x:v>
      </x:c>
      <x:c r="Y327" s="20" t="str">
        <x:v>升力标定计算!M654</x:v>
      </x:c>
      <x:c r="Z327" s="20" t="str">
        <x:v>升力标定计算!N653</x:v>
      </x:c>
      <x:c r="AA327" s="20" t="str">
        <x:v>升力标定计算!N654</x:v>
      </x:c>
      <x:c r="AB327" s="20" t="str">
        <x:v>4000rpm!AT5:AS6</x:v>
      </x:c>
    </x:row>
    <x:row r="328">
      <x:c r="A328" s="21" t="n">
        <x:v>4000</x:v>
      </x:c>
      <x:c r="B328" s="21" t="n">
        <x:v>90</x:v>
      </x:c>
      <x:c r="C328" s="21" t="n">
        <x:v>21</x:v>
      </x:c>
      <x:c r="D328" s="22" t="n">
        <x:f>IFERROR('升力标定计算'!M655,"")</x:f>
        <x:v>0.035860187702316894</x:v>
      </x:c>
      <x:c r="E328" s="22" t="n">
        <x:f>IFERROR('升力标定计算'!M656,"")</x:f>
        <x:v>0.03580005835393725</x:v>
      </x:c>
      <x:c r="F328" s="22" t="n">
        <x:f>IF(AND(ISNUMBER(D328),ISNUMBER(E328)),AVERAGE(D328,E328),"")</x:f>
        <x:v>0.035830123028127076</x:v>
      </x:c>
      <x:c r="G328" s="22" t="n">
        <x:f>IFERROR('升力标定计算'!N655,"")</x:f>
        <x:v>0.0757893758922371</x:v>
      </x:c>
      <x:c r="H328" s="22" t="n">
        <x:f>IFERROR('升力标定计算'!N656,"")</x:f>
        <x:v>0.08092014056918738</x:v>
      </x:c>
      <x:c r="I328" s="22" t="n">
        <x:f>IF(AND(ISNUMBER(G328),ISNUMBER(H328)),AVERAGE(G328,H328),"")</x:f>
        <x:v>0.07835475823071224</x:v>
      </x:c>
      <x:c r="J328" s="22" t="n">
        <x:f>IFERROR('4000rpm'!AT3,"")</x:f>
        <x:v>0</x:v>
      </x:c>
      <x:c r="K328" s="22" t="n">
        <x:f>IFERROR('4000rpm'!AT13,"")</x:f>
        <x:v>0.3336614173228346</x:v>
      </x:c>
      <x:c r="L328" s="22" t="n">
        <x:f>IFERROR('4000rpm'!AT4,"")</x:f>
        <x:v>0.033366141732283465</x:v>
      </x:c>
      <x:c r="M328" s="22" t="n">
        <x:f>IFERROR('4000rpm'!AS4,"")</x:f>
        <x:v>0.07975749420384352</x:v>
      </x:c>
      <x:c r="N328" s="22" t="n">
        <x:f>IFERROR('4000rpm'!AT5,"")</x:f>
        <x:v>0.06673228346456693</x:v>
      </x:c>
      <x:c r="O328" s="22" t="n">
        <x:f>IFERROR('4000rpm'!AS5,"")</x:f>
        <x:v>0.07576976669850342</x:v>
      </x:c>
      <x:c r="P328" s="22" t="n">
        <x:f>IF(OR(NOT(AND(ISNUMBER(D328),ISNUMBER(E328),ISNUMBER(G328),ISNUMBER(H328))),OR(F328&lt;J328,F328&gt;K328)),"",IF(N328=L328,M328,M328+(F328-L328)*(O328-M328)/(N328-L328)))</x:f>
        <x:v>0.07946301346750557</x:v>
      </x:c>
      <x:c r="Q328" s="22" t="n">
        <x:f>IF(AND(ISNUMBER(I328),ISNUMBER(P328)),I328-P328,"")</x:f>
        <x:v>-0.0011082552367933374</x:v>
      </x:c>
      <x:c r="R328" s="22" t="n">
        <x:f>IF(ISNUMBER(Q328),ABS(Q328),"")</x:f>
        <x:v>0.0011082552367933374</x:v>
      </x:c>
      <x:c r="S328" s="36" t="n">
        <x:f>IF(AND(ISNUMBER(Q328),ISNUMBER(P328)),IF(ABS(P328)&lt;1E-12,"",Q328/P328),"")</x:f>
        <x:v>-0.013946806047652985</x:v>
      </x:c>
      <x:c r="T328" s="36" t="n">
        <x:f>IF(ISNUMBER(S328),ABS(S328),"")</x:f>
        <x:v>0.013946806047652985</x:v>
      </x:c>
      <x:c r="U328" s="37" t="n">
        <x:f>IF(ISNUMBER(Q328),Q328^2,"")</x:f>
        <x:v>0.0000012282296698798562</x:v>
      </x:c>
      <x:c r="V328" s="21" t="str">
        <x:f>IF(NOT(AND(ISNUMBER(D328),ISNUMBER(E328),ISNUMBER(G328),ISNUMBER(H328))),"缺少配对",IF(OR(F328&lt;J328,F328&gt;K328),"超出理论J范围","有效"))</x:f>
        <x:v>有效</x:v>
      </x:c>
      <x:c r="W328" s="20" t="str">
        <x:v>升力 y=0.915708x+28.7687 → C_T_prop；实验攻角 90° ↔ 理论 alpha_p_deg 0°；原升力源 4000rpm!D193/O193</x:v>
      </x:c>
      <x:c r="X328" s="20" t="str">
        <x:v>升力标定计算!M655</x:v>
      </x:c>
      <x:c r="Y328" s="20" t="str">
        <x:v>升力标定计算!M656</x:v>
      </x:c>
      <x:c r="Z328" s="20" t="str">
        <x:v>升力标定计算!N655</x:v>
      </x:c>
      <x:c r="AA328" s="20" t="str">
        <x:v>升力标定计算!N656</x:v>
      </x:c>
      <x:c r="AB328" s="20" t="str">
        <x:v>4000rpm!AT4:AS5</x:v>
      </x:c>
    </x:row>
    <x:row r="329">
      <x:c r="A329" s="21" t="n">
        <x:v>4000</x:v>
      </x:c>
      <x:c r="B329" s="21" t="n">
        <x:v>90</x:v>
      </x:c>
      <x:c r="C329" s="21" t="n">
        <x:v>22</x:v>
      </x:c>
      <x:c r="D329" s="22" t="n">
        <x:f>IFERROR('升力标定计算'!M657,"")</x:f>
        <x:v>0.00660317702858398</x:v>
      </x:c>
      <x:c r="E329" s="22" t="n">
        <x:f>IFERROR('升力标定计算'!M658,"")</x:f>
        <x:v>0.006638949829872796</x:v>
      </x:c>
      <x:c r="F329" s="22" t="n">
        <x:f>IF(AND(ISNUMBER(D329),ISNUMBER(E329)),AVERAGE(D329,E329),"")</x:f>
        <x:v>0.006621063429228388</x:v>
      </x:c>
      <x:c r="G329" s="22" t="n">
        <x:f>IFERROR('升力标定计算'!N657,"")</x:f>
        <x:v>0.07599149664639601</x:v>
      </x:c>
      <x:c r="H329" s="22" t="n">
        <x:f>IFERROR('升力标定计算'!N658,"")</x:f>
        <x:v>0.08268240304200974</x:v>
      </x:c>
      <x:c r="I329" s="22" t="n">
        <x:f>IF(AND(ISNUMBER(G329),ISNUMBER(H329)),AVERAGE(G329,H329),"")</x:f>
        <x:v>0.07933694984420288</x:v>
      </x:c>
      <x:c r="J329" s="22" t="n">
        <x:f>IFERROR('4000rpm'!AT3,"")</x:f>
        <x:v>0</x:v>
      </x:c>
      <x:c r="K329" s="22" t="n">
        <x:f>IFERROR('4000rpm'!AT13,"")</x:f>
        <x:v>0.3336614173228346</x:v>
      </x:c>
      <x:c r="L329" s="22" t="n">
        <x:f>IFERROR('4000rpm'!AT3,"")</x:f>
        <x:v>0</x:v>
      </x:c>
      <x:c r="M329" s="22" t="n">
        <x:f>IFERROR('4000rpm'!AS3,"")</x:f>
        <x:v>0.08350690647788582</x:v>
      </x:c>
      <x:c r="N329" s="22" t="n">
        <x:f>IFERROR('4000rpm'!AT4,"")</x:f>
        <x:v>0.033366141732283465</x:v>
      </x:c>
      <x:c r="O329" s="22" t="n">
        <x:f>IFERROR('4000rpm'!AS4,"")</x:f>
        <x:v>0.07975749420384352</x:v>
      </x:c>
      <x:c r="P329" s="22" t="n">
        <x:f>IF(OR(NOT(AND(ISNUMBER(D329),ISNUMBER(E329),ISNUMBER(G329),ISNUMBER(H329))),OR(F329&lt;J329,F329&gt;K329)),"",IF(N329=L329,M329,M329+(F329-L329)*(O329-M329)/(N329-L329)))</x:f>
        <x:v>0.08276288588695421</x:v>
      </x:c>
      <x:c r="Q329" s="22" t="n">
        <x:f>IF(AND(ISNUMBER(I329),ISNUMBER(P329)),I329-P329,"")</x:f>
        <x:v>-0.0034259360427513347</x:v>
      </x:c>
      <x:c r="R329" s="22" t="n">
        <x:f>IF(ISNUMBER(Q329),ABS(Q329),"")</x:f>
        <x:v>0.0034259360427513347</x:v>
      </x:c>
      <x:c r="S329" s="36" t="n">
        <x:f>IF(AND(ISNUMBER(Q329),ISNUMBER(P329)),IF(ABS(P329)&lt;1E-12,"",Q329/P329),"")</x:f>
        <x:v>-0.041394593796920266</x:v>
      </x:c>
      <x:c r="T329" s="36" t="n">
        <x:f>IF(ISNUMBER(S329),ABS(S329),"")</x:f>
        <x:v>0.041394593796920266</x:v>
      </x:c>
      <x:c r="U329" s="37" t="n">
        <x:f>IF(ISNUMBER(Q329),Q329^2,"")</x:f>
        <x:v>0.000011737037769022676</x:v>
      </x:c>
      <x:c r="V329" s="21" t="str">
        <x:f>IF(NOT(AND(ISNUMBER(D329),ISNUMBER(E329),ISNUMBER(G329),ISNUMBER(H329))),"缺少配对",IF(OR(F329&lt;J329,F329&gt;K329),"超出理论J范围","有效"))</x:f>
        <x:v>有效</x:v>
      </x:c>
      <x:c r="W329" s="20" t="str">
        <x:v>升力 y=0.915708x+28.7687 → C_T_prop；实验攻角 90° ↔ 理论 alpha_p_deg 0°；原升力源 4000rpm!D194/O194</x:v>
      </x:c>
      <x:c r="X329" s="20" t="str">
        <x:v>升力标定计算!M657</x:v>
      </x:c>
      <x:c r="Y329" s="20" t="str">
        <x:v>升力标定计算!M658</x:v>
      </x:c>
      <x:c r="Z329" s="20" t="str">
        <x:v>升力标定计算!N657</x:v>
      </x:c>
      <x:c r="AA329" s="20" t="str">
        <x:v>升力标定计算!N658</x:v>
      </x:c>
      <x:c r="AB329" s="20" t="str">
        <x:v>4000rpm!AT3:AS4</x:v>
      </x:c>
    </x:row>
    <x:row r="330">
      <x:c r="A330" s="21" t="n">
        <x:v>4000</x:v>
      </x:c>
      <x:c r="B330" s="21" t="n">
        <x:v>90</x:v>
      </x:c>
      <x:c r="C330" s="21" t="n">
        <x:v>23</x:v>
      </x:c>
      <x:c r="D330" s="22" t="str">
        <x:f>IFERROR('升力标定计算'!M659,"")</x:f>
      </x:c>
      <x:c r="E330" s="22" t="str">
        <x:f>IFERROR('升力标定计算'!M660,"")</x:f>
      </x:c>
      <x:c r="F330" s="22" t="str">
        <x:f>IF(AND(ISNUMBER(D330),ISNUMBER(E330)),AVERAGE(D330,E330),"")</x:f>
      </x:c>
      <x:c r="G330" s="22" t="str">
        <x:f>IFERROR('升力标定计算'!N659,"")</x:f>
      </x:c>
      <x:c r="H330" s="22" t="str">
        <x:f>IFERROR('升力标定计算'!N660,"")</x:f>
      </x:c>
      <x:c r="I330" s="22" t="str">
        <x:f>IF(AND(ISNUMBER(G330),ISNUMBER(H330)),AVERAGE(G330,H330),"")</x:f>
      </x:c>
      <x:c r="J330" s="22" t="n">
        <x:f>IFERROR('4000rpm'!AT3,"")</x:f>
        <x:v>0</x:v>
      </x:c>
      <x:c r="K330" s="22" t="n">
        <x:f>IFERROR('4000rpm'!AT13,"")</x:f>
        <x:v>0.3336614173228346</x:v>
      </x:c>
      <x:c r="L330" s="22" t="n">
        <x:f>IFERROR('4000rpm'!AT3,"")</x:f>
        <x:v>0</x:v>
      </x:c>
      <x:c r="M330" s="22" t="n">
        <x:f>IFERROR('4000rpm'!AS3,"")</x:f>
        <x:v>0.08350690647788582</x:v>
      </x:c>
      <x:c r="N330" s="22" t="n">
        <x:f>IFERROR('4000rpm'!AT13,"")</x:f>
        <x:v>0.3336614173228346</x:v>
      </x:c>
      <x:c r="O330" s="22" t="n">
        <x:f>IFERROR('4000rpm'!AS13,"")</x:f>
        <x:v>0.03304017026372573</x:v>
      </x:c>
      <x:c r="P330" s="22" t="str">
        <x:f>IF(OR(NOT(AND(ISNUMBER(D330),ISNUMBER(E330),ISNUMBER(G330),ISNUMBER(H330))),OR(F330&lt;J330,F330&gt;K330)),"",IF(N330=L330,M330,M330+(F330-L330)*(O330-M330)/(N330-L330)))</x:f>
      </x:c>
      <x:c r="Q330" s="22" t="str">
        <x:f>IF(AND(ISNUMBER(I330),ISNUMBER(P330)),I330-P330,"")</x:f>
      </x:c>
      <x:c r="R330" s="22" t="str">
        <x:f>IF(ISNUMBER(Q330),ABS(Q330),"")</x:f>
      </x:c>
      <x:c r="S330" s="36" t="str">
        <x:f>IF(AND(ISNUMBER(Q330),ISNUMBER(P330)),IF(ABS(P330)&lt;1E-12,"",Q330/P330),"")</x:f>
      </x:c>
      <x:c r="T330" s="36" t="str">
        <x:f>IF(ISNUMBER(S330),ABS(S330),"")</x:f>
      </x:c>
      <x:c r="U330" s="37" t="str">
        <x:f>IF(ISNUMBER(Q330),Q330^2,"")</x:f>
      </x:c>
      <x:c r="V330" s="21" t="str">
        <x:f>IF(NOT(AND(ISNUMBER(D330),ISNUMBER(E330),ISNUMBER(G330),ISNUMBER(H330))),"缺少配对",IF(OR(F330&lt;J330,F330&gt;K330),"超出理论J范围","有效"))</x:f>
        <x:v>缺少配对</x:v>
      </x:c>
      <x:c r="W330" s="20" t="str">
        <x:v>升力 y=0.915708x+28.7687 → C_T_prop；实验攻角 90° ↔ 理论 alpha_p_deg 0°；原升力源 4000rpm!D195/O195</x:v>
      </x:c>
      <x:c r="X330" s="20" t="str">
        <x:v>升力标定计算!M659</x:v>
      </x:c>
      <x:c r="Y330" s="20" t="str">
        <x:v>升力标定计算!M660</x:v>
      </x:c>
      <x:c r="Z330" s="20" t="str">
        <x:v>升力标定计算!N659</x:v>
      </x:c>
      <x:c r="AA330" s="20" t="str">
        <x:v>升力标定计算!N660</x:v>
      </x:c>
      <x:c r="AB330" s="20" t="str">
        <x:v>4000rpm!AT3:AS13</x:v>
      </x:c>
    </x:row>
    <x:row r="331">
      <x:c r="A331" s="21" t="n">
        <x:v>5000</x:v>
      </x:c>
      <x:c r="B331" s="21" t="n">
        <x:v>0</x:v>
      </x:c>
      <x:c r="C331" s="21" t="n">
        <x:v>1</x:v>
      </x:c>
      <x:c r="D331" s="22" t="str">
        <x:f>IFERROR('升力标定计算'!M661,"")</x:f>
      </x:c>
      <x:c r="E331" s="22" t="str">
        <x:f>IFERROR('升力标定计算'!M662,"")</x:f>
      </x:c>
      <x:c r="F331" s="22" t="str">
        <x:f>IF(AND(ISNUMBER(D331),ISNUMBER(E331)),AVERAGE(D331,E331),"")</x:f>
      </x:c>
      <x:c r="G331" s="22" t="str">
        <x:f>IFERROR('升力标定计算'!N661,"")</x:f>
      </x:c>
      <x:c r="H331" s="22" t="str">
        <x:f>IFERROR('升力标定计算'!N662,"")</x:f>
      </x:c>
      <x:c r="I331" s="22" t="str">
        <x:f>IF(AND(ISNUMBER(G331),ISNUMBER(H331)),AVERAGE(G331,H331),"")</x:f>
      </x:c>
      <x:c r="J331" s="22" t="n">
        <x:f>IFERROR('5000rpm'!AT69,"")</x:f>
        <x:v>0</x:v>
      </x:c>
      <x:c r="K331" s="22" t="n">
        <x:f>IFERROR('5000rpm'!AT79,"")</x:f>
        <x:v>0.26692913385826766</x:v>
      </x:c>
      <x:c r="L331" s="22" t="n">
        <x:f>IFERROR('5000rpm'!AT69,"")</x:f>
        <x:v>0</x:v>
      </x:c>
      <x:c r="M331" s="22" t="n">
        <x:f>IFERROR('5000rpm'!AS69,"")</x:f>
        <x:v>0.0836476206119306</x:v>
      </x:c>
      <x:c r="N331" s="22" t="n">
        <x:f>IFERROR('5000rpm'!AT79,"")</x:f>
        <x:v>0.26692913385826766</x:v>
      </x:c>
      <x:c r="O331" s="22" t="n">
        <x:f>IFERROR('5000rpm'!AS79,"")</x:f>
        <x:v>0.09938305053238307</x:v>
      </x:c>
      <x:c r="P331" s="22" t="str">
        <x:f>IF(OR(NOT(AND(ISNUMBER(D331),ISNUMBER(E331),ISNUMBER(G331),ISNUMBER(H331))),OR(F331&lt;J331,F331&gt;K331)),"",IF(N331=L331,M331,M331+(F331-L331)*(O331-M331)/(N331-L331)))</x:f>
      </x:c>
      <x:c r="Q331" s="22" t="str">
        <x:f>IF(AND(ISNUMBER(I331),ISNUMBER(P331)),I331-P331,"")</x:f>
      </x:c>
      <x:c r="R331" s="22" t="str">
        <x:f>IF(ISNUMBER(Q331),ABS(Q331),"")</x:f>
      </x:c>
      <x:c r="S331" s="36" t="str">
        <x:f>IF(AND(ISNUMBER(Q331),ISNUMBER(P331)),IF(ABS(P331)&lt;1E-12,"",Q331/P331),"")</x:f>
      </x:c>
      <x:c r="T331" s="36" t="str">
        <x:f>IF(ISNUMBER(S331),ABS(S331),"")</x:f>
      </x:c>
      <x:c r="U331" s="37" t="str">
        <x:f>IF(ISNUMBER(Q331),Q331^2,"")</x:f>
      </x:c>
      <x:c r="V331" s="21" t="str">
        <x:f>IF(NOT(AND(ISNUMBER(D331),ISNUMBER(E331),ISNUMBER(G331),ISNUMBER(H331))),"缺少配对",IF(OR(F331&lt;J331,F331&gt;K331),"超出理论J范围","有效"))</x:f>
        <x:v>缺少配对</x:v>
      </x:c>
      <x:c r="W331" s="20" t="str">
        <x:v>升力 y=0.915708x+28.7687 → C_T_prop；实验攻角 0° ↔ 理论 alpha_p_deg 90°；原升力源 5000rpm!C3/M3</x:v>
      </x:c>
      <x:c r="X331" s="20" t="str">
        <x:v>升力标定计算!M661</x:v>
      </x:c>
      <x:c r="Y331" s="20" t="str">
        <x:v>升力标定计算!M662</x:v>
      </x:c>
      <x:c r="Z331" s="20" t="str">
        <x:v>升力标定计算!N661</x:v>
      </x:c>
      <x:c r="AA331" s="20" t="str">
        <x:v>升力标定计算!N662</x:v>
      </x:c>
      <x:c r="AB331" s="20" t="str">
        <x:v>5000rpm!AT69:AS79</x:v>
      </x:c>
    </x:row>
    <x:row r="332">
      <x:c r="A332" s="21" t="n">
        <x:v>5000</x:v>
      </x:c>
      <x:c r="B332" s="21" t="n">
        <x:v>0</x:v>
      </x:c>
      <x:c r="C332" s="21" t="n">
        <x:v>2</x:v>
      </x:c>
      <x:c r="D332" s="22" t="n">
        <x:f>IFERROR('升力标定计算'!M663,"")</x:f>
        <x:v>0.0003508154957541704</x:v>
      </x:c>
      <x:c r="E332" s="22" t="n">
        <x:f>IFERROR('升力标定计算'!M664,"")</x:f>
        <x:v>0.00019753803123375845</x:v>
      </x:c>
      <x:c r="F332" s="22" t="n">
        <x:f>IF(AND(ISNUMBER(D332),ISNUMBER(E332)),AVERAGE(D332,E332),"")</x:f>
        <x:v>0.00027417676349396445</x:v>
      </x:c>
      <x:c r="G332" s="22" t="n">
        <x:f>IFERROR('升力标定计算'!N663,"")</x:f>
        <x:v>0.07850205723813725</x:v>
      </x:c>
      <x:c r="H332" s="22" t="n">
        <x:f>IFERROR('升力标定计算'!N664,"")</x:f>
        <x:v>0.07737668287579016</x:v>
      </x:c>
      <x:c r="I332" s="22" t="n">
        <x:f>IF(AND(ISNUMBER(G332),ISNUMBER(H332)),AVERAGE(G332,H332),"")</x:f>
        <x:v>0.0779393700569637</x:v>
      </x:c>
      <x:c r="J332" s="22" t="n">
        <x:f>IFERROR('5000rpm'!AT69,"")</x:f>
        <x:v>0</x:v>
      </x:c>
      <x:c r="K332" s="22" t="n">
        <x:f>IFERROR('5000rpm'!AT79,"")</x:f>
        <x:v>0.26692913385826766</x:v>
      </x:c>
      <x:c r="L332" s="22" t="n">
        <x:f>IFERROR('5000rpm'!AT69,"")</x:f>
        <x:v>0</x:v>
      </x:c>
      <x:c r="M332" s="22" t="n">
        <x:f>IFERROR('5000rpm'!AS69,"")</x:f>
        <x:v>0.0836476206119306</x:v>
      </x:c>
      <x:c r="N332" s="22" t="n">
        <x:f>IFERROR('5000rpm'!AT70,"")</x:f>
        <x:v>0.02669291338582678</x:v>
      </x:c>
      <x:c r="O332" s="22" t="n">
        <x:f>IFERROR('5000rpm'!AS70,"")</x:f>
        <x:v>0.0837936858327787</x:v>
      </x:c>
      <x:c r="P332" s="22" t="n">
        <x:f>IF(OR(NOT(AND(ISNUMBER(D332),ISNUMBER(E332),ISNUMBER(G332),ISNUMBER(H332))),OR(F332&lt;J332,F332&gt;K332)),"",IF(N332=L332,M332,M332+(F332-L332)*(O332-M332)/(N332-L332)))</x:f>
        <x:v>0.08364912092360255</x:v>
      </x:c>
      <x:c r="Q332" s="22" t="n">
        <x:f>IF(AND(ISNUMBER(I332),ISNUMBER(P332)),I332-P332,"")</x:f>
        <x:v>-0.005709750866638844</x:v>
      </x:c>
      <x:c r="R332" s="22" t="n">
        <x:f>IF(ISNUMBER(Q332),ABS(Q332),"")</x:f>
        <x:v>0.005709750866638844</x:v>
      </x:c>
      <x:c r="S332" s="36" t="n">
        <x:f>IF(AND(ISNUMBER(Q332),ISNUMBER(P332)),IF(ABS(P332)&lt;1E-12,"",Q332/P332),"")</x:f>
        <x:v>-0.06825834872614629</x:v>
      </x:c>
      <x:c r="T332" s="36" t="n">
        <x:f>IF(ISNUMBER(S332),ABS(S332),"")</x:f>
        <x:v>0.06825834872614629</x:v>
      </x:c>
      <x:c r="U332" s="37" t="n">
        <x:f>IF(ISNUMBER(Q332),Q332^2,"")</x:f>
        <x:v>0.00003260125495908302</x:v>
      </x:c>
      <x:c r="V332" s="21" t="str">
        <x:f>IF(NOT(AND(ISNUMBER(D332),ISNUMBER(E332),ISNUMBER(G332),ISNUMBER(H332))),"缺少配对",IF(OR(F332&lt;J332,F332&gt;K332),"超出理论J范围","有效"))</x:f>
        <x:v>有效</x:v>
      </x:c>
      <x:c r="W332" s="20" t="str">
        <x:v>升力 y=0.915708x+28.7687 → C_T_prop；实验攻角 0° ↔ 理论 alpha_p_deg 90°；原升力源 5000rpm!C4/M4</x:v>
      </x:c>
      <x:c r="X332" s="20" t="str">
        <x:v>升力标定计算!M663</x:v>
      </x:c>
      <x:c r="Y332" s="20" t="str">
        <x:v>升力标定计算!M664</x:v>
      </x:c>
      <x:c r="Z332" s="20" t="str">
        <x:v>升力标定计算!N663</x:v>
      </x:c>
      <x:c r="AA332" s="20" t="str">
        <x:v>升力标定计算!N664</x:v>
      </x:c>
      <x:c r="AB332" s="20" t="str">
        <x:v>5000rpm!AT69:AS70</x:v>
      </x:c>
    </x:row>
    <x:row r="333">
      <x:c r="A333" s="21" t="n">
        <x:v>5000</x:v>
      </x:c>
      <x:c r="B333" s="21" t="n">
        <x:v>0</x:v>
      </x:c>
      <x:c r="C333" s="21" t="n">
        <x:v>3</x:v>
      </x:c>
      <x:c r="D333" s="22" t="n">
        <x:f>IFERROR('升力标定计算'!M665,"")</x:f>
        <x:v>0.026612035014443914</x:v>
      </x:c>
      <x:c r="E333" s="22" t="n">
        <x:f>IFERROR('升力标定计算'!M666,"")</x:f>
        <x:v>0.026788364113520126</x:v>
      </x:c>
      <x:c r="F333" s="22" t="n">
        <x:f>IF(AND(ISNUMBER(D333),ISNUMBER(E333)),AVERAGE(D333,E333),"")</x:f>
        <x:v>0.02670019956398202</x:v>
      </x:c>
      <x:c r="G333" s="22" t="n">
        <x:f>IFERROR('升力标定计算'!N665,"")</x:f>
        <x:v>0.07785920542127855</x:v>
      </x:c>
      <x:c r="H333" s="22" t="n">
        <x:f>IFERROR('升力标定计算'!N666,"")</x:f>
        <x:v>0.0786118898757159</x:v>
      </x:c>
      <x:c r="I333" s="22" t="n">
        <x:f>IF(AND(ISNUMBER(G333),ISNUMBER(H333)),AVERAGE(G333,H333),"")</x:f>
        <x:v>0.07823554764849723</x:v>
      </x:c>
      <x:c r="J333" s="22" t="n">
        <x:f>IFERROR('5000rpm'!AT69,"")</x:f>
        <x:v>0</x:v>
      </x:c>
      <x:c r="K333" s="22" t="n">
        <x:f>IFERROR('5000rpm'!AT79,"")</x:f>
        <x:v>0.26692913385826766</x:v>
      </x:c>
      <x:c r="L333" s="22" t="n">
        <x:f>IFERROR('5000rpm'!AT70,"")</x:f>
        <x:v>0.02669291338582678</x:v>
      </x:c>
      <x:c r="M333" s="22" t="n">
        <x:f>IFERROR('5000rpm'!AS70,"")</x:f>
        <x:v>0.0837936858327787</x:v>
      </x:c>
      <x:c r="N333" s="22" t="n">
        <x:f>IFERROR('5000rpm'!AT71,"")</x:f>
        <x:v>0.05338582677165356</x:v>
      </x:c>
      <x:c r="O333" s="22" t="n">
        <x:f>IFERROR('5000rpm'!AS71,"")</x:f>
        <x:v>0.08446040835452698</x:v>
      </x:c>
      <x:c r="P333" s="22" t="n">
        <x:f>IF(OR(NOT(AND(ISNUMBER(D333),ISNUMBER(E333),ISNUMBER(G333),ISNUMBER(H333))),OR(F333&lt;J333,F333&gt;K333)),"",IF(N333=L333,M333,M333+(F333-L333)*(O333-M333)/(N333-L333)))</x:f>
        <x:v>0.08379386782336937</x:v>
      </x:c>
      <x:c r="Q333" s="22" t="n">
        <x:f>IF(AND(ISNUMBER(I333),ISNUMBER(P333)),I333-P333,"")</x:f>
        <x:v>-0.005558320174872136</x:v>
      </x:c>
      <x:c r="R333" s="22" t="n">
        <x:f>IF(ISNUMBER(Q333),ABS(Q333),"")</x:f>
        <x:v>0.005558320174872136</x:v>
      </x:c>
      <x:c r="S333" s="36" t="n">
        <x:f>IF(AND(ISNUMBER(Q333),ISNUMBER(P333)),IF(ABS(P333)&lt;1E-12,"",Q333/P333),"")</x:f>
        <x:v>-0.06633325706588244</x:v>
      </x:c>
      <x:c r="T333" s="36" t="n">
        <x:f>IF(ISNUMBER(S333),ABS(S333),"")</x:f>
        <x:v>0.06633325706588244</x:v>
      </x:c>
      <x:c r="U333" s="37" t="n">
        <x:f>IF(ISNUMBER(Q333),Q333^2,"")</x:f>
        <x:v>0.000030894923166390614</x:v>
      </x:c>
      <x:c r="V333" s="21" t="str">
        <x:f>IF(NOT(AND(ISNUMBER(D333),ISNUMBER(E333),ISNUMBER(G333),ISNUMBER(H333))),"缺少配对",IF(OR(F333&lt;J333,F333&gt;K333),"超出理论J范围","有效"))</x:f>
        <x:v>有效</x:v>
      </x:c>
      <x:c r="W333" s="20" t="str">
        <x:v>升力 y=0.915708x+28.7687 → C_T_prop；实验攻角 0° ↔ 理论 alpha_p_deg 90°；原升力源 5000rpm!C5/M5</x:v>
      </x:c>
      <x:c r="X333" s="20" t="str">
        <x:v>升力标定计算!M665</x:v>
      </x:c>
      <x:c r="Y333" s="20" t="str">
        <x:v>升力标定计算!M666</x:v>
      </x:c>
      <x:c r="Z333" s="20" t="str">
        <x:v>升力标定计算!N665</x:v>
      </x:c>
      <x:c r="AA333" s="20" t="str">
        <x:v>升力标定计算!N666</x:v>
      </x:c>
      <x:c r="AB333" s="20" t="str">
        <x:v>5000rpm!AT70:AS71</x:v>
      </x:c>
    </x:row>
    <x:row r="334">
      <x:c r="A334" s="21" t="n">
        <x:v>5000</x:v>
      </x:c>
      <x:c r="B334" s="21" t="n">
        <x:v>0</x:v>
      </x:c>
      <x:c r="C334" s="21" t="n">
        <x:v>4</x:v>
      </x:c>
      <x:c r="D334" s="22" t="n">
        <x:f>IFERROR('升力标定计算'!M667,"")</x:f>
        <x:v>0.05299013156506412</x:v>
      </x:c>
      <x:c r="E334" s="22" t="n">
        <x:f>IFERROR('升力标定计算'!M668,"")</x:f>
        <x:v>0.05295025313779098</x:v>
      </x:c>
      <x:c r="F334" s="22" t="n">
        <x:f>IF(AND(ISNUMBER(D334),ISNUMBER(E334)),AVERAGE(D334,E334),"")</x:f>
        <x:v>0.05297019235142755</x:v>
      </x:c>
      <x:c r="G334" s="22" t="n">
        <x:f>IFERROR('升力标定计算'!N667,"")</x:f>
        <x:v>0.07764403289632699</x:v>
      </x:c>
      <x:c r="H334" s="22" t="n">
        <x:f>IFERROR('升力标定计算'!N668,"")</x:f>
        <x:v>0.07782255532816379</x:v>
      </x:c>
      <x:c r="I334" s="22" t="n">
        <x:f>IF(AND(ISNUMBER(G334),ISNUMBER(H334)),AVERAGE(G334,H334),"")</x:f>
        <x:v>0.07773329411224539</x:v>
      </x:c>
      <x:c r="J334" s="22" t="n">
        <x:f>IFERROR('5000rpm'!AT69,"")</x:f>
        <x:v>0</x:v>
      </x:c>
      <x:c r="K334" s="22" t="n">
        <x:f>IFERROR('5000rpm'!AT79,"")</x:f>
        <x:v>0.26692913385826766</x:v>
      </x:c>
      <x:c r="L334" s="22" t="n">
        <x:f>IFERROR('5000rpm'!AT70,"")</x:f>
        <x:v>0.02669291338582678</x:v>
      </x:c>
      <x:c r="M334" s="22" t="n">
        <x:f>IFERROR('5000rpm'!AS70,"")</x:f>
        <x:v>0.0837936858327787</x:v>
      </x:c>
      <x:c r="N334" s="22" t="n">
        <x:f>IFERROR('5000rpm'!AT71,"")</x:f>
        <x:v>0.05338582677165356</x:v>
      </x:c>
      <x:c r="O334" s="22" t="n">
        <x:f>IFERROR('5000rpm'!AS71,"")</x:f>
        <x:v>0.08446040835452698</x:v>
      </x:c>
      <x:c r="P334" s="22" t="n">
        <x:f>IF(OR(NOT(AND(ISNUMBER(D334),ISNUMBER(E334),ISNUMBER(G334),ISNUMBER(H334))),OR(F334&lt;J334,F334&gt;K334)),"",IF(N334=L334,M334,M334+(F334-L334)*(O334-M334)/(N334-L334)))</x:f>
        <x:v>0.08445002684147244</x:v>
      </x:c>
      <x:c r="Q334" s="22" t="n">
        <x:f>IF(AND(ISNUMBER(I334),ISNUMBER(P334)),I334-P334,"")</x:f>
        <x:v>-0.006716732729227057</x:v>
      </x:c>
      <x:c r="R334" s="22" t="n">
        <x:f>IF(ISNUMBER(Q334),ABS(Q334),"")</x:f>
        <x:v>0.006716732729227057</x:v>
      </x:c>
      <x:c r="S334" s="36" t="n">
        <x:f>IF(AND(ISNUMBER(Q334),ISNUMBER(P334)),IF(ABS(P334)&lt;1E-12,"",Q334/P334),"")</x:f>
        <x:v>-0.07953499815737827</x:v>
      </x:c>
      <x:c r="T334" s="36" t="n">
        <x:f>IF(ISNUMBER(S334),ABS(S334),"")</x:f>
        <x:v>0.07953499815737827</x:v>
      </x:c>
      <x:c r="U334" s="37" t="n">
        <x:f>IF(ISNUMBER(Q334),Q334^2,"")</x:f>
        <x:v>0.00004511449855586995</x:v>
      </x:c>
      <x:c r="V334" s="21" t="str">
        <x:f>IF(NOT(AND(ISNUMBER(D334),ISNUMBER(E334),ISNUMBER(G334),ISNUMBER(H334))),"缺少配对",IF(OR(F334&lt;J334,F334&gt;K334),"超出理论J范围","有效"))</x:f>
        <x:v>有效</x:v>
      </x:c>
      <x:c r="W334" s="20" t="str">
        <x:v>升力 y=0.915708x+28.7687 → C_T_prop；实验攻角 0° ↔ 理论 alpha_p_deg 90°；原升力源 5000rpm!C6/M6</x:v>
      </x:c>
      <x:c r="X334" s="20" t="str">
        <x:v>升力标定计算!M667</x:v>
      </x:c>
      <x:c r="Y334" s="20" t="str">
        <x:v>升力标定计算!M668</x:v>
      </x:c>
      <x:c r="Z334" s="20" t="str">
        <x:v>升力标定计算!N667</x:v>
      </x:c>
      <x:c r="AA334" s="20" t="str">
        <x:v>升力标定计算!N668</x:v>
      </x:c>
      <x:c r="AB334" s="20" t="str">
        <x:v>5000rpm!AT70:AS71</x:v>
      </x:c>
    </x:row>
    <x:row r="335">
      <x:c r="A335" s="21" t="n">
        <x:v>5000</x:v>
      </x:c>
      <x:c r="B335" s="21" t="n">
        <x:v>0</x:v>
      </x:c>
      <x:c r="C335" s="21" t="n">
        <x:v>5</x:v>
      </x:c>
      <x:c r="D335" s="22" t="n">
        <x:f>IFERROR('升力标定计算'!M669,"")</x:f>
        <x:v>0.07952469582731952</x:v>
      </x:c>
      <x:c r="E335" s="22" t="n">
        <x:f>IFERROR('升力标定计算'!M670,"")</x:f>
        <x:v>0.07968717832739111</x:v>
      </x:c>
      <x:c r="F335" s="22" t="n">
        <x:f>IF(AND(ISNUMBER(D335),ISNUMBER(E335)),AVERAGE(D335,E335),"")</x:f>
        <x:v>0.07960593707735532</x:v>
      </x:c>
      <x:c r="G335" s="22" t="n">
        <x:f>IFERROR('升力标定计算'!N669,"")</x:f>
        <x:v>0.0781504075473729</x:v>
      </x:c>
      <x:c r="H335" s="22" t="n">
        <x:f>IFERROR('升力标定计算'!N670,"")</x:f>
        <x:v>0.07856630255307545</x:v>
      </x:c>
      <x:c r="I335" s="22" t="n">
        <x:f>IF(AND(ISNUMBER(G335),ISNUMBER(H335)),AVERAGE(G335,H335),"")</x:f>
        <x:v>0.07835835505022418</x:v>
      </x:c>
      <x:c r="J335" s="22" t="n">
        <x:f>IFERROR('5000rpm'!AT69,"")</x:f>
        <x:v>0</x:v>
      </x:c>
      <x:c r="K335" s="22" t="n">
        <x:f>IFERROR('5000rpm'!AT79,"")</x:f>
        <x:v>0.26692913385826766</x:v>
      </x:c>
      <x:c r="L335" s="22" t="n">
        <x:f>IFERROR('5000rpm'!AT71,"")</x:f>
        <x:v>0.05338582677165356</x:v>
      </x:c>
      <x:c r="M335" s="22" t="n">
        <x:f>IFERROR('5000rpm'!AS71,"")</x:f>
        <x:v>0.08446040835452698</x:v>
      </x:c>
      <x:c r="N335" s="22" t="n">
        <x:f>IFERROR('5000rpm'!AT72,"")</x:f>
        <x:v>0.08007874015748032</x:v>
      </x:c>
      <x:c r="O335" s="22" t="n">
        <x:f>IFERROR('5000rpm'!AS72,"")</x:f>
        <x:v>0.08546733401776098</x:v>
      </x:c>
      <x:c r="P335" s="22" t="n">
        <x:f>IF(OR(NOT(AND(ISNUMBER(D335),ISNUMBER(E335),ISNUMBER(G335),ISNUMBER(H335))),OR(F335&lt;J335,F335&gt;K335)),"",IF(N335=L335,M335,M335+(F335-L335)*(O335-M335)/(N335-L335)))</x:f>
        <x:v>0.08544949866392933</x:v>
      </x:c>
      <x:c r="Q335" s="22" t="n">
        <x:f>IF(AND(ISNUMBER(I335),ISNUMBER(P335)),I335-P335,"")</x:f>
        <x:v>-0.00709114361370515</x:v>
      </x:c>
      <x:c r="R335" s="22" t="n">
        <x:f>IF(ISNUMBER(Q335),ABS(Q335),"")</x:f>
        <x:v>0.00709114361370515</x:v>
      </x:c>
      <x:c r="S335" s="36" t="n">
        <x:f>IF(AND(ISNUMBER(Q335),ISNUMBER(P335)),IF(ABS(P335)&lt;1E-12,"",Q335/P335),"")</x:f>
        <x:v>-0.08298636884453162</x:v>
      </x:c>
      <x:c r="T335" s="36" t="n">
        <x:f>IF(ISNUMBER(S335),ABS(S335),"")</x:f>
        <x:v>0.08298636884453162</x:v>
      </x:c>
      <x:c r="U335" s="37" t="n">
        <x:f>IF(ISNUMBER(Q335),Q335^2,"")</x:f>
        <x:v>0.00005028431775019134</x:v>
      </x:c>
      <x:c r="V335" s="21" t="str">
        <x:f>IF(NOT(AND(ISNUMBER(D335),ISNUMBER(E335),ISNUMBER(G335),ISNUMBER(H335))),"缺少配对",IF(OR(F335&lt;J335,F335&gt;K335),"超出理论J范围","有效"))</x:f>
        <x:v>有效</x:v>
      </x:c>
      <x:c r="W335" s="20" t="str">
        <x:v>升力 y=0.915708x+28.7687 → C_T_prop；实验攻角 0° ↔ 理论 alpha_p_deg 90°；原升力源 5000rpm!C7/M7</x:v>
      </x:c>
      <x:c r="X335" s="20" t="str">
        <x:v>升力标定计算!M669</x:v>
      </x:c>
      <x:c r="Y335" s="20" t="str">
        <x:v>升力标定计算!M670</x:v>
      </x:c>
      <x:c r="Z335" s="20" t="str">
        <x:v>升力标定计算!N669</x:v>
      </x:c>
      <x:c r="AA335" s="20" t="str">
        <x:v>升力标定计算!N670</x:v>
      </x:c>
      <x:c r="AB335" s="20" t="str">
        <x:v>5000rpm!AT71:AS72</x:v>
      </x:c>
    </x:row>
    <x:row r="336">
      <x:c r="A336" s="21" t="n">
        <x:v>5000</x:v>
      </x:c>
      <x:c r="B336" s="21" t="n">
        <x:v>0</x:v>
      </x:c>
      <x:c r="C336" s="21" t="n">
        <x:v>6</x:v>
      </x:c>
      <x:c r="D336" s="22" t="n">
        <x:f>IFERROR('升力标定计算'!M671,"")</x:f>
        <x:v>0.10603890348026193</x:v>
      </x:c>
      <x:c r="E336" s="22" t="n">
        <x:f>IFERROR('升力标定计算'!M672,"")</x:f>
        <x:v>0.10567854323095897</x:v>
      </x:c>
      <x:c r="F336" s="22" t="n">
        <x:f>IF(AND(ISNUMBER(D336),ISNUMBER(E336)),AVERAGE(D336,E336),"")</x:f>
        <x:v>0.10585872335561045</x:v>
      </x:c>
      <x:c r="G336" s="22" t="n">
        <x:f>IFERROR('升力标定计算'!N671,"")</x:f>
        <x:v>0.07831220618966453</x:v>
      </x:c>
      <x:c r="H336" s="22" t="n">
        <x:f>IFERROR('升力标定计算'!N672,"")</x:f>
        <x:v>0.07788276468939755</x:v>
      </x:c>
      <x:c r="I336" s="22" t="n">
        <x:f>IF(AND(ISNUMBER(G336),ISNUMBER(H336)),AVERAGE(G336,H336),"")</x:f>
        <x:v>0.07809748543953104</x:v>
      </x:c>
      <x:c r="J336" s="22" t="n">
        <x:f>IFERROR('5000rpm'!AT69,"")</x:f>
        <x:v>0</x:v>
      </x:c>
      <x:c r="K336" s="22" t="n">
        <x:f>IFERROR('5000rpm'!AT79,"")</x:f>
        <x:v>0.26692913385826766</x:v>
      </x:c>
      <x:c r="L336" s="22" t="n">
        <x:f>IFERROR('5000rpm'!AT72,"")</x:f>
        <x:v>0.08007874015748032</x:v>
      </x:c>
      <x:c r="M336" s="22" t="n">
        <x:f>IFERROR('5000rpm'!AS72,"")</x:f>
        <x:v>0.08546733401776098</x:v>
      </x:c>
      <x:c r="N336" s="22" t="n">
        <x:f>IFERROR('5000rpm'!AT73,"")</x:f>
        <x:v>0.10677165354330712</x:v>
      </x:c>
      <x:c r="O336" s="22" t="n">
        <x:f>IFERROR('5000rpm'!AS73,"")</x:f>
        <x:v>0.08679584478953363</x:v>
      </x:c>
      <x:c r="P336" s="22" t="n">
        <x:f>IF(OR(NOT(AND(ISNUMBER(D336),ISNUMBER(E336),ISNUMBER(G336),ISNUMBER(H336))),OR(F336&lt;J336,F336&gt;K336)),"",IF(N336=L336,M336,M336+(F336-L336)*(O336-M336)/(N336-L336)))</x:f>
        <x:v>0.08675040810112496</x:v>
      </x:c>
      <x:c r="Q336" s="22" t="n">
        <x:f>IF(AND(ISNUMBER(I336),ISNUMBER(P336)),I336-P336,"")</x:f>
        <x:v>-0.008652922661593912</x:v>
      </x:c>
      <x:c r="R336" s="22" t="n">
        <x:f>IF(ISNUMBER(Q336),ABS(Q336),"")</x:f>
        <x:v>0.008652922661593912</x:v>
      </x:c>
      <x:c r="S336" s="36" t="n">
        <x:f>IF(AND(ISNUMBER(Q336),ISNUMBER(P336)),IF(ABS(P336)&lt;1E-12,"",Q336/P336),"")</x:f>
        <x:v>-0.09974503695137894</x:v>
      </x:c>
      <x:c r="T336" s="36" t="n">
        <x:f>IF(ISNUMBER(S336),ABS(S336),"")</x:f>
        <x:v>0.09974503695137894</x:v>
      </x:c>
      <x:c r="U336" s="37" t="n">
        <x:f>IF(ISNUMBER(Q336),Q336^2,"")</x:f>
        <x:v>0.00007487307058752548</x:v>
      </x:c>
      <x:c r="V336" s="21" t="str">
        <x:f>IF(NOT(AND(ISNUMBER(D336),ISNUMBER(E336),ISNUMBER(G336),ISNUMBER(H336))),"缺少配对",IF(OR(F336&lt;J336,F336&gt;K336),"超出理论J范围","有效"))</x:f>
        <x:v>有效</x:v>
      </x:c>
      <x:c r="W336" s="20" t="str">
        <x:v>升力 y=0.915708x+28.7687 → C_T_prop；实验攻角 0° ↔ 理论 alpha_p_deg 90°；原升力源 5000rpm!C8/M8</x:v>
      </x:c>
      <x:c r="X336" s="20" t="str">
        <x:v>升力标定计算!M671</x:v>
      </x:c>
      <x:c r="Y336" s="20" t="str">
        <x:v>升力标定计算!M672</x:v>
      </x:c>
      <x:c r="Z336" s="20" t="str">
        <x:v>升力标定计算!N671</x:v>
      </x:c>
      <x:c r="AA336" s="20" t="str">
        <x:v>升力标定计算!N672</x:v>
      </x:c>
      <x:c r="AB336" s="20" t="str">
        <x:v>5000rpm!AT72:AS73</x:v>
      </x:c>
    </x:row>
    <x:row r="337">
      <x:c r="A337" s="21" t="n">
        <x:v>5000</x:v>
      </x:c>
      <x:c r="B337" s="21" t="n">
        <x:v>0</x:v>
      </x:c>
      <x:c r="C337" s="21" t="n">
        <x:v>7</x:v>
      </x:c>
      <x:c r="D337" s="22" t="n">
        <x:f>IFERROR('升力标定计算'!M673,"")</x:f>
        <x:v>0.13228891775665683</x:v>
      </x:c>
      <x:c r="E337" s="22" t="n">
        <x:f>IFERROR('升力标定计算'!M674,"")</x:f>
        <x:v>0.13192075305846046</x:v>
      </x:c>
      <x:c r="F337" s="22" t="n">
        <x:f>IF(AND(ISNUMBER(D337),ISNUMBER(E337)),AVERAGE(D337,E337),"")</x:f>
        <x:v>0.13210483540755863</x:v>
      </x:c>
      <x:c r="G337" s="22" t="n">
        <x:f>IFERROR('升力标定计算'!N673,"")</x:f>
        <x:v>0.07906800324885993</x:v>
      </x:c>
      <x:c r="H337" s="22" t="n">
        <x:f>IFERROR('升力标定计算'!N674,"")</x:f>
        <x:v>0.07816616159846074</x:v>
      </x:c>
      <x:c r="I337" s="22" t="n">
        <x:f>IF(AND(ISNUMBER(G337),ISNUMBER(H337)),AVERAGE(G337,H337),"")</x:f>
        <x:v>0.07861708242366033</x:v>
      </x:c>
      <x:c r="J337" s="22" t="n">
        <x:f>IFERROR('5000rpm'!AT69,"")</x:f>
        <x:v>0</x:v>
      </x:c>
      <x:c r="K337" s="22" t="n">
        <x:f>IFERROR('5000rpm'!AT79,"")</x:f>
        <x:v>0.26692913385826766</x:v>
      </x:c>
      <x:c r="L337" s="22" t="n">
        <x:f>IFERROR('5000rpm'!AT73,"")</x:f>
        <x:v>0.10677165354330712</x:v>
      </x:c>
      <x:c r="M337" s="22" t="n">
        <x:f>IFERROR('5000rpm'!AS73,"")</x:f>
        <x:v>0.08679584478953363</x:v>
      </x:c>
      <x:c r="N337" s="22" t="n">
        <x:f>IFERROR('5000rpm'!AT74,"")</x:f>
        <x:v>0.13346456692913383</x:v>
      </x:c>
      <x:c r="O337" s="22" t="n">
        <x:f>IFERROR('5000rpm'!AS74,"")</x:f>
        <x:v>0.08841643457176306</x:v>
      </x:c>
      <x:c r="P337" s="22" t="n">
        <x:f>IF(OR(NOT(AND(ISNUMBER(D337),ISNUMBER(E337),ISNUMBER(G337),ISNUMBER(H337))),OR(F337&lt;J337,F337&gt;K337)),"",IF(N337=L337,M337,M337+(F337-L337)*(O337-M337)/(N337-L337)))</x:f>
        <x:v>0.08833388206134243</x:v>
      </x:c>
      <x:c r="Q337" s="22" t="n">
        <x:f>IF(AND(ISNUMBER(I337),ISNUMBER(P337)),I337-P337,"")</x:f>
        <x:v>-0.0097167996376821</x:v>
      </x:c>
      <x:c r="R337" s="22" t="n">
        <x:f>IF(ISNUMBER(Q337),ABS(Q337),"")</x:f>
        <x:v>0.0097167996376821</x:v>
      </x:c>
      <x:c r="S337" s="36" t="n">
        <x:f>IF(AND(ISNUMBER(Q337),ISNUMBER(P337)),IF(ABS(P337)&lt;1E-12,"",Q337/P337),"")</x:f>
        <x:v>-0.11000082200547216</x:v>
      </x:c>
      <x:c r="T337" s="36" t="n">
        <x:f>IF(ISNUMBER(S337),ABS(S337),"")</x:f>
        <x:v>0.11000082200547216</x:v>
      </x:c>
      <x:c r="U337" s="37" t="n">
        <x:f>IF(ISNUMBER(Q337),Q337^2,"")</x:f>
        <x:v>0.00009441619519885899</x:v>
      </x:c>
      <x:c r="V337" s="21" t="str">
        <x:f>IF(NOT(AND(ISNUMBER(D337),ISNUMBER(E337),ISNUMBER(G337),ISNUMBER(H337))),"缺少配对",IF(OR(F337&lt;J337,F337&gt;K337),"超出理论J范围","有效"))</x:f>
        <x:v>有效</x:v>
      </x:c>
      <x:c r="W337" s="20" t="str">
        <x:v>升力 y=0.915708x+28.7687 → C_T_prop；实验攻角 0° ↔ 理论 alpha_p_deg 90°；原升力源 5000rpm!C9/M9</x:v>
      </x:c>
      <x:c r="X337" s="20" t="str">
        <x:v>升力标定计算!M673</x:v>
      </x:c>
      <x:c r="Y337" s="20" t="str">
        <x:v>升力标定计算!M674</x:v>
      </x:c>
      <x:c r="Z337" s="20" t="str">
        <x:v>升力标定计算!N673</x:v>
      </x:c>
      <x:c r="AA337" s="20" t="str">
        <x:v>升力标定计算!N674</x:v>
      </x:c>
      <x:c r="AB337" s="20" t="str">
        <x:v>5000rpm!AT73:AS74</x:v>
      </x:c>
    </x:row>
    <x:row r="338">
      <x:c r="A338" s="21" t="n">
        <x:v>5000</x:v>
      </x:c>
      <x:c r="B338" s="21" t="n">
        <x:v>0</x:v>
      </x:c>
      <x:c r="C338" s="21" t="n">
        <x:v>8</x:v>
      </x:c>
      <x:c r="D338" s="22" t="n">
        <x:f>IFERROR('升力标定计算'!M675,"")</x:f>
        <x:v>0.15826308660463048</x:v>
      </x:c>
      <x:c r="E338" s="22" t="n">
        <x:f>IFERROR('升力标定计算'!M676,"")</x:f>
        <x:v>0.1577823445407524</x:v>
      </x:c>
      <x:c r="F338" s="22" t="n">
        <x:f>IF(AND(ISNUMBER(D338),ISNUMBER(E338)),AVERAGE(D338,E338),"")</x:f>
        <x:v>0.15802271557269143</x:v>
      </x:c>
      <x:c r="G338" s="22" t="n">
        <x:f>IFERROR('升力标定计算'!N675,"")</x:f>
        <x:v>0.07893071057516955</x:v>
      </x:c>
      <x:c r="H338" s="22" t="n">
        <x:f>IFERROR('升力标定计算'!N676,"")</x:f>
        <x:v>0.07872171460869624</x:v>
      </x:c>
      <x:c r="I338" s="22" t="n">
        <x:f>IF(AND(ISNUMBER(G338),ISNUMBER(H338)),AVERAGE(G338,H338),"")</x:f>
        <x:v>0.0788262125919329</x:v>
      </x:c>
      <x:c r="J338" s="22" t="n">
        <x:f>IFERROR('5000rpm'!AT69,"")</x:f>
        <x:v>0</x:v>
      </x:c>
      <x:c r="K338" s="22" t="n">
        <x:f>IFERROR('5000rpm'!AT79,"")</x:f>
        <x:v>0.26692913385826766</x:v>
      </x:c>
      <x:c r="L338" s="22" t="n">
        <x:f>IFERROR('5000rpm'!AT74,"")</x:f>
        <x:v>0.13346456692913383</x:v>
      </x:c>
      <x:c r="M338" s="22" t="n">
        <x:f>IFERROR('5000rpm'!AS74,"")</x:f>
        <x:v>0.08841643457176306</x:v>
      </x:c>
      <x:c r="N338" s="22" t="n">
        <x:f>IFERROR('5000rpm'!AT75,"")</x:f>
        <x:v>0.16015748031496063</x:v>
      </x:c>
      <x:c r="O338" s="22" t="n">
        <x:f>IFERROR('5000rpm'!AS75,"")</x:f>
        <x:v>0.09028394825868863</x:v>
      </x:c>
      <x:c r="P338" s="22" t="n">
        <x:f>IF(OR(NOT(AND(ISNUMBER(D338),ISNUMBER(E338),ISNUMBER(G338),ISNUMBER(H338))),OR(F338&lt;J338,F338&gt;K338)),"",IF(N338=L338,M338,M338+(F338-L338)*(O338-M338)/(N338-L338)))</x:f>
        <x:v>0.0901345939219428</x:v>
      </x:c>
      <x:c r="Q338" s="22" t="n">
        <x:f>IF(AND(ISNUMBER(I338),ISNUMBER(P338)),I338-P338,"")</x:f>
        <x:v>-0.0113083813300099</x:v>
      </x:c>
      <x:c r="R338" s="22" t="n">
        <x:f>IF(ISNUMBER(Q338),ABS(Q338),"")</x:f>
        <x:v>0.0113083813300099</x:v>
      </x:c>
      <x:c r="S338" s="36" t="n">
        <x:f>IF(AND(ISNUMBER(Q338),ISNUMBER(P338)),IF(ABS(P338)&lt;1E-12,"",Q338/P338),"")</x:f>
        <x:v>-0.12546105593822324</x:v>
      </x:c>
      <x:c r="T338" s="36" t="n">
        <x:f>IF(ISNUMBER(S338),ABS(S338),"")</x:f>
        <x:v>0.12546105593822324</x:v>
      </x:c>
      <x:c r="U338" s="37" t="n">
        <x:f>IF(ISNUMBER(Q338),Q338^2,"")</x:f>
        <x:v>0.00012787948830491648</x:v>
      </x:c>
      <x:c r="V338" s="21" t="str">
        <x:f>IF(NOT(AND(ISNUMBER(D338),ISNUMBER(E338),ISNUMBER(G338),ISNUMBER(H338))),"缺少配对",IF(OR(F338&lt;J338,F338&gt;K338),"超出理论J范围","有效"))</x:f>
        <x:v>有效</x:v>
      </x:c>
      <x:c r="W338" s="20" t="str">
        <x:v>升力 y=0.915708x+28.7687 → C_T_prop；实验攻角 0° ↔ 理论 alpha_p_deg 90°；原升力源 5000rpm!C10/M10</x:v>
      </x:c>
      <x:c r="X338" s="20" t="str">
        <x:v>升力标定计算!M675</x:v>
      </x:c>
      <x:c r="Y338" s="20" t="str">
        <x:v>升力标定计算!M676</x:v>
      </x:c>
      <x:c r="Z338" s="20" t="str">
        <x:v>升力标定计算!N675</x:v>
      </x:c>
      <x:c r="AA338" s="20" t="str">
        <x:v>升力标定计算!N676</x:v>
      </x:c>
      <x:c r="AB338" s="20" t="str">
        <x:v>5000rpm!AT74:AS75</x:v>
      </x:c>
    </x:row>
    <x:row r="339">
      <x:c r="A339" s="21" t="n">
        <x:v>5000</x:v>
      </x:c>
      <x:c r="B339" s="21" t="n">
        <x:v>0</x:v>
      </x:c>
      <x:c r="C339" s="21" t="n">
        <x:v>9</x:v>
      </x:c>
      <x:c r="D339" s="22" t="n">
        <x:f>IFERROR('升力标定计算'!M677,"")</x:f>
        <x:v>0.18329694608937172</x:v>
      </x:c>
      <x:c r="E339" s="22" t="n">
        <x:f>IFERROR('升力标定计算'!M678,"")</x:f>
        <x:v>0.1843193541285768</x:v>
      </x:c>
      <x:c r="F339" s="22" t="n">
        <x:f>IF(AND(ISNUMBER(D339),ISNUMBER(E339)),AVERAGE(D339,E339),"")</x:f>
        <x:v>0.18380815010897428</x:v>
      </x:c>
      <x:c r="G339" s="22" t="n">
        <x:f>IFERROR('升力标定计算'!N677,"")</x:f>
        <x:v>0.07905612721005378</x:v>
      </x:c>
      <x:c r="H339" s="22" t="n">
        <x:f>IFERROR('升力标定计算'!N678,"")</x:f>
        <x:v>0.08015989564378095</x:v>
      </x:c>
      <x:c r="I339" s="22" t="n">
        <x:f>IF(AND(ISNUMBER(G339),ISNUMBER(H339)),AVERAGE(G339,H339),"")</x:f>
        <x:v>0.07960801142691737</x:v>
      </x:c>
      <x:c r="J339" s="22" t="n">
        <x:f>IFERROR('5000rpm'!AT69,"")</x:f>
        <x:v>0</x:v>
      </x:c>
      <x:c r="K339" s="22" t="n">
        <x:f>IFERROR('5000rpm'!AT79,"")</x:f>
        <x:v>0.26692913385826766</x:v>
      </x:c>
      <x:c r="L339" s="22" t="n">
        <x:f>IFERROR('5000rpm'!AT75,"")</x:f>
        <x:v>0.16015748031496063</x:v>
      </x:c>
      <x:c r="M339" s="22" t="n">
        <x:f>IFERROR('5000rpm'!AS75,"")</x:f>
        <x:v>0.09028394825868863</x:v>
      </x:c>
      <x:c r="N339" s="22" t="n">
        <x:f>IFERROR('5000rpm'!AT76,"")</x:f>
        <x:v>0.18685039370078743</x:v>
      </x:c>
      <x:c r="O339" s="22" t="n">
        <x:f>IFERROR('5000rpm'!AS76,"")</x:f>
        <x:v>0.09236056583256884</x:v>
      </x:c>
      <x:c r="P339" s="22" t="n">
        <x:f>IF(OR(NOT(AND(ISNUMBER(D339),ISNUMBER(E339),ISNUMBER(G339),ISNUMBER(H339))),OR(F339&lt;J339,F339&gt;K339)),"",IF(N339=L339,M339,M339+(F339-L339)*(O339-M339)/(N339-L339)))</x:f>
        <x:v>0.0921238896625507</x:v>
      </x:c>
      <x:c r="Q339" s="22" t="n">
        <x:f>IF(AND(ISNUMBER(I339),ISNUMBER(P339)),I339-P339,"")</x:f>
        <x:v>-0.012515878235633326</x:v>
      </x:c>
      <x:c r="R339" s="22" t="n">
        <x:f>IF(ISNUMBER(Q339),ABS(Q339),"")</x:f>
        <x:v>0.012515878235633326</x:v>
      </x:c>
      <x:c r="S339" s="36" t="n">
        <x:f>IF(AND(ISNUMBER(Q339),ISNUMBER(P339)),IF(ABS(P339)&lt;1E-12,"",Q339/P339),"")</x:f>
        <x:v>-0.1358592030957325</x:v>
      </x:c>
      <x:c r="T339" s="36" t="n">
        <x:f>IF(ISNUMBER(S339),ABS(S339),"")</x:f>
        <x:v>0.1358592030957325</x:v>
      </x:c>
      <x:c r="U339" s="37" t="n">
        <x:f>IF(ISNUMBER(Q339),Q339^2,"")</x:f>
        <x:v>0.0001566472080092</x:v>
      </x:c>
      <x:c r="V339" s="21" t="str">
        <x:f>IF(NOT(AND(ISNUMBER(D339),ISNUMBER(E339),ISNUMBER(G339),ISNUMBER(H339))),"缺少配对",IF(OR(F339&lt;J339,F339&gt;K339),"超出理论J范围","有效"))</x:f>
        <x:v>有效</x:v>
      </x:c>
      <x:c r="W339" s="20" t="str">
        <x:v>升力 y=0.915708x+28.7687 → C_T_prop；实验攻角 0° ↔ 理论 alpha_p_deg 90°；原升力源 5000rpm!C11/M11</x:v>
      </x:c>
      <x:c r="X339" s="20" t="str">
        <x:v>升力标定计算!M677</x:v>
      </x:c>
      <x:c r="Y339" s="20" t="str">
        <x:v>升力标定计算!M678</x:v>
      </x:c>
      <x:c r="Z339" s="20" t="str">
        <x:v>升力标定计算!N677</x:v>
      </x:c>
      <x:c r="AA339" s="20" t="str">
        <x:v>升力标定计算!N678</x:v>
      </x:c>
      <x:c r="AB339" s="20" t="str">
        <x:v>5000rpm!AT75:AS76</x:v>
      </x:c>
    </x:row>
    <x:row r="340">
      <x:c r="A340" s="21" t="n">
        <x:v>5000</x:v>
      </x:c>
      <x:c r="B340" s="21" t="n">
        <x:v>0</x:v>
      </x:c>
      <x:c r="C340" s="21" t="n">
        <x:v>10</x:v>
      </x:c>
      <x:c r="D340" s="22" t="n">
        <x:f>IFERROR('升力标定计算'!M679,"")</x:f>
        <x:v>0.20905906120083723</x:v>
      </x:c>
      <x:c r="E340" s="22" t="n">
        <x:f>IFERROR('升力标定计算'!M680,"")</x:f>
        <x:v>0.21076616241677323</x:v>
      </x:c>
      <x:c r="F340" s="22" t="n">
        <x:f>IF(AND(ISNUMBER(D340),ISNUMBER(E340)),AVERAGE(D340,E340),"")</x:f>
        <x:v>0.20991261180880522</x:v>
      </x:c>
      <x:c r="G340" s="22" t="n">
        <x:f>IFERROR('升力标定计算'!N679,"")</x:f>
        <x:v>0.07978928748739253</x:v>
      </x:c>
      <x:c r="H340" s="22" t="n">
        <x:f>IFERROR('升力标定计算'!N680,"")</x:f>
        <x:v>0.08104223956143869</x:v>
      </x:c>
      <x:c r="I340" s="22" t="n">
        <x:f>IF(AND(ISNUMBER(G340),ISNUMBER(H340)),AVERAGE(G340,H340),"")</x:f>
        <x:v>0.08041576352441561</x:v>
      </x:c>
      <x:c r="J340" s="22" t="n">
        <x:f>IFERROR('5000rpm'!AT69,"")</x:f>
        <x:v>0</x:v>
      </x:c>
      <x:c r="K340" s="22" t="n">
        <x:f>IFERROR('5000rpm'!AT79,"")</x:f>
        <x:v>0.26692913385826766</x:v>
      </x:c>
      <x:c r="L340" s="22" t="n">
        <x:f>IFERROR('5000rpm'!AT76,"")</x:f>
        <x:v>0.18685039370078743</x:v>
      </x:c>
      <x:c r="M340" s="22" t="n">
        <x:f>IFERROR('5000rpm'!AS76,"")</x:f>
        <x:v>0.09236056583256884</x:v>
      </x:c>
      <x:c r="N340" s="22" t="n">
        <x:f>IFERROR('5000rpm'!AT77,"")</x:f>
        <x:v>0.21354330708661423</x:v>
      </x:c>
      <x:c r="O340" s="22" t="n">
        <x:f>IFERROR('5000rpm'!AS77,"")</x:f>
        <x:v>0.09459898471127572</x:v>
      </x:c>
      <x:c r="P340" s="22" t="n">
        <x:f>IF(OR(NOT(AND(ISNUMBER(D340),ISNUMBER(E340),ISNUMBER(G340),ISNUMBER(H340))),OR(F340&lt;J340,F340&gt;K340)),"",IF(N340=L340,M340,M340+(F340-L340)*(O340-M340)/(N340-L340)))</x:f>
        <x:v>0.09429452124806323</x:v>
      </x:c>
      <x:c r="Q340" s="22" t="n">
        <x:f>IF(AND(ISNUMBER(I340),ISNUMBER(P340)),I340-P340,"")</x:f>
        <x:v>-0.01387875772364762</x:v>
      </x:c>
      <x:c r="R340" s="22" t="n">
        <x:f>IF(ISNUMBER(Q340),ABS(Q340),"")</x:f>
        <x:v>0.01387875772364762</x:v>
      </x:c>
      <x:c r="S340" s="36" t="n">
        <x:f>IF(AND(ISNUMBER(Q340),ISNUMBER(P340)),IF(ABS(P340)&lt;1E-12,"",Q340/P340),"")</x:f>
        <x:v>-0.14718519740013722</x:v>
      </x:c>
      <x:c r="T340" s="36" t="n">
        <x:f>IF(ISNUMBER(S340),ABS(S340),"")</x:f>
        <x:v>0.14718519740013722</x:v>
      </x:c>
      <x:c r="U340" s="37" t="n">
        <x:f>IF(ISNUMBER(Q340),Q340^2,"")</x:f>
        <x:v>0.00019261991595170846</x:v>
      </x:c>
      <x:c r="V340" s="21" t="str">
        <x:f>IF(NOT(AND(ISNUMBER(D340),ISNUMBER(E340),ISNUMBER(G340),ISNUMBER(H340))),"缺少配对",IF(OR(F340&lt;J340,F340&gt;K340),"超出理论J范围","有效"))</x:f>
        <x:v>有效</x:v>
      </x:c>
      <x:c r="W340" s="20" t="str">
        <x:v>升力 y=0.915708x+28.7687 → C_T_prop；实验攻角 0° ↔ 理论 alpha_p_deg 90°；原升力源 5000rpm!C12/M12</x:v>
      </x:c>
      <x:c r="X340" s="20" t="str">
        <x:v>升力标定计算!M679</x:v>
      </x:c>
      <x:c r="Y340" s="20" t="str">
        <x:v>升力标定计算!M680</x:v>
      </x:c>
      <x:c r="Z340" s="20" t="str">
        <x:v>升力标定计算!N679</x:v>
      </x:c>
      <x:c r="AA340" s="20" t="str">
        <x:v>升力标定计算!N680</x:v>
      </x:c>
      <x:c r="AB340" s="20" t="str">
        <x:v>5000rpm!AT76:AS77</x:v>
      </x:c>
    </x:row>
    <x:row r="341">
      <x:c r="A341" s="21" t="n">
        <x:v>5000</x:v>
      </x:c>
      <x:c r="B341" s="21" t="n">
        <x:v>0</x:v>
      </x:c>
      <x:c r="C341" s="21" t="n">
        <x:v>11</x:v>
      </x:c>
      <x:c r="D341" s="22" t="n">
        <x:f>IFERROR('升力标定计算'!M681,"")</x:f>
        <x:v>0.23553792525738174</x:v>
      </x:c>
      <x:c r="E341" s="22" t="n">
        <x:f>IFERROR('升力标定计算'!M682,"")</x:f>
        <x:v>0.23520282828633493</x:v>
      </x:c>
      <x:c r="F341" s="22" t="n">
        <x:f>IF(AND(ISNUMBER(D341),ISNUMBER(E341)),AVERAGE(D341,E341),"")</x:f>
        <x:v>0.23537037677185835</x:v>
      </x:c>
      <x:c r="G341" s="22" t="n">
        <x:f>IFERROR('升力标定计算'!N681,"")</x:f>
        <x:v>0.081775680088967</x:v>
      </x:c>
      <x:c r="H341" s="22" t="n">
        <x:f>IFERROR('升力标定计算'!N682,"")</x:f>
        <x:v>0.0809693854117462</x:v>
      </x:c>
      <x:c r="I341" s="22" t="n">
        <x:f>IF(AND(ISNUMBER(G341),ISNUMBER(H341)),AVERAGE(G341,H341),"")</x:f>
        <x:v>0.08137253275035661</x:v>
      </x:c>
      <x:c r="J341" s="22" t="n">
        <x:f>IFERROR('5000rpm'!AT69,"")</x:f>
        <x:v>0</x:v>
      </x:c>
      <x:c r="K341" s="22" t="n">
        <x:f>IFERROR('5000rpm'!AT79,"")</x:f>
        <x:v>0.26692913385826766</x:v>
      </x:c>
      <x:c r="L341" s="22" t="n">
        <x:f>IFERROR('5000rpm'!AT77,"")</x:f>
        <x:v>0.21354330708661423</x:v>
      </x:c>
      <x:c r="M341" s="22" t="n">
        <x:f>IFERROR('5000rpm'!AS77,"")</x:f>
        <x:v>0.09459898471127572</x:v>
      </x:c>
      <x:c r="N341" s="22" t="n">
        <x:f>IFERROR('5000rpm'!AT78,"")</x:f>
        <x:v>0.24023622047244095</x:v>
      </x:c>
      <x:c r="O341" s="22" t="n">
        <x:f>IFERROR('5000rpm'!AS78,"")</x:f>
        <x:v>0.096953580998034</x:v>
      </x:c>
      <x:c r="P341" s="22" t="n">
        <x:f>IF(OR(NOT(AND(ISNUMBER(D341),ISNUMBER(E341),ISNUMBER(G341),ISNUMBER(H341))),OR(F341&lt;J341,F341&gt;K341)),"",IF(N341=L341,M341,M341+(F341-L341)*(O341-M341)/(N341-L341)))</x:f>
        <x:v>0.09652436230078151</x:v>
      </x:c>
      <x:c r="Q341" s="22" t="n">
        <x:f>IF(AND(ISNUMBER(I341),ISNUMBER(P341)),I341-P341,"")</x:f>
        <x:v>-0.015151829550424906</x:v>
      </x:c>
      <x:c r="R341" s="22" t="n">
        <x:f>IF(ISNUMBER(Q341),ABS(Q341),"")</x:f>
        <x:v>0.015151829550424906</x:v>
      </x:c>
      <x:c r="S341" s="36" t="n">
        <x:f>IF(AND(ISNUMBER(Q341),ISNUMBER(P341)),IF(ABS(P341)&lt;1E-12,"",Q341/P341),"")</x:f>
        <x:v>-0.15697414817629132</x:v>
      </x:c>
      <x:c r="T341" s="36" t="n">
        <x:f>IF(ISNUMBER(S341),ABS(S341),"")</x:f>
        <x:v>0.15697414817629132</x:v>
      </x:c>
      <x:c r="U341" s="37" t="n">
        <x:f>IF(ISNUMBER(Q341),Q341^2,"")</x:f>
        <x:v>0.0002295779387251294</x:v>
      </x:c>
      <x:c r="V341" s="21" t="str">
        <x:f>IF(NOT(AND(ISNUMBER(D341),ISNUMBER(E341),ISNUMBER(G341),ISNUMBER(H341))),"缺少配对",IF(OR(F341&lt;J341,F341&gt;K341),"超出理论J范围","有效"))</x:f>
        <x:v>有效</x:v>
      </x:c>
      <x:c r="W341" s="20" t="str">
        <x:v>升力 y=0.915708x+28.7687 → C_T_prop；实验攻角 0° ↔ 理论 alpha_p_deg 90°；原升力源 5000rpm!C13/M13</x:v>
      </x:c>
      <x:c r="X341" s="20" t="str">
        <x:v>升力标定计算!M681</x:v>
      </x:c>
      <x:c r="Y341" s="20" t="str">
        <x:v>升力标定计算!M682</x:v>
      </x:c>
      <x:c r="Z341" s="20" t="str">
        <x:v>升力标定计算!N681</x:v>
      </x:c>
      <x:c r="AA341" s="20" t="str">
        <x:v>升力标定计算!N682</x:v>
      </x:c>
      <x:c r="AB341" s="20" t="str">
        <x:v>5000rpm!AT77:AS78</x:v>
      </x:c>
    </x:row>
    <x:row r="342">
      <x:c r="A342" s="21" t="n">
        <x:v>5000</x:v>
      </x:c>
      <x:c r="B342" s="21" t="n">
        <x:v>0</x:v>
      </x:c>
      <x:c r="C342" s="21" t="n">
        <x:v>12</x:v>
      </x:c>
      <x:c r="D342" s="22" t="n">
        <x:f>IFERROR('升力标定计算'!M683,"")</x:f>
        <x:v>0.2592430073055353</x:v>
      </x:c>
      <x:c r="E342" s="22" t="n">
        <x:f>IFERROR('升力标定计算'!M684,"")</x:f>
        <x:v>0.25872182668201044</x:v>
      </x:c>
      <x:c r="F342" s="22" t="n">
        <x:f>IF(AND(ISNUMBER(D342),ISNUMBER(E342)),AVERAGE(D342,E342),"")</x:f>
        <x:v>0.2589824169937729</x:v>
      </x:c>
      <x:c r="G342" s="22" t="n">
        <x:f>IFERROR('升力标定计算'!N683,"")</x:f>
        <x:v>0.08215960810370108</x:v>
      </x:c>
      <x:c r="H342" s="22" t="n">
        <x:f>IFERROR('升力标定计算'!N684,"")</x:f>
        <x:v>0.08215319801080169</x:v>
      </x:c>
      <x:c r="I342" s="22" t="n">
        <x:f>IF(AND(ISNUMBER(G342),ISNUMBER(H342)),AVERAGE(G342,H342),"")</x:f>
        <x:v>0.08215640305725139</x:v>
      </x:c>
      <x:c r="J342" s="22" t="n">
        <x:f>IFERROR('5000rpm'!AT69,"")</x:f>
        <x:v>0</x:v>
      </x:c>
      <x:c r="K342" s="22" t="n">
        <x:f>IFERROR('5000rpm'!AT79,"")</x:f>
        <x:v>0.26692913385826766</x:v>
      </x:c>
      <x:c r="L342" s="22" t="n">
        <x:f>IFERROR('5000rpm'!AT78,"")</x:f>
        <x:v>0.24023622047244095</x:v>
      </x:c>
      <x:c r="M342" s="22" t="n">
        <x:f>IFERROR('5000rpm'!AS78,"")</x:f>
        <x:v>0.096953580998034</x:v>
      </x:c>
      <x:c r="N342" s="22" t="n">
        <x:f>IFERROR('5000rpm'!AT79,"")</x:f>
        <x:v>0.26692913385826766</x:v>
      </x:c>
      <x:c r="O342" s="22" t="n">
        <x:f>IFERROR('5000rpm'!AS79,"")</x:f>
        <x:v>0.09938305053238307</x:v>
      </x:c>
      <x:c r="P342" s="22" t="n">
        <x:f>IF(OR(NOT(AND(ISNUMBER(D342),ISNUMBER(E342),ISNUMBER(G342),ISNUMBER(H342))),OR(F342&lt;J342,F342&gt;K342)),"",IF(N342=L342,M342,M342+(F342-L342)*(O342-M342)/(N342-L342)))</x:f>
        <x:v>0.09865977592232723</x:v>
      </x:c>
      <x:c r="Q342" s="22" t="n">
        <x:f>IF(AND(ISNUMBER(I342),ISNUMBER(P342)),I342-P342,"")</x:f>
        <x:v>-0.016503372865075847</x:v>
      </x:c>
      <x:c r="R342" s="22" t="n">
        <x:f>IF(ISNUMBER(Q342),ABS(Q342),"")</x:f>
        <x:v>0.016503372865075847</x:v>
      </x:c>
      <x:c r="S342" s="36" t="n">
        <x:f>IF(AND(ISNUMBER(Q342),ISNUMBER(P342)),IF(ABS(P342)&lt;1E-12,"",Q342/P342),"")</x:f>
        <x:v>-0.16727559647072993</x:v>
      </x:c>
      <x:c r="T342" s="36" t="n">
        <x:f>IF(ISNUMBER(S342),ABS(S342),"")</x:f>
        <x:v>0.16727559647072993</x:v>
      </x:c>
      <x:c r="U342" s="37" t="n">
        <x:f>IF(ISNUMBER(Q342),Q342^2,"")</x:f>
        <x:v>0.00027236131592372174</x:v>
      </x:c>
      <x:c r="V342" s="21" t="str">
        <x:f>IF(NOT(AND(ISNUMBER(D342),ISNUMBER(E342),ISNUMBER(G342),ISNUMBER(H342))),"缺少配对",IF(OR(F342&lt;J342,F342&gt;K342),"超出理论J范围","有效"))</x:f>
        <x:v>有效</x:v>
      </x:c>
      <x:c r="W342" s="20" t="str">
        <x:v>升力 y=0.915708x+28.7687 → C_T_prop；实验攻角 0° ↔ 理论 alpha_p_deg 90°；原升力源 5000rpm!C14/M14</x:v>
      </x:c>
      <x:c r="X342" s="20" t="str">
        <x:v>升力标定计算!M683</x:v>
      </x:c>
      <x:c r="Y342" s="20" t="str">
        <x:v>升力标定计算!M684</x:v>
      </x:c>
      <x:c r="Z342" s="20" t="str">
        <x:v>升力标定计算!N683</x:v>
      </x:c>
      <x:c r="AA342" s="20" t="str">
        <x:v>升力标定计算!N684</x:v>
      </x:c>
      <x:c r="AB342" s="20" t="str">
        <x:v>5000rpm!AT78:AS79</x:v>
      </x:c>
    </x:row>
    <x:row r="343">
      <x:c r="A343" s="21" t="n">
        <x:v>5000</x:v>
      </x:c>
      <x:c r="B343" s="21" t="n">
        <x:v>0</x:v>
      </x:c>
      <x:c r="C343" s="21" t="n">
        <x:v>13</x:v>
      </x:c>
      <x:c r="D343" s="22" t="n">
        <x:f>IFERROR('升力标定计算'!M685,"")</x:f>
        <x:v>0.23435823127496708</x:v>
      </x:c>
      <x:c r="E343" s="22" t="n">
        <x:f>IFERROR('升力标定计算'!M686,"")</x:f>
        <x:v>0.23533538371073529</x:v>
      </x:c>
      <x:c r="F343" s="22" t="n">
        <x:f>IF(AND(ISNUMBER(D343),ISNUMBER(E343)),AVERAGE(D343,E343),"")</x:f>
        <x:v>0.2348468074928512</x:v>
      </x:c>
      <x:c r="G343" s="22" t="n">
        <x:f>IFERROR('升力标定计算'!N685,"")</x:f>
        <x:v>0.08032846031359003</x:v>
      </x:c>
      <x:c r="H343" s="22" t="n">
        <x:f>IFERROR('升力标定计算'!N686,"")</x:f>
        <x:v>0.08081049070064537</x:v>
      </x:c>
      <x:c r="I343" s="22" t="n">
        <x:f>IF(AND(ISNUMBER(G343),ISNUMBER(H343)),AVERAGE(G343,H343),"")</x:f>
        <x:v>0.08056947550711771</x:v>
      </x:c>
      <x:c r="J343" s="22" t="n">
        <x:f>IFERROR('5000rpm'!AT69,"")</x:f>
        <x:v>0</x:v>
      </x:c>
      <x:c r="K343" s="22" t="n">
        <x:f>IFERROR('5000rpm'!AT79,"")</x:f>
        <x:v>0.26692913385826766</x:v>
      </x:c>
      <x:c r="L343" s="22" t="n">
        <x:f>IFERROR('5000rpm'!AT77,"")</x:f>
        <x:v>0.21354330708661423</x:v>
      </x:c>
      <x:c r="M343" s="22" t="n">
        <x:f>IFERROR('5000rpm'!AS77,"")</x:f>
        <x:v>0.09459898471127572</x:v>
      </x:c>
      <x:c r="N343" s="22" t="n">
        <x:f>IFERROR('5000rpm'!AT78,"")</x:f>
        <x:v>0.24023622047244095</x:v>
      </x:c>
      <x:c r="O343" s="22" t="n">
        <x:f>IFERROR('5000rpm'!AS78,"")</x:f>
        <x:v>0.096953580998034</x:v>
      </x:c>
      <x:c r="P343" s="22" t="n">
        <x:f>IF(OR(NOT(AND(ISNUMBER(D343),ISNUMBER(E343),ISNUMBER(G343),ISNUMBER(H343))),OR(F343&lt;J343,F343&gt;K343)),"",IF(N343=L343,M343,M343+(F343-L343)*(O343-M343)/(N343-L343)))</x:f>
        <x:v>0.09647817797228983</x:v>
      </x:c>
      <x:c r="Q343" s="22" t="n">
        <x:f>IF(AND(ISNUMBER(I343),ISNUMBER(P343)),I343-P343,"")</x:f>
        <x:v>-0.01590870246517212</x:v>
      </x:c>
      <x:c r="R343" s="22" t="n">
        <x:f>IF(ISNUMBER(Q343),ABS(Q343),"")</x:f>
        <x:v>0.01590870246517212</x:v>
      </x:c>
      <x:c r="S343" s="36" t="n">
        <x:f>IF(AND(ISNUMBER(Q343),ISNUMBER(P343)),IF(ABS(P343)&lt;1E-12,"",Q343/P343),"")</x:f>
        <x:v>-0.16489430873934383</x:v>
      </x:c>
      <x:c r="T343" s="36" t="n">
        <x:f>IF(ISNUMBER(S343),ABS(S343),"")</x:f>
        <x:v>0.16489430873934383</x:v>
      </x:c>
      <x:c r="U343" s="37" t="n">
        <x:f>IF(ISNUMBER(Q343),Q343^2,"")</x:f>
        <x:v>0.0002530868141253735</x:v>
      </x:c>
      <x:c r="V343" s="21" t="str">
        <x:f>IF(NOT(AND(ISNUMBER(D343),ISNUMBER(E343),ISNUMBER(G343),ISNUMBER(H343))),"缺少配对",IF(OR(F343&lt;J343,F343&gt;K343),"超出理论J范围","有效"))</x:f>
        <x:v>有效</x:v>
      </x:c>
      <x:c r="W343" s="20" t="str">
        <x:v>升力 y=0.915708x+28.7687 → C_T_prop；实验攻角 0° ↔ 理论 alpha_p_deg 90°；原升力源 5000rpm!C15/M15</x:v>
      </x:c>
      <x:c r="X343" s="20" t="str">
        <x:v>升力标定计算!M685</x:v>
      </x:c>
      <x:c r="Y343" s="20" t="str">
        <x:v>升力标定计算!M686</x:v>
      </x:c>
      <x:c r="Z343" s="20" t="str">
        <x:v>升力标定计算!N685</x:v>
      </x:c>
      <x:c r="AA343" s="20" t="str">
        <x:v>升力标定计算!N686</x:v>
      </x:c>
      <x:c r="AB343" s="20" t="str">
        <x:v>5000rpm!AT77:AS78</x:v>
      </x:c>
    </x:row>
    <x:row r="344">
      <x:c r="A344" s="21" t="n">
        <x:v>5000</x:v>
      </x:c>
      <x:c r="B344" s="21" t="n">
        <x:v>0</x:v>
      </x:c>
      <x:c r="C344" s="21" t="n">
        <x:v>14</x:v>
      </x:c>
      <x:c r="D344" s="22" t="n">
        <x:f>IFERROR('升力标定计算'!M687,"")</x:f>
        <x:v>0.2103034555818316</x:v>
      </x:c>
      <x:c r="E344" s="22" t="n">
        <x:f>IFERROR('升力标定计算'!M688,"")</x:f>
        <x:v>0.21054596010955245</x:v>
      </x:c>
      <x:c r="F344" s="22" t="n">
        <x:f>IF(AND(ISNUMBER(D344),ISNUMBER(E344)),AVERAGE(D344,E344),"")</x:f>
        <x:v>0.21042470784569203</x:v>
      </x:c>
      <x:c r="G344" s="22" t="n">
        <x:f>IFERROR('升力标定计算'!N687,"")</x:f>
        <x:v>0.08040032552276596</x:v>
      </x:c>
      <x:c r="H344" s="22" t="n">
        <x:f>IFERROR('升力标定计算'!N688,"")</x:f>
        <x:v>0.08064345353706642</x:v>
      </x:c>
      <x:c r="I344" s="22" t="n">
        <x:f>IF(AND(ISNUMBER(G344),ISNUMBER(H344)),AVERAGE(G344,H344),"")</x:f>
        <x:v>0.0805218895299162</x:v>
      </x:c>
      <x:c r="J344" s="22" t="n">
        <x:f>IFERROR('5000rpm'!AT69,"")</x:f>
        <x:v>0</x:v>
      </x:c>
      <x:c r="K344" s="22" t="n">
        <x:f>IFERROR('5000rpm'!AT79,"")</x:f>
        <x:v>0.26692913385826766</x:v>
      </x:c>
      <x:c r="L344" s="22" t="n">
        <x:f>IFERROR('5000rpm'!AT76,"")</x:f>
        <x:v>0.18685039370078743</x:v>
      </x:c>
      <x:c r="M344" s="22" t="n">
        <x:f>IFERROR('5000rpm'!AS76,"")</x:f>
        <x:v>0.09236056583256884</x:v>
      </x:c>
      <x:c r="N344" s="22" t="n">
        <x:f>IFERROR('5000rpm'!AT77,"")</x:f>
        <x:v>0.21354330708661423</x:v>
      </x:c>
      <x:c r="O344" s="22" t="n">
        <x:f>IFERROR('5000rpm'!AS77,"")</x:f>
        <x:v>0.09459898471127572</x:v>
      </x:c>
      <x:c r="P344" s="22" t="n">
        <x:f>IF(OR(NOT(AND(ISNUMBER(D344),ISNUMBER(E344),ISNUMBER(G344),ISNUMBER(H344))),OR(F344&lt;J344,F344&gt;K344)),"",IF(N344=L344,M344,M344+(F344-L344)*(O344-M344)/(N344-L344)))</x:f>
        <x:v>0.09433746468477655</x:v>
      </x:c>
      <x:c r="Q344" s="22" t="n">
        <x:f>IF(AND(ISNUMBER(I344),ISNUMBER(P344)),I344-P344,"")</x:f>
        <x:v>-0.013815575154860357</x:v>
      </x:c>
      <x:c r="R344" s="22" t="n">
        <x:f>IF(ISNUMBER(Q344),ABS(Q344),"")</x:f>
        <x:v>0.013815575154860357</x:v>
      </x:c>
      <x:c r="S344" s="36" t="n">
        <x:f>IF(AND(ISNUMBER(Q344),ISNUMBER(P344)),IF(ABS(P344)&lt;1E-12,"",Q344/P344),"")</x:f>
        <x:v>-0.14644844655327915</x:v>
      </x:c>
      <x:c r="T344" s="36" t="n">
        <x:f>IF(ISNUMBER(S344),ABS(S344),"")</x:f>
        <x:v>0.14644844655327915</x:v>
      </x:c>
      <x:c r="U344" s="37" t="n">
        <x:f>IF(ISNUMBER(Q344),Q344^2,"")</x:f>
        <x:v>0.00019087011685959478</x:v>
      </x:c>
      <x:c r="V344" s="21" t="str">
        <x:f>IF(NOT(AND(ISNUMBER(D344),ISNUMBER(E344),ISNUMBER(G344),ISNUMBER(H344))),"缺少配对",IF(OR(F344&lt;J344,F344&gt;K344),"超出理论J范围","有效"))</x:f>
        <x:v>有效</x:v>
      </x:c>
      <x:c r="W344" s="20" t="str">
        <x:v>升力 y=0.915708x+28.7687 → C_T_prop；实验攻角 0° ↔ 理论 alpha_p_deg 90°；原升力源 5000rpm!C16/M16</x:v>
      </x:c>
      <x:c r="X344" s="20" t="str">
        <x:v>升力标定计算!M687</x:v>
      </x:c>
      <x:c r="Y344" s="20" t="str">
        <x:v>升力标定计算!M688</x:v>
      </x:c>
      <x:c r="Z344" s="20" t="str">
        <x:v>升力标定计算!N687</x:v>
      </x:c>
      <x:c r="AA344" s="20" t="str">
        <x:v>升力标定计算!N688</x:v>
      </x:c>
      <x:c r="AB344" s="20" t="str">
        <x:v>5000rpm!AT76:AS77</x:v>
      </x:c>
    </x:row>
    <x:row r="345">
      <x:c r="A345" s="21" t="n">
        <x:v>5000</x:v>
      </x:c>
      <x:c r="B345" s="21" t="n">
        <x:v>0</x:v>
      </x:c>
      <x:c r="C345" s="21" t="n">
        <x:v>15</x:v>
      </x:c>
      <x:c r="D345" s="22" t="n">
        <x:f>IFERROR('升力标定计算'!M689,"")</x:f>
        <x:v>0.18354655032045597</x:v>
      </x:c>
      <x:c r="E345" s="22" t="n">
        <x:f>IFERROR('升力标定计算'!M690,"")</x:f>
        <x:v>0.18470548227500128</x:v>
      </x:c>
      <x:c r="F345" s="22" t="n">
        <x:f>IF(AND(ISNUMBER(D345),ISNUMBER(E345)),AVERAGE(D345,E345),"")</x:f>
        <x:v>0.18412601629772862</x:v>
      </x:c>
      <x:c r="G345" s="22" t="n">
        <x:f>IFERROR('升力标定计算'!N689,"")</x:f>
        <x:v>0.07852116202524584</x:v>
      </x:c>
      <x:c r="H345" s="22" t="n">
        <x:f>IFERROR('升力标定计算'!N690,"")</x:f>
        <x:v>0.07927456881601522</x:v>
      </x:c>
      <x:c r="I345" s="22" t="n">
        <x:f>IF(AND(ISNUMBER(G345),ISNUMBER(H345)),AVERAGE(G345,H345),"")</x:f>
        <x:v>0.07889786542063053</x:v>
      </x:c>
      <x:c r="J345" s="22" t="n">
        <x:f>IFERROR('5000rpm'!AT69,"")</x:f>
        <x:v>0</x:v>
      </x:c>
      <x:c r="K345" s="22" t="n">
        <x:f>IFERROR('5000rpm'!AT79,"")</x:f>
        <x:v>0.26692913385826766</x:v>
      </x:c>
      <x:c r="L345" s="22" t="n">
        <x:f>IFERROR('5000rpm'!AT75,"")</x:f>
        <x:v>0.16015748031496063</x:v>
      </x:c>
      <x:c r="M345" s="22" t="n">
        <x:f>IFERROR('5000rpm'!AS75,"")</x:f>
        <x:v>0.09028394825868863</x:v>
      </x:c>
      <x:c r="N345" s="22" t="n">
        <x:f>IFERROR('5000rpm'!AT76,"")</x:f>
        <x:v>0.18685039370078743</x:v>
      </x:c>
      <x:c r="O345" s="22" t="n">
        <x:f>IFERROR('5000rpm'!AS76,"")</x:f>
        <x:v>0.09236056583256884</x:v>
      </x:c>
      <x:c r="P345" s="22" t="n">
        <x:f>IF(OR(NOT(AND(ISNUMBER(D345),ISNUMBER(E345),ISNUMBER(G345),ISNUMBER(H345))),OR(F345&lt;J345,F345&gt;K345)),"",IF(N345=L345,M345,M345+(F345-L345)*(O345-M345)/(N345-L345)))</x:f>
        <x:v>0.09214861856734158</x:v>
      </x:c>
      <x:c r="Q345" s="22" t="n">
        <x:f>IF(AND(ISNUMBER(I345),ISNUMBER(P345)),I345-P345,"")</x:f>
        <x:v>-0.01325075314671105</x:v>
      </x:c>
      <x:c r="R345" s="22" t="n">
        <x:f>IF(ISNUMBER(Q345),ABS(Q345),"")</x:f>
        <x:v>0.01325075314671105</x:v>
      </x:c>
      <x:c r="S345" s="36" t="n">
        <x:f>IF(AND(ISNUMBER(Q345),ISNUMBER(P345)),IF(ABS(P345)&lt;1E-12,"",Q345/P345),"")</x:f>
        <x:v>-0.14379763205052815</x:v>
      </x:c>
      <x:c r="T345" s="36" t="n">
        <x:f>IF(ISNUMBER(S345),ABS(S345),"")</x:f>
        <x:v>0.14379763205052815</x:v>
      </x:c>
      <x:c r="U345" s="37" t="n">
        <x:f>IF(ISNUMBER(Q345),Q345^2,"")</x:f>
        <x:v>0.00017558245895507279</x:v>
      </x:c>
      <x:c r="V345" s="21" t="str">
        <x:f>IF(NOT(AND(ISNUMBER(D345),ISNUMBER(E345),ISNUMBER(G345),ISNUMBER(H345))),"缺少配对",IF(OR(F345&lt;J345,F345&gt;K345),"超出理论J范围","有效"))</x:f>
        <x:v>有效</x:v>
      </x:c>
      <x:c r="W345" s="20" t="str">
        <x:v>升力 y=0.915708x+28.7687 → C_T_prop；实验攻角 0° ↔ 理论 alpha_p_deg 90°；原升力源 5000rpm!C17/M17</x:v>
      </x:c>
      <x:c r="X345" s="20" t="str">
        <x:v>升力标定计算!M689</x:v>
      </x:c>
      <x:c r="Y345" s="20" t="str">
        <x:v>升力标定计算!M690</x:v>
      </x:c>
      <x:c r="Z345" s="20" t="str">
        <x:v>升力标定计算!N689</x:v>
      </x:c>
      <x:c r="AA345" s="20" t="str">
        <x:v>升力标定计算!N690</x:v>
      </x:c>
      <x:c r="AB345" s="20" t="str">
        <x:v>5000rpm!AT75:AS76</x:v>
      </x:c>
    </x:row>
    <x:row r="346">
      <x:c r="A346" s="21" t="n">
        <x:v>5000</x:v>
      </x:c>
      <x:c r="B346" s="21" t="n">
        <x:v>0</x:v>
      </x:c>
      <x:c r="C346" s="21" t="n">
        <x:v>16</x:v>
      </x:c>
      <x:c r="D346" s="22" t="n">
        <x:f>IFERROR('升力标定计算'!M691,"")</x:f>
        <x:v>0.15921388029502076</x:v>
      </x:c>
      <x:c r="E346" s="22" t="n">
        <x:f>IFERROR('升力标定计算'!M692,"")</x:f>
        <x:v>0.15963949493253166</x:v>
      </x:c>
      <x:c r="F346" s="22" t="n">
        <x:f>IF(AND(ISNUMBER(D346),ISNUMBER(E346)),AVERAGE(D346,E346),"")</x:f>
        <x:v>0.1594266876137762</x:v>
      </x:c>
      <x:c r="G346" s="22" t="n">
        <x:f>IFERROR('升力标定计算'!N691,"")</x:f>
        <x:v>0.07912808717909006</x:v>
      </x:c>
      <x:c r="H346" s="22" t="n">
        <x:f>IFERROR('升力标定计算'!N692,"")</x:f>
        <x:v>0.07899631035694785</x:v>
      </x:c>
      <x:c r="I346" s="22" t="n">
        <x:f>IF(AND(ISNUMBER(G346),ISNUMBER(H346)),AVERAGE(G346,H346),"")</x:f>
        <x:v>0.07906219876801895</x:v>
      </x:c>
      <x:c r="J346" s="22" t="n">
        <x:f>IFERROR('5000rpm'!AT69,"")</x:f>
        <x:v>0</x:v>
      </x:c>
      <x:c r="K346" s="22" t="n">
        <x:f>IFERROR('5000rpm'!AT79,"")</x:f>
        <x:v>0.26692913385826766</x:v>
      </x:c>
      <x:c r="L346" s="22" t="n">
        <x:f>IFERROR('5000rpm'!AT74,"")</x:f>
        <x:v>0.13346456692913383</x:v>
      </x:c>
      <x:c r="M346" s="22" t="n">
        <x:f>IFERROR('5000rpm'!AS74,"")</x:f>
        <x:v>0.08841643457176306</x:v>
      </x:c>
      <x:c r="N346" s="22" t="n">
        <x:f>IFERROR('5000rpm'!AT75,"")</x:f>
        <x:v>0.16015748031496063</x:v>
      </x:c>
      <x:c r="O346" s="22" t="n">
        <x:f>IFERROR('5000rpm'!AS75,"")</x:f>
        <x:v>0.09028394825868863</x:v>
      </x:c>
      <x:c r="P346" s="22" t="n">
        <x:f>IF(OR(NOT(AND(ISNUMBER(D346),ISNUMBER(E346),ISNUMBER(G346),ISNUMBER(H346))),OR(F346&lt;J346,F346&gt;K346)),"",IF(N346=L346,M346,M346+(F346-L346)*(O346-M346)/(N346-L346)))</x:f>
        <x:v>0.09023281988045428</x:v>
      </x:c>
      <x:c r="Q346" s="22" t="n">
        <x:f>IF(AND(ISNUMBER(I346),ISNUMBER(P346)),I346-P346,"")</x:f>
        <x:v>-0.01117062111243533</x:v>
      </x:c>
      <x:c r="R346" s="22" t="n">
        <x:f>IF(ISNUMBER(Q346),ABS(Q346),"")</x:f>
        <x:v>0.01117062111243533</x:v>
      </x:c>
      <x:c r="S346" s="36" t="n">
        <x:f>IF(AND(ISNUMBER(Q346),ISNUMBER(P346)),IF(ABS(P346)&lt;1E-12,"",Q346/P346),"")</x:f>
        <x:v>-0.12379776147121216</x:v>
      </x:c>
      <x:c r="T346" s="36" t="n">
        <x:f>IF(ISNUMBER(S346),ABS(S346),"")</x:f>
        <x:v>0.12379776147121216</x:v>
      </x:c>
      <x:c r="U346" s="37" t="n">
        <x:f>IF(ISNUMBER(Q346),Q346^2,"")</x:f>
        <x:v>0.00012478277603758593</x:v>
      </x:c>
      <x:c r="V346" s="21" t="str">
        <x:f>IF(NOT(AND(ISNUMBER(D346),ISNUMBER(E346),ISNUMBER(G346),ISNUMBER(H346))),"缺少配对",IF(OR(F346&lt;J346,F346&gt;K346),"超出理论J范围","有效"))</x:f>
        <x:v>有效</x:v>
      </x:c>
      <x:c r="W346" s="20" t="str">
        <x:v>升力 y=0.915708x+28.7687 → C_T_prop；实验攻角 0° ↔ 理论 alpha_p_deg 90°；原升力源 5000rpm!C18/M18</x:v>
      </x:c>
      <x:c r="X346" s="20" t="str">
        <x:v>升力标定计算!M691</x:v>
      </x:c>
      <x:c r="Y346" s="20" t="str">
        <x:v>升力标定计算!M692</x:v>
      </x:c>
      <x:c r="Z346" s="20" t="str">
        <x:v>升力标定计算!N691</x:v>
      </x:c>
      <x:c r="AA346" s="20" t="str">
        <x:v>升力标定计算!N692</x:v>
      </x:c>
      <x:c r="AB346" s="20" t="str">
        <x:v>5000rpm!AT74:AS75</x:v>
      </x:c>
    </x:row>
    <x:row r="347">
      <x:c r="A347" s="21" t="n">
        <x:v>5000</x:v>
      </x:c>
      <x:c r="B347" s="21" t="n">
        <x:v>0</x:v>
      </x:c>
      <x:c r="C347" s="21" t="n">
        <x:v>17</x:v>
      </x:c>
      <x:c r="D347" s="22" t="n">
        <x:f>IFERROR('升力标定计算'!M693,"")</x:f>
        <x:v>0.13303993738472059</x:v>
      </x:c>
      <x:c r="E347" s="22" t="n">
        <x:f>IFERROR('升力标定计算'!M694,"")</x:f>
        <x:v>0.13412314601988332</x:v>
      </x:c>
      <x:c r="F347" s="22" t="n">
        <x:f>IF(AND(ISNUMBER(D347),ISNUMBER(E347)),AVERAGE(D347,E347),"")</x:f>
        <x:v>0.13358154170230196</x:v>
      </x:c>
      <x:c r="G347" s="22" t="n">
        <x:f>IFERROR('升力标定计算'!N693,"")</x:f>
        <x:v>0.07897327631184481</x:v>
      </x:c>
      <x:c r="H347" s="22" t="n">
        <x:f>IFERROR('升力标定计算'!N694,"")</x:f>
        <x:v>0.0790316704038477</x:v>
      </x:c>
      <x:c r="I347" s="22" t="n">
        <x:f>IF(AND(ISNUMBER(G347),ISNUMBER(H347)),AVERAGE(G347,H347),"")</x:f>
        <x:v>0.07900247335784626</x:v>
      </x:c>
      <x:c r="J347" s="22" t="n">
        <x:f>IFERROR('5000rpm'!AT69,"")</x:f>
        <x:v>0</x:v>
      </x:c>
      <x:c r="K347" s="22" t="n">
        <x:f>IFERROR('5000rpm'!AT79,"")</x:f>
        <x:v>0.26692913385826766</x:v>
      </x:c>
      <x:c r="L347" s="22" t="n">
        <x:f>IFERROR('5000rpm'!AT74,"")</x:f>
        <x:v>0.13346456692913383</x:v>
      </x:c>
      <x:c r="M347" s="22" t="n">
        <x:f>IFERROR('5000rpm'!AS74,"")</x:f>
        <x:v>0.08841643457176306</x:v>
      </x:c>
      <x:c r="N347" s="22" t="n">
        <x:f>IFERROR('5000rpm'!AT75,"")</x:f>
        <x:v>0.16015748031496063</x:v>
      </x:c>
      <x:c r="O347" s="22" t="n">
        <x:f>IFERROR('5000rpm'!AS75,"")</x:f>
        <x:v>0.09028394825868863</x:v>
      </x:c>
      <x:c r="P347" s="22" t="n">
        <x:f>IF(OR(NOT(AND(ISNUMBER(D347),ISNUMBER(E347),ISNUMBER(G347),ISNUMBER(H347))),OR(F347&lt;J347,F347&gt;K347)),"",IF(N347=L347,M347,M347+(F347-L347)*(O347-M347)/(N347-L347)))</x:f>
        <x:v>0.08842461846637055</x:v>
      </x:c>
      <x:c r="Q347" s="22" t="n">
        <x:f>IF(AND(ISNUMBER(I347),ISNUMBER(P347)),I347-P347,"")</x:f>
        <x:v>-0.009422145108524294</x:v>
      </x:c>
      <x:c r="R347" s="22" t="n">
        <x:f>IF(ISNUMBER(Q347),ABS(Q347),"")</x:f>
        <x:v>0.009422145108524294</x:v>
      </x:c>
      <x:c r="S347" s="36" t="n">
        <x:f>IF(AND(ISNUMBER(Q347),ISNUMBER(P347)),IF(ABS(P347)&lt;1E-12,"",Q347/P347),"")</x:f>
        <x:v>-0.10655567727564132</x:v>
      </x:c>
      <x:c r="T347" s="36" t="n">
        <x:f>IF(ISNUMBER(S347),ABS(S347),"")</x:f>
        <x:v>0.10655567727564132</x:v>
      </x:c>
      <x:c r="U347" s="37" t="n">
        <x:f>IF(ISNUMBER(Q347),Q347^2,"")</x:f>
        <x:v>0.00008877681844608826</x:v>
      </x:c>
      <x:c r="V347" s="21" t="str">
        <x:f>IF(NOT(AND(ISNUMBER(D347),ISNUMBER(E347),ISNUMBER(G347),ISNUMBER(H347))),"缺少配对",IF(OR(F347&lt;J347,F347&gt;K347),"超出理论J范围","有效"))</x:f>
        <x:v>有效</x:v>
      </x:c>
      <x:c r="W347" s="20" t="str">
        <x:v>升力 y=0.915708x+28.7687 → C_T_prop；实验攻角 0° ↔ 理论 alpha_p_deg 90°；原升力源 5000rpm!C19/M19</x:v>
      </x:c>
      <x:c r="X347" s="20" t="str">
        <x:v>升力标定计算!M693</x:v>
      </x:c>
      <x:c r="Y347" s="20" t="str">
        <x:v>升力标定计算!M694</x:v>
      </x:c>
      <x:c r="Z347" s="20" t="str">
        <x:v>升力标定计算!N693</x:v>
      </x:c>
      <x:c r="AA347" s="20" t="str">
        <x:v>升力标定计算!N694</x:v>
      </x:c>
      <x:c r="AB347" s="20" t="str">
        <x:v>5000rpm!AT74:AS75</x:v>
      </x:c>
    </x:row>
    <x:row r="348">
      <x:c r="A348" s="21" t="n">
        <x:v>5000</x:v>
      </x:c>
      <x:c r="B348" s="21" t="n">
        <x:v>0</x:v>
      </x:c>
      <x:c r="C348" s="21" t="n">
        <x:v>18</x:v>
      </x:c>
      <x:c r="D348" s="22" t="n">
        <x:f>IFERROR('升力标定计算'!M695,"")</x:f>
        <x:v>0.10961419531072718</x:v>
      </x:c>
      <x:c r="E348" s="22" t="n">
        <x:f>IFERROR('升力标定计算'!M696,"")</x:f>
        <x:v>0.10738827528571224</x:v>
      </x:c>
      <x:c r="F348" s="22" t="n">
        <x:f>IF(AND(ISNUMBER(D348),ISNUMBER(E348)),AVERAGE(D348,E348),"")</x:f>
        <x:v>0.1085012352982197</x:v>
      </x:c>
      <x:c r="G348" s="22" t="n">
        <x:f>IFERROR('升力标定计算'!N695,"")</x:f>
        <x:v>0.07866669777179397</x:v>
      </x:c>
      <x:c r="H348" s="22" t="n">
        <x:f>IFERROR('升力标定计算'!N696,"")</x:f>
        <x:v>0.07844763998267922</x:v>
      </x:c>
      <x:c r="I348" s="22" t="n">
        <x:f>IF(AND(ISNUMBER(G348),ISNUMBER(H348)),AVERAGE(G348,H348),"")</x:f>
        <x:v>0.0785571688772366</x:v>
      </x:c>
      <x:c r="J348" s="22" t="n">
        <x:f>IFERROR('5000rpm'!AT69,"")</x:f>
        <x:v>0</x:v>
      </x:c>
      <x:c r="K348" s="22" t="n">
        <x:f>IFERROR('5000rpm'!AT79,"")</x:f>
        <x:v>0.26692913385826766</x:v>
      </x:c>
      <x:c r="L348" s="22" t="n">
        <x:f>IFERROR('5000rpm'!AT73,"")</x:f>
        <x:v>0.10677165354330712</x:v>
      </x:c>
      <x:c r="M348" s="22" t="n">
        <x:f>IFERROR('5000rpm'!AS73,"")</x:f>
        <x:v>0.08679584478953363</x:v>
      </x:c>
      <x:c r="N348" s="22" t="n">
        <x:f>IFERROR('5000rpm'!AT74,"")</x:f>
        <x:v>0.13346456692913383</x:v>
      </x:c>
      <x:c r="O348" s="22" t="n">
        <x:f>IFERROR('5000rpm'!AS74,"")</x:f>
        <x:v>0.08841643457176306</x:v>
      </x:c>
      <x:c r="P348" s="22" t="n">
        <x:f>IF(OR(NOT(AND(ISNUMBER(D348),ISNUMBER(E348),ISNUMBER(G348),ISNUMBER(H348))),OR(F348&lt;J348,F348&gt;K348)),"",IF(N348=L348,M348,M348+(F348-L348)*(O348-M348)/(N348-L348)))</x:f>
        <x:v>0.0869008517806787</x:v>
      </x:c>
      <x:c r="Q348" s="22" t="n">
        <x:f>IF(AND(ISNUMBER(I348),ISNUMBER(P348)),I348-P348,"")</x:f>
        <x:v>-0.008343682903442104</x:v>
      </x:c>
      <x:c r="R348" s="22" t="n">
        <x:f>IF(ISNUMBER(Q348),ABS(Q348),"")</x:f>
        <x:v>0.008343682903442104</x:v>
      </x:c>
      <x:c r="S348" s="36" t="n">
        <x:f>IF(AND(ISNUMBER(Q348),ISNUMBER(P348)),IF(ABS(P348)&lt;1E-12,"",Q348/P348),"")</x:f>
        <x:v>-0.0960138218725402</x:v>
      </x:c>
      <x:c r="T348" s="36" t="n">
        <x:f>IF(ISNUMBER(S348),ABS(S348),"")</x:f>
        <x:v>0.0960138218725402</x:v>
      </x:c>
      <x:c r="U348" s="37" t="n">
        <x:f>IF(ISNUMBER(Q348),Q348^2,"")</x:f>
        <x:v>0.00006961704439319205</x:v>
      </x:c>
      <x:c r="V348" s="21" t="str">
        <x:f>IF(NOT(AND(ISNUMBER(D348),ISNUMBER(E348),ISNUMBER(G348),ISNUMBER(H348))),"缺少配对",IF(OR(F348&lt;J348,F348&gt;K348),"超出理论J范围","有效"))</x:f>
        <x:v>有效</x:v>
      </x:c>
      <x:c r="W348" s="20" t="str">
        <x:v>升力 y=0.915708x+28.7687 → C_T_prop；实验攻角 0° ↔ 理论 alpha_p_deg 90°；原升力源 5000rpm!C20/M20</x:v>
      </x:c>
      <x:c r="X348" s="20" t="str">
        <x:v>升力标定计算!M695</x:v>
      </x:c>
      <x:c r="Y348" s="20" t="str">
        <x:v>升力标定计算!M696</x:v>
      </x:c>
      <x:c r="Z348" s="20" t="str">
        <x:v>升力标定计算!N695</x:v>
      </x:c>
      <x:c r="AA348" s="20" t="str">
        <x:v>升力标定计算!N696</x:v>
      </x:c>
      <x:c r="AB348" s="20" t="str">
        <x:v>5000rpm!AT73:AS74</x:v>
      </x:c>
    </x:row>
    <x:row r="349">
      <x:c r="A349" s="21" t="n">
        <x:v>5000</x:v>
      </x:c>
      <x:c r="B349" s="21" t="n">
        <x:v>0</x:v>
      </x:c>
      <x:c r="C349" s="21" t="n">
        <x:v>19</x:v>
      </x:c>
      <x:c r="D349" s="22" t="n">
        <x:f>IFERROR('升力标定计算'!M697,"")</x:f>
        <x:v>0.08043410176952821</x:v>
      </x:c>
      <x:c r="E349" s="22" t="n">
        <x:f>IFERROR('升力标定计算'!M698,"")</x:f>
        <x:v>0.08075425593690451</x:v>
      </x:c>
      <x:c r="F349" s="22" t="n">
        <x:f>IF(AND(ISNUMBER(D349),ISNUMBER(E349)),AVERAGE(D349,E349),"")</x:f>
        <x:v>0.08059417885321636</x:v>
      </x:c>
      <x:c r="G349" s="22" t="n">
        <x:f>IFERROR('升力标定计算'!N697,"")</x:f>
        <x:v>0.07836244030295708</x:v>
      </x:c>
      <x:c r="H349" s="22" t="n">
        <x:f>IFERROR('升力标定计算'!N698,"")</x:f>
        <x:v>0.0782546536280203</x:v>
      </x:c>
      <x:c r="I349" s="22" t="n">
        <x:f>IF(AND(ISNUMBER(G349),ISNUMBER(H349)),AVERAGE(G349,H349),"")</x:f>
        <x:v>0.0783085469654887</x:v>
      </x:c>
      <x:c r="J349" s="22" t="n">
        <x:f>IFERROR('5000rpm'!AT69,"")</x:f>
        <x:v>0</x:v>
      </x:c>
      <x:c r="K349" s="22" t="n">
        <x:f>IFERROR('5000rpm'!AT79,"")</x:f>
        <x:v>0.26692913385826766</x:v>
      </x:c>
      <x:c r="L349" s="22" t="n">
        <x:f>IFERROR('5000rpm'!AT72,"")</x:f>
        <x:v>0.08007874015748032</x:v>
      </x:c>
      <x:c r="M349" s="22" t="n">
        <x:f>IFERROR('5000rpm'!AS72,"")</x:f>
        <x:v>0.08546733401776098</x:v>
      </x:c>
      <x:c r="N349" s="22" t="n">
        <x:f>IFERROR('5000rpm'!AT73,"")</x:f>
        <x:v>0.10677165354330712</x:v>
      </x:c>
      <x:c r="O349" s="22" t="n">
        <x:f>IFERROR('5000rpm'!AS73,"")</x:f>
        <x:v>0.08679584478953363</x:v>
      </x:c>
      <x:c r="P349" s="22" t="n">
        <x:f>IF(OR(NOT(AND(ISNUMBER(D349),ISNUMBER(E349),ISNUMBER(G349),ISNUMBER(H349))),OR(F349&lt;J349,F349&gt;K349)),"",IF(N349=L349,M349,M349+(F349-L349)*(O349-M349)/(N349-L349)))</x:f>
        <x:v>0.08549298748801265</x:v>
      </x:c>
      <x:c r="Q349" s="22" t="n">
        <x:f>IF(AND(ISNUMBER(I349),ISNUMBER(P349)),I349-P349,"")</x:f>
        <x:v>-0.007184440522523955</x:v>
      </x:c>
      <x:c r="R349" s="22" t="n">
        <x:f>IF(ISNUMBER(Q349),ABS(Q349),"")</x:f>
        <x:v>0.007184440522523955</x:v>
      </x:c>
      <x:c r="S349" s="36" t="n">
        <x:f>IF(AND(ISNUMBER(Q349),ISNUMBER(P349)),IF(ABS(P349)&lt;1E-12,"",Q349/P349),"")</x:f>
        <x:v>-0.08403543651496934</x:v>
      </x:c>
      <x:c r="T349" s="36" t="n">
        <x:f>IF(ISNUMBER(S349),ABS(S349),"")</x:f>
        <x:v>0.08403543651496934</x:v>
      </x:c>
      <x:c r="U349" s="37" t="n">
        <x:f>IF(ISNUMBER(Q349),Q349^2,"")</x:f>
        <x:v>0.00005161618562168428</x:v>
      </x:c>
      <x:c r="V349" s="21" t="str">
        <x:f>IF(NOT(AND(ISNUMBER(D349),ISNUMBER(E349),ISNUMBER(G349),ISNUMBER(H349))),"缺少配对",IF(OR(F349&lt;J349,F349&gt;K349),"超出理论J范围","有效"))</x:f>
        <x:v>有效</x:v>
      </x:c>
      <x:c r="W349" s="20" t="str">
        <x:v>升力 y=0.915708x+28.7687 → C_T_prop；实验攻角 0° ↔ 理论 alpha_p_deg 90°；原升力源 5000rpm!C21/M21</x:v>
      </x:c>
      <x:c r="X349" s="20" t="str">
        <x:v>升力标定计算!M697</x:v>
      </x:c>
      <x:c r="Y349" s="20" t="str">
        <x:v>升力标定计算!M698</x:v>
      </x:c>
      <x:c r="Z349" s="20" t="str">
        <x:v>升力标定计算!N697</x:v>
      </x:c>
      <x:c r="AA349" s="20" t="str">
        <x:v>升力标定计算!N698</x:v>
      </x:c>
      <x:c r="AB349" s="20" t="str">
        <x:v>5000rpm!AT72:AS73</x:v>
      </x:c>
    </x:row>
    <x:row r="350">
      <x:c r="A350" s="21" t="n">
        <x:v>5000</x:v>
      </x:c>
      <x:c r="B350" s="21" t="n">
        <x:v>0</x:v>
      </x:c>
      <x:c r="C350" s="21" t="n">
        <x:v>20</x:v>
      </x:c>
      <x:c r="D350" s="22" t="n">
        <x:f>IFERROR('升力标定计算'!M699,"")</x:f>
        <x:v>0.054013398836823524</x:v>
      </x:c>
      <x:c r="E350" s="22" t="n">
        <x:f>IFERROR('升力标定计算'!M700,"")</x:f>
        <x:v>0.050958809140003725</x:v>
      </x:c>
      <x:c r="F350" s="22" t="n">
        <x:f>IF(AND(ISNUMBER(D350),ISNUMBER(E350)),AVERAGE(D350,E350),"")</x:f>
        <x:v>0.05248610398841362</x:v>
      </x:c>
      <x:c r="G350" s="22" t="n">
        <x:f>IFERROR('升力标定计算'!N699,"")</x:f>
        <x:v>0.07849751996411147</x:v>
      </x:c>
      <x:c r="H350" s="22" t="n">
        <x:f>IFERROR('升力标定计算'!N700,"")</x:f>
        <x:v>0.07759641875219724</x:v>
      </x:c>
      <x:c r="I350" s="22" t="n">
        <x:f>IF(AND(ISNUMBER(G350),ISNUMBER(H350)),AVERAGE(G350,H350),"")</x:f>
        <x:v>0.07804696935815436</x:v>
      </x:c>
      <x:c r="J350" s="22" t="n">
        <x:f>IFERROR('5000rpm'!AT69,"")</x:f>
        <x:v>0</x:v>
      </x:c>
      <x:c r="K350" s="22" t="n">
        <x:f>IFERROR('5000rpm'!AT79,"")</x:f>
        <x:v>0.26692913385826766</x:v>
      </x:c>
      <x:c r="L350" s="22" t="n">
        <x:f>IFERROR('5000rpm'!AT70,"")</x:f>
        <x:v>0.02669291338582678</x:v>
      </x:c>
      <x:c r="M350" s="22" t="n">
        <x:f>IFERROR('5000rpm'!AS70,"")</x:f>
        <x:v>0.0837936858327787</x:v>
      </x:c>
      <x:c r="N350" s="22" t="n">
        <x:f>IFERROR('5000rpm'!AT71,"")</x:f>
        <x:v>0.05338582677165356</x:v>
      </x:c>
      <x:c r="O350" s="22" t="n">
        <x:f>IFERROR('5000rpm'!AS71,"")</x:f>
        <x:v>0.08446040835452698</x:v>
      </x:c>
      <x:c r="P350" s="22" t="n">
        <x:f>IF(OR(NOT(AND(ISNUMBER(D350),ISNUMBER(E350),ISNUMBER(G350),ISNUMBER(H350))),OR(F350&lt;J350,F350&gt;K350)),"",IF(N350=L350,M350,M350+(F350-L350)*(O350-M350)/(N350-L350)))</x:f>
        <x:v>0.08443793551934989</x:v>
      </x:c>
      <x:c r="Q350" s="22" t="n">
        <x:f>IF(AND(ISNUMBER(I350),ISNUMBER(P350)),I350-P350,"")</x:f>
        <x:v>-0.006390966161195527</x:v>
      </x:c>
      <x:c r="R350" s="22" t="n">
        <x:f>IF(ISNUMBER(Q350),ABS(Q350),"")</x:f>
        <x:v>0.006390966161195527</x:v>
      </x:c>
      <x:c r="S350" s="36" t="n">
        <x:f>IF(AND(ISNUMBER(Q350),ISNUMBER(P350)),IF(ABS(P350)&lt;1E-12,"",Q350/P350),"")</x:f>
        <x:v>-0.07568832802326114</x:v>
      </x:c>
      <x:c r="T350" s="36" t="n">
        <x:f>IF(ISNUMBER(S350),ABS(S350),"")</x:f>
        <x:v>0.07568832802326114</x:v>
      </x:c>
      <x:c r="U350" s="37" t="n">
        <x:f>IF(ISNUMBER(Q350),Q350^2,"")</x:f>
        <x:v>0.000040844448473546295</x:v>
      </x:c>
      <x:c r="V350" s="21" t="str">
        <x:f>IF(NOT(AND(ISNUMBER(D350),ISNUMBER(E350),ISNUMBER(G350),ISNUMBER(H350))),"缺少配对",IF(OR(F350&lt;J350,F350&gt;K350),"超出理论J范围","有效"))</x:f>
        <x:v>有效</x:v>
      </x:c>
      <x:c r="W350" s="20" t="str">
        <x:v>升力 y=0.915708x+28.7687 → C_T_prop；实验攻角 0° ↔ 理论 alpha_p_deg 90°；原升力源 5000rpm!C22/M22</x:v>
      </x:c>
      <x:c r="X350" s="20" t="str">
        <x:v>升力标定计算!M699</x:v>
      </x:c>
      <x:c r="Y350" s="20" t="str">
        <x:v>升力标定计算!M700</x:v>
      </x:c>
      <x:c r="Z350" s="20" t="str">
        <x:v>升力标定计算!N699</x:v>
      </x:c>
      <x:c r="AA350" s="20" t="str">
        <x:v>升力标定计算!N700</x:v>
      </x:c>
      <x:c r="AB350" s="20" t="str">
        <x:v>5000rpm!AT70:AS71</x:v>
      </x:c>
    </x:row>
    <x:row r="351">
      <x:c r="A351" s="21" t="n">
        <x:v>5000</x:v>
      </x:c>
      <x:c r="B351" s="21" t="n">
        <x:v>0</x:v>
      </x:c>
      <x:c r="C351" s="21" t="n">
        <x:v>21</x:v>
      </x:c>
      <x:c r="D351" s="22" t="n">
        <x:f>IFERROR('升力标定计算'!M701,"")</x:f>
        <x:v>0.02724471400103457</x:v>
      </x:c>
      <x:c r="E351" s="22" t="n">
        <x:f>IFERROR('升力标定计算'!M702,"")</x:f>
        <x:v>0.027342287396192395</x:v>
      </x:c>
      <x:c r="F351" s="22" t="n">
        <x:f>IF(AND(ISNUMBER(D351),ISNUMBER(E351)),AVERAGE(D351,E351),"")</x:f>
        <x:v>0.027293500698613485</x:v>
      </x:c>
      <x:c r="G351" s="22" t="n">
        <x:f>IFERROR('升力标定计算'!N701,"")</x:f>
        <x:v>0.07832294467230348</x:v>
      </x:c>
      <x:c r="H351" s="22" t="n">
        <x:f>IFERROR('升力标定计算'!N702,"")</x:f>
        <x:v>0.07774988533382582</x:v>
      </x:c>
      <x:c r="I351" s="22" t="n">
        <x:f>IF(AND(ISNUMBER(G351),ISNUMBER(H351)),AVERAGE(G351,H351),"")</x:f>
        <x:v>0.07803641500306466</x:v>
      </x:c>
      <x:c r="J351" s="22" t="n">
        <x:f>IFERROR('5000rpm'!AT69,"")</x:f>
        <x:v>0</x:v>
      </x:c>
      <x:c r="K351" s="22" t="n">
        <x:f>IFERROR('5000rpm'!AT79,"")</x:f>
        <x:v>0.26692913385826766</x:v>
      </x:c>
      <x:c r="L351" s="22" t="n">
        <x:f>IFERROR('5000rpm'!AT70,"")</x:f>
        <x:v>0.02669291338582678</x:v>
      </x:c>
      <x:c r="M351" s="22" t="n">
        <x:f>IFERROR('5000rpm'!AS70,"")</x:f>
        <x:v>0.0837936858327787</x:v>
      </x:c>
      <x:c r="N351" s="22" t="n">
        <x:f>IFERROR('5000rpm'!AT71,"")</x:f>
        <x:v>0.05338582677165356</x:v>
      </x:c>
      <x:c r="O351" s="22" t="n">
        <x:f>IFERROR('5000rpm'!AS71,"")</x:f>
        <x:v>0.08446040835452698</x:v>
      </x:c>
      <x:c r="P351" s="22" t="n">
        <x:f>IF(OR(NOT(AND(ISNUMBER(D351),ISNUMBER(E351),ISNUMBER(G351),ISNUMBER(H351))),OR(F351&lt;J351,F351&gt;K351)),"",IF(N351=L351,M351,M351+(F351-L351)*(O351-M351)/(N351-L351)))</x:f>
        <x:v>0.083808687008631</x:v>
      </x:c>
      <x:c r="Q351" s="22" t="n">
        <x:f>IF(AND(ISNUMBER(I351),ISNUMBER(P351)),I351-P351,"")</x:f>
        <x:v>-0.005772272005566348</x:v>
      </x:c>
      <x:c r="R351" s="22" t="n">
        <x:f>IF(ISNUMBER(Q351),ABS(Q351),"")</x:f>
        <x:v>0.005772272005566348</x:v>
      </x:c>
      <x:c r="S351" s="36" t="n">
        <x:f>IF(AND(ISNUMBER(Q351),ISNUMBER(P351)),IF(ABS(P351)&lt;1E-12,"",Q351/P351),"")</x:f>
        <x:v>-0.06887438774660547</x:v>
      </x:c>
      <x:c r="T351" s="36" t="n">
        <x:f>IF(ISNUMBER(S351),ABS(S351),"")</x:f>
        <x:v>0.06887438774660547</x:v>
      </x:c>
      <x:c r="U351" s="37" t="n">
        <x:f>IF(ISNUMBER(Q351),Q351^2,"")</x:f>
        <x:v>0.000033319124106244945</x:v>
      </x:c>
      <x:c r="V351" s="21" t="str">
        <x:f>IF(NOT(AND(ISNUMBER(D351),ISNUMBER(E351),ISNUMBER(G351),ISNUMBER(H351))),"缺少配对",IF(OR(F351&lt;J351,F351&gt;K351),"超出理论J范围","有效"))</x:f>
        <x:v>有效</x:v>
      </x:c>
      <x:c r="W351" s="20" t="str">
        <x:v>升力 y=0.915708x+28.7687 → C_T_prop；实验攻角 0° ↔ 理论 alpha_p_deg 90°；原升力源 5000rpm!C23/M23</x:v>
      </x:c>
      <x:c r="X351" s="20" t="str">
        <x:v>升力标定计算!M701</x:v>
      </x:c>
      <x:c r="Y351" s="20" t="str">
        <x:v>升力标定计算!M702</x:v>
      </x:c>
      <x:c r="Z351" s="20" t="str">
        <x:v>升力标定计算!N701</x:v>
      </x:c>
      <x:c r="AA351" s="20" t="str">
        <x:v>升力标定计算!N702</x:v>
      </x:c>
      <x:c r="AB351" s="20" t="str">
        <x:v>5000rpm!AT70:AS71</x:v>
      </x:c>
    </x:row>
    <x:row r="352">
      <x:c r="A352" s="21" t="n">
        <x:v>5000</x:v>
      </x:c>
      <x:c r="B352" s="21" t="n">
        <x:v>0</x:v>
      </x:c>
      <x:c r="C352" s="21" t="n">
        <x:v>22</x:v>
      </x:c>
      <x:c r="D352" s="22" t="str">
        <x:f>IFERROR('升力标定计算'!M703,"")</x:f>
      </x:c>
      <x:c r="E352" s="22" t="n">
        <x:f>IFERROR('升力标定计算'!M704,"")</x:f>
        <x:v>0.0006047798394382394</x:v>
      </x:c>
      <x:c r="F352" s="22" t="str">
        <x:f>IF(AND(ISNUMBER(D352),ISNUMBER(E352)),AVERAGE(D352,E352),"")</x:f>
      </x:c>
      <x:c r="G352" s="22" t="str">
        <x:f>IFERROR('升力标定计算'!N703,"")</x:f>
      </x:c>
      <x:c r="H352" s="22" t="n">
        <x:f>IFERROR('升力标定计算'!N704,"")</x:f>
        <x:v>0.07734349894257724</x:v>
      </x:c>
      <x:c r="I352" s="22" t="str">
        <x:f>IF(AND(ISNUMBER(G352),ISNUMBER(H352)),AVERAGE(G352,H352),"")</x:f>
      </x:c>
      <x:c r="J352" s="22" t="n">
        <x:f>IFERROR('5000rpm'!AT69,"")</x:f>
        <x:v>0</x:v>
      </x:c>
      <x:c r="K352" s="22" t="n">
        <x:f>IFERROR('5000rpm'!AT79,"")</x:f>
        <x:v>0.26692913385826766</x:v>
      </x:c>
      <x:c r="L352" s="22" t="n">
        <x:f>IFERROR('5000rpm'!AT69,"")</x:f>
        <x:v>0</x:v>
      </x:c>
      <x:c r="M352" s="22" t="n">
        <x:f>IFERROR('5000rpm'!AS69,"")</x:f>
        <x:v>0.0836476206119306</x:v>
      </x:c>
      <x:c r="N352" s="22" t="n">
        <x:f>IFERROR('5000rpm'!AT79,"")</x:f>
        <x:v>0.26692913385826766</x:v>
      </x:c>
      <x:c r="O352" s="22" t="n">
        <x:f>IFERROR('5000rpm'!AS79,"")</x:f>
        <x:v>0.09938305053238307</x:v>
      </x:c>
      <x:c r="P352" s="22" t="str">
        <x:f>IF(OR(NOT(AND(ISNUMBER(D352),ISNUMBER(E352),ISNUMBER(G352),ISNUMBER(H352))),OR(F352&lt;J352,F352&gt;K352)),"",IF(N352=L352,M352,M352+(F352-L352)*(O352-M352)/(N352-L352)))</x:f>
      </x:c>
      <x:c r="Q352" s="22" t="str">
        <x:f>IF(AND(ISNUMBER(I352),ISNUMBER(P352)),I352-P352,"")</x:f>
      </x:c>
      <x:c r="R352" s="22" t="str">
        <x:f>IF(ISNUMBER(Q352),ABS(Q352),"")</x:f>
      </x:c>
      <x:c r="S352" s="36" t="str">
        <x:f>IF(AND(ISNUMBER(Q352),ISNUMBER(P352)),IF(ABS(P352)&lt;1E-12,"",Q352/P352),"")</x:f>
      </x:c>
      <x:c r="T352" s="36" t="str">
        <x:f>IF(ISNUMBER(S352),ABS(S352),"")</x:f>
      </x:c>
      <x:c r="U352" s="37" t="str">
        <x:f>IF(ISNUMBER(Q352),Q352^2,"")</x:f>
      </x:c>
      <x:c r="V352" s="21" t="str">
        <x:f>IF(NOT(AND(ISNUMBER(D352),ISNUMBER(E352),ISNUMBER(G352),ISNUMBER(H352))),"缺少配对",IF(OR(F352&lt;J352,F352&gt;K352),"超出理论J范围","有效"))</x:f>
        <x:v>缺少配对</x:v>
      </x:c>
      <x:c r="W352" s="20" t="str">
        <x:v>升力 y=0.915708x+28.7687 → C_T_prop；实验攻角 0° ↔ 理论 alpha_p_deg 90°；原升力源 5000rpm!C24/M24</x:v>
      </x:c>
      <x:c r="X352" s="20" t="str">
        <x:v>升力标定计算!M703</x:v>
      </x:c>
      <x:c r="Y352" s="20" t="str">
        <x:v>升力标定计算!M704</x:v>
      </x:c>
      <x:c r="Z352" s="20" t="str">
        <x:v>升力标定计算!N703</x:v>
      </x:c>
      <x:c r="AA352" s="20" t="str">
        <x:v>升力标定计算!N704</x:v>
      </x:c>
      <x:c r="AB352" s="20" t="str">
        <x:v>5000rpm!AT69:AS79</x:v>
      </x:c>
    </x:row>
    <x:row r="353">
      <x:c r="A353" s="21" t="n">
        <x:v>5000</x:v>
      </x:c>
      <x:c r="B353" s="21" t="n">
        <x:v>0</x:v>
      </x:c>
      <x:c r="C353" s="21" t="n">
        <x:v>23</x:v>
      </x:c>
      <x:c r="D353" s="22" t="str">
        <x:f>IFERROR('升力标定计算'!M705,"")</x:f>
      </x:c>
      <x:c r="E353" s="22" t="str">
        <x:f>IFERROR('升力标定计算'!M706,"")</x:f>
      </x:c>
      <x:c r="F353" s="22" t="str">
        <x:f>IF(AND(ISNUMBER(D353),ISNUMBER(E353)),AVERAGE(D353,E353),"")</x:f>
      </x:c>
      <x:c r="G353" s="22" t="str">
        <x:f>IFERROR('升力标定计算'!N705,"")</x:f>
      </x:c>
      <x:c r="H353" s="22" t="str">
        <x:f>IFERROR('升力标定计算'!N706,"")</x:f>
      </x:c>
      <x:c r="I353" s="22" t="str">
        <x:f>IF(AND(ISNUMBER(G353),ISNUMBER(H353)),AVERAGE(G353,H353),"")</x:f>
      </x:c>
      <x:c r="J353" s="22" t="n">
        <x:f>IFERROR('5000rpm'!AT69,"")</x:f>
        <x:v>0</x:v>
      </x:c>
      <x:c r="K353" s="22" t="n">
        <x:f>IFERROR('5000rpm'!AT79,"")</x:f>
        <x:v>0.26692913385826766</x:v>
      </x:c>
      <x:c r="L353" s="22" t="n">
        <x:f>IFERROR('5000rpm'!AT69,"")</x:f>
        <x:v>0</x:v>
      </x:c>
      <x:c r="M353" s="22" t="n">
        <x:f>IFERROR('5000rpm'!AS69,"")</x:f>
        <x:v>0.0836476206119306</x:v>
      </x:c>
      <x:c r="N353" s="22" t="n">
        <x:f>IFERROR('5000rpm'!AT79,"")</x:f>
        <x:v>0.26692913385826766</x:v>
      </x:c>
      <x:c r="O353" s="22" t="n">
        <x:f>IFERROR('5000rpm'!AS79,"")</x:f>
        <x:v>0.09938305053238307</x:v>
      </x:c>
      <x:c r="P353" s="22" t="str">
        <x:f>IF(OR(NOT(AND(ISNUMBER(D353),ISNUMBER(E353),ISNUMBER(G353),ISNUMBER(H353))),OR(F353&lt;J353,F353&gt;K353)),"",IF(N353=L353,M353,M353+(F353-L353)*(O353-M353)/(N353-L353)))</x:f>
      </x:c>
      <x:c r="Q353" s="22" t="str">
        <x:f>IF(AND(ISNUMBER(I353),ISNUMBER(P353)),I353-P353,"")</x:f>
      </x:c>
      <x:c r="R353" s="22" t="str">
        <x:f>IF(ISNUMBER(Q353),ABS(Q353),"")</x:f>
      </x:c>
      <x:c r="S353" s="36" t="str">
        <x:f>IF(AND(ISNUMBER(Q353),ISNUMBER(P353)),IF(ABS(P353)&lt;1E-12,"",Q353/P353),"")</x:f>
      </x:c>
      <x:c r="T353" s="36" t="str">
        <x:f>IF(ISNUMBER(S353),ABS(S353),"")</x:f>
      </x:c>
      <x:c r="U353" s="37" t="str">
        <x:f>IF(ISNUMBER(Q353),Q353^2,"")</x:f>
      </x:c>
      <x:c r="V353" s="21" t="str">
        <x:f>IF(NOT(AND(ISNUMBER(D353),ISNUMBER(E353),ISNUMBER(G353),ISNUMBER(H353))),"缺少配对",IF(OR(F353&lt;J353,F353&gt;K353),"超出理论J范围","有效"))</x:f>
        <x:v>缺少配对</x:v>
      </x:c>
      <x:c r="W353" s="20" t="str">
        <x:v>升力 y=0.915708x+28.7687 → C_T_prop；实验攻角 0° ↔ 理论 alpha_p_deg 90°；原升力源 5000rpm!C25/M25</x:v>
      </x:c>
      <x:c r="X353" s="20" t="str">
        <x:v>升力标定计算!M705</x:v>
      </x:c>
      <x:c r="Y353" s="20" t="str">
        <x:v>升力标定计算!M706</x:v>
      </x:c>
      <x:c r="Z353" s="20" t="str">
        <x:v>升力标定计算!N705</x:v>
      </x:c>
      <x:c r="AA353" s="20" t="str">
        <x:v>升力标定计算!N706</x:v>
      </x:c>
      <x:c r="AB353" s="20" t="str">
        <x:v>5000rpm!AT69:AS79</x:v>
      </x:c>
    </x:row>
    <x:row r="354">
      <x:c r="A354" s="21" t="n">
        <x:v>5000</x:v>
      </x:c>
      <x:c r="B354" s="21" t="n">
        <x:v>0</x:v>
      </x:c>
      <x:c r="C354" s="21" t="n">
        <x:v>24</x:v>
      </x:c>
      <x:c r="D354" s="22" t="str">
        <x:f>IFERROR('升力标定计算'!M707,"")</x:f>
      </x:c>
      <x:c r="E354" s="22" t="str">
        <x:f>IFERROR('升力标定计算'!M708,"")</x:f>
      </x:c>
      <x:c r="F354" s="22" t="str">
        <x:f>IF(AND(ISNUMBER(D354),ISNUMBER(E354)),AVERAGE(D354,E354),"")</x:f>
      </x:c>
      <x:c r="G354" s="22" t="str">
        <x:f>IFERROR('升力标定计算'!N707,"")</x:f>
      </x:c>
      <x:c r="H354" s="22" t="str">
        <x:f>IFERROR('升力标定计算'!N708,"")</x:f>
      </x:c>
      <x:c r="I354" s="22" t="str">
        <x:f>IF(AND(ISNUMBER(G354),ISNUMBER(H354)),AVERAGE(G354,H354),"")</x:f>
      </x:c>
      <x:c r="J354" s="22" t="n">
        <x:f>IFERROR('5000rpm'!AT69,"")</x:f>
        <x:v>0</x:v>
      </x:c>
      <x:c r="K354" s="22" t="n">
        <x:f>IFERROR('5000rpm'!AT79,"")</x:f>
        <x:v>0.26692913385826766</x:v>
      </x:c>
      <x:c r="L354" s="22" t="n">
        <x:f>IFERROR('5000rpm'!AT69,"")</x:f>
        <x:v>0</x:v>
      </x:c>
      <x:c r="M354" s="22" t="n">
        <x:f>IFERROR('5000rpm'!AS69,"")</x:f>
        <x:v>0.0836476206119306</x:v>
      </x:c>
      <x:c r="N354" s="22" t="n">
        <x:f>IFERROR('5000rpm'!AT79,"")</x:f>
        <x:v>0.26692913385826766</x:v>
      </x:c>
      <x:c r="O354" s="22" t="n">
        <x:f>IFERROR('5000rpm'!AS79,"")</x:f>
        <x:v>0.09938305053238307</x:v>
      </x:c>
      <x:c r="P354" s="22" t="str">
        <x:f>IF(OR(NOT(AND(ISNUMBER(D354),ISNUMBER(E354),ISNUMBER(G354),ISNUMBER(H354))),OR(F354&lt;J354,F354&gt;K354)),"",IF(N354=L354,M354,M354+(F354-L354)*(O354-M354)/(N354-L354)))</x:f>
      </x:c>
      <x:c r="Q354" s="22" t="str">
        <x:f>IF(AND(ISNUMBER(I354),ISNUMBER(P354)),I354-P354,"")</x:f>
      </x:c>
      <x:c r="R354" s="22" t="str">
        <x:f>IF(ISNUMBER(Q354),ABS(Q354),"")</x:f>
      </x:c>
      <x:c r="S354" s="36" t="str">
        <x:f>IF(AND(ISNUMBER(Q354),ISNUMBER(P354)),IF(ABS(P354)&lt;1E-12,"",Q354/P354),"")</x:f>
      </x:c>
      <x:c r="T354" s="36" t="str">
        <x:f>IF(ISNUMBER(S354),ABS(S354),"")</x:f>
      </x:c>
      <x:c r="U354" s="37" t="str">
        <x:f>IF(ISNUMBER(Q354),Q354^2,"")</x:f>
      </x:c>
      <x:c r="V354" s="21" t="str">
        <x:f>IF(NOT(AND(ISNUMBER(D354),ISNUMBER(E354),ISNUMBER(G354),ISNUMBER(H354))),"缺少配对",IF(OR(F354&lt;J354,F354&gt;K354),"超出理论J范围","有效"))</x:f>
        <x:v>缺少配对</x:v>
      </x:c>
      <x:c r="W354" s="20" t="str">
        <x:v>升力 y=0.915708x+28.7687 → C_T_prop；实验攻角 0° ↔ 理论 alpha_p_deg 90°；原升力源 5000rpm!C27/M27</x:v>
      </x:c>
      <x:c r="X354" s="20" t="str">
        <x:v>升力标定计算!M707</x:v>
      </x:c>
      <x:c r="Y354" s="20" t="str">
        <x:v>升力标定计算!M708</x:v>
      </x:c>
      <x:c r="Z354" s="20" t="str">
        <x:v>升力标定计算!N707</x:v>
      </x:c>
      <x:c r="AA354" s="20" t="str">
        <x:v>升力标定计算!N708</x:v>
      </x:c>
      <x:c r="AB354" s="20" t="str">
        <x:v>5000rpm!AT69:AS79</x:v>
      </x:c>
    </x:row>
    <x:row r="355">
      <x:c r="A355" s="21" t="n">
        <x:v>5000</x:v>
      </x:c>
      <x:c r="B355" s="21" t="n">
        <x:v>15</x:v>
      </x:c>
      <x:c r="C355" s="21" t="n">
        <x:v>1</x:v>
      </x:c>
      <x:c r="D355" s="22" t="str">
        <x:f>IFERROR('升力标定计算'!M709,"")</x:f>
      </x:c>
      <x:c r="E355" s="22" t="str">
        <x:f>IFERROR('升力标定计算'!M710,"")</x:f>
      </x:c>
      <x:c r="F355" s="22" t="str">
        <x:f>IF(AND(ISNUMBER(D355),ISNUMBER(E355)),AVERAGE(D355,E355),"")</x:f>
      </x:c>
      <x:c r="G355" s="22" t="str">
        <x:f>IFERROR('升力标定计算'!N709,"")</x:f>
      </x:c>
      <x:c r="H355" s="22" t="str">
        <x:f>IFERROR('升力标定计算'!N710,"")</x:f>
      </x:c>
      <x:c r="I355" s="22" t="str">
        <x:f>IF(AND(ISNUMBER(G355),ISNUMBER(H355)),AVERAGE(G355,H355),"")</x:f>
      </x:c>
      <x:c r="J355" s="22" t="n">
        <x:f>IFERROR('5000rpm'!AT58,"")</x:f>
        <x:v>0</x:v>
      </x:c>
      <x:c r="K355" s="22" t="n">
        <x:f>IFERROR('5000rpm'!AT68,"")</x:f>
        <x:v>0.26692913385826766</x:v>
      </x:c>
      <x:c r="L355" s="22" t="n">
        <x:f>IFERROR('5000rpm'!AT58,"")</x:f>
        <x:v>0</x:v>
      </x:c>
      <x:c r="M355" s="22" t="n">
        <x:f>IFERROR('5000rpm'!AS58,"")</x:f>
        <x:v>0.0836476206119306</x:v>
      </x:c>
      <x:c r="N355" s="22" t="n">
        <x:f>IFERROR('5000rpm'!AT68,"")</x:f>
        <x:v>0.26692913385826766</x:v>
      </x:c>
      <x:c r="O355" s="22" t="n">
        <x:f>IFERROR('5000rpm'!AS68,"")</x:f>
        <x:v>0.08711772182289176</x:v>
      </x:c>
      <x:c r="P355" s="22" t="str">
        <x:f>IF(OR(NOT(AND(ISNUMBER(D355),ISNUMBER(E355),ISNUMBER(G355),ISNUMBER(H355))),OR(F355&lt;J355,F355&gt;K355)),"",IF(N355=L355,M355,M355+(F355-L355)*(O355-M355)/(N355-L355)))</x:f>
      </x:c>
      <x:c r="Q355" s="22" t="str">
        <x:f>IF(AND(ISNUMBER(I355),ISNUMBER(P355)),I355-P355,"")</x:f>
      </x:c>
      <x:c r="R355" s="22" t="str">
        <x:f>IF(ISNUMBER(Q355),ABS(Q355),"")</x:f>
      </x:c>
      <x:c r="S355" s="36" t="str">
        <x:f>IF(AND(ISNUMBER(Q355),ISNUMBER(P355)),IF(ABS(P355)&lt;1E-12,"",Q355/P355),"")</x:f>
      </x:c>
      <x:c r="T355" s="36" t="str">
        <x:f>IF(ISNUMBER(S355),ABS(S355),"")</x:f>
      </x:c>
      <x:c r="U355" s="37" t="str">
        <x:f>IF(ISNUMBER(Q355),Q355^2,"")</x:f>
      </x:c>
      <x:c r="V355" s="21" t="str">
        <x:f>IF(NOT(AND(ISNUMBER(D355),ISNUMBER(E355),ISNUMBER(G355),ISNUMBER(H355))),"缺少配对",IF(OR(F355&lt;J355,F355&gt;K355),"超出理论J范围","有效"))</x:f>
        <x:v>缺少配对</x:v>
      </x:c>
      <x:c r="W355" s="20" t="str">
        <x:v>升力 y=0.915708x+28.7687 → C_T_prop；实验攻角 15° ↔ 理论 alpha_p_deg 75°；原升力源 5000rpm!D30/O30</x:v>
      </x:c>
      <x:c r="X355" s="20" t="str">
        <x:v>升力标定计算!M709</x:v>
      </x:c>
      <x:c r="Y355" s="20" t="str">
        <x:v>升力标定计算!M710</x:v>
      </x:c>
      <x:c r="Z355" s="20" t="str">
        <x:v>升力标定计算!N709</x:v>
      </x:c>
      <x:c r="AA355" s="20" t="str">
        <x:v>升力标定计算!N710</x:v>
      </x:c>
      <x:c r="AB355" s="20" t="str">
        <x:v>5000rpm!AT58:AS68</x:v>
      </x:c>
    </x:row>
    <x:row r="356">
      <x:c r="A356" s="21" t="n">
        <x:v>5000</x:v>
      </x:c>
      <x:c r="B356" s="21" t="n">
        <x:v>15</x:v>
      </x:c>
      <x:c r="C356" s="21" t="n">
        <x:v>2</x:v>
      </x:c>
      <x:c r="D356" s="22" t="n">
        <x:f>IFERROR('升力标定计算'!M711,"")</x:f>
        <x:v>0.0022201122984702682</x:v>
      </x:c>
      <x:c r="E356" s="22" t="n">
        <x:f>IFERROR('升力标定计算'!M712,"")</x:f>
        <x:v>0.002893171444115158</x:v>
      </x:c>
      <x:c r="F356" s="22" t="n">
        <x:f>IF(AND(ISNUMBER(D356),ISNUMBER(E356)),AVERAGE(D356,E356),"")</x:f>
        <x:v>0.0025566418712927134</x:v>
      </x:c>
      <x:c r="G356" s="22" t="n">
        <x:f>IFERROR('升力标定计算'!N711,"")</x:f>
        <x:v>0.07854391188386814</x:v>
      </x:c>
      <x:c r="H356" s="22" t="n">
        <x:f>IFERROR('升力标定计算'!N712,"")</x:f>
        <x:v>0.07463832659122689</x:v>
      </x:c>
      <x:c r="I356" s="22" t="n">
        <x:f>IF(AND(ISNUMBER(G356),ISNUMBER(H356)),AVERAGE(G356,H356),"")</x:f>
        <x:v>0.07659111923754752</x:v>
      </x:c>
      <x:c r="J356" s="22" t="n">
        <x:f>IFERROR('5000rpm'!AT58,"")</x:f>
        <x:v>0</x:v>
      </x:c>
      <x:c r="K356" s="22" t="n">
        <x:f>IFERROR('5000rpm'!AT68,"")</x:f>
        <x:v>0.26692913385826766</x:v>
      </x:c>
      <x:c r="L356" s="22" t="n">
        <x:f>IFERROR('5000rpm'!AT58,"")</x:f>
        <x:v>0</x:v>
      </x:c>
      <x:c r="M356" s="22" t="n">
        <x:f>IFERROR('5000rpm'!AS58,"")</x:f>
        <x:v>0.0836476206119306</x:v>
      </x:c>
      <x:c r="N356" s="22" t="n">
        <x:f>IFERROR('5000rpm'!AT59,"")</x:f>
        <x:v>0.02669291338582678</x:v>
      </x:c>
      <x:c r="O356" s="22" t="n">
        <x:f>IFERROR('5000rpm'!AS59,"")</x:f>
        <x:v>0.08300729963707815</x:v>
      </x:c>
      <x:c r="P356" s="22" t="n">
        <x:f>IF(OR(NOT(AND(ISNUMBER(D356),ISNUMBER(E356),ISNUMBER(G356),ISNUMBER(H356))),OR(F356&lt;J356,F356&gt;K356)),"",IF(N356=L356,M356,M356+(F356-L356)*(O356-M356)/(N356-L356)))</x:f>
        <x:v>0.08358629079784428</x:v>
      </x:c>
      <x:c r="Q356" s="22" t="n">
        <x:f>IF(AND(ISNUMBER(I356),ISNUMBER(P356)),I356-P356,"")</x:f>
        <x:v>-0.006995171560296762</x:v>
      </x:c>
      <x:c r="R356" s="22" t="n">
        <x:f>IF(ISNUMBER(Q356),ABS(Q356),"")</x:f>
        <x:v>0.006995171560296762</x:v>
      </x:c>
      <x:c r="S356" s="36" t="n">
        <x:f>IF(AND(ISNUMBER(Q356),ISNUMBER(P356)),IF(ABS(P356)&lt;1E-12,"",Q356/P356),"")</x:f>
        <x:v>-0.08368802459741603</x:v>
      </x:c>
      <x:c r="T356" s="36" t="n">
        <x:f>IF(ISNUMBER(S356),ABS(S356),"")</x:f>
        <x:v>0.08368802459741603</x:v>
      </x:c>
      <x:c r="U356" s="37" t="n">
        <x:f>IF(ISNUMBER(Q356),Q356^2,"")</x:f>
        <x:v>0.000048932425157984636</x:v>
      </x:c>
      <x:c r="V356" s="21" t="str">
        <x:f>IF(NOT(AND(ISNUMBER(D356),ISNUMBER(E356),ISNUMBER(G356),ISNUMBER(H356))),"缺少配对",IF(OR(F356&lt;J356,F356&gt;K356),"超出理论J范围","有效"))</x:f>
        <x:v>有效</x:v>
      </x:c>
      <x:c r="W356" s="20" t="str">
        <x:v>升力 y=0.915708x+28.7687 → C_T_prop；实验攻角 15° ↔ 理论 alpha_p_deg 75°；原升力源 5000rpm!D31/O31</x:v>
      </x:c>
      <x:c r="X356" s="20" t="str">
        <x:v>升力标定计算!M711</x:v>
      </x:c>
      <x:c r="Y356" s="20" t="str">
        <x:v>升力标定计算!M712</x:v>
      </x:c>
      <x:c r="Z356" s="20" t="str">
        <x:v>升力标定计算!N711</x:v>
      </x:c>
      <x:c r="AA356" s="20" t="str">
        <x:v>升力标定计算!N712</x:v>
      </x:c>
      <x:c r="AB356" s="20" t="str">
        <x:v>5000rpm!AT58:AS59</x:v>
      </x:c>
    </x:row>
    <x:row r="357">
      <x:c r="A357" s="21" t="n">
        <x:v>5000</x:v>
      </x:c>
      <x:c r="B357" s="21" t="n">
        <x:v>15</x:v>
      </x:c>
      <x:c r="C357" s="21" t="n">
        <x:v>3</x:v>
      </x:c>
      <x:c r="D357" s="22" t="n">
        <x:f>IFERROR('升力标定计算'!M713,"")</x:f>
        <x:v>0.026315654216026423</x:v>
      </x:c>
      <x:c r="E357" s="22" t="n">
        <x:f>IFERROR('升力标定计算'!M714,"")</x:f>
        <x:v>0.026887628979206456</x:v>
      </x:c>
      <x:c r="F357" s="22" t="n">
        <x:f>IF(AND(ISNUMBER(D357),ISNUMBER(E357)),AVERAGE(D357,E357),"")</x:f>
        <x:v>0.026601641597616438</x:v>
      </x:c>
      <x:c r="G357" s="22" t="n">
        <x:f>IFERROR('升力标定计算'!N713,"")</x:f>
        <x:v>0.07787680868077566</x:v>
      </x:c>
      <x:c r="H357" s="22" t="n">
        <x:f>IFERROR('升力标定计算'!N714,"")</x:f>
        <x:v>0.07491150097182143</x:v>
      </x:c>
      <x:c r="I357" s="22" t="n">
        <x:f>IF(AND(ISNUMBER(G357),ISNUMBER(H357)),AVERAGE(G357,H357),"")</x:f>
        <x:v>0.07639415482629855</x:v>
      </x:c>
      <x:c r="J357" s="22" t="n">
        <x:f>IFERROR('5000rpm'!AT58,"")</x:f>
        <x:v>0</x:v>
      </x:c>
      <x:c r="K357" s="22" t="n">
        <x:f>IFERROR('5000rpm'!AT68,"")</x:f>
        <x:v>0.26692913385826766</x:v>
      </x:c>
      <x:c r="L357" s="22" t="n">
        <x:f>IFERROR('5000rpm'!AT58,"")</x:f>
        <x:v>0</x:v>
      </x:c>
      <x:c r="M357" s="22" t="n">
        <x:f>IFERROR('5000rpm'!AS58,"")</x:f>
        <x:v>0.0836476206119306</x:v>
      </x:c>
      <x:c r="N357" s="22" t="n">
        <x:f>IFERROR('5000rpm'!AT59,"")</x:f>
        <x:v>0.02669291338582678</x:v>
      </x:c>
      <x:c r="O357" s="22" t="n">
        <x:f>IFERROR('5000rpm'!AS59,"")</x:f>
        <x:v>0.08300729963707815</x:v>
      </x:c>
      <x:c r="P357" s="22" t="n">
        <x:f>IF(OR(NOT(AND(ISNUMBER(D357),ISNUMBER(E357),ISNUMBER(G357),ISNUMBER(H357))),OR(F357&lt;J357,F357&gt;K357)),"",IF(N357=L357,M357,M357+(F357-L357)*(O357-M357)/(N357-L357)))</x:f>
        <x:v>0.08300948910360653</x:v>
      </x:c>
      <x:c r="Q357" s="22" t="n">
        <x:f>IF(AND(ISNUMBER(I357),ISNUMBER(P357)),I357-P357,"")</x:f>
        <x:v>-0.006615334277307983</x:v>
      </x:c>
      <x:c r="R357" s="22" t="n">
        <x:f>IF(ISNUMBER(Q357),ABS(Q357),"")</x:f>
        <x:v>0.006615334277307983</x:v>
      </x:c>
      <x:c r="S357" s="36" t="n">
        <x:f>IF(AND(ISNUMBER(Q357),ISNUMBER(P357)),IF(ABS(P357)&lt;1E-12,"",Q357/P357),"")</x:f>
        <x:v>-0.07969371151111644</x:v>
      </x:c>
      <x:c r="T357" s="36" t="n">
        <x:f>IF(ISNUMBER(S357),ABS(S357),"")</x:f>
        <x:v>0.07969371151111644</x:v>
      </x:c>
      <x:c r="U357" s="37" t="n">
        <x:f>IF(ISNUMBER(Q357),Q357^2,"")</x:f>
        <x:v>0.00004376264760052593</x:v>
      </x:c>
      <x:c r="V357" s="21" t="str">
        <x:f>IF(NOT(AND(ISNUMBER(D357),ISNUMBER(E357),ISNUMBER(G357),ISNUMBER(H357))),"缺少配对",IF(OR(F357&lt;J357,F357&gt;K357),"超出理论J范围","有效"))</x:f>
        <x:v>有效</x:v>
      </x:c>
      <x:c r="W357" s="20" t="str">
        <x:v>升力 y=0.915708x+28.7687 → C_T_prop；实验攻角 15° ↔ 理论 alpha_p_deg 75°；原升力源 5000rpm!D32/O32</x:v>
      </x:c>
      <x:c r="X357" s="20" t="str">
        <x:v>升力标定计算!M713</x:v>
      </x:c>
      <x:c r="Y357" s="20" t="str">
        <x:v>升力标定计算!M714</x:v>
      </x:c>
      <x:c r="Z357" s="20" t="str">
        <x:v>升力标定计算!N713</x:v>
      </x:c>
      <x:c r="AA357" s="20" t="str">
        <x:v>升力标定计算!N714</x:v>
      </x:c>
      <x:c r="AB357" s="20" t="str">
        <x:v>5000rpm!AT58:AS59</x:v>
      </x:c>
    </x:row>
    <x:row r="358">
      <x:c r="A358" s="21" t="n">
        <x:v>5000</x:v>
      </x:c>
      <x:c r="B358" s="21" t="n">
        <x:v>15</x:v>
      </x:c>
      <x:c r="C358" s="21" t="n">
        <x:v>4</x:v>
      </x:c>
      <x:c r="D358" s="22" t="n">
        <x:f>IFERROR('升力标定计算'!M715,"")</x:f>
        <x:v>0.053431949741181095</x:v>
      </x:c>
      <x:c r="E358" s="22" t="n">
        <x:f>IFERROR('升力标定计算'!M716,"")</x:f>
        <x:v>0.05396445049556078</x:v>
      </x:c>
      <x:c r="F358" s="22" t="n">
        <x:f>IF(AND(ISNUMBER(D358),ISNUMBER(E358)),AVERAGE(D358,E358),"")</x:f>
        <x:v>0.05369820011837094</x:v>
      </x:c>
      <x:c r="G358" s="22" t="n">
        <x:f>IFERROR('升力标定计算'!N715,"")</x:f>
        <x:v>0.07787493585596494</x:v>
      </x:c>
      <x:c r="H358" s="22" t="n">
        <x:f>IFERROR('升力标定计算'!N716,"")</x:f>
        <x:v>0.073554903783331</x:v>
      </x:c>
      <x:c r="I358" s="22" t="n">
        <x:f>IF(AND(ISNUMBER(G358),ISNUMBER(H358)),AVERAGE(G358,H358),"")</x:f>
        <x:v>0.07571491981964798</x:v>
      </x:c>
      <x:c r="J358" s="22" t="n">
        <x:f>IFERROR('5000rpm'!AT58,"")</x:f>
        <x:v>0</x:v>
      </x:c>
      <x:c r="K358" s="22" t="n">
        <x:f>IFERROR('5000rpm'!AT68,"")</x:f>
        <x:v>0.26692913385826766</x:v>
      </x:c>
      <x:c r="L358" s="22" t="n">
        <x:f>IFERROR('5000rpm'!AT60,"")</x:f>
        <x:v>0.05338582677165356</x:v>
      </x:c>
      <x:c r="M358" s="22" t="n">
        <x:f>IFERROR('5000rpm'!AS60,"")</x:f>
        <x:v>0.08282555670827094</x:v>
      </x:c>
      <x:c r="N358" s="22" t="n">
        <x:f>IFERROR('5000rpm'!AT61,"")</x:f>
        <x:v>0.08007874015748032</x:v>
      </x:c>
      <x:c r="O358" s="22" t="n">
        <x:f>IFERROR('5000rpm'!AS61,"")</x:f>
        <x:v>0.08290215960782017</x:v>
      </x:c>
      <x:c r="P358" s="22" t="n">
        <x:f>IF(OR(NOT(AND(ISNUMBER(D358),ISNUMBER(E358),ISNUMBER(G358),ISNUMBER(H358))),OR(F358&lt;J358,F358&gt;K358)),"",IF(N358=L358,M358,M358+(F358-L358)*(O358-M358)/(N358-L358)))</x:f>
        <x:v>0.08282645315234785</x:v>
      </x:c>
      <x:c r="Q358" s="22" t="n">
        <x:f>IF(AND(ISNUMBER(I358),ISNUMBER(P358)),I358-P358,"")</x:f>
        <x:v>-0.007111533332699871</x:v>
      </x:c>
      <x:c r="R358" s="22" t="n">
        <x:f>IF(ISNUMBER(Q358),ABS(Q358),"")</x:f>
        <x:v>0.007111533332699871</x:v>
      </x:c>
      <x:c r="S358" s="36" t="n">
        <x:f>IF(AND(ISNUMBER(Q358),ISNUMBER(P358)),IF(ABS(P358)&lt;1E-12,"",Q358/P358),"")</x:f>
        <x:v>-0.08586065275086915</x:v>
      </x:c>
      <x:c r="T358" s="36" t="n">
        <x:f>IF(ISNUMBER(S358),ABS(S358),"")</x:f>
        <x:v>0.08586065275086915</x:v>
      </x:c>
      <x:c r="U358" s="37" t="n">
        <x:f>IF(ISNUMBER(Q358),Q358^2,"")</x:f>
        <x:v>0.00005057390634210133</x:v>
      </x:c>
      <x:c r="V358" s="21" t="str">
        <x:f>IF(NOT(AND(ISNUMBER(D358),ISNUMBER(E358),ISNUMBER(G358),ISNUMBER(H358))),"缺少配对",IF(OR(F358&lt;J358,F358&gt;K358),"超出理论J范围","有效"))</x:f>
        <x:v>有效</x:v>
      </x:c>
      <x:c r="W358" s="20" t="str">
        <x:v>升力 y=0.915708x+28.7687 → C_T_prop；实验攻角 15° ↔ 理论 alpha_p_deg 75°；原升力源 5000rpm!D33/O33</x:v>
      </x:c>
      <x:c r="X358" s="20" t="str">
        <x:v>升力标定计算!M715</x:v>
      </x:c>
      <x:c r="Y358" s="20" t="str">
        <x:v>升力标定计算!M716</x:v>
      </x:c>
      <x:c r="Z358" s="20" t="str">
        <x:v>升力标定计算!N715</x:v>
      </x:c>
      <x:c r="AA358" s="20" t="str">
        <x:v>升力标定计算!N716</x:v>
      </x:c>
      <x:c r="AB358" s="20" t="str">
        <x:v>5000rpm!AT60:AS61</x:v>
      </x:c>
    </x:row>
    <x:row r="359">
      <x:c r="A359" s="21" t="n">
        <x:v>5000</x:v>
      </x:c>
      <x:c r="B359" s="21" t="n">
        <x:v>15</x:v>
      </x:c>
      <x:c r="C359" s="21" t="n">
        <x:v>5</x:v>
      </x:c>
      <x:c r="D359" s="22" t="n">
        <x:f>IFERROR('升力标定计算'!M717,"")</x:f>
        <x:v>0.0801793363698567</x:v>
      </x:c>
      <x:c r="E359" s="22" t="n">
        <x:f>IFERROR('升力标定计算'!M718,"")</x:f>
        <x:v>0.080428770068276</x:v>
      </x:c>
      <x:c r="F359" s="22" t="n">
        <x:f>IF(AND(ISNUMBER(D359),ISNUMBER(E359)),AVERAGE(D359,E359),"")</x:f>
        <x:v>0.08030405321906636</x:v>
      </x:c>
      <x:c r="G359" s="22" t="n">
        <x:f>IFERROR('升力标定计算'!N717,"")</x:f>
        <x:v>0.0768641061539394</x:v>
      </x:c>
      <x:c r="H359" s="22" t="n">
        <x:f>IFERROR('升力标定计算'!N718,"")</x:f>
        <x:v>0.07089019951508943</x:v>
      </x:c>
      <x:c r="I359" s="22" t="n">
        <x:f>IF(AND(ISNUMBER(G359),ISNUMBER(H359)),AVERAGE(G359,H359),"")</x:f>
        <x:v>0.07387715283451442</x:v>
      </x:c>
      <x:c r="J359" s="22" t="n">
        <x:f>IFERROR('5000rpm'!AT58,"")</x:f>
        <x:v>0</x:v>
      </x:c>
      <x:c r="K359" s="22" t="n">
        <x:f>IFERROR('5000rpm'!AT68,"")</x:f>
        <x:v>0.26692913385826766</x:v>
      </x:c>
      <x:c r="L359" s="22" t="n">
        <x:f>IFERROR('5000rpm'!AT61,"")</x:f>
        <x:v>0.08007874015748032</x:v>
      </x:c>
      <x:c r="M359" s="22" t="n">
        <x:f>IFERROR('5000rpm'!AS61,"")</x:f>
        <x:v>0.08290215960782017</x:v>
      </x:c>
      <x:c r="N359" s="22" t="n">
        <x:f>IFERROR('5000rpm'!AT62,"")</x:f>
        <x:v>0.10677165354330712</x:v>
      </x:c>
      <x:c r="O359" s="22" t="n">
        <x:f>IFERROR('5000rpm'!AS62,"")</x:f>
        <x:v>0.08319536054453748</x:v>
      </x:c>
      <x:c r="P359" s="22" t="n">
        <x:f>IF(OR(NOT(AND(ISNUMBER(D359),ISNUMBER(E359),ISNUMBER(G359),ISNUMBER(H359))),OR(F359&lt;J359,F359&gt;K359)),"",IF(N359=L359,M359,M359+(F359-L359)*(O359-M359)/(N359-L359)))</x:f>
        <x:v>0.08290463449693238</x:v>
      </x:c>
      <x:c r="Q359" s="22" t="n">
        <x:f>IF(AND(ISNUMBER(I359),ISNUMBER(P359)),I359-P359,"")</x:f>
        <x:v>-0.009027481662417958</x:v>
      </x:c>
      <x:c r="R359" s="22" t="n">
        <x:f>IF(ISNUMBER(Q359),ABS(Q359),"")</x:f>
        <x:v>0.009027481662417958</x:v>
      </x:c>
      <x:c r="S359" s="36" t="n">
        <x:f>IF(AND(ISNUMBER(Q359),ISNUMBER(P359)),IF(ABS(P359)&lt;1E-12,"",Q359/P359),"")</x:f>
        <x:v>-0.10888995189710403</x:v>
      </x:c>
      <x:c r="T359" s="36" t="n">
        <x:f>IF(ISNUMBER(S359),ABS(S359),"")</x:f>
        <x:v>0.10888995189710403</x:v>
      </x:c>
      <x:c r="U359" s="37" t="n">
        <x:f>IF(ISNUMBER(Q359),Q359^2,"")</x:f>
        <x:v>0.00008149542516529249</x:v>
      </x:c>
      <x:c r="V359" s="21" t="str">
        <x:f>IF(NOT(AND(ISNUMBER(D359),ISNUMBER(E359),ISNUMBER(G359),ISNUMBER(H359))),"缺少配对",IF(OR(F359&lt;J359,F359&gt;K359),"超出理论J范围","有效"))</x:f>
        <x:v>有效</x:v>
      </x:c>
      <x:c r="W359" s="20" t="str">
        <x:v>升力 y=0.915708x+28.7687 → C_T_prop；实验攻角 15° ↔ 理论 alpha_p_deg 75°；原升力源 5000rpm!D34/O34</x:v>
      </x:c>
      <x:c r="X359" s="20" t="str">
        <x:v>升力标定计算!M717</x:v>
      </x:c>
      <x:c r="Y359" s="20" t="str">
        <x:v>升力标定计算!M718</x:v>
      </x:c>
      <x:c r="Z359" s="20" t="str">
        <x:v>升力标定计算!N717</x:v>
      </x:c>
      <x:c r="AA359" s="20" t="str">
        <x:v>升力标定计算!N718</x:v>
      </x:c>
      <x:c r="AB359" s="20" t="str">
        <x:v>5000rpm!AT61:AS62</x:v>
      </x:c>
    </x:row>
    <x:row r="360">
      <x:c r="A360" s="21" t="n">
        <x:v>5000</x:v>
      </x:c>
      <x:c r="B360" s="21" t="n">
        <x:v>15</x:v>
      </x:c>
      <x:c r="C360" s="21" t="n">
        <x:v>6</x:v>
      </x:c>
      <x:c r="D360" s="22" t="n">
        <x:f>IFERROR('升力标定计算'!M719,"")</x:f>
        <x:v>0.10809241179569289</x:v>
      </x:c>
      <x:c r="E360" s="22" t="n">
        <x:f>IFERROR('升力标定计算'!M720,"")</x:f>
        <x:v>0.10748521397096468</x:v>
      </x:c>
      <x:c r="F360" s="22" t="n">
        <x:f>IF(AND(ISNUMBER(D360),ISNUMBER(E360)),AVERAGE(D360,E360),"")</x:f>
        <x:v>0.10778881288332878</x:v>
      </x:c>
      <x:c r="G360" s="22" t="n">
        <x:f>IFERROR('升力标定计算'!N719,"")</x:f>
        <x:v>0.07740781318188042</x:v>
      </x:c>
      <x:c r="H360" s="22" t="n">
        <x:f>IFERROR('升力标定计算'!N720,"")</x:f>
        <x:v>0.07117788657976253</x:v>
      </x:c>
      <x:c r="I360" s="22" t="n">
        <x:f>IF(AND(ISNUMBER(G360),ISNUMBER(H360)),AVERAGE(G360,H360),"")</x:f>
        <x:v>0.07429284988082147</x:v>
      </x:c>
      <x:c r="J360" s="22" t="n">
        <x:f>IFERROR('5000rpm'!AT58,"")</x:f>
        <x:v>0</x:v>
      </x:c>
      <x:c r="K360" s="22" t="n">
        <x:f>IFERROR('5000rpm'!AT68,"")</x:f>
        <x:v>0.26692913385826766</x:v>
      </x:c>
      <x:c r="L360" s="22" t="n">
        <x:f>IFERROR('5000rpm'!AT62,"")</x:f>
        <x:v>0.10677165354330712</x:v>
      </x:c>
      <x:c r="M360" s="22" t="n">
        <x:f>IFERROR('5000rpm'!AS62,"")</x:f>
        <x:v>0.08319536054453748</x:v>
      </x:c>
      <x:c r="N360" s="22" t="n">
        <x:f>IFERROR('5000rpm'!AT63,"")</x:f>
        <x:v>0.13346456692913383</x:v>
      </x:c>
      <x:c r="O360" s="22" t="n">
        <x:f>IFERROR('5000rpm'!AS63,"")</x:f>
        <x:v>0.0836665311701624</x:v>
      </x:c>
      <x:c r="P360" s="22" t="n">
        <x:f>IF(OR(NOT(AND(ISNUMBER(D360),ISNUMBER(E360),ISNUMBER(G360),ISNUMBER(H360))),OR(F360&lt;J360,F360&gt;K360)),"",IF(N360=L360,M360,M360+(F360-L360)*(O360-M360)/(N360-L360)))</x:f>
        <x:v>0.08321331495796815</x:v>
      </x:c>
      <x:c r="Q360" s="22" t="n">
        <x:f>IF(AND(ISNUMBER(I360),ISNUMBER(P360)),I360-P360,"")</x:f>
        <x:v>-0.00892046507714668</x:v>
      </x:c>
      <x:c r="R360" s="22" t="n">
        <x:f>IF(ISNUMBER(Q360),ABS(Q360),"")</x:f>
        <x:v>0.00892046507714668</x:v>
      </x:c>
      <x:c r="S360" s="36" t="n">
        <x:f>IF(AND(ISNUMBER(Q360),ISNUMBER(P360)),IF(ABS(P360)&lt;1E-12,"",Q360/P360),"")</x:f>
        <x:v>-0.10719997252425882</x:v>
      </x:c>
      <x:c r="T360" s="36" t="n">
        <x:f>IF(ISNUMBER(S360),ABS(S360),"")</x:f>
        <x:v>0.10719997252425882</x:v>
      </x:c>
      <x:c r="U360" s="37" t="n">
        <x:f>IF(ISNUMBER(Q360),Q360^2,"")</x:f>
        <x:v>0.00007957469719259353</x:v>
      </x:c>
      <x:c r="V360" s="21" t="str">
        <x:f>IF(NOT(AND(ISNUMBER(D360),ISNUMBER(E360),ISNUMBER(G360),ISNUMBER(H360))),"缺少配对",IF(OR(F360&lt;J360,F360&gt;K360),"超出理论J范围","有效"))</x:f>
        <x:v>有效</x:v>
      </x:c>
      <x:c r="W360" s="20" t="str">
        <x:v>升力 y=0.915708x+28.7687 → C_T_prop；实验攻角 15° ↔ 理论 alpha_p_deg 75°；原升力源 5000rpm!D35/O35</x:v>
      </x:c>
      <x:c r="X360" s="20" t="str">
        <x:v>升力标定计算!M719</x:v>
      </x:c>
      <x:c r="Y360" s="20" t="str">
        <x:v>升力标定计算!M720</x:v>
      </x:c>
      <x:c r="Z360" s="20" t="str">
        <x:v>升力标定计算!N719</x:v>
      </x:c>
      <x:c r="AA360" s="20" t="str">
        <x:v>升力标定计算!N720</x:v>
      </x:c>
      <x:c r="AB360" s="20" t="str">
        <x:v>5000rpm!AT62:AS63</x:v>
      </x:c>
    </x:row>
    <x:row r="361">
      <x:c r="A361" s="21" t="n">
        <x:v>5000</x:v>
      </x:c>
      <x:c r="B361" s="21" t="n">
        <x:v>15</x:v>
      </x:c>
      <x:c r="C361" s="21" t="n">
        <x:v>7</x:v>
      </x:c>
      <x:c r="D361" s="22" t="n">
        <x:f>IFERROR('升力标定计算'!M721,"")</x:f>
        <x:v>0.1346158700244188</x:v>
      </x:c>
      <x:c r="E361" s="22" t="n">
        <x:f>IFERROR('升力标定计算'!M722,"")</x:f>
        <x:v>0.13400306550155952</x:v>
      </x:c>
      <x:c r="F361" s="22" t="n">
        <x:f>IF(AND(ISNUMBER(D361),ISNUMBER(E361)),AVERAGE(D361,E361),"")</x:f>
        <x:v>0.13430946776298916</x:v>
      </x:c>
      <x:c r="G361" s="22" t="n">
        <x:f>IFERROR('升力标定计算'!N721,"")</x:f>
        <x:v>0.07606917968707604</x:v>
      </x:c>
      <x:c r="H361" s="22" t="n">
        <x:f>IFERROR('升力标定计算'!N722,"")</x:f>
        <x:v>0.07061103956462828</x:v>
      </x:c>
      <x:c r="I361" s="22" t="n">
        <x:f>IF(AND(ISNUMBER(G361),ISNUMBER(H361)),AVERAGE(G361,H361),"")</x:f>
        <x:v>0.07334010962585216</x:v>
      </x:c>
      <x:c r="J361" s="22" t="n">
        <x:f>IFERROR('5000rpm'!AT58,"")</x:f>
        <x:v>0</x:v>
      </x:c>
      <x:c r="K361" s="22" t="n">
        <x:f>IFERROR('5000rpm'!AT68,"")</x:f>
        <x:v>0.26692913385826766</x:v>
      </x:c>
      <x:c r="L361" s="22" t="n">
        <x:f>IFERROR('5000rpm'!AT63,"")</x:f>
        <x:v>0.13346456692913383</x:v>
      </x:c>
      <x:c r="M361" s="22" t="n">
        <x:f>IFERROR('5000rpm'!AS63,"")</x:f>
        <x:v>0.0836665311701624</x:v>
      </x:c>
      <x:c r="N361" s="22" t="n">
        <x:f>IFERROR('5000rpm'!AT64,"")</x:f>
        <x:v>0.16015748031496063</x:v>
      </x:c>
      <x:c r="O361" s="22" t="n">
        <x:f>IFERROR('5000rpm'!AS64,"")</x:f>
        <x:v>0.08426527151344906</x:v>
      </x:c>
      <x:c r="P361" s="22" t="n">
        <x:f>IF(OR(NOT(AND(ISNUMBER(D361),ISNUMBER(E361),ISNUMBER(G361),ISNUMBER(H361))),OR(F361&lt;J361,F361&gt;K361)),"",IF(N361=L361,M361,M361+(F361-L361)*(O361-M361)/(N361-L361)))</x:f>
        <x:v>0.08368548287498359</x:v>
      </x:c>
      <x:c r="Q361" s="22" t="n">
        <x:f>IF(AND(ISNUMBER(I361),ISNUMBER(P361)),I361-P361,"")</x:f>
        <x:v>-0.010345373249131429</x:v>
      </x:c>
      <x:c r="R361" s="22" t="n">
        <x:f>IF(ISNUMBER(Q361),ABS(Q361),"")</x:f>
        <x:v>0.010345373249131429</x:v>
      </x:c>
      <x:c r="S361" s="36" t="n">
        <x:f>IF(AND(ISNUMBER(Q361),ISNUMBER(P361)),IF(ABS(P361)&lt;1E-12,"",Q361/P361),"")</x:f>
        <x:v>-0.12362207749444688</x:v>
      </x:c>
      <x:c r="T361" s="36" t="n">
        <x:f>IF(ISNUMBER(S361),ABS(S361),"")</x:f>
        <x:v>0.12362207749444688</x:v>
      </x:c>
      <x:c r="U361" s="37" t="n">
        <x:f>IF(ISNUMBER(Q361),Q361^2,"")</x:f>
        <x:v>0.00010702674766384418</x:v>
      </x:c>
      <x:c r="V361" s="21" t="str">
        <x:f>IF(NOT(AND(ISNUMBER(D361),ISNUMBER(E361),ISNUMBER(G361),ISNUMBER(H361))),"缺少配对",IF(OR(F361&lt;J361,F361&gt;K361),"超出理论J范围","有效"))</x:f>
        <x:v>有效</x:v>
      </x:c>
      <x:c r="W361" s="20" t="str">
        <x:v>升力 y=0.915708x+28.7687 → C_T_prop；实验攻角 15° ↔ 理论 alpha_p_deg 75°；原升力源 5000rpm!D36/O36</x:v>
      </x:c>
      <x:c r="X361" s="20" t="str">
        <x:v>升力标定计算!M721</x:v>
      </x:c>
      <x:c r="Y361" s="20" t="str">
        <x:v>升力标定计算!M722</x:v>
      </x:c>
      <x:c r="Z361" s="20" t="str">
        <x:v>升力标定计算!N721</x:v>
      </x:c>
      <x:c r="AA361" s="20" t="str">
        <x:v>升力标定计算!N722</x:v>
      </x:c>
      <x:c r="AB361" s="20" t="str">
        <x:v>5000rpm!AT63:AS64</x:v>
      </x:c>
    </x:row>
    <x:row r="362">
      <x:c r="A362" s="21" t="n">
        <x:v>5000</x:v>
      </x:c>
      <x:c r="B362" s="21" t="n">
        <x:v>15</x:v>
      </x:c>
      <x:c r="C362" s="21" t="n">
        <x:v>8</x:v>
      </x:c>
      <x:c r="D362" s="22" t="n">
        <x:f>IFERROR('升力标定计算'!M723,"")</x:f>
        <x:v>0.16151766476871013</x:v>
      </x:c>
      <x:c r="E362" s="22" t="n">
        <x:f>IFERROR('升力标定计算'!M724,"")</x:f>
        <x:v>0.16183655992504437</x:v>
      </x:c>
      <x:c r="F362" s="22" t="n">
        <x:f>IF(AND(ISNUMBER(D362),ISNUMBER(E362)),AVERAGE(D362,E362),"")</x:f>
        <x:v>0.16167711234687726</x:v>
      </x:c>
      <x:c r="G362" s="22" t="n">
        <x:f>IFERROR('升力标定计算'!N723,"")</x:f>
        <x:v>0.07505313293442878</x:v>
      </x:c>
      <x:c r="H362" s="22" t="n">
        <x:f>IFERROR('升力标定计算'!N724,"")</x:f>
        <x:v>0.0709835734822474</x:v>
      </x:c>
      <x:c r="I362" s="22" t="n">
        <x:f>IF(AND(ISNUMBER(G362),ISNUMBER(H362)),AVERAGE(G362,H362),"")</x:f>
        <x:v>0.07301835320833809</x:v>
      </x:c>
      <x:c r="J362" s="22" t="n">
        <x:f>IFERROR('5000rpm'!AT58,"")</x:f>
        <x:v>0</x:v>
      </x:c>
      <x:c r="K362" s="22" t="n">
        <x:f>IFERROR('5000rpm'!AT68,"")</x:f>
        <x:v>0.26692913385826766</x:v>
      </x:c>
      <x:c r="L362" s="22" t="n">
        <x:f>IFERROR('5000rpm'!AT64,"")</x:f>
        <x:v>0.16015748031496063</x:v>
      </x:c>
      <x:c r="M362" s="22" t="n">
        <x:f>IFERROR('5000rpm'!AS64,"")</x:f>
        <x:v>0.08426527151344906</x:v>
      </x:c>
      <x:c r="N362" s="22" t="n">
        <x:f>IFERROR('5000rpm'!AT65,"")</x:f>
        <x:v>0.18685039370078743</x:v>
      </x:c>
      <x:c r="O362" s="22" t="n">
        <x:f>IFERROR('5000rpm'!AS65,"")</x:f>
        <x:v>0.08494577048132838</x:v>
      </x:c>
      <x:c r="P362" s="22" t="n">
        <x:f>IF(OR(NOT(AND(ISNUMBER(D362),ISNUMBER(E362),ISNUMBER(G362),ISNUMBER(H362))),OR(F362&lt;J362,F362&gt;K362)),"",IF(N362=L362,M362,M362+(F362-L362)*(O362-M362)/(N362-L362)))</x:f>
        <x:v>0.08430401243371986</x:v>
      </x:c>
      <x:c r="Q362" s="22" t="n">
        <x:f>IF(AND(ISNUMBER(I362),ISNUMBER(P362)),I362-P362,"")</x:f>
        <x:v>-0.011285659225381772</x:v>
      </x:c>
      <x:c r="R362" s="22" t="n">
        <x:f>IF(ISNUMBER(Q362),ABS(Q362),"")</x:f>
        <x:v>0.011285659225381772</x:v>
      </x:c>
      <x:c r="S362" s="36" t="n">
        <x:f>IF(AND(ISNUMBER(Q362),ISNUMBER(P362)),IF(ABS(P362)&lt;1E-12,"",Q362/P362),"")</x:f>
        <x:v>-0.13386858940141907</x:v>
      </x:c>
      <x:c r="T362" s="36" t="n">
        <x:f>IF(ISNUMBER(S362),ABS(S362),"")</x:f>
        <x:v>0.13386858940141907</x:v>
      </x:c>
      <x:c r="U362" s="37" t="n">
        <x:f>IF(ISNUMBER(Q362),Q362^2,"")</x:f>
        <x:v>0.0001273661041514447</x:v>
      </x:c>
      <x:c r="V362" s="21" t="str">
        <x:f>IF(NOT(AND(ISNUMBER(D362),ISNUMBER(E362),ISNUMBER(G362),ISNUMBER(H362))),"缺少配对",IF(OR(F362&lt;J362,F362&gt;K362),"超出理论J范围","有效"))</x:f>
        <x:v>有效</x:v>
      </x:c>
      <x:c r="W362" s="20" t="str">
        <x:v>升力 y=0.915708x+28.7687 → C_T_prop；实验攻角 15° ↔ 理论 alpha_p_deg 75°；原升力源 5000rpm!D37/O37</x:v>
      </x:c>
      <x:c r="X362" s="20" t="str">
        <x:v>升力标定计算!M723</x:v>
      </x:c>
      <x:c r="Y362" s="20" t="str">
        <x:v>升力标定计算!M724</x:v>
      </x:c>
      <x:c r="Z362" s="20" t="str">
        <x:v>升力标定计算!N723</x:v>
      </x:c>
      <x:c r="AA362" s="20" t="str">
        <x:v>升力标定计算!N724</x:v>
      </x:c>
      <x:c r="AB362" s="20" t="str">
        <x:v>5000rpm!AT64:AS65</x:v>
      </x:c>
    </x:row>
    <x:row r="363">
      <x:c r="A363" s="21" t="n">
        <x:v>5000</x:v>
      </x:c>
      <x:c r="B363" s="21" t="n">
        <x:v>15</x:v>
      </x:c>
      <x:c r="C363" s="21" t="n">
        <x:v>9</x:v>
      </x:c>
      <x:c r="D363" s="22" t="n">
        <x:f>IFERROR('升力标定计算'!M725,"")</x:f>
        <x:v>0.18846388588465865</x:v>
      </x:c>
      <x:c r="E363" s="22" t="n">
        <x:f>IFERROR('升力标定计算'!M726,"")</x:f>
        <x:v>0.1879843723876797</x:v>
      </x:c>
      <x:c r="F363" s="22" t="n">
        <x:f>IF(AND(ISNUMBER(D363),ISNUMBER(E363)),AVERAGE(D363,E363),"")</x:f>
        <x:v>0.18822412913616918</x:v>
      </x:c>
      <x:c r="G363" s="22" t="n">
        <x:f>IFERROR('升力标定计算'!N725,"")</x:f>
        <x:v>0.07594644870467103</x:v>
      </x:c>
      <x:c r="H363" s="22" t="n">
        <x:f>IFERROR('升力标定计算'!N726,"")</x:f>
        <x:v>0.07000969073233404</x:v>
      </x:c>
      <x:c r="I363" s="22" t="n">
        <x:f>IF(AND(ISNUMBER(G363),ISNUMBER(H363)),AVERAGE(G363,H363),"")</x:f>
        <x:v>0.07297806971850254</x:v>
      </x:c>
      <x:c r="J363" s="22" t="n">
        <x:f>IFERROR('5000rpm'!AT58,"")</x:f>
        <x:v>0</x:v>
      </x:c>
      <x:c r="K363" s="22" t="n">
        <x:f>IFERROR('5000rpm'!AT68,"")</x:f>
        <x:v>0.26692913385826766</x:v>
      </x:c>
      <x:c r="L363" s="22" t="n">
        <x:f>IFERROR('5000rpm'!AT65,"")</x:f>
        <x:v>0.18685039370078743</x:v>
      </x:c>
      <x:c r="M363" s="22" t="n">
        <x:f>IFERROR('5000rpm'!AS65,"")</x:f>
        <x:v>0.08494577048132838</x:v>
      </x:c>
      <x:c r="N363" s="22" t="n">
        <x:f>IFERROR('5000rpm'!AT66,"")</x:f>
        <x:v>0.21354330708661423</x:v>
      </x:c>
      <x:c r="O363" s="22" t="n">
        <x:f>IFERROR('5000rpm'!AS66,"")</x:f>
        <x:v>0.08567023795809504</x:v>
      </x:c>
      <x:c r="P363" s="22" t="n">
        <x:f>IF(OR(NOT(AND(ISNUMBER(D363),ISNUMBER(E363),ISNUMBER(G363),ISNUMBER(H363))),OR(F363&lt;J363,F363&gt;K363)),"",IF(N363=L363,M363,M363+(F363-L363)*(O363-M363)/(N363-L363)))</x:f>
        <x:v>0.08498305478335381</x:v>
      </x:c>
      <x:c r="Q363" s="22" t="n">
        <x:f>IF(AND(ISNUMBER(I363),ISNUMBER(P363)),I363-P363,"")</x:f>
        <x:v>-0.012004985064851273</x:v>
      </x:c>
      <x:c r="R363" s="22" t="n">
        <x:f>IF(ISNUMBER(Q363),ABS(Q363),"")</x:f>
        <x:v>0.012004985064851273</x:v>
      </x:c>
      <x:c r="S363" s="36" t="n">
        <x:f>IF(AND(ISNUMBER(Q363),ISNUMBER(P363)),IF(ABS(P363)&lt;1E-12,"",Q363/P363),"")</x:f>
        <x:v>-0.1412632800204161</x:v>
      </x:c>
      <x:c r="T363" s="36" t="n">
        <x:f>IF(ISNUMBER(S363),ABS(S363),"")</x:f>
        <x:v>0.1412632800204161</x:v>
      </x:c>
      <x:c r="U363" s="37" t="n">
        <x:f>IF(ISNUMBER(Q363),Q363^2,"")</x:f>
        <x:v>0.00014411966640730212</x:v>
      </x:c>
      <x:c r="V363" s="21" t="str">
        <x:f>IF(NOT(AND(ISNUMBER(D363),ISNUMBER(E363),ISNUMBER(G363),ISNUMBER(H363))),"缺少配对",IF(OR(F363&lt;J363,F363&gt;K363),"超出理论J范围","有效"))</x:f>
        <x:v>有效</x:v>
      </x:c>
      <x:c r="W363" s="20" t="str">
        <x:v>升力 y=0.915708x+28.7687 → C_T_prop；实验攻角 15° ↔ 理论 alpha_p_deg 75°；原升力源 5000rpm!D38/O38</x:v>
      </x:c>
      <x:c r="X363" s="20" t="str">
        <x:v>升力标定计算!M725</x:v>
      </x:c>
      <x:c r="Y363" s="20" t="str">
        <x:v>升力标定计算!M726</x:v>
      </x:c>
      <x:c r="Z363" s="20" t="str">
        <x:v>升力标定计算!N725</x:v>
      </x:c>
      <x:c r="AA363" s="20" t="str">
        <x:v>升力标定计算!N726</x:v>
      </x:c>
      <x:c r="AB363" s="20" t="str">
        <x:v>5000rpm!AT65:AS66</x:v>
      </x:c>
    </x:row>
    <x:row r="364">
      <x:c r="A364" s="21" t="n">
        <x:v>5000</x:v>
      </x:c>
      <x:c r="B364" s="21" t="n">
        <x:v>15</x:v>
      </x:c>
      <x:c r="C364" s="21" t="n">
        <x:v>10</x:v>
      </x:c>
      <x:c r="D364" s="22" t="n">
        <x:f>IFERROR('升力标定计算'!M727,"")</x:f>
        <x:v>0.2157567356250449</x:v>
      </x:c>
      <x:c r="E364" s="22" t="n">
        <x:f>IFERROR('升力标定计算'!M728,"")</x:f>
        <x:v>0.21580901142886305</x:v>
      </x:c>
      <x:c r="F364" s="22" t="n">
        <x:f>IF(AND(ISNUMBER(D364),ISNUMBER(E364)),AVERAGE(D364,E364),"")</x:f>
        <x:v>0.21578287352695397</x:v>
      </x:c>
      <x:c r="G364" s="22" t="n">
        <x:f>IFERROR('升力标定计算'!N727,"")</x:f>
        <x:v>0.07754168571780438</x:v>
      </x:c>
      <x:c r="H364" s="22" t="n">
        <x:f>IFERROR('升力标定计算'!N728,"")</x:f>
        <x:v>0.06876694839649852</x:v>
      </x:c>
      <x:c r="I364" s="22" t="n">
        <x:f>IF(AND(ISNUMBER(G364),ISNUMBER(H364)),AVERAGE(G364,H364),"")</x:f>
        <x:v>0.07315431705715145</x:v>
      </x:c>
      <x:c r="J364" s="22" t="n">
        <x:f>IFERROR('5000rpm'!AT58,"")</x:f>
        <x:v>0</x:v>
      </x:c>
      <x:c r="K364" s="22" t="n">
        <x:f>IFERROR('5000rpm'!AT68,"")</x:f>
        <x:v>0.26692913385826766</x:v>
      </x:c>
      <x:c r="L364" s="22" t="n">
        <x:f>IFERROR('5000rpm'!AT66,"")</x:f>
        <x:v>0.21354330708661423</x:v>
      </x:c>
      <x:c r="M364" s="22" t="n">
        <x:f>IFERROR('5000rpm'!AS66,"")</x:f>
        <x:v>0.08567023795809504</x:v>
      </x:c>
      <x:c r="N364" s="22" t="n">
        <x:f>IFERROR('5000rpm'!AT67,"")</x:f>
        <x:v>0.24023622047244095</x:v>
      </x:c>
      <x:c r="O364" s="22" t="n">
        <x:f>IFERROR('5000rpm'!AS67,"")</x:f>
        <x:v>0.08640325942156284</x:v>
      </x:c>
      <x:c r="P364" s="22" t="n">
        <x:f>IF(OR(NOT(AND(ISNUMBER(D364),ISNUMBER(E364),ISNUMBER(G364),ISNUMBER(H364))),OR(F364&lt;J364,F364&gt;K364)),"",IF(N364=L364,M364,M364+(F364-L364)*(O364-M364)/(N364-L364)))</x:f>
        <x:v>0.08573173931037917</x:v>
      </x:c>
      <x:c r="Q364" s="22" t="n">
        <x:f>IF(AND(ISNUMBER(I364),ISNUMBER(P364)),I364-P364,"")</x:f>
        <x:v>-0.012577422253227721</x:v>
      </x:c>
      <x:c r="R364" s="22" t="n">
        <x:f>IF(ISNUMBER(Q364),ABS(Q364),"")</x:f>
        <x:v>0.012577422253227721</x:v>
      </x:c>
      <x:c r="S364" s="36" t="n">
        <x:f>IF(AND(ISNUMBER(Q364),ISNUMBER(P364)),IF(ABS(P364)&lt;1E-12,"",Q364/P364),"")</x:f>
        <x:v>-0.14670671975629715</x:v>
      </x:c>
      <x:c r="T364" s="36" t="n">
        <x:f>IF(ISNUMBER(S364),ABS(S364),"")</x:f>
        <x:v>0.14670671975629715</x:v>
      </x:c>
      <x:c r="U364" s="37" t="n">
        <x:f>IF(ISNUMBER(Q364),Q364^2,"")</x:f>
        <x:v>0.00015819155053598788</x:v>
      </x:c>
      <x:c r="V364" s="21" t="str">
        <x:f>IF(NOT(AND(ISNUMBER(D364),ISNUMBER(E364),ISNUMBER(G364),ISNUMBER(H364))),"缺少配对",IF(OR(F364&lt;J364,F364&gt;K364),"超出理论J范围","有效"))</x:f>
        <x:v>有效</x:v>
      </x:c>
      <x:c r="W364" s="20" t="str">
        <x:v>升力 y=0.915708x+28.7687 → C_T_prop；实验攻角 15° ↔ 理论 alpha_p_deg 75°；原升力源 5000rpm!D39/O39</x:v>
      </x:c>
      <x:c r="X364" s="20" t="str">
        <x:v>升力标定计算!M727</x:v>
      </x:c>
      <x:c r="Y364" s="20" t="str">
        <x:v>升力标定计算!M728</x:v>
      </x:c>
      <x:c r="Z364" s="20" t="str">
        <x:v>升力标定计算!N727</x:v>
      </x:c>
      <x:c r="AA364" s="20" t="str">
        <x:v>升力标定计算!N728</x:v>
      </x:c>
      <x:c r="AB364" s="20" t="str">
        <x:v>5000rpm!AT66:AS67</x:v>
      </x:c>
    </x:row>
    <x:row r="365">
      <x:c r="A365" s="21" t="n">
        <x:v>5000</x:v>
      </x:c>
      <x:c r="B365" s="21" t="n">
        <x:v>15</x:v>
      </x:c>
      <x:c r="C365" s="21" t="n">
        <x:v>11</x:v>
      </x:c>
      <x:c r="D365" s="22" t="n">
        <x:f>IFERROR('升力标定计算'!M729,"")</x:f>
        <x:v>0.2444423309111554</x:v>
      </x:c>
      <x:c r="E365" s="22" t="n">
        <x:f>IFERROR('升力标定计算'!M730,"")</x:f>
        <x:v>0.24244572412172283</x:v>
      </x:c>
      <x:c r="F365" s="22" t="n">
        <x:f>IF(AND(ISNUMBER(D365),ISNUMBER(E365)),AVERAGE(D365,E365),"")</x:f>
        <x:v>0.24344402751643912</x:v>
      </x:c>
      <x:c r="G365" s="22" t="n">
        <x:f>IFERROR('升力标定计算'!N729,"")</x:f>
        <x:v>0.07910943500646342</x:v>
      </x:c>
      <x:c r="H365" s="22" t="n">
        <x:f>IFERROR('升力标定计算'!N730,"")</x:f>
        <x:v>0.07091646700248586</x:v>
      </x:c>
      <x:c r="I365" s="22" t="n">
        <x:f>IF(AND(ISNUMBER(G365),ISNUMBER(H365)),AVERAGE(G365,H365),"")</x:f>
        <x:v>0.07501295100447464</x:v>
      </x:c>
      <x:c r="J365" s="22" t="n">
        <x:f>IFERROR('5000rpm'!AT58,"")</x:f>
        <x:v>0</x:v>
      </x:c>
      <x:c r="K365" s="22" t="n">
        <x:f>IFERROR('5000rpm'!AT68,"")</x:f>
        <x:v>0.26692913385826766</x:v>
      </x:c>
      <x:c r="L365" s="22" t="n">
        <x:f>IFERROR('5000rpm'!AT67,"")</x:f>
        <x:v>0.24023622047244095</x:v>
      </x:c>
      <x:c r="M365" s="22" t="n">
        <x:f>IFERROR('5000rpm'!AS67,"")</x:f>
        <x:v>0.08640325942156284</x:v>
      </x:c>
      <x:c r="N365" s="22" t="n">
        <x:f>IFERROR('5000rpm'!AT68,"")</x:f>
        <x:v>0.26692913385826766</x:v>
      </x:c>
      <x:c r="O365" s="22" t="n">
        <x:f>IFERROR('5000rpm'!AS68,"")</x:f>
        <x:v>0.08711772182289176</x:v>
      </x:c>
      <x:c r="P365" s="22" t="n">
        <x:f>IF(OR(NOT(AND(ISNUMBER(D365),ISNUMBER(E365),ISNUMBER(G365),ISNUMBER(H365))),OR(F365&lt;J365,F365&gt;K365)),"",IF(N365=L365,M365,M365+(F365-L365)*(O365-M365)/(N365-L365)))</x:f>
        <x:v>0.0864891195706791</x:v>
      </x:c>
      <x:c r="Q365" s="22" t="n">
        <x:f>IF(AND(ISNUMBER(I365),ISNUMBER(P365)),I365-P365,"")</x:f>
        <x:v>-0.011476168566204467</x:v>
      </x:c>
      <x:c r="R365" s="22" t="n">
        <x:f>IF(ISNUMBER(Q365),ABS(Q365),"")</x:f>
        <x:v>0.011476168566204467</x:v>
      </x:c>
      <x:c r="S365" s="36" t="n">
        <x:f>IF(AND(ISNUMBER(Q365),ISNUMBER(P365)),IF(ABS(P365)&lt;1E-12,"",Q365/P365),"")</x:f>
        <x:v>-0.13268915932050987</x:v>
      </x:c>
      <x:c r="T365" s="36" t="n">
        <x:f>IF(ISNUMBER(S365),ABS(S365),"")</x:f>
        <x:v>0.13268915932050987</x:v>
      </x:c>
      <x:c r="U365" s="37" t="n">
        <x:f>IF(ISNUMBER(Q365),Q365^2,"")</x:f>
        <x:v>0.0001317024449599395</x:v>
      </x:c>
      <x:c r="V365" s="21" t="str">
        <x:f>IF(NOT(AND(ISNUMBER(D365),ISNUMBER(E365),ISNUMBER(G365),ISNUMBER(H365))),"缺少配对",IF(OR(F365&lt;J365,F365&gt;K365),"超出理论J范围","有效"))</x:f>
        <x:v>有效</x:v>
      </x:c>
      <x:c r="W365" s="20" t="str">
        <x:v>升力 y=0.915708x+28.7687 → C_T_prop；实验攻角 15° ↔ 理论 alpha_p_deg 75°；原升力源 5000rpm!D40/O40</x:v>
      </x:c>
      <x:c r="X365" s="20" t="str">
        <x:v>升力标定计算!M729</x:v>
      </x:c>
      <x:c r="Y365" s="20" t="str">
        <x:v>升力标定计算!M730</x:v>
      </x:c>
      <x:c r="Z365" s="20" t="str">
        <x:v>升力标定计算!N729</x:v>
      </x:c>
      <x:c r="AA365" s="20" t="str">
        <x:v>升力标定计算!N730</x:v>
      </x:c>
      <x:c r="AB365" s="20" t="str">
        <x:v>5000rpm!AT67:AS68</x:v>
      </x:c>
    </x:row>
    <x:row r="366">
      <x:c r="A366" s="21" t="n">
        <x:v>5000</x:v>
      </x:c>
      <x:c r="B366" s="21" t="n">
        <x:v>15</x:v>
      </x:c>
      <x:c r="C366" s="21" t="n">
        <x:v>12</x:v>
      </x:c>
      <x:c r="D366" s="22" t="n">
        <x:f>IFERROR('升力标定计算'!M731,"")</x:f>
        <x:v>0.2704213027667254</x:v>
      </x:c>
      <x:c r="E366" s="22" t="n">
        <x:f>IFERROR('升力标定计算'!M732,"")</x:f>
        <x:v>0.26586148498960227</x:v>
      </x:c>
      <x:c r="F366" s="22" t="n">
        <x:f>IF(AND(ISNUMBER(D366),ISNUMBER(E366)),AVERAGE(D366,E366),"")</x:f>
        <x:v>0.2681413938781638</x:v>
      </x:c>
      <x:c r="G366" s="22" t="n">
        <x:f>IFERROR('升力标定计算'!N731,"")</x:f>
        <x:v>0.07955335811991454</x:v>
      </x:c>
      <x:c r="H366" s="22" t="n">
        <x:f>IFERROR('升力标定计算'!N732,"")</x:f>
        <x:v>0.07165115930409545</x:v>
      </x:c>
      <x:c r="I366" s="22" t="n">
        <x:f>IF(AND(ISNUMBER(G366),ISNUMBER(H366)),AVERAGE(G366,H366),"")</x:f>
        <x:v>0.07560225871200499</x:v>
      </x:c>
      <x:c r="J366" s="22" t="n">
        <x:f>IFERROR('5000rpm'!AT58,"")</x:f>
        <x:v>0</x:v>
      </x:c>
      <x:c r="K366" s="22" t="n">
        <x:f>IFERROR('5000rpm'!AT68,"")</x:f>
        <x:v>0.26692913385826766</x:v>
      </x:c>
      <x:c r="L366" s="22" t="n">
        <x:f>IFERROR('5000rpm'!AT58,"")</x:f>
        <x:v>0</x:v>
      </x:c>
      <x:c r="M366" s="22" t="n">
        <x:f>IFERROR('5000rpm'!AS58,"")</x:f>
        <x:v>0.0836476206119306</x:v>
      </x:c>
      <x:c r="N366" s="22" t="n">
        <x:f>IFERROR('5000rpm'!AT68,"")</x:f>
        <x:v>0.26692913385826766</x:v>
      </x:c>
      <x:c r="O366" s="22" t="n">
        <x:f>IFERROR('5000rpm'!AS68,"")</x:f>
        <x:v>0.08711772182289176</x:v>
      </x:c>
      <x:c r="P366" s="22" t="str">
        <x:f>IF(OR(NOT(AND(ISNUMBER(D366),ISNUMBER(E366),ISNUMBER(G366),ISNUMBER(H366))),OR(F366&lt;J366,F366&gt;K366)),"",IF(N366=L366,M366,M366+(F366-L366)*(O366-M366)/(N366-L366)))</x:f>
      </x:c>
      <x:c r="Q366" s="22" t="str">
        <x:f>IF(AND(ISNUMBER(I366),ISNUMBER(P366)),I366-P366,"")</x:f>
      </x:c>
      <x:c r="R366" s="22" t="str">
        <x:f>IF(ISNUMBER(Q366),ABS(Q366),"")</x:f>
      </x:c>
      <x:c r="S366" s="36" t="str">
        <x:f>IF(AND(ISNUMBER(Q366),ISNUMBER(P366)),IF(ABS(P366)&lt;1E-12,"",Q366/P366),"")</x:f>
      </x:c>
      <x:c r="T366" s="36" t="str">
        <x:f>IF(ISNUMBER(S366),ABS(S366),"")</x:f>
      </x:c>
      <x:c r="U366" s="37" t="str">
        <x:f>IF(ISNUMBER(Q366),Q366^2,"")</x:f>
      </x:c>
      <x:c r="V366" s="21" t="str">
        <x:f>IF(NOT(AND(ISNUMBER(D366),ISNUMBER(E366),ISNUMBER(G366),ISNUMBER(H366))),"缺少配对",IF(OR(F366&lt;J366,F366&gt;K366),"超出理论J范围","有效"))</x:f>
        <x:v>超出理论J范围</x:v>
      </x:c>
      <x:c r="W366" s="20" t="str">
        <x:v>升力 y=0.915708x+28.7687 → C_T_prop；实验攻角 15° ↔ 理论 alpha_p_deg 75°；原升力源 5000rpm!D41/O41</x:v>
      </x:c>
      <x:c r="X366" s="20" t="str">
        <x:v>升力标定计算!M731</x:v>
      </x:c>
      <x:c r="Y366" s="20" t="str">
        <x:v>升力标定计算!M732</x:v>
      </x:c>
      <x:c r="Z366" s="20" t="str">
        <x:v>升力标定计算!N731</x:v>
      </x:c>
      <x:c r="AA366" s="20" t="str">
        <x:v>升力标定计算!N732</x:v>
      </x:c>
      <x:c r="AB366" s="20" t="str">
        <x:v>5000rpm!AT58:AS68</x:v>
      </x:c>
    </x:row>
    <x:row r="367">
      <x:c r="A367" s="21" t="n">
        <x:v>5000</x:v>
      </x:c>
      <x:c r="B367" s="21" t="n">
        <x:v>15</x:v>
      </x:c>
      <x:c r="C367" s="21" t="n">
        <x:v>13</x:v>
      </x:c>
      <x:c r="D367" s="22" t="n">
        <x:f>IFERROR('升力标定计算'!M733,"")</x:f>
        <x:v>0.24290444795284857</x:v>
      </x:c>
      <x:c r="E367" s="22" t="n">
        <x:f>IFERROR('升力标定计算'!M734,"")</x:f>
        <x:v>0.2406701611513084</x:v>
      </x:c>
      <x:c r="F367" s="22" t="n">
        <x:f>IF(AND(ISNUMBER(D367),ISNUMBER(E367)),AVERAGE(D367,E367),"")</x:f>
        <x:v>0.24178730455207847</x:v>
      </x:c>
      <x:c r="G367" s="22" t="n">
        <x:f>IFERROR('升力标定计算'!N733,"")</x:f>
        <x:v>0.07738235283670156</x:v>
      </x:c>
      <x:c r="H367" s="22" t="n">
        <x:f>IFERROR('升力标定计算'!N734,"")</x:f>
        <x:v>0.07472685593762997</x:v>
      </x:c>
      <x:c r="I367" s="22" t="n">
        <x:f>IF(AND(ISNUMBER(G367),ISNUMBER(H367)),AVERAGE(G367,H367),"")</x:f>
        <x:v>0.07605460438716577</x:v>
      </x:c>
      <x:c r="J367" s="22" t="n">
        <x:f>IFERROR('5000rpm'!AT58,"")</x:f>
        <x:v>0</x:v>
      </x:c>
      <x:c r="K367" s="22" t="n">
        <x:f>IFERROR('5000rpm'!AT68,"")</x:f>
        <x:v>0.26692913385826766</x:v>
      </x:c>
      <x:c r="L367" s="22" t="n">
        <x:f>IFERROR('5000rpm'!AT67,"")</x:f>
        <x:v>0.24023622047244095</x:v>
      </x:c>
      <x:c r="M367" s="22" t="n">
        <x:f>IFERROR('5000rpm'!AS67,"")</x:f>
        <x:v>0.08640325942156284</x:v>
      </x:c>
      <x:c r="N367" s="22" t="n">
        <x:f>IFERROR('5000rpm'!AT68,"")</x:f>
        <x:v>0.26692913385826766</x:v>
      </x:c>
      <x:c r="O367" s="22" t="n">
        <x:f>IFERROR('5000rpm'!AS68,"")</x:f>
        <x:v>0.08711772182289176</x:v>
      </x:c>
      <x:c r="P367" s="22" t="n">
        <x:f>IF(OR(NOT(AND(ISNUMBER(D367),ISNUMBER(E367),ISNUMBER(G367),ISNUMBER(H367))),OR(F367&lt;J367,F367&gt;K367)),"",IF(N367=L367,M367,M367+(F367-L367)*(O367-M367)/(N367-L367)))</x:f>
        <x:v>0.08644477573116092</x:v>
      </x:c>
      <x:c r="Q367" s="22" t="n">
        <x:f>IF(AND(ISNUMBER(I367),ISNUMBER(P367)),I367-P367,"")</x:f>
        <x:v>-0.010390171343995155</x:v>
      </x:c>
      <x:c r="R367" s="22" t="n">
        <x:f>IF(ISNUMBER(Q367),ABS(Q367),"")</x:f>
        <x:v>0.010390171343995155</x:v>
      </x:c>
      <x:c r="S367" s="36" t="n">
        <x:f>IF(AND(ISNUMBER(Q367),ISNUMBER(P367)),IF(ABS(P367)&lt;1E-12,"",Q367/P367),"")</x:f>
        <x:v>-0.12019432355644123</x:v>
      </x:c>
      <x:c r="T367" s="36" t="n">
        <x:f>IF(ISNUMBER(S367),ABS(S367),"")</x:f>
        <x:v>0.12019432355644123</x:v>
      </x:c>
      <x:c r="U367" s="37" t="n">
        <x:f>IF(ISNUMBER(Q367),Q367^2,"")</x:f>
        <x:v>0.0001079556605575781</x:v>
      </x:c>
      <x:c r="V367" s="21" t="str">
        <x:f>IF(NOT(AND(ISNUMBER(D367),ISNUMBER(E367),ISNUMBER(G367),ISNUMBER(H367))),"缺少配对",IF(OR(F367&lt;J367,F367&gt;K367),"超出理论J范围","有效"))</x:f>
        <x:v>有效</x:v>
      </x:c>
      <x:c r="W367" s="20" t="str">
        <x:v>升力 y=0.915708x+28.7687 → C_T_prop；实验攻角 15° ↔ 理论 alpha_p_deg 75°；原升力源 5000rpm!D42/O42</x:v>
      </x:c>
      <x:c r="X367" s="20" t="str">
        <x:v>升力标定计算!M733</x:v>
      </x:c>
      <x:c r="Y367" s="20" t="str">
        <x:v>升力标定计算!M734</x:v>
      </x:c>
      <x:c r="Z367" s="20" t="str">
        <x:v>升力标定计算!N733</x:v>
      </x:c>
      <x:c r="AA367" s="20" t="str">
        <x:v>升力标定计算!N734</x:v>
      </x:c>
      <x:c r="AB367" s="20" t="str">
        <x:v>5000rpm!AT67:AS68</x:v>
      </x:c>
    </x:row>
    <x:row r="368">
      <x:c r="A368" s="21" t="n">
        <x:v>5000</x:v>
      </x:c>
      <x:c r="B368" s="21" t="n">
        <x:v>15</x:v>
      </x:c>
      <x:c r="C368" s="21" t="n">
        <x:v>14</x:v>
      </x:c>
      <x:c r="D368" s="22" t="n">
        <x:f>IFERROR('升力标定计算'!M735,"")</x:f>
        <x:v>0.21767275530021749</x:v>
      </x:c>
      <x:c r="E368" s="22" t="n">
        <x:f>IFERROR('升力标定计算'!M736,"")</x:f>
        <x:v>0.21492501101687989</x:v>
      </x:c>
      <x:c r="F368" s="22" t="n">
        <x:f>IF(AND(ISNUMBER(D368),ISNUMBER(E368)),AVERAGE(D368,E368),"")</x:f>
        <x:v>0.21629888315854867</x:v>
      </x:c>
      <x:c r="G368" s="22" t="n">
        <x:f>IFERROR('升力标定计算'!N735,"")</x:f>
        <x:v>0.07681837649685061</x:v>
      </x:c>
      <x:c r="H368" s="22" t="n">
        <x:f>IFERROR('升力标定计算'!N736,"")</x:f>
        <x:v>0.07614559848734058</x:v>
      </x:c>
      <x:c r="I368" s="22" t="n">
        <x:f>IF(AND(ISNUMBER(G368),ISNUMBER(H368)),AVERAGE(G368,H368),"")</x:f>
        <x:v>0.07648198749209559</x:v>
      </x:c>
      <x:c r="J368" s="22" t="n">
        <x:f>IFERROR('5000rpm'!AT58,"")</x:f>
        <x:v>0</x:v>
      </x:c>
      <x:c r="K368" s="22" t="n">
        <x:f>IFERROR('5000rpm'!AT68,"")</x:f>
        <x:v>0.26692913385826766</x:v>
      </x:c>
      <x:c r="L368" s="22" t="n">
        <x:f>IFERROR('5000rpm'!AT66,"")</x:f>
        <x:v>0.21354330708661423</x:v>
      </x:c>
      <x:c r="M368" s="22" t="n">
        <x:f>IFERROR('5000rpm'!AS66,"")</x:f>
        <x:v>0.08567023795809504</x:v>
      </x:c>
      <x:c r="N368" s="22" t="n">
        <x:f>IFERROR('5000rpm'!AT67,"")</x:f>
        <x:v>0.24023622047244095</x:v>
      </x:c>
      <x:c r="O368" s="22" t="n">
        <x:f>IFERROR('5000rpm'!AS67,"")</x:f>
        <x:v>0.08640325942156284</x:v>
      </x:c>
      <x:c r="P368" s="22" t="n">
        <x:f>IF(OR(NOT(AND(ISNUMBER(D368),ISNUMBER(E368),ISNUMBER(G368),ISNUMBER(H368))),OR(F368&lt;J368,F368&gt;K368)),"",IF(N368=L368,M368,M368+(F368-L368)*(O368-M368)/(N368-L368)))</x:f>
        <x:v>0.08574590959332459</x:v>
      </x:c>
      <x:c r="Q368" s="22" t="n">
        <x:f>IF(AND(ISNUMBER(I368),ISNUMBER(P368)),I368-P368,"")</x:f>
        <x:v>-0.009263922101229005</x:v>
      </x:c>
      <x:c r="R368" s="22" t="n">
        <x:f>IF(ISNUMBER(Q368),ABS(Q368),"")</x:f>
        <x:v>0.009263922101229005</x:v>
      </x:c>
      <x:c r="S368" s="36" t="n">
        <x:f>IF(AND(ISNUMBER(Q368),ISNUMBER(P368)),IF(ABS(P368)&lt;1E-12,"",Q368/P368),"")</x:f>
        <x:v>-0.10803923061946516</x:v>
      </x:c>
      <x:c r="T368" s="36" t="n">
        <x:f>IF(ISNUMBER(S368),ABS(S368),"")</x:f>
        <x:v>0.10803923061946516</x:v>
      </x:c>
      <x:c r="U368" s="37" t="n">
        <x:f>IF(ISNUMBER(Q368),Q368^2,"")</x:f>
        <x:v>0.00008582025269763922</x:v>
      </x:c>
      <x:c r="V368" s="21" t="str">
        <x:f>IF(NOT(AND(ISNUMBER(D368),ISNUMBER(E368),ISNUMBER(G368),ISNUMBER(H368))),"缺少配对",IF(OR(F368&lt;J368,F368&gt;K368),"超出理论J范围","有效"))</x:f>
        <x:v>有效</x:v>
      </x:c>
      <x:c r="W368" s="20" t="str">
        <x:v>升力 y=0.915708x+28.7687 → C_T_prop；实验攻角 15° ↔ 理论 alpha_p_deg 75°；原升力源 5000rpm!D43/O43</x:v>
      </x:c>
      <x:c r="X368" s="20" t="str">
        <x:v>升力标定计算!M735</x:v>
      </x:c>
      <x:c r="Y368" s="20" t="str">
        <x:v>升力标定计算!M736</x:v>
      </x:c>
      <x:c r="Z368" s="20" t="str">
        <x:v>升力标定计算!N735</x:v>
      </x:c>
      <x:c r="AA368" s="20" t="str">
        <x:v>升力标定计算!N736</x:v>
      </x:c>
      <x:c r="AB368" s="20" t="str">
        <x:v>5000rpm!AT66:AS67</x:v>
      </x:c>
    </x:row>
    <x:row r="369">
      <x:c r="A369" s="21" t="n">
        <x:v>5000</x:v>
      </x:c>
      <x:c r="B369" s="21" t="n">
        <x:v>15</x:v>
      </x:c>
      <x:c r="C369" s="21" t="n">
        <x:v>15</x:v>
      </x:c>
      <x:c r="D369" s="22" t="n">
        <x:f>IFERROR('升力标定计算'!M737,"")</x:f>
        <x:v>0.18959858138320668</x:v>
      </x:c>
      <x:c r="E369" s="22" t="n">
        <x:f>IFERROR('升力标定计算'!M738,"")</x:f>
        <x:v>0.18813282220922675</x:v>
      </x:c>
      <x:c r="F369" s="22" t="n">
        <x:f>IF(AND(ISNUMBER(D369),ISNUMBER(E369)),AVERAGE(D369,E369),"")</x:f>
        <x:v>0.1888657017962167</x:v>
      </x:c>
      <x:c r="G369" s="22" t="n">
        <x:f>IFERROR('升力标定计算'!N737,"")</x:f>
        <x:v>0.07415905042948152</x:v>
      </x:c>
      <x:c r="H369" s="22" t="n">
        <x:f>IFERROR('升力标定计算'!N738,"")</x:f>
        <x:v>0.07607869853152206</x:v>
      </x:c>
      <x:c r="I369" s="22" t="n">
        <x:f>IF(AND(ISNUMBER(G369),ISNUMBER(H369)),AVERAGE(G369,H369),"")</x:f>
        <x:v>0.0751188744805018</x:v>
      </x:c>
      <x:c r="J369" s="22" t="n">
        <x:f>IFERROR('5000rpm'!AT58,"")</x:f>
        <x:v>0</x:v>
      </x:c>
      <x:c r="K369" s="22" t="n">
        <x:f>IFERROR('5000rpm'!AT68,"")</x:f>
        <x:v>0.26692913385826766</x:v>
      </x:c>
      <x:c r="L369" s="22" t="n">
        <x:f>IFERROR('5000rpm'!AT65,"")</x:f>
        <x:v>0.18685039370078743</x:v>
      </x:c>
      <x:c r="M369" s="22" t="n">
        <x:f>IFERROR('5000rpm'!AS65,"")</x:f>
        <x:v>0.08494577048132838</x:v>
      </x:c>
      <x:c r="N369" s="22" t="n">
        <x:f>IFERROR('5000rpm'!AT66,"")</x:f>
        <x:v>0.21354330708661423</x:v>
      </x:c>
      <x:c r="O369" s="22" t="n">
        <x:f>IFERROR('5000rpm'!AS66,"")</x:f>
        <x:v>0.08567023795809504</x:v>
      </x:c>
      <x:c r="P369" s="22" t="n">
        <x:f>IF(OR(NOT(AND(ISNUMBER(D369),ISNUMBER(E369),ISNUMBER(G369),ISNUMBER(H369))),OR(F369&lt;J369,F369&gt;K369)),"",IF(N369=L369,M369,M369+(F369-L369)*(O369-M369)/(N369-L369)))</x:f>
        <x:v>0.08500046758949711</x:v>
      </x:c>
      <x:c r="Q369" s="22" t="n">
        <x:f>IF(AND(ISNUMBER(I369),ISNUMBER(P369)),I369-P369,"")</x:f>
        <x:v>-0.00988159310899532</x:v>
      </x:c>
      <x:c r="R369" s="22" t="n">
        <x:f>IF(ISNUMBER(Q369),ABS(Q369),"")</x:f>
        <x:v>0.00988159310899532</x:v>
      </x:c>
      <x:c r="S369" s="36" t="n">
        <x:f>IF(AND(ISNUMBER(Q369),ISNUMBER(P369)),IF(ABS(P369)&lt;1E-12,"",Q369/P369),"")</x:f>
        <x:v>-0.11625339706032767</x:v>
      </x:c>
      <x:c r="T369" s="36" t="n">
        <x:f>IF(ISNUMBER(S369),ABS(S369),"")</x:f>
        <x:v>0.11625339706032767</x:v>
      </x:c>
      <x:c r="U369" s="37" t="n">
        <x:f>IF(ISNUMBER(Q369),Q369^2,"")</x:f>
        <x:v>0.0000976458823717438</x:v>
      </x:c>
      <x:c r="V369" s="21" t="str">
        <x:f>IF(NOT(AND(ISNUMBER(D369),ISNUMBER(E369),ISNUMBER(G369),ISNUMBER(H369))),"缺少配对",IF(OR(F369&lt;J369,F369&gt;K369),"超出理论J范围","有效"))</x:f>
        <x:v>有效</x:v>
      </x:c>
      <x:c r="W369" s="20" t="str">
        <x:v>升力 y=0.915708x+28.7687 → C_T_prop；实验攻角 15° ↔ 理论 alpha_p_deg 75°；原升力源 5000rpm!D44/O44</x:v>
      </x:c>
      <x:c r="X369" s="20" t="str">
        <x:v>升力标定计算!M737</x:v>
      </x:c>
      <x:c r="Y369" s="20" t="str">
        <x:v>升力标定计算!M738</x:v>
      </x:c>
      <x:c r="Z369" s="20" t="str">
        <x:v>升力标定计算!N737</x:v>
      </x:c>
      <x:c r="AA369" s="20" t="str">
        <x:v>升力标定计算!N738</x:v>
      </x:c>
      <x:c r="AB369" s="20" t="str">
        <x:v>5000rpm!AT65:AS66</x:v>
      </x:c>
    </x:row>
    <x:row r="370">
      <x:c r="A370" s="21" t="n">
        <x:v>5000</x:v>
      </x:c>
      <x:c r="B370" s="21" t="n">
        <x:v>15</x:v>
      </x:c>
      <x:c r="C370" s="21" t="n">
        <x:v>16</x:v>
      </x:c>
      <x:c r="D370" s="22" t="n">
        <x:f>IFERROR('升力标定计算'!M739,"")</x:f>
        <x:v>0.16054862282715188</x:v>
      </x:c>
      <x:c r="E370" s="22" t="n">
        <x:f>IFERROR('升力标定计算'!M740,"")</x:f>
        <x:v>0.16169761238712224</x:v>
      </x:c>
      <x:c r="F370" s="22" t="n">
        <x:f>IF(AND(ISNUMBER(D370),ISNUMBER(E370)),AVERAGE(D370,E370),"")</x:f>
        <x:v>0.16112311760713705</x:v>
      </x:c>
      <x:c r="G370" s="22" t="n">
        <x:f>IFERROR('升力标定计算'!N739,"")</x:f>
        <x:v>0.07247595213925653</x:v>
      </x:c>
      <x:c r="H370" s="22" t="n">
        <x:f>IFERROR('升力标定计算'!N740,"")</x:f>
        <x:v>0.07561230315345067</x:v>
      </x:c>
      <x:c r="I370" s="22" t="n">
        <x:f>IF(AND(ISNUMBER(G370),ISNUMBER(H370)),AVERAGE(G370,H370),"")</x:f>
        <x:v>0.0740441276463536</x:v>
      </x:c>
      <x:c r="J370" s="22" t="n">
        <x:f>IFERROR('5000rpm'!AT58,"")</x:f>
        <x:v>0</x:v>
      </x:c>
      <x:c r="K370" s="22" t="n">
        <x:f>IFERROR('5000rpm'!AT68,"")</x:f>
        <x:v>0.26692913385826766</x:v>
      </x:c>
      <x:c r="L370" s="22" t="n">
        <x:f>IFERROR('5000rpm'!AT64,"")</x:f>
        <x:v>0.16015748031496063</x:v>
      </x:c>
      <x:c r="M370" s="22" t="n">
        <x:f>IFERROR('5000rpm'!AS64,"")</x:f>
        <x:v>0.08426527151344906</x:v>
      </x:c>
      <x:c r="N370" s="22" t="n">
        <x:f>IFERROR('5000rpm'!AT65,"")</x:f>
        <x:v>0.18685039370078743</x:v>
      </x:c>
      <x:c r="O370" s="22" t="n">
        <x:f>IFERROR('5000rpm'!AS65,"")</x:f>
        <x:v>0.08494577048132838</x:v>
      </x:c>
      <x:c r="P370" s="22" t="n">
        <x:f>IF(OR(NOT(AND(ISNUMBER(D370),ISNUMBER(E370),ISNUMBER(G370),ISNUMBER(H370))),OR(F370&lt;J370,F370&gt;K370)),"",IF(N370=L370,M370,M370+(F370-L370)*(O370-M370)/(N370-L370)))</x:f>
        <x:v>0.08428988910281346</x:v>
      </x:c>
      <x:c r="Q370" s="22" t="n">
        <x:f>IF(AND(ISNUMBER(I370),ISNUMBER(P370)),I370-P370,"")</x:f>
        <x:v>-0.010245761456459862</x:v>
      </x:c>
      <x:c r="R370" s="22" t="n">
        <x:f>IF(ISNUMBER(Q370),ABS(Q370),"")</x:f>
        <x:v>0.010245761456459862</x:v>
      </x:c>
      <x:c r="S370" s="36" t="n">
        <x:f>IF(AND(ISNUMBER(Q370),ISNUMBER(P370)),IF(ABS(P370)&lt;1E-12,"",Q370/P370),"")</x:f>
        <x:v>-0.12155386091399989</x:v>
      </x:c>
      <x:c r="T370" s="36" t="n">
        <x:f>IF(ISNUMBER(S370),ABS(S370),"")</x:f>
        <x:v>0.12155386091399989</x:v>
      </x:c>
      <x:c r="U370" s="37" t="n">
        <x:f>IF(ISNUMBER(Q370),Q370^2,"")</x:f>
        <x:v>0.00010497562782267852</x:v>
      </x:c>
      <x:c r="V370" s="21" t="str">
        <x:f>IF(NOT(AND(ISNUMBER(D370),ISNUMBER(E370),ISNUMBER(G370),ISNUMBER(H370))),"缺少配对",IF(OR(F370&lt;J370,F370&gt;K370),"超出理论J范围","有效"))</x:f>
        <x:v>有效</x:v>
      </x:c>
      <x:c r="W370" s="20" t="str">
        <x:v>升力 y=0.915708x+28.7687 → C_T_prop；实验攻角 15° ↔ 理论 alpha_p_deg 75°；原升力源 5000rpm!D45/O45</x:v>
      </x:c>
      <x:c r="X370" s="20" t="str">
        <x:v>升力标定计算!M739</x:v>
      </x:c>
      <x:c r="Y370" s="20" t="str">
        <x:v>升力标定计算!M740</x:v>
      </x:c>
      <x:c r="Z370" s="20" t="str">
        <x:v>升力标定计算!N739</x:v>
      </x:c>
      <x:c r="AA370" s="20" t="str">
        <x:v>升力标定计算!N740</x:v>
      </x:c>
      <x:c r="AB370" s="20" t="str">
        <x:v>5000rpm!AT64:AS65</x:v>
      </x:c>
    </x:row>
    <x:row r="371">
      <x:c r="A371" s="21" t="n">
        <x:v>5000</x:v>
      </x:c>
      <x:c r="B371" s="21" t="n">
        <x:v>15</x:v>
      </x:c>
      <x:c r="C371" s="21" t="n">
        <x:v>17</x:v>
      </x:c>
      <x:c r="D371" s="22" t="n">
        <x:f>IFERROR('升力标定计算'!M741,"")</x:f>
        <x:v>0.1363289450308453</x:v>
      </x:c>
      <x:c r="E371" s="22" t="n">
        <x:f>IFERROR('升力标定计算'!M742,"")</x:f>
        <x:v>0.1351481424333177</x:v>
      </x:c>
      <x:c r="F371" s="22" t="n">
        <x:f>IF(AND(ISNUMBER(D371),ISNUMBER(E371)),AVERAGE(D371,E371),"")</x:f>
        <x:v>0.1357385437320815</x:v>
      </x:c>
      <x:c r="G371" s="22" t="n">
        <x:f>IFERROR('升力标定计算'!N741,"")</x:f>
        <x:v>0.07280934267269808</x:v>
      </x:c>
      <x:c r="H371" s="22" t="n">
        <x:f>IFERROR('升力标定计算'!N742,"")</x:f>
        <x:v>0.07542639961092554</x:v>
      </x:c>
      <x:c r="I371" s="22" t="n">
        <x:f>IF(AND(ISNUMBER(G371),ISNUMBER(H371)),AVERAGE(G371,H371),"")</x:f>
        <x:v>0.07411787114181181</x:v>
      </x:c>
      <x:c r="J371" s="22" t="n">
        <x:f>IFERROR('5000rpm'!AT58,"")</x:f>
        <x:v>0</x:v>
      </x:c>
      <x:c r="K371" s="22" t="n">
        <x:f>IFERROR('5000rpm'!AT68,"")</x:f>
        <x:v>0.26692913385826766</x:v>
      </x:c>
      <x:c r="L371" s="22" t="n">
        <x:f>IFERROR('5000rpm'!AT63,"")</x:f>
        <x:v>0.13346456692913383</x:v>
      </x:c>
      <x:c r="M371" s="22" t="n">
        <x:f>IFERROR('5000rpm'!AS63,"")</x:f>
        <x:v>0.0836665311701624</x:v>
      </x:c>
      <x:c r="N371" s="22" t="n">
        <x:f>IFERROR('5000rpm'!AT64,"")</x:f>
        <x:v>0.16015748031496063</x:v>
      </x:c>
      <x:c r="O371" s="22" t="n">
        <x:f>IFERROR('5000rpm'!AS64,"")</x:f>
        <x:v>0.08426527151344906</x:v>
      </x:c>
      <x:c r="P371" s="22" t="n">
        <x:f>IF(OR(NOT(AND(ISNUMBER(D371),ISNUMBER(E371),ISNUMBER(G371),ISNUMBER(H371))),OR(F371&lt;J371,F371&gt;K371)),"",IF(N371=L371,M371,M371+(F371-L371)*(O371-M371)/(N371-L371)))</x:f>
        <x:v>0.08371753802849753</x:v>
      </x:c>
      <x:c r="Q371" s="22" t="n">
        <x:f>IF(AND(ISNUMBER(I371),ISNUMBER(P371)),I371-P371,"")</x:f>
        <x:v>-0.009599666886685718</x:v>
      </x:c>
      <x:c r="R371" s="22" t="n">
        <x:f>IF(ISNUMBER(Q371),ABS(Q371),"")</x:f>
        <x:v>0.009599666886685718</x:v>
      </x:c>
      <x:c r="S371" s="36" t="n">
        <x:f>IF(AND(ISNUMBER(Q371),ISNUMBER(P371)),IF(ABS(P371)&lt;1E-12,"",Q371/P371),"")</x:f>
        <x:v>-0.11466733390341677</x:v>
      </x:c>
      <x:c r="T371" s="36" t="n">
        <x:f>IF(ISNUMBER(S371),ABS(S371),"")</x:f>
        <x:v>0.11466733390341677</x:v>
      </x:c>
      <x:c r="U371" s="37" t="n">
        <x:f>IF(ISNUMBER(Q371),Q371^2,"")</x:f>
        <x:v>0.00009215360433533026</x:v>
      </x:c>
      <x:c r="V371" s="21" t="str">
        <x:f>IF(NOT(AND(ISNUMBER(D371),ISNUMBER(E371),ISNUMBER(G371),ISNUMBER(H371))),"缺少配对",IF(OR(F371&lt;J371,F371&gt;K371),"超出理论J范围","有效"))</x:f>
        <x:v>有效</x:v>
      </x:c>
      <x:c r="W371" s="20" t="str">
        <x:v>升力 y=0.915708x+28.7687 → C_T_prop；实验攻角 15° ↔ 理论 alpha_p_deg 75°；原升力源 5000rpm!D46/O46</x:v>
      </x:c>
      <x:c r="X371" s="20" t="str">
        <x:v>升力标定计算!M741</x:v>
      </x:c>
      <x:c r="Y371" s="20" t="str">
        <x:v>升力标定计算!M742</x:v>
      </x:c>
      <x:c r="Z371" s="20" t="str">
        <x:v>升力标定计算!N741</x:v>
      </x:c>
      <x:c r="AA371" s="20" t="str">
        <x:v>升力标定计算!N742</x:v>
      </x:c>
      <x:c r="AB371" s="20" t="str">
        <x:v>5000rpm!AT63:AS64</x:v>
      </x:c>
    </x:row>
    <x:row r="372">
      <x:c r="A372" s="21" t="n">
        <x:v>5000</x:v>
      </x:c>
      <x:c r="B372" s="21" t="n">
        <x:v>15</x:v>
      </x:c>
      <x:c r="C372" s="21" t="n">
        <x:v>18</x:v>
      </x:c>
      <x:c r="D372" s="22" t="n">
        <x:f>IFERROR('升力标定计算'!M743,"")</x:f>
        <x:v>0.10934205738907352</x:v>
      </x:c>
      <x:c r="E372" s="22" t="n">
        <x:f>IFERROR('升力标定计算'!M744,"")</x:f>
        <x:v>0.10820261829499453</x:v>
      </x:c>
      <x:c r="F372" s="22" t="n">
        <x:f>IF(AND(ISNUMBER(D372),ISNUMBER(E372)),AVERAGE(D372,E372),"")</x:f>
        <x:v>0.10877233784203402</x:v>
      </x:c>
      <x:c r="G372" s="22" t="n">
        <x:f>IFERROR('升力标定计算'!N743,"")</x:f>
        <x:v>0.07376360529983184</x:v>
      </x:c>
      <x:c r="H372" s="22" t="n">
        <x:f>IFERROR('升力标定计算'!N744,"")</x:f>
        <x:v>0.07555678587350974</x:v>
      </x:c>
      <x:c r="I372" s="22" t="n">
        <x:f>IF(AND(ISNUMBER(G372),ISNUMBER(H372)),AVERAGE(G372,H372),"")</x:f>
        <x:v>0.07466019558667078</x:v>
      </x:c>
      <x:c r="J372" s="22" t="n">
        <x:f>IFERROR('5000rpm'!AT58,"")</x:f>
        <x:v>0</x:v>
      </x:c>
      <x:c r="K372" s="22" t="n">
        <x:f>IFERROR('5000rpm'!AT68,"")</x:f>
        <x:v>0.26692913385826766</x:v>
      </x:c>
      <x:c r="L372" s="22" t="n">
        <x:f>IFERROR('5000rpm'!AT62,"")</x:f>
        <x:v>0.10677165354330712</x:v>
      </x:c>
      <x:c r="M372" s="22" t="n">
        <x:f>IFERROR('5000rpm'!AS62,"")</x:f>
        <x:v>0.08319536054453748</x:v>
      </x:c>
      <x:c r="N372" s="22" t="n">
        <x:f>IFERROR('5000rpm'!AT63,"")</x:f>
        <x:v>0.13346456692913383</x:v>
      </x:c>
      <x:c r="O372" s="22" t="n">
        <x:f>IFERROR('5000rpm'!AS63,"")</x:f>
        <x:v>0.0836665311701624</x:v>
      </x:c>
      <x:c r="P372" s="22" t="n">
        <x:f>IF(OR(NOT(AND(ISNUMBER(D372),ISNUMBER(E372),ISNUMBER(G372),ISNUMBER(H372))),OR(F372&lt;J372,F372&gt;K372)),"",IF(N372=L372,M372,M372+(F372-L372)*(O372-M372)/(N372-L372)))</x:f>
        <x:v>0.08323067567327909</x:v>
      </x:c>
      <x:c r="Q372" s="22" t="n">
        <x:f>IF(AND(ISNUMBER(I372),ISNUMBER(P372)),I372-P372,"")</x:f>
        <x:v>-0.00857048008660831</x:v>
      </x:c>
      <x:c r="R372" s="22" t="n">
        <x:f>IF(ISNUMBER(Q372),ABS(Q372),"")</x:f>
        <x:v>0.00857048008660831</x:v>
      </x:c>
      <x:c r="S372" s="36" t="n">
        <x:f>IF(AND(ISNUMBER(Q372),ISNUMBER(P372)),IF(ABS(P372)&lt;1E-12,"",Q372/P372),"")</x:f>
        <x:v>-0.10297261216827813</x:v>
      </x:c>
      <x:c r="T372" s="36" t="n">
        <x:f>IF(ISNUMBER(S372),ABS(S372),"")</x:f>
        <x:v>0.10297261216827813</x:v>
      </x:c>
      <x:c r="U372" s="37" t="n">
        <x:f>IF(ISNUMBER(Q372),Q372^2,"")</x:f>
        <x:v>0.00007345312891494957</x:v>
      </x:c>
      <x:c r="V372" s="21" t="str">
        <x:f>IF(NOT(AND(ISNUMBER(D372),ISNUMBER(E372),ISNUMBER(G372),ISNUMBER(H372))),"缺少配对",IF(OR(F372&lt;J372,F372&gt;K372),"超出理论J范围","有效"))</x:f>
        <x:v>有效</x:v>
      </x:c>
      <x:c r="W372" s="20" t="str">
        <x:v>升力 y=0.915708x+28.7687 → C_T_prop；实验攻角 15° ↔ 理论 alpha_p_deg 75°；原升力源 5000rpm!D47/O47</x:v>
      </x:c>
      <x:c r="X372" s="20" t="str">
        <x:v>升力标定计算!M743</x:v>
      </x:c>
      <x:c r="Y372" s="20" t="str">
        <x:v>升力标定计算!M744</x:v>
      </x:c>
      <x:c r="Z372" s="20" t="str">
        <x:v>升力标定计算!N743</x:v>
      </x:c>
      <x:c r="AA372" s="20" t="str">
        <x:v>升力标定计算!N744</x:v>
      </x:c>
      <x:c r="AB372" s="20" t="str">
        <x:v>5000rpm!AT62:AS63</x:v>
      </x:c>
    </x:row>
    <x:row r="373">
      <x:c r="A373" s="21" t="n">
        <x:v>5000</x:v>
      </x:c>
      <x:c r="B373" s="21" t="n">
        <x:v>15</x:v>
      </x:c>
      <x:c r="C373" s="21" t="n">
        <x:v>19</x:v>
      </x:c>
      <x:c r="D373" s="22" t="n">
        <x:f>IFERROR('升力标定计算'!M745,"")</x:f>
        <x:v>0.08197383390993908</x:v>
      </x:c>
      <x:c r="E373" s="22" t="n">
        <x:f>IFERROR('升力标定计算'!M746,"")</x:f>
        <x:v>0.0811836060934328</x:v>
      </x:c>
      <x:c r="F373" s="22" t="n">
        <x:f>IF(AND(ISNUMBER(D373),ISNUMBER(E373)),AVERAGE(D373,E373),"")</x:f>
        <x:v>0.08157872000168594</x:v>
      </x:c>
      <x:c r="G373" s="22" t="n">
        <x:f>IFERROR('升力标定计算'!N745,"")</x:f>
        <x:v>0.07298659313971441</x:v>
      </x:c>
      <x:c r="H373" s="22" t="n">
        <x:f>IFERROR('升力标定计算'!N746,"")</x:f>
        <x:v>0.07543272471085716</x:v>
      </x:c>
      <x:c r="I373" s="22" t="n">
        <x:f>IF(AND(ISNUMBER(G373),ISNUMBER(H373)),AVERAGE(G373,H373),"")</x:f>
        <x:v>0.07420965892528578</x:v>
      </x:c>
      <x:c r="J373" s="22" t="n">
        <x:f>IFERROR('5000rpm'!AT58,"")</x:f>
        <x:v>0</x:v>
      </x:c>
      <x:c r="K373" s="22" t="n">
        <x:f>IFERROR('5000rpm'!AT68,"")</x:f>
        <x:v>0.26692913385826766</x:v>
      </x:c>
      <x:c r="L373" s="22" t="n">
        <x:f>IFERROR('5000rpm'!AT61,"")</x:f>
        <x:v>0.08007874015748032</x:v>
      </x:c>
      <x:c r="M373" s="22" t="n">
        <x:f>IFERROR('5000rpm'!AS61,"")</x:f>
        <x:v>0.08290215960782017</x:v>
      </x:c>
      <x:c r="N373" s="22" t="n">
        <x:f>IFERROR('5000rpm'!AT62,"")</x:f>
        <x:v>0.10677165354330712</x:v>
      </x:c>
      <x:c r="O373" s="22" t="n">
        <x:f>IFERROR('5000rpm'!AS62,"")</x:f>
        <x:v>0.08319536054453748</x:v>
      </x:c>
      <x:c r="P373" s="22" t="n">
        <x:f>IF(OR(NOT(AND(ISNUMBER(D373),ISNUMBER(E373),ISNUMBER(G373),ISNUMBER(H373))),OR(F373&lt;J373,F373&gt;K373)),"",IF(N373=L373,M373,M373+(F373-L373)*(O373-M373)/(N373-L373)))</x:f>
        <x:v>0.08291863572224879</x:v>
      </x:c>
      <x:c r="Q373" s="22" t="n">
        <x:f>IF(AND(ISNUMBER(I373),ISNUMBER(P373)),I373-P373,"")</x:f>
        <x:v>-0.008708976796963017</x:v>
      </x:c>
      <x:c r="R373" s="22" t="n">
        <x:f>IF(ISNUMBER(Q373),ABS(Q373),"")</x:f>
        <x:v>0.008708976796963017</x:v>
      </x:c>
      <x:c r="S373" s="36" t="n">
        <x:f>IF(AND(ISNUMBER(Q373),ISNUMBER(P373)),IF(ABS(P373)&lt;1E-12,"",Q373/P373),"")</x:f>
        <x:v>-0.10503039179437702</x:v>
      </x:c>
      <x:c r="T373" s="36" t="n">
        <x:f>IF(ISNUMBER(S373),ABS(S373),"")</x:f>
        <x:v>0.10503039179437702</x:v>
      </x:c>
      <x:c r="U373" s="37" t="n">
        <x:f>IF(ISNUMBER(Q373),Q373^2,"")</x:f>
        <x:v>0.0000758462768500402</x:v>
      </x:c>
      <x:c r="V373" s="21" t="str">
        <x:f>IF(NOT(AND(ISNUMBER(D373),ISNUMBER(E373),ISNUMBER(G373),ISNUMBER(H373))),"缺少配对",IF(OR(F373&lt;J373,F373&gt;K373),"超出理论J范围","有效"))</x:f>
        <x:v>有效</x:v>
      </x:c>
      <x:c r="W373" s="20" t="str">
        <x:v>升力 y=0.915708x+28.7687 → C_T_prop；实验攻角 15° ↔ 理论 alpha_p_deg 75°；原升力源 5000rpm!D48/O48</x:v>
      </x:c>
      <x:c r="X373" s="20" t="str">
        <x:v>升力标定计算!M745</x:v>
      </x:c>
      <x:c r="Y373" s="20" t="str">
        <x:v>升力标定计算!M746</x:v>
      </x:c>
      <x:c r="Z373" s="20" t="str">
        <x:v>升力标定计算!N745</x:v>
      </x:c>
      <x:c r="AA373" s="20" t="str">
        <x:v>升力标定计算!N746</x:v>
      </x:c>
      <x:c r="AB373" s="20" t="str">
        <x:v>5000rpm!AT61:AS62</x:v>
      </x:c>
    </x:row>
    <x:row r="374">
      <x:c r="A374" s="21" t="n">
        <x:v>5000</x:v>
      </x:c>
      <x:c r="B374" s="21" t="n">
        <x:v>15</x:v>
      </x:c>
      <x:c r="C374" s="21" t="n">
        <x:v>20</x:v>
      </x:c>
      <x:c r="D374" s="22" t="n">
        <x:f>IFERROR('升力标定计算'!M747,"")</x:f>
        <x:v>0.05502405321750208</x:v>
      </x:c>
      <x:c r="E374" s="22" t="n">
        <x:f>IFERROR('升力标定计算'!M748,"")</x:f>
        <x:v>0.051483478471032906</x:v>
      </x:c>
      <x:c r="F374" s="22" t="n">
        <x:f>IF(AND(ISNUMBER(D374),ISNUMBER(E374)),AVERAGE(D374,E374),"")</x:f>
        <x:v>0.0532537658442675</x:v>
      </x:c>
      <x:c r="G374" s="22" t="n">
        <x:f>IFERROR('升力标定计算'!N747,"")</x:f>
        <x:v>0.07444372719804847</x:v>
      </x:c>
      <x:c r="H374" s="22" t="n">
        <x:f>IFERROR('升力标定计算'!N748,"")</x:f>
        <x:v>0.07567961646252433</x:v>
      </x:c>
      <x:c r="I374" s="22" t="n">
        <x:f>IF(AND(ISNUMBER(G374),ISNUMBER(H374)),AVERAGE(G374,H374),"")</x:f>
        <x:v>0.07506167183028639</x:v>
      </x:c>
      <x:c r="J374" s="22" t="n">
        <x:f>IFERROR('5000rpm'!AT58,"")</x:f>
        <x:v>0</x:v>
      </x:c>
      <x:c r="K374" s="22" t="n">
        <x:f>IFERROR('5000rpm'!AT68,"")</x:f>
        <x:v>0.26692913385826766</x:v>
      </x:c>
      <x:c r="L374" s="22" t="n">
        <x:f>IFERROR('5000rpm'!AT59,"")</x:f>
        <x:v>0.02669291338582678</x:v>
      </x:c>
      <x:c r="M374" s="22" t="n">
        <x:f>IFERROR('5000rpm'!AS59,"")</x:f>
        <x:v>0.08300729963707815</x:v>
      </x:c>
      <x:c r="N374" s="22" t="n">
        <x:f>IFERROR('5000rpm'!AT60,"")</x:f>
        <x:v>0.05338582677165356</x:v>
      </x:c>
      <x:c r="O374" s="22" t="n">
        <x:f>IFERROR('5000rpm'!AS60,"")</x:f>
        <x:v>0.08282555670827094</x:v>
      </x:c>
      <x:c r="P374" s="22" t="n">
        <x:f>IF(OR(NOT(AND(ISNUMBER(D374),ISNUMBER(E374),ISNUMBER(G374),ISNUMBER(H374))),OR(F374&lt;J374,F374&gt;K374)),"",IF(N374=L374,M374,M374+(F374-L374)*(O374-M374)/(N374-L374)))</x:f>
        <x:v>0.08282645586601281</x:v>
      </x:c>
      <x:c r="Q374" s="22" t="n">
        <x:f>IF(AND(ISNUMBER(I374),ISNUMBER(P374)),I374-P374,"")</x:f>
        <x:v>-0.007764784035726419</x:v>
      </x:c>
      <x:c r="R374" s="22" t="n">
        <x:f>IF(ISNUMBER(Q374),ABS(Q374),"")</x:f>
        <x:v>0.007764784035726419</x:v>
      </x:c>
      <x:c r="S374" s="36" t="n">
        <x:f>IF(AND(ISNUMBER(Q374),ISNUMBER(P374)),IF(ABS(P374)&lt;1E-12,"",Q374/P374),"")</x:f>
        <x:v>-0.09374763117097996</x:v>
      </x:c>
      <x:c r="T374" s="36" t="n">
        <x:f>IF(ISNUMBER(S374),ABS(S374),"")</x:f>
        <x:v>0.09374763117097996</x:v>
      </x:c>
      <x:c r="U374" s="37" t="n">
        <x:f>IF(ISNUMBER(Q374),Q374^2,"")</x:f>
        <x:v>0.00006029187112147185</x:v>
      </x:c>
      <x:c r="V374" s="21" t="str">
        <x:f>IF(NOT(AND(ISNUMBER(D374),ISNUMBER(E374),ISNUMBER(G374),ISNUMBER(H374))),"缺少配对",IF(OR(F374&lt;J374,F374&gt;K374),"超出理论J范围","有效"))</x:f>
        <x:v>有效</x:v>
      </x:c>
      <x:c r="W374" s="20" t="str">
        <x:v>升力 y=0.915708x+28.7687 → C_T_prop；实验攻角 15° ↔ 理论 alpha_p_deg 75°；原升力源 5000rpm!D49/O49</x:v>
      </x:c>
      <x:c r="X374" s="20" t="str">
        <x:v>升力标定计算!M747</x:v>
      </x:c>
      <x:c r="Y374" s="20" t="str">
        <x:v>升力标定计算!M748</x:v>
      </x:c>
      <x:c r="Z374" s="20" t="str">
        <x:v>升力标定计算!N747</x:v>
      </x:c>
      <x:c r="AA374" s="20" t="str">
        <x:v>升力标定计算!N748</x:v>
      </x:c>
      <x:c r="AB374" s="20" t="str">
        <x:v>5000rpm!AT59:AS60</x:v>
      </x:c>
    </x:row>
    <x:row r="375">
      <x:c r="A375" s="21" t="n">
        <x:v>5000</x:v>
      </x:c>
      <x:c r="B375" s="21" t="n">
        <x:v>15</x:v>
      </x:c>
      <x:c r="C375" s="21" t="n">
        <x:v>21</x:v>
      </x:c>
      <x:c r="D375" s="22" t="n">
        <x:f>IFERROR('升力标定计算'!M749,"")</x:f>
        <x:v>0.027672044972930677</x:v>
      </x:c>
      <x:c r="E375" s="22" t="n">
        <x:f>IFERROR('升力标定计算'!M750,"")</x:f>
        <x:v>0.027691692787150647</x:v>
      </x:c>
      <x:c r="F375" s="22" t="n">
        <x:f>IF(AND(ISNUMBER(D375),ISNUMBER(E375)),AVERAGE(D375,E375),"")</x:f>
        <x:v>0.027681868880040664</x:v>
      </x:c>
      <x:c r="G375" s="22" t="n">
        <x:f>IFERROR('升力标定计算'!N749,"")</x:f>
        <x:v>0.0750898144504101</x:v>
      </x:c>
      <x:c r="H375" s="22" t="n">
        <x:f>IFERROR('升力标定计算'!N750,"")</x:f>
        <x:v>0.07689803673867047</x:v>
      </x:c>
      <x:c r="I375" s="22" t="n">
        <x:f>IF(AND(ISNUMBER(G375),ISNUMBER(H375)),AVERAGE(G375,H375),"")</x:f>
        <x:v>0.0759939255945403</x:v>
      </x:c>
      <x:c r="J375" s="22" t="n">
        <x:f>IFERROR('5000rpm'!AT58,"")</x:f>
        <x:v>0</x:v>
      </x:c>
      <x:c r="K375" s="22" t="n">
        <x:f>IFERROR('5000rpm'!AT68,"")</x:f>
        <x:v>0.26692913385826766</x:v>
      </x:c>
      <x:c r="L375" s="22" t="n">
        <x:f>IFERROR('5000rpm'!AT59,"")</x:f>
        <x:v>0.02669291338582678</x:v>
      </x:c>
      <x:c r="M375" s="22" t="n">
        <x:f>IFERROR('5000rpm'!AS59,"")</x:f>
        <x:v>0.08300729963707815</x:v>
      </x:c>
      <x:c r="N375" s="22" t="n">
        <x:f>IFERROR('5000rpm'!AT60,"")</x:f>
        <x:v>0.05338582677165356</x:v>
      </x:c>
      <x:c r="O375" s="22" t="n">
        <x:f>IFERROR('5000rpm'!AS60,"")</x:f>
        <x:v>0.08282555670827094</x:v>
      </x:c>
      <x:c r="P375" s="22" t="n">
        <x:f>IF(OR(NOT(AND(ISNUMBER(D375),ISNUMBER(E375),ISNUMBER(G375),ISNUMBER(H375))),OR(F375&lt;J375,F375&gt;K375)),"",IF(N375=L375,M375,M375+(F375-L375)*(O375-M375)/(N375-L375)))</x:f>
        <x:v>0.08300056617695034</x:v>
      </x:c>
      <x:c r="Q375" s="22" t="n">
        <x:f>IF(AND(ISNUMBER(I375),ISNUMBER(P375)),I375-P375,"")</x:f>
        <x:v>-0.007006640582410045</x:v>
      </x:c>
      <x:c r="R375" s="22" t="n">
        <x:f>IF(ISNUMBER(Q375),ABS(Q375),"")</x:f>
        <x:v>0.007006640582410045</x:v>
      </x:c>
      <x:c r="S375" s="36" t="n">
        <x:f>IF(AND(ISNUMBER(Q375),ISNUMBER(P375)),IF(ABS(P375)&lt;1E-12,"",Q375/P375),"")</x:f>
        <x:v>-0.0844167805731887</x:v>
      </x:c>
      <x:c r="T375" s="36" t="n">
        <x:f>IF(ISNUMBER(S375),ABS(S375),"")</x:f>
        <x:v>0.0844167805731887</x:v>
      </x:c>
      <x:c r="U375" s="37" t="n">
        <x:f>IF(ISNUMBER(Q375),Q375^2,"")</x:f>
        <x:v>0.00004909301225107538</x:v>
      </x:c>
      <x:c r="V375" s="21" t="str">
        <x:f>IF(NOT(AND(ISNUMBER(D375),ISNUMBER(E375),ISNUMBER(G375),ISNUMBER(H375))),"缺少配对",IF(OR(F375&lt;J375,F375&gt;K375),"超出理论J范围","有效"))</x:f>
        <x:v>有效</x:v>
      </x:c>
      <x:c r="W375" s="20" t="str">
        <x:v>升力 y=0.915708x+28.7687 → C_T_prop；实验攻角 15° ↔ 理论 alpha_p_deg 75°；原升力源 5000rpm!D50/O50</x:v>
      </x:c>
      <x:c r="X375" s="20" t="str">
        <x:v>升力标定计算!M749</x:v>
      </x:c>
      <x:c r="Y375" s="20" t="str">
        <x:v>升力标定计算!M750</x:v>
      </x:c>
      <x:c r="Z375" s="20" t="str">
        <x:v>升力标定计算!N749</x:v>
      </x:c>
      <x:c r="AA375" s="20" t="str">
        <x:v>升力标定计算!N750</x:v>
      </x:c>
      <x:c r="AB375" s="20" t="str">
        <x:v>5000rpm!AT59:AS60</x:v>
      </x:c>
    </x:row>
    <x:row r="376">
      <x:c r="A376" s="21" t="n">
        <x:v>5000</x:v>
      </x:c>
      <x:c r="B376" s="21" t="n">
        <x:v>15</x:v>
      </x:c>
      <x:c r="C376" s="21" t="n">
        <x:v>22</x:v>
      </x:c>
      <x:c r="D376" s="22" t="n">
        <x:f>IFERROR('升力标定计算'!M751,"")</x:f>
        <x:v>0.003651901050736541</x:v>
      </x:c>
      <x:c r="E376" s="22" t="str">
        <x:f>IFERROR('升力标定计算'!M752,"")</x:f>
      </x:c>
      <x:c r="F376" s="22" t="str">
        <x:f>IF(AND(ISNUMBER(D376),ISNUMBER(E376)),AVERAGE(D376,E376),"")</x:f>
      </x:c>
      <x:c r="G376" s="22" t="n">
        <x:f>IFERROR('升力标定计算'!N751,"")</x:f>
        <x:v>0.0750776909044876</x:v>
      </x:c>
      <x:c r="H376" s="22" t="str">
        <x:f>IFERROR('升力标定计算'!N752,"")</x:f>
      </x:c>
      <x:c r="I376" s="22" t="str">
        <x:f>IF(AND(ISNUMBER(G376),ISNUMBER(H376)),AVERAGE(G376,H376),"")</x:f>
      </x:c>
      <x:c r="J376" s="22" t="n">
        <x:f>IFERROR('5000rpm'!AT58,"")</x:f>
        <x:v>0</x:v>
      </x:c>
      <x:c r="K376" s="22" t="n">
        <x:f>IFERROR('5000rpm'!AT68,"")</x:f>
        <x:v>0.26692913385826766</x:v>
      </x:c>
      <x:c r="L376" s="22" t="n">
        <x:f>IFERROR('5000rpm'!AT58,"")</x:f>
        <x:v>0</x:v>
      </x:c>
      <x:c r="M376" s="22" t="n">
        <x:f>IFERROR('5000rpm'!AS58,"")</x:f>
        <x:v>0.0836476206119306</x:v>
      </x:c>
      <x:c r="N376" s="22" t="n">
        <x:f>IFERROR('5000rpm'!AT68,"")</x:f>
        <x:v>0.26692913385826766</x:v>
      </x:c>
      <x:c r="O376" s="22" t="n">
        <x:f>IFERROR('5000rpm'!AS68,"")</x:f>
        <x:v>0.08711772182289176</x:v>
      </x:c>
      <x:c r="P376" s="22" t="str">
        <x:f>IF(OR(NOT(AND(ISNUMBER(D376),ISNUMBER(E376),ISNUMBER(G376),ISNUMBER(H376))),OR(F376&lt;J376,F376&gt;K376)),"",IF(N376=L376,M376,M376+(F376-L376)*(O376-M376)/(N376-L376)))</x:f>
      </x:c>
      <x:c r="Q376" s="22" t="str">
        <x:f>IF(AND(ISNUMBER(I376),ISNUMBER(P376)),I376-P376,"")</x:f>
      </x:c>
      <x:c r="R376" s="22" t="str">
        <x:f>IF(ISNUMBER(Q376),ABS(Q376),"")</x:f>
      </x:c>
      <x:c r="S376" s="36" t="str">
        <x:f>IF(AND(ISNUMBER(Q376),ISNUMBER(P376)),IF(ABS(P376)&lt;1E-12,"",Q376/P376),"")</x:f>
      </x:c>
      <x:c r="T376" s="36" t="str">
        <x:f>IF(ISNUMBER(S376),ABS(S376),"")</x:f>
      </x:c>
      <x:c r="U376" s="37" t="str">
        <x:f>IF(ISNUMBER(Q376),Q376^2,"")</x:f>
      </x:c>
      <x:c r="V376" s="21" t="str">
        <x:f>IF(NOT(AND(ISNUMBER(D376),ISNUMBER(E376),ISNUMBER(G376),ISNUMBER(H376))),"缺少配对",IF(OR(F376&lt;J376,F376&gt;K376),"超出理论J范围","有效"))</x:f>
        <x:v>缺少配对</x:v>
      </x:c>
      <x:c r="W376" s="20" t="str">
        <x:v>升力 y=0.915708x+28.7687 → C_T_prop；实验攻角 15° ↔ 理论 alpha_p_deg 75°；原升力源 5000rpm!D51/O51</x:v>
      </x:c>
      <x:c r="X376" s="20" t="str">
        <x:v>升力标定计算!M751</x:v>
      </x:c>
      <x:c r="Y376" s="20" t="str">
        <x:v>升力标定计算!M752</x:v>
      </x:c>
      <x:c r="Z376" s="20" t="str">
        <x:v>升力标定计算!N751</x:v>
      </x:c>
      <x:c r="AA376" s="20" t="str">
        <x:v>升力标定计算!N752</x:v>
      </x:c>
      <x:c r="AB376" s="20" t="str">
        <x:v>5000rpm!AT58:AS68</x:v>
      </x:c>
    </x:row>
    <x:row r="377">
      <x:c r="A377" s="21" t="n">
        <x:v>5000</x:v>
      </x:c>
      <x:c r="B377" s="21" t="n">
        <x:v>15</x:v>
      </x:c>
      <x:c r="C377" s="21" t="n">
        <x:v>23</x:v>
      </x:c>
      <x:c r="D377" s="22" t="str">
        <x:f>IFERROR('升力标定计算'!M753,"")</x:f>
      </x:c>
      <x:c r="E377" s="22" t="str">
        <x:f>IFERROR('升力标定计算'!M754,"")</x:f>
      </x:c>
      <x:c r="F377" s="22" t="str">
        <x:f>IF(AND(ISNUMBER(D377),ISNUMBER(E377)),AVERAGE(D377,E377),"")</x:f>
      </x:c>
      <x:c r="G377" s="22" t="str">
        <x:f>IFERROR('升力标定计算'!N753,"")</x:f>
      </x:c>
      <x:c r="H377" s="22" t="str">
        <x:f>IFERROR('升力标定计算'!N754,"")</x:f>
      </x:c>
      <x:c r="I377" s="22" t="str">
        <x:f>IF(AND(ISNUMBER(G377),ISNUMBER(H377)),AVERAGE(G377,H377),"")</x:f>
      </x:c>
      <x:c r="J377" s="22" t="n">
        <x:f>IFERROR('5000rpm'!AT58,"")</x:f>
        <x:v>0</x:v>
      </x:c>
      <x:c r="K377" s="22" t="n">
        <x:f>IFERROR('5000rpm'!AT68,"")</x:f>
        <x:v>0.26692913385826766</x:v>
      </x:c>
      <x:c r="L377" s="22" t="n">
        <x:f>IFERROR('5000rpm'!AT58,"")</x:f>
        <x:v>0</x:v>
      </x:c>
      <x:c r="M377" s="22" t="n">
        <x:f>IFERROR('5000rpm'!AS58,"")</x:f>
        <x:v>0.0836476206119306</x:v>
      </x:c>
      <x:c r="N377" s="22" t="n">
        <x:f>IFERROR('5000rpm'!AT68,"")</x:f>
        <x:v>0.26692913385826766</x:v>
      </x:c>
      <x:c r="O377" s="22" t="n">
        <x:f>IFERROR('5000rpm'!AS68,"")</x:f>
        <x:v>0.08711772182289176</x:v>
      </x:c>
      <x:c r="P377" s="22" t="str">
        <x:f>IF(OR(NOT(AND(ISNUMBER(D377),ISNUMBER(E377),ISNUMBER(G377),ISNUMBER(H377))),OR(F377&lt;J377,F377&gt;K377)),"",IF(N377=L377,M377,M377+(F377-L377)*(O377-M377)/(N377-L377)))</x:f>
      </x:c>
      <x:c r="Q377" s="22" t="str">
        <x:f>IF(AND(ISNUMBER(I377),ISNUMBER(P377)),I377-P377,"")</x:f>
      </x:c>
      <x:c r="R377" s="22" t="str">
        <x:f>IF(ISNUMBER(Q377),ABS(Q377),"")</x:f>
      </x:c>
      <x:c r="S377" s="36" t="str">
        <x:f>IF(AND(ISNUMBER(Q377),ISNUMBER(P377)),IF(ABS(P377)&lt;1E-12,"",Q377/P377),"")</x:f>
      </x:c>
      <x:c r="T377" s="36" t="str">
        <x:f>IF(ISNUMBER(S377),ABS(S377),"")</x:f>
      </x:c>
      <x:c r="U377" s="37" t="str">
        <x:f>IF(ISNUMBER(Q377),Q377^2,"")</x:f>
      </x:c>
      <x:c r="V377" s="21" t="str">
        <x:f>IF(NOT(AND(ISNUMBER(D377),ISNUMBER(E377),ISNUMBER(G377),ISNUMBER(H377))),"缺少配对",IF(OR(F377&lt;J377,F377&gt;K377),"超出理论J范围","有效"))</x:f>
        <x:v>缺少配对</x:v>
      </x:c>
      <x:c r="W377" s="20" t="str">
        <x:v>升力 y=0.915708x+28.7687 → C_T_prop；实验攻角 15° ↔ 理论 alpha_p_deg 75°；原升力源 5000rpm!D52/O52</x:v>
      </x:c>
      <x:c r="X377" s="20" t="str">
        <x:v>升力标定计算!M753</x:v>
      </x:c>
      <x:c r="Y377" s="20" t="str">
        <x:v>升力标定计算!M754</x:v>
      </x:c>
      <x:c r="Z377" s="20" t="str">
        <x:v>升力标定计算!N753</x:v>
      </x:c>
      <x:c r="AA377" s="20" t="str">
        <x:v>升力标定计算!N754</x:v>
      </x:c>
      <x:c r="AB377" s="20" t="str">
        <x:v>5000rpm!AT58:AS68</x:v>
      </x:c>
    </x:row>
    <x:row r="378">
      <x:c r="A378" s="21" t="n">
        <x:v>5000</x:v>
      </x:c>
      <x:c r="B378" s="21" t="n">
        <x:v>30</x:v>
      </x:c>
      <x:c r="C378" s="21" t="n">
        <x:v>1</x:v>
      </x:c>
      <x:c r="D378" s="22" t="str">
        <x:f>IFERROR('升力标定计算'!M755,"")</x:f>
      </x:c>
      <x:c r="E378" s="22" t="str">
        <x:f>IFERROR('升力标定计算'!M756,"")</x:f>
      </x:c>
      <x:c r="F378" s="22" t="str">
        <x:f>IF(AND(ISNUMBER(D378),ISNUMBER(E378)),AVERAGE(D378,E378),"")</x:f>
      </x:c>
      <x:c r="G378" s="22" t="str">
        <x:f>IFERROR('升力标定计算'!N755,"")</x:f>
      </x:c>
      <x:c r="H378" s="22" t="str">
        <x:f>IFERROR('升力标定计算'!N756,"")</x:f>
      </x:c>
      <x:c r="I378" s="22" t="str">
        <x:f>IF(AND(ISNUMBER(G378),ISNUMBER(H378)),AVERAGE(G378,H378),"")</x:f>
      </x:c>
      <x:c r="J378" s="22" t="n">
        <x:f>IFERROR('5000rpm'!AT47,"")</x:f>
        <x:v>0</x:v>
      </x:c>
      <x:c r="K378" s="22" t="n">
        <x:f>IFERROR('5000rpm'!AT57,"")</x:f>
        <x:v>0.26692913385826766</x:v>
      </x:c>
      <x:c r="L378" s="22" t="n">
        <x:f>IFERROR('5000rpm'!AT47,"")</x:f>
        <x:v>0</x:v>
      </x:c>
      <x:c r="M378" s="22" t="n">
        <x:f>IFERROR('5000rpm'!AS47,"")</x:f>
        <x:v>0.0836476206119306</x:v>
      </x:c>
      <x:c r="N378" s="22" t="n">
        <x:f>IFERROR('5000rpm'!AT57,"")</x:f>
        <x:v>0.26692913385826766</x:v>
      </x:c>
      <x:c r="O378" s="22" t="n">
        <x:f>IFERROR('5000rpm'!AS57,"")</x:f>
        <x:v>0.07440258583861342</x:v>
      </x:c>
      <x:c r="P378" s="22" t="str">
        <x:f>IF(OR(NOT(AND(ISNUMBER(D378),ISNUMBER(E378),ISNUMBER(G378),ISNUMBER(H378))),OR(F378&lt;J378,F378&gt;K378)),"",IF(N378=L378,M378,M378+(F378-L378)*(O378-M378)/(N378-L378)))</x:f>
      </x:c>
      <x:c r="Q378" s="22" t="str">
        <x:f>IF(AND(ISNUMBER(I378),ISNUMBER(P378)),I378-P378,"")</x:f>
      </x:c>
      <x:c r="R378" s="22" t="str">
        <x:f>IF(ISNUMBER(Q378),ABS(Q378),"")</x:f>
      </x:c>
      <x:c r="S378" s="36" t="str">
        <x:f>IF(AND(ISNUMBER(Q378),ISNUMBER(P378)),IF(ABS(P378)&lt;1E-12,"",Q378/P378),"")</x:f>
      </x:c>
      <x:c r="T378" s="36" t="str">
        <x:f>IF(ISNUMBER(S378),ABS(S378),"")</x:f>
      </x:c>
      <x:c r="U378" s="37" t="str">
        <x:f>IF(ISNUMBER(Q378),Q378^2,"")</x:f>
      </x:c>
      <x:c r="V378" s="21" t="str">
        <x:f>IF(NOT(AND(ISNUMBER(D378),ISNUMBER(E378),ISNUMBER(G378),ISNUMBER(H378))),"缺少配对",IF(OR(F378&lt;J378,F378&gt;K378),"超出理论J范围","有效"))</x:f>
        <x:v>缺少配对</x:v>
      </x:c>
      <x:c r="W378" s="20" t="str">
        <x:v>升力 y=0.915708x+28.7687 → C_T_prop；实验攻角 30° ↔ 理论 alpha_p_deg 60°；原升力源 5000rpm!C58/M58</x:v>
      </x:c>
      <x:c r="X378" s="20" t="str">
        <x:v>升力标定计算!M755</x:v>
      </x:c>
      <x:c r="Y378" s="20" t="str">
        <x:v>升力标定计算!M756</x:v>
      </x:c>
      <x:c r="Z378" s="20" t="str">
        <x:v>升力标定计算!N755</x:v>
      </x:c>
      <x:c r="AA378" s="20" t="str">
        <x:v>升力标定计算!N756</x:v>
      </x:c>
      <x:c r="AB378" s="20" t="str">
        <x:v>5000rpm!AT47:AS57</x:v>
      </x:c>
    </x:row>
    <x:row r="379">
      <x:c r="A379" s="21" t="n">
        <x:v>5000</x:v>
      </x:c>
      <x:c r="B379" s="21" t="n">
        <x:v>30</x:v>
      </x:c>
      <x:c r="C379" s="21" t="n">
        <x:v>2</x:v>
      </x:c>
      <x:c r="D379" s="22" t="n">
        <x:f>IFERROR('升力标定计算'!M757,"")</x:f>
        <x:v>0.003683062092600198</x:v>
      </x:c>
      <x:c r="E379" s="22" t="n">
        <x:f>IFERROR('升力标定计算'!M758,"")</x:f>
        <x:v>0.0023067255790194517</x:v>
      </x:c>
      <x:c r="F379" s="22" t="n">
        <x:f>IF(AND(ISNUMBER(D379),ISNUMBER(E379)),AVERAGE(D379,E379),"")</x:f>
        <x:v>0.0029948938358098248</x:v>
      </x:c>
      <x:c r="G379" s="22" t="n">
        <x:f>IFERROR('升力标定计算'!N757,"")</x:f>
        <x:v>0.07810448475418635</x:v>
      </x:c>
      <x:c r="H379" s="22" t="n">
        <x:f>IFERROR('升力标定计算'!N758,"")</x:f>
        <x:v>0.07806929645973489</x:v>
      </x:c>
      <x:c r="I379" s="22" t="n">
        <x:f>IF(AND(ISNUMBER(G379),ISNUMBER(H379)),AVERAGE(G379,H379),"")</x:f>
        <x:v>0.07808689060696061</x:v>
      </x:c>
      <x:c r="J379" s="22" t="n">
        <x:f>IFERROR('5000rpm'!AT47,"")</x:f>
        <x:v>0</x:v>
      </x:c>
      <x:c r="K379" s="22" t="n">
        <x:f>IFERROR('5000rpm'!AT57,"")</x:f>
        <x:v>0.26692913385826766</x:v>
      </x:c>
      <x:c r="L379" s="22" t="n">
        <x:f>IFERROR('5000rpm'!AT47,"")</x:f>
        <x:v>0</x:v>
      </x:c>
      <x:c r="M379" s="22" t="n">
        <x:f>IFERROR('5000rpm'!AS47,"")</x:f>
        <x:v>0.0836476206119306</x:v>
      </x:c>
      <x:c r="N379" s="22" t="n">
        <x:f>IFERROR('5000rpm'!AT48,"")</x:f>
        <x:v>0.02669291338582678</x:v>
      </x:c>
      <x:c r="O379" s="22" t="n">
        <x:f>IFERROR('5000rpm'!AS48,"")</x:f>
        <x:v>0.0822361588083525</x:v>
      </x:c>
      <x:c r="P379" s="22" t="n">
        <x:f>IF(OR(NOT(AND(ISNUMBER(D379),ISNUMBER(E379),ISNUMBER(G379),ISNUMBER(H379))),OR(F379&lt;J379,F379&gt;K379)),"",IF(N379=L379,M379,M379+(F379-L379)*(O379-M379)/(N379-L379)))</x:f>
        <x:v>0.08348925729677215</x:v>
      </x:c>
      <x:c r="Q379" s="22" t="n">
        <x:f>IF(AND(ISNUMBER(I379),ISNUMBER(P379)),I379-P379,"")</x:f>
        <x:v>-0.005402366689811533</x:v>
      </x:c>
      <x:c r="R379" s="22" t="n">
        <x:f>IF(ISNUMBER(Q379),ABS(Q379),"")</x:f>
        <x:v>0.005402366689811533</x:v>
      </x:c>
      <x:c r="S379" s="36" t="n">
        <x:f>IF(AND(ISNUMBER(Q379),ISNUMBER(P379)),IF(ABS(P379)&lt;1E-12,"",Q379/P379),"")</x:f>
        <x:v>-0.0647073272026867</x:v>
      </x:c>
      <x:c r="T379" s="36" t="n">
        <x:f>IF(ISNUMBER(S379),ABS(S379),"")</x:f>
        <x:v>0.0647073272026867</x:v>
      </x:c>
      <x:c r="U379" s="37" t="n">
        <x:f>IF(ISNUMBER(Q379),Q379^2,"")</x:f>
        <x:v>0.00002918556585118522</x:v>
      </x:c>
      <x:c r="V379" s="21" t="str">
        <x:f>IF(NOT(AND(ISNUMBER(D379),ISNUMBER(E379),ISNUMBER(G379),ISNUMBER(H379))),"缺少配对",IF(OR(F379&lt;J379,F379&gt;K379),"超出理论J范围","有效"))</x:f>
        <x:v>有效</x:v>
      </x:c>
      <x:c r="W379" s="20" t="str">
        <x:v>升力 y=0.915708x+28.7687 → C_T_prop；实验攻角 30° ↔ 理论 alpha_p_deg 60°；原升力源 5000rpm!C59/M59</x:v>
      </x:c>
      <x:c r="X379" s="20" t="str">
        <x:v>升力标定计算!M757</x:v>
      </x:c>
      <x:c r="Y379" s="20" t="str">
        <x:v>升力标定计算!M758</x:v>
      </x:c>
      <x:c r="Z379" s="20" t="str">
        <x:v>升力标定计算!N757</x:v>
      </x:c>
      <x:c r="AA379" s="20" t="str">
        <x:v>升力标定计算!N758</x:v>
      </x:c>
      <x:c r="AB379" s="20" t="str">
        <x:v>5000rpm!AT47:AS48</x:v>
      </x:c>
    </x:row>
    <x:row r="380">
      <x:c r="A380" s="21" t="n">
        <x:v>5000</x:v>
      </x:c>
      <x:c r="B380" s="21" t="n">
        <x:v>30</x:v>
      </x:c>
      <x:c r="C380" s="21" t="n">
        <x:v>3</x:v>
      </x:c>
      <x:c r="D380" s="22" t="n">
        <x:f>IFERROR('升力标定计算'!M759,"")</x:f>
        <x:v>0.027422715105757473</x:v>
      </x:c>
      <x:c r="E380" s="22" t="n">
        <x:f>IFERROR('升力标定计算'!M760,"")</x:f>
        <x:v>0.02342260073159092</x:v>
      </x:c>
      <x:c r="F380" s="22" t="n">
        <x:f>IF(AND(ISNUMBER(D380),ISNUMBER(E380)),AVERAGE(D380,E380),"")</x:f>
        <x:v>0.025422657918674197</x:v>
      </x:c>
      <x:c r="G380" s="22" t="n">
        <x:f>IFERROR('升力标定计算'!N759,"")</x:f>
        <x:v>0.07910078353504094</x:v>
      </x:c>
      <x:c r="H380" s="22" t="n">
        <x:f>IFERROR('升力标定计算'!N760,"")</x:f>
        <x:v>0.07727364567315677</x:v>
      </x:c>
      <x:c r="I380" s="22" t="n">
        <x:f>IF(AND(ISNUMBER(G380),ISNUMBER(H380)),AVERAGE(G380,H380),"")</x:f>
        <x:v>0.07818721460409886</x:v>
      </x:c>
      <x:c r="J380" s="22" t="n">
        <x:f>IFERROR('5000rpm'!AT47,"")</x:f>
        <x:v>0</x:v>
      </x:c>
      <x:c r="K380" s="22" t="n">
        <x:f>IFERROR('5000rpm'!AT57,"")</x:f>
        <x:v>0.26692913385826766</x:v>
      </x:c>
      <x:c r="L380" s="22" t="n">
        <x:f>IFERROR('5000rpm'!AT47,"")</x:f>
        <x:v>0</x:v>
      </x:c>
      <x:c r="M380" s="22" t="n">
        <x:f>IFERROR('5000rpm'!AS47,"")</x:f>
        <x:v>0.0836476206119306</x:v>
      </x:c>
      <x:c r="N380" s="22" t="n">
        <x:f>IFERROR('5000rpm'!AT48,"")</x:f>
        <x:v>0.02669291338582678</x:v>
      </x:c>
      <x:c r="O380" s="22" t="n">
        <x:f>IFERROR('5000rpm'!AS48,"")</x:f>
        <x:v>0.0822361588083525</x:v>
      </x:c>
      <x:c r="P380" s="22" t="n">
        <x:f>IF(OR(NOT(AND(ISNUMBER(D380),ISNUMBER(E380),ISNUMBER(G380),ISNUMBER(H380))),OR(F380&lt;J380,F380&gt;K380)),"",IF(N380=L380,M380,M380+(F380-L380)*(O380-M380)/(N380-L380)))</x:f>
        <x:v>0.08230332708806617</x:v>
      </x:c>
      <x:c r="Q380" s="22" t="n">
        <x:f>IF(AND(ISNUMBER(I380),ISNUMBER(P380)),I380-P380,"")</x:f>
        <x:v>-0.004116112483967316</x:v>
      </x:c>
      <x:c r="R380" s="22" t="n">
        <x:f>IF(ISNUMBER(Q380),ABS(Q380),"")</x:f>
        <x:v>0.004116112483967316</x:v>
      </x:c>
      <x:c r="S380" s="36" t="n">
        <x:f>IF(AND(ISNUMBER(Q380),ISNUMBER(P380)),IF(ABS(P380)&lt;1E-12,"",Q380/P380),"")</x:f>
        <x:v>-0.05001149564176178</x:v>
      </x:c>
      <x:c r="T380" s="36" t="n">
        <x:f>IF(ISNUMBER(S380),ABS(S380),"")</x:f>
        <x:v>0.05001149564176178</x:v>
      </x:c>
      <x:c r="U380" s="37" t="n">
        <x:f>IF(ISNUMBER(Q380),Q380^2,"")</x:f>
        <x:v>0.000016942381980671585</x:v>
      </x:c>
      <x:c r="V380" s="21" t="str">
        <x:f>IF(NOT(AND(ISNUMBER(D380),ISNUMBER(E380),ISNUMBER(G380),ISNUMBER(H380))),"缺少配对",IF(OR(F380&lt;J380,F380&gt;K380),"超出理论J范围","有效"))</x:f>
        <x:v>有效</x:v>
      </x:c>
      <x:c r="W380" s="20" t="str">
        <x:v>升力 y=0.915708x+28.7687 → C_T_prop；实验攻角 30° ↔ 理论 alpha_p_deg 60°；原升力源 5000rpm!C60/M60</x:v>
      </x:c>
      <x:c r="X380" s="20" t="str">
        <x:v>升力标定计算!M759</x:v>
      </x:c>
      <x:c r="Y380" s="20" t="str">
        <x:v>升力标定计算!M760</x:v>
      </x:c>
      <x:c r="Z380" s="20" t="str">
        <x:v>升力标定计算!N759</x:v>
      </x:c>
      <x:c r="AA380" s="20" t="str">
        <x:v>升力标定计算!N760</x:v>
      </x:c>
      <x:c r="AB380" s="20" t="str">
        <x:v>5000rpm!AT47:AS48</x:v>
      </x:c>
    </x:row>
    <x:row r="381">
      <x:c r="A381" s="21" t="n">
        <x:v>5000</x:v>
      </x:c>
      <x:c r="B381" s="21" t="n">
        <x:v>30</x:v>
      </x:c>
      <x:c r="C381" s="21" t="n">
        <x:v>4</x:v>
      </x:c>
      <x:c r="D381" s="22" t="n">
        <x:f>IFERROR('升力标定计算'!M761,"")</x:f>
        <x:v>0.05440554544474002</x:v>
      </x:c>
      <x:c r="E381" s="22" t="n">
        <x:f>IFERROR('升力标定计算'!M762,"")</x:f>
        <x:v>0.05045745575236928</x:v>
      </x:c>
      <x:c r="F381" s="22" t="n">
        <x:f>IF(AND(ISNUMBER(D381),ISNUMBER(E381)),AVERAGE(D381,E381),"")</x:f>
        <x:v>0.052431500598554656</x:v>
      </x:c>
      <x:c r="G381" s="22" t="n">
        <x:f>IFERROR('升力标定计算'!N761,"")</x:f>
        <x:v>0.07692049833818619</x:v>
      </x:c>
      <x:c r="H381" s="22" t="n">
        <x:f>IFERROR('升力标定计算'!N762,"")</x:f>
        <x:v>0.07678932606917542</x:v>
      </x:c>
      <x:c r="I381" s="22" t="n">
        <x:f>IF(AND(ISNUMBER(G381),ISNUMBER(H381)),AVERAGE(G381,H381),"")</x:f>
        <x:v>0.0768549122036808</x:v>
      </x:c>
      <x:c r="J381" s="22" t="n">
        <x:f>IFERROR('5000rpm'!AT47,"")</x:f>
        <x:v>0</x:v>
      </x:c>
      <x:c r="K381" s="22" t="n">
        <x:f>IFERROR('5000rpm'!AT57,"")</x:f>
        <x:v>0.26692913385826766</x:v>
      </x:c>
      <x:c r="L381" s="22" t="n">
        <x:f>IFERROR('5000rpm'!AT48,"")</x:f>
        <x:v>0.02669291338582678</x:v>
      </x:c>
      <x:c r="M381" s="22" t="n">
        <x:f>IFERROR('5000rpm'!AS48,"")</x:f>
        <x:v>0.0822361588083525</x:v>
      </x:c>
      <x:c r="N381" s="22" t="n">
        <x:f>IFERROR('5000rpm'!AT49,"")</x:f>
        <x:v>0.05338582677165356</x:v>
      </x:c>
      <x:c r="O381" s="22" t="n">
        <x:f>IFERROR('5000rpm'!AS49,"")</x:f>
        <x:v>0.08117071154932211</x:v>
      </x:c>
      <x:c r="P381" s="22" t="n">
        <x:f>IF(OR(NOT(AND(ISNUMBER(D381),ISNUMBER(E381),ISNUMBER(G381),ISNUMBER(H381))),OR(F381&lt;J381,F381&gt;K381)),"",IF(N381=L381,M381,M381+(F381-L381)*(O381-M381)/(N381-L381)))</x:f>
        <x:v>0.08120880346497973</x:v>
      </x:c>
      <x:c r="Q381" s="22" t="n">
        <x:f>IF(AND(ISNUMBER(I381),ISNUMBER(P381)),I381-P381,"")</x:f>
        <x:v>-0.0043538912612989256</x:v>
      </x:c>
      <x:c r="R381" s="22" t="n">
        <x:f>IF(ISNUMBER(Q381),ABS(Q381),"")</x:f>
        <x:v>0.0043538912612989256</x:v>
      </x:c>
      <x:c r="S381" s="36" t="n">
        <x:f>IF(AND(ISNUMBER(Q381),ISNUMBER(P381)),IF(ABS(P381)&lt;1E-12,"",Q381/P381),"")</x:f>
        <x:v>-0.053613537886646565</x:v>
      </x:c>
      <x:c r="T381" s="36" t="n">
        <x:f>IF(ISNUMBER(S381),ABS(S381),"")</x:f>
        <x:v>0.053613537886646565</x:v>
      </x:c>
      <x:c r="U381" s="37" t="n">
        <x:f>IF(ISNUMBER(Q381),Q381^2,"")</x:f>
        <x:v>0.000018956369115215148</x:v>
      </x:c>
      <x:c r="V381" s="21" t="str">
        <x:f>IF(NOT(AND(ISNUMBER(D381),ISNUMBER(E381),ISNUMBER(G381),ISNUMBER(H381))),"缺少配对",IF(OR(F381&lt;J381,F381&gt;K381),"超出理论J范围","有效"))</x:f>
        <x:v>有效</x:v>
      </x:c>
      <x:c r="W381" s="20" t="str">
        <x:v>升力 y=0.915708x+28.7687 → C_T_prop；实验攻角 30° ↔ 理论 alpha_p_deg 60°；原升力源 5000rpm!C61/M61</x:v>
      </x:c>
      <x:c r="X381" s="20" t="str">
        <x:v>升力标定计算!M761</x:v>
      </x:c>
      <x:c r="Y381" s="20" t="str">
        <x:v>升力标定计算!M762</x:v>
      </x:c>
      <x:c r="Z381" s="20" t="str">
        <x:v>升力标定计算!N761</x:v>
      </x:c>
      <x:c r="AA381" s="20" t="str">
        <x:v>升力标定计算!N762</x:v>
      </x:c>
      <x:c r="AB381" s="20" t="str">
        <x:v>5000rpm!AT48:AS49</x:v>
      </x:c>
    </x:row>
    <x:row r="382">
      <x:c r="A382" s="21" t="n">
        <x:v>5000</x:v>
      </x:c>
      <x:c r="B382" s="21" t="n">
        <x:v>30</x:v>
      </x:c>
      <x:c r="C382" s="21" t="n">
        <x:v>5</x:v>
      </x:c>
      <x:c r="D382" s="22" t="n">
        <x:f>IFERROR('升力标定计算'!M763,"")</x:f>
        <x:v>0.08216353841056644</x:v>
      </x:c>
      <x:c r="E382" s="22" t="n">
        <x:f>IFERROR('升力标定计算'!M764,"")</x:f>
        <x:v>0.07724967110029253</x:v>
      </x:c>
      <x:c r="F382" s="22" t="n">
        <x:f>IF(AND(ISNUMBER(D382),ISNUMBER(E382)),AVERAGE(D382,E382),"")</x:f>
        <x:v>0.07970660475542948</x:v>
      </x:c>
      <x:c r="G382" s="22" t="n">
        <x:f>IFERROR('升力标定计算'!N763,"")</x:f>
        <x:v>0.07726157198194843</x:v>
      </x:c>
      <x:c r="H382" s="22" t="n">
        <x:f>IFERROR('升力标定计算'!N764,"")</x:f>
        <x:v>0.07561180917892057</x:v>
      </x:c>
      <x:c r="I382" s="22" t="n">
        <x:f>IF(AND(ISNUMBER(G382),ISNUMBER(H382)),AVERAGE(G382,H382),"")</x:f>
        <x:v>0.07643669058043451</x:v>
      </x:c>
      <x:c r="J382" s="22" t="n">
        <x:f>IFERROR('5000rpm'!AT47,"")</x:f>
        <x:v>0</x:v>
      </x:c>
      <x:c r="K382" s="22" t="n">
        <x:f>IFERROR('5000rpm'!AT57,"")</x:f>
        <x:v>0.26692913385826766</x:v>
      </x:c>
      <x:c r="L382" s="22" t="n">
        <x:f>IFERROR('5000rpm'!AT49,"")</x:f>
        <x:v>0.05338582677165356</x:v>
      </x:c>
      <x:c r="M382" s="22" t="n">
        <x:f>IFERROR('5000rpm'!AS49,"")</x:f>
        <x:v>0.08117071154932211</x:v>
      </x:c>
      <x:c r="N382" s="22" t="n">
        <x:f>IFERROR('5000rpm'!AT50,"")</x:f>
        <x:v>0.08007874015748032</x:v>
      </x:c>
      <x:c r="O382" s="22" t="n">
        <x:f>IFERROR('5000rpm'!AS50,"")</x:f>
        <x:v>0.08024611488190982</x:v>
      </x:c>
      <x:c r="P382" s="22" t="n">
        <x:f>IF(OR(NOT(AND(ISNUMBER(D382),ISNUMBER(E382),ISNUMBER(G382),ISNUMBER(H382))),OR(F382&lt;J382,F382&gt;K382)),"",IF(N382=L382,M382,M382+(F382-L382)*(O382-M382)/(N382-L382)))</x:f>
        <x:v>0.080259005012994</x:v>
      </x:c>
      <x:c r="Q382" s="22" t="n">
        <x:f>IF(AND(ISNUMBER(I382),ISNUMBER(P382)),I382-P382,"")</x:f>
        <x:v>-0.0038223144325594954</x:v>
      </x:c>
      <x:c r="R382" s="22" t="n">
        <x:f>IF(ISNUMBER(Q382),ABS(Q382),"")</x:f>
        <x:v>0.0038223144325594954</x:v>
      </x:c>
      <x:c r="S382" s="36" t="n">
        <x:f>IF(AND(ISNUMBER(Q382),ISNUMBER(P382)),IF(ABS(P382)&lt;1E-12,"",Q382/P382),"")</x:f>
        <x:v>-0.04762474231945262</x:v>
      </x:c>
      <x:c r="T382" s="36" t="n">
        <x:f>IF(ISNUMBER(S382),ABS(S382),"")</x:f>
        <x:v>0.04762474231945262</x:v>
      </x:c>
      <x:c r="U382" s="37" t="n">
        <x:f>IF(ISNUMBER(Q382),Q382^2,"")</x:f>
        <x:v>0.000014610087621352618</x:v>
      </x:c>
      <x:c r="V382" s="21" t="str">
        <x:f>IF(NOT(AND(ISNUMBER(D382),ISNUMBER(E382),ISNUMBER(G382),ISNUMBER(H382))),"缺少配对",IF(OR(F382&lt;J382,F382&gt;K382),"超出理论J范围","有效"))</x:f>
        <x:v>有效</x:v>
      </x:c>
      <x:c r="W382" s="20" t="str">
        <x:v>升力 y=0.915708x+28.7687 → C_T_prop；实验攻角 30° ↔ 理论 alpha_p_deg 60°；原升力源 5000rpm!C62/M62</x:v>
      </x:c>
      <x:c r="X382" s="20" t="str">
        <x:v>升力标定计算!M763</x:v>
      </x:c>
      <x:c r="Y382" s="20" t="str">
        <x:v>升力标定计算!M764</x:v>
      </x:c>
      <x:c r="Z382" s="20" t="str">
        <x:v>升力标定计算!N763</x:v>
      </x:c>
      <x:c r="AA382" s="20" t="str">
        <x:v>升力标定计算!N764</x:v>
      </x:c>
      <x:c r="AB382" s="20" t="str">
        <x:v>5000rpm!AT49:AS50</x:v>
      </x:c>
    </x:row>
    <x:row r="383">
      <x:c r="A383" s="21" t="n">
        <x:v>5000</x:v>
      </x:c>
      <x:c r="B383" s="21" t="n">
        <x:v>30</x:v>
      </x:c>
      <x:c r="C383" s="21" t="n">
        <x:v>6</x:v>
      </x:c>
      <x:c r="D383" s="22" t="n">
        <x:f>IFERROR('升力标定计算'!M765,"")</x:f>
        <x:v>0.1099762801753507</x:v>
      </x:c>
      <x:c r="E383" s="22" t="n">
        <x:f>IFERROR('升力标定计算'!M766,"")</x:f>
        <x:v>0.10512261376466243</x:v>
      </x:c>
      <x:c r="F383" s="22" t="n">
        <x:f>IF(AND(ISNUMBER(D383),ISNUMBER(E383)),AVERAGE(D383,E383),"")</x:f>
        <x:v>0.10754944697000657</x:v>
      </x:c>
      <x:c r="G383" s="22" t="n">
        <x:f>IFERROR('升力标定计算'!N765,"")</x:f>
        <x:v>0.07742386548970495</x:v>
      </x:c>
      <x:c r="H383" s="22" t="n">
        <x:f>IFERROR('升力标定计算'!N766,"")</x:f>
        <x:v>0.07605093520587272</x:v>
      </x:c>
      <x:c r="I383" s="22" t="n">
        <x:f>IF(AND(ISNUMBER(G383),ISNUMBER(H383)),AVERAGE(G383,H383),"")</x:f>
        <x:v>0.07673740034778884</x:v>
      </x:c>
      <x:c r="J383" s="22" t="n">
        <x:f>IFERROR('5000rpm'!AT47,"")</x:f>
        <x:v>0</x:v>
      </x:c>
      <x:c r="K383" s="22" t="n">
        <x:f>IFERROR('5000rpm'!AT57,"")</x:f>
        <x:v>0.26692913385826766</x:v>
      </x:c>
      <x:c r="L383" s="22" t="n">
        <x:f>IFERROR('5000rpm'!AT51,"")</x:f>
        <x:v>0.10677165354330712</x:v>
      </x:c>
      <x:c r="M383" s="22" t="n">
        <x:f>IFERROR('5000rpm'!AS51,"")</x:f>
        <x:v>0.07942042386688802</x:v>
      </x:c>
      <x:c r="N383" s="22" t="n">
        <x:f>IFERROR('5000rpm'!AT52,"")</x:f>
        <x:v>0.13346456692913383</x:v>
      </x:c>
      <x:c r="O383" s="22" t="n">
        <x:f>IFERROR('5000rpm'!AS52,"")</x:f>
        <x:v>0.07865279947026055</x:v>
      </x:c>
      <x:c r="P383" s="22" t="n">
        <x:f>IF(OR(NOT(AND(ISNUMBER(D383),ISNUMBER(E383),ISNUMBER(G383),ISNUMBER(H383))),OR(F383&lt;J383,F383&gt;K383)),"",IF(N383=L383,M383,M383+(F383-L383)*(O383-M383)/(N383-L383)))</x:f>
        <x:v>0.07939805638675422</x:v>
      </x:c>
      <x:c r="Q383" s="22" t="n">
        <x:f>IF(AND(ISNUMBER(I383),ISNUMBER(P383)),I383-P383,"")</x:f>
        <x:v>-0.002660656038965384</x:v>
      </x:c>
      <x:c r="R383" s="22" t="n">
        <x:f>IF(ISNUMBER(Q383),ABS(Q383),"")</x:f>
        <x:v>0.002660656038965384</x:v>
      </x:c>
      <x:c r="S383" s="36" t="n">
        <x:f>IF(AND(ISNUMBER(Q383),ISNUMBER(P383)),IF(ABS(P383)&lt;1E-12,"",Q383/P383),"")</x:f>
        <x:v>-0.03351034219282545</x:v>
      </x:c>
      <x:c r="T383" s="36" t="n">
        <x:f>IF(ISNUMBER(S383),ABS(S383),"")</x:f>
        <x:v>0.03351034219282545</x:v>
      </x:c>
      <x:c r="U383" s="37" t="n">
        <x:f>IF(ISNUMBER(Q383),Q383^2,"")</x:f>
        <x:v>0.000007079090557682966</x:v>
      </x:c>
      <x:c r="V383" s="21" t="str">
        <x:f>IF(NOT(AND(ISNUMBER(D383),ISNUMBER(E383),ISNUMBER(G383),ISNUMBER(H383))),"缺少配对",IF(OR(F383&lt;J383,F383&gt;K383),"超出理论J范围","有效"))</x:f>
        <x:v>有效</x:v>
      </x:c>
      <x:c r="W383" s="20" t="str">
        <x:v>升力 y=0.915708x+28.7687 → C_T_prop；实验攻角 30° ↔ 理论 alpha_p_deg 60°；原升力源 5000rpm!C63/M63</x:v>
      </x:c>
      <x:c r="X383" s="20" t="str">
        <x:v>升力标定计算!M765</x:v>
      </x:c>
      <x:c r="Y383" s="20" t="str">
        <x:v>升力标定计算!M766</x:v>
      </x:c>
      <x:c r="Z383" s="20" t="str">
        <x:v>升力标定计算!N765</x:v>
      </x:c>
      <x:c r="AA383" s="20" t="str">
        <x:v>升力标定计算!N766</x:v>
      </x:c>
      <x:c r="AB383" s="20" t="str">
        <x:v>5000rpm!AT51:AS52</x:v>
      </x:c>
    </x:row>
    <x:row r="384">
      <x:c r="A384" s="21" t="n">
        <x:v>5000</x:v>
      </x:c>
      <x:c r="B384" s="21" t="n">
        <x:v>30</x:v>
      </x:c>
      <x:c r="C384" s="21" t="n">
        <x:v>7</x:v>
      </x:c>
      <x:c r="D384" s="22" t="n">
        <x:f>IFERROR('升力标定计算'!M767,"")</x:f>
        <x:v>0.13712141186217963</x:v>
      </x:c>
      <x:c r="E384" s="22" t="n">
        <x:f>IFERROR('升力标定计算'!M768,"")</x:f>
        <x:v>0.13255887846602765</x:v>
      </x:c>
      <x:c r="F384" s="22" t="n">
        <x:f>IF(AND(ISNUMBER(D384),ISNUMBER(E384)),AVERAGE(D384,E384),"")</x:f>
        <x:v>0.13484014516410364</x:v>
      </x:c>
      <x:c r="G384" s="22" t="n">
        <x:f>IFERROR('升力标定计算'!N767,"")</x:f>
        <x:v>0.07593407219114158</x:v>
      </x:c>
      <x:c r="H384" s="22" t="n">
        <x:f>IFERROR('升力标定计算'!N768,"")</x:f>
        <x:v>0.07544715965121304</x:v>
      </x:c>
      <x:c r="I384" s="22" t="n">
        <x:f>IF(AND(ISNUMBER(G384),ISNUMBER(H384)),AVERAGE(G384,H384),"")</x:f>
        <x:v>0.07569061592117732</x:v>
      </x:c>
      <x:c r="J384" s="22" t="n">
        <x:f>IFERROR('5000rpm'!AT47,"")</x:f>
        <x:v>0</x:v>
      </x:c>
      <x:c r="K384" s="22" t="n">
        <x:f>IFERROR('5000rpm'!AT57,"")</x:f>
        <x:v>0.26692913385826766</x:v>
      </x:c>
      <x:c r="L384" s="22" t="n">
        <x:f>IFERROR('5000rpm'!AT52,"")</x:f>
        <x:v>0.13346456692913383</x:v>
      </x:c>
      <x:c r="M384" s="22" t="n">
        <x:f>IFERROR('5000rpm'!AS52,"")</x:f>
        <x:v>0.07865279947026055</x:v>
      </x:c>
      <x:c r="N384" s="22" t="n">
        <x:f>IFERROR('5000rpm'!AT53,"")</x:f>
        <x:v>0.16015748031496063</x:v>
      </x:c>
      <x:c r="O384" s="22" t="n">
        <x:f>IFERROR('5000rpm'!AS53,"")</x:f>
        <x:v>0.07790195597861993</x:v>
      </x:c>
      <x:c r="P384" s="22" t="n">
        <x:f>IF(OR(NOT(AND(ISNUMBER(D384),ISNUMBER(E384),ISNUMBER(G384),ISNUMBER(H384))),OR(F384&lt;J384,F384&gt;K384)),"",IF(N384=L384,M384,M384+(F384-L384)*(O384-M384)/(N384-L384)))</x:f>
        <x:v>0.07861410590579118</x:v>
      </x:c>
      <x:c r="Q384" s="22" t="n">
        <x:f>IF(AND(ISNUMBER(I384),ISNUMBER(P384)),I384-P384,"")</x:f>
        <x:v>-0.002923489984613864</x:v>
      </x:c>
      <x:c r="R384" s="22" t="n">
        <x:f>IF(ISNUMBER(Q384),ABS(Q384),"")</x:f>
        <x:v>0.002923489984613864</x:v>
      </x:c>
      <x:c r="S384" s="36" t="n">
        <x:f>IF(AND(ISNUMBER(Q384),ISNUMBER(P384)),IF(ABS(P384)&lt;1E-12,"",Q384/P384),"")</x:f>
        <x:v>-0.03718785516834966</x:v>
      </x:c>
      <x:c r="T384" s="36" t="n">
        <x:f>IF(ISNUMBER(S384),ABS(S384),"")</x:f>
        <x:v>0.03718785516834966</x:v>
      </x:c>
      <x:c r="U384" s="37" t="n">
        <x:f>IF(ISNUMBER(Q384),Q384^2,"")</x:f>
        <x:v>0.000008546793690137572</x:v>
      </x:c>
      <x:c r="V384" s="21" t="str">
        <x:f>IF(NOT(AND(ISNUMBER(D384),ISNUMBER(E384),ISNUMBER(G384),ISNUMBER(H384))),"缺少配对",IF(OR(F384&lt;J384,F384&gt;K384),"超出理论J范围","有效"))</x:f>
        <x:v>有效</x:v>
      </x:c>
      <x:c r="W384" s="20" t="str">
        <x:v>升力 y=0.915708x+28.7687 → C_T_prop；实验攻角 30° ↔ 理论 alpha_p_deg 60°；原升力源 5000rpm!C64/M64</x:v>
      </x:c>
      <x:c r="X384" s="20" t="str">
        <x:v>升力标定计算!M767</x:v>
      </x:c>
      <x:c r="Y384" s="20" t="str">
        <x:v>升力标定计算!M768</x:v>
      </x:c>
      <x:c r="Z384" s="20" t="str">
        <x:v>升力标定计算!N767</x:v>
      </x:c>
      <x:c r="AA384" s="20" t="str">
        <x:v>升力标定计算!N768</x:v>
      </x:c>
      <x:c r="AB384" s="20" t="str">
        <x:v>5000rpm!AT52:AS53</x:v>
      </x:c>
    </x:row>
    <x:row r="385">
      <x:c r="A385" s="21" t="n">
        <x:v>5000</x:v>
      </x:c>
      <x:c r="B385" s="21" t="n">
        <x:v>30</x:v>
      </x:c>
      <x:c r="C385" s="21" t="n">
        <x:v>8</x:v>
      </x:c>
      <x:c r="D385" s="22" t="n">
        <x:f>IFERROR('升力标定计算'!M769,"")</x:f>
        <x:v>0.16333453075220647</x:v>
      </x:c>
      <x:c r="E385" s="22" t="n">
        <x:f>IFERROR('升力标定计算'!M770,"")</x:f>
        <x:v>0.1596613485736669</x:v>
      </x:c>
      <x:c r="F385" s="22" t="n">
        <x:f>IF(AND(ISNUMBER(D385),ISNUMBER(E385)),AVERAGE(D385,E385),"")</x:f>
        <x:v>0.16149793966293668</x:v>
      </x:c>
      <x:c r="G385" s="22" t="n">
        <x:f>IFERROR('升力标定计算'!N769,"")</x:f>
        <x:v>0.0741319359433202</x:v>
      </x:c>
      <x:c r="H385" s="22" t="n">
        <x:f>IFERROR('升力标定计算'!N770,"")</x:f>
        <x:v>0.074728246515925</x:v>
      </x:c>
      <x:c r="I385" s="22" t="n">
        <x:f>IF(AND(ISNUMBER(G385),ISNUMBER(H385)),AVERAGE(G385,H385),"")</x:f>
        <x:v>0.0744300912296226</x:v>
      </x:c>
      <x:c r="J385" s="22" t="n">
        <x:f>IFERROR('5000rpm'!AT47,"")</x:f>
        <x:v>0</x:v>
      </x:c>
      <x:c r="K385" s="22" t="n">
        <x:f>IFERROR('5000rpm'!AT57,"")</x:f>
        <x:v>0.26692913385826766</x:v>
      </x:c>
      <x:c r="L385" s="22" t="n">
        <x:f>IFERROR('5000rpm'!AT53,"")</x:f>
        <x:v>0.16015748031496063</x:v>
      </x:c>
      <x:c r="M385" s="22" t="n">
        <x:f>IFERROR('5000rpm'!AS53,"")</x:f>
        <x:v>0.07790195597861993</x:v>
      </x:c>
      <x:c r="N385" s="22" t="n">
        <x:f>IFERROR('5000rpm'!AT54,"")</x:f>
        <x:v>0.18685039370078743</x:v>
      </x:c>
      <x:c r="O385" s="22" t="n">
        <x:f>IFERROR('5000rpm'!AS54,"")</x:f>
        <x:v>0.07712045590231399</x:v>
      </x:c>
      <x:c r="P385" s="22" t="n">
        <x:f>IF(OR(NOT(AND(ISNUMBER(D385),ISNUMBER(E385),ISNUMBER(G385),ISNUMBER(H385))),OR(F385&lt;J385,F385&gt;K385)),"",IF(N385=L385,M385,M385+(F385-L385)*(O385-M385)/(N385-L385)))</x:f>
        <x:v>0.07786271076519619</x:v>
      </x:c>
      <x:c r="Q385" s="22" t="n">
        <x:f>IF(AND(ISNUMBER(I385),ISNUMBER(P385)),I385-P385,"")</x:f>
        <x:v>-0.0034326195355735833</x:v>
      </x:c>
      <x:c r="R385" s="22" t="n">
        <x:f>IF(ISNUMBER(Q385),ABS(Q385),"")</x:f>
        <x:v>0.0034326195355735833</x:v>
      </x:c>
      <x:c r="S385" s="36" t="n">
        <x:f>IF(AND(ISNUMBER(Q385),ISNUMBER(P385)),IF(ABS(P385)&lt;1E-12,"",Q385/P385),"")</x:f>
        <x:v>-0.044085538531082435</x:v>
      </x:c>
      <x:c r="T385" s="36" t="n">
        <x:f>IF(ISNUMBER(S385),ABS(S385),"")</x:f>
        <x:v>0.044085538531082435</x:v>
      </x:c>
      <x:c r="U385" s="37" t="n">
        <x:f>IF(ISNUMBER(Q385),Q385^2,"")</x:f>
        <x:v>0.000011782876876001403</x:v>
      </x:c>
      <x:c r="V385" s="21" t="str">
        <x:f>IF(NOT(AND(ISNUMBER(D385),ISNUMBER(E385),ISNUMBER(G385),ISNUMBER(H385))),"缺少配对",IF(OR(F385&lt;J385,F385&gt;K385),"超出理论J范围","有效"))</x:f>
        <x:v>有效</x:v>
      </x:c>
      <x:c r="W385" s="20" t="str">
        <x:v>升力 y=0.915708x+28.7687 → C_T_prop；实验攻角 30° ↔ 理论 alpha_p_deg 60°；原升力源 5000rpm!C65/M65</x:v>
      </x:c>
      <x:c r="X385" s="20" t="str">
        <x:v>升力标定计算!M769</x:v>
      </x:c>
      <x:c r="Y385" s="20" t="str">
        <x:v>升力标定计算!M770</x:v>
      </x:c>
      <x:c r="Z385" s="20" t="str">
        <x:v>升力标定计算!N769</x:v>
      </x:c>
      <x:c r="AA385" s="20" t="str">
        <x:v>升力标定计算!N770</x:v>
      </x:c>
      <x:c r="AB385" s="20" t="str">
        <x:v>5000rpm!AT53:AS54</x:v>
      </x:c>
    </x:row>
    <x:row r="386">
      <x:c r="A386" s="21" t="n">
        <x:v>5000</x:v>
      </x:c>
      <x:c r="B386" s="21" t="n">
        <x:v>30</x:v>
      </x:c>
      <x:c r="C386" s="21" t="n">
        <x:v>9</x:v>
      </x:c>
      <x:c r="D386" s="22" t="n">
        <x:f>IFERROR('升力标定计算'!M771,"")</x:f>
        <x:v>0.19086736711244168</x:v>
      </x:c>
      <x:c r="E386" s="22" t="n">
        <x:f>IFERROR('升力标定计算'!M772,"")</x:f>
        <x:v>0.18550071536561386</x:v>
      </x:c>
      <x:c r="F386" s="22" t="n">
        <x:f>IF(AND(ISNUMBER(D386),ISNUMBER(E386)),AVERAGE(D386,E386),"")</x:f>
        <x:v>0.18818404123902777</x:v>
      </x:c>
      <x:c r="G386" s="22" t="n">
        <x:f>IFERROR('升力标定计算'!N771,"")</x:f>
        <x:v>0.07353352703012901</x:v>
      </x:c>
      <x:c r="H386" s="22" t="n">
        <x:f>IFERROR('升力标定计算'!N772,"")</x:f>
        <x:v>0.07279830840585427</x:v>
      </x:c>
      <x:c r="I386" s="22" t="n">
        <x:f>IF(AND(ISNUMBER(G386),ISNUMBER(H386)),AVERAGE(G386,H386),"")</x:f>
        <x:v>0.07316591771799164</x:v>
      </x:c>
      <x:c r="J386" s="22" t="n">
        <x:f>IFERROR('5000rpm'!AT47,"")</x:f>
        <x:v>0</x:v>
      </x:c>
      <x:c r="K386" s="22" t="n">
        <x:f>IFERROR('5000rpm'!AT57,"")</x:f>
        <x:v>0.26692913385826766</x:v>
      </x:c>
      <x:c r="L386" s="22" t="n">
        <x:f>IFERROR('5000rpm'!AT54,"")</x:f>
        <x:v>0.18685039370078743</x:v>
      </x:c>
      <x:c r="M386" s="22" t="n">
        <x:f>IFERROR('5000rpm'!AS54,"")</x:f>
        <x:v>0.07712045590231399</x:v>
      </x:c>
      <x:c r="N386" s="22" t="n">
        <x:f>IFERROR('5000rpm'!AT55,"")</x:f>
        <x:v>0.21354330708661423</x:v>
      </x:c>
      <x:c r="O386" s="22" t="n">
        <x:f>IFERROR('5000rpm'!AS55,"")</x:f>
        <x:v>0.0762898684320136</x:v>
      </x:c>
      <x:c r="P386" s="22" t="n">
        <x:f>IF(OR(NOT(AND(ISNUMBER(D386),ISNUMBER(E386),ISNUMBER(G386),ISNUMBER(H386))),OR(F386&lt;J386,F386&gt;K386)),"",IF(N386=L386,M386,M386+(F386-L386)*(O386-M386)/(N386-L386)))</x:f>
        <x:v>0.07707895758704776</x:v>
      </x:c>
      <x:c r="Q386" s="22" t="n">
        <x:f>IF(AND(ISNUMBER(I386),ISNUMBER(P386)),I386-P386,"")</x:f>
        <x:v>-0.003913039869056126</x:v>
      </x:c>
      <x:c r="R386" s="22" t="n">
        <x:f>IF(ISNUMBER(Q386),ABS(Q386),"")</x:f>
        <x:v>0.003913039869056126</x:v>
      </x:c>
      <x:c r="S386" s="36" t="n">
        <x:f>IF(AND(ISNUMBER(Q386),ISNUMBER(P386)),IF(ABS(P386)&lt;1E-12,"",Q386/P386),"")</x:f>
        <x:v>-0.050766642304898885</x:v>
      </x:c>
      <x:c r="T386" s="36" t="n">
        <x:f>IF(ISNUMBER(S386),ABS(S386),"")</x:f>
        <x:v>0.050766642304898885</x:v>
      </x:c>
      <x:c r="U386" s="37" t="n">
        <x:f>IF(ISNUMBER(Q386),Q386^2,"")</x:f>
        <x:v>0.000015311881016822782</x:v>
      </x:c>
      <x:c r="V386" s="21" t="str">
        <x:f>IF(NOT(AND(ISNUMBER(D386),ISNUMBER(E386),ISNUMBER(G386),ISNUMBER(H386))),"缺少配对",IF(OR(F386&lt;J386,F386&gt;K386),"超出理论J范围","有效"))</x:f>
        <x:v>有效</x:v>
      </x:c>
      <x:c r="W386" s="20" t="str">
        <x:v>升力 y=0.915708x+28.7687 → C_T_prop；实验攻角 30° ↔ 理论 alpha_p_deg 60°；原升力源 5000rpm!C66/M66</x:v>
      </x:c>
      <x:c r="X386" s="20" t="str">
        <x:v>升力标定计算!M771</x:v>
      </x:c>
      <x:c r="Y386" s="20" t="str">
        <x:v>升力标定计算!M772</x:v>
      </x:c>
      <x:c r="Z386" s="20" t="str">
        <x:v>升力标定计算!N771</x:v>
      </x:c>
      <x:c r="AA386" s="20" t="str">
        <x:v>升力标定计算!N772</x:v>
      </x:c>
      <x:c r="AB386" s="20" t="str">
        <x:v>5000rpm!AT54:AS55</x:v>
      </x:c>
    </x:row>
    <x:row r="387">
      <x:c r="A387" s="21" t="n">
        <x:v>5000</x:v>
      </x:c>
      <x:c r="B387" s="21" t="n">
        <x:v>30</x:v>
      </x:c>
      <x:c r="C387" s="21" t="n">
        <x:v>10</x:v>
      </x:c>
      <x:c r="D387" s="22" t="n">
        <x:f>IFERROR('升力标定计算'!M773,"")</x:f>
        <x:v>0.21660730817576881</x:v>
      </x:c>
      <x:c r="E387" s="22" t="n">
        <x:f>IFERROR('升力标定计算'!M774,"")</x:f>
        <x:v>0.21299401789644462</x:v>
      </x:c>
      <x:c r="F387" s="22" t="n">
        <x:f>IF(AND(ISNUMBER(D387),ISNUMBER(E387)),AVERAGE(D387,E387),"")</x:f>
        <x:v>0.21480066303610673</x:v>
      </x:c>
      <x:c r="G387" s="22" t="n">
        <x:f>IFERROR('升力标定计算'!N773,"")</x:f>
        <x:v>0.07135993696405281</x:v>
      </x:c>
      <x:c r="H387" s="22" t="n">
        <x:f>IFERROR('升力标定计算'!N774,"")</x:f>
        <x:v>0.07235984387524995</x:v>
      </x:c>
      <x:c r="I387" s="22" t="n">
        <x:f>IF(AND(ISNUMBER(G387),ISNUMBER(H387)),AVERAGE(G387,H387),"")</x:f>
        <x:v>0.07185989041965138</x:v>
      </x:c>
      <x:c r="J387" s="22" t="n">
        <x:f>IFERROR('5000rpm'!AT47,"")</x:f>
        <x:v>0</x:v>
      </x:c>
      <x:c r="K387" s="22" t="n">
        <x:f>IFERROR('5000rpm'!AT57,"")</x:f>
        <x:v>0.26692913385826766</x:v>
      </x:c>
      <x:c r="L387" s="22" t="n">
        <x:f>IFERROR('5000rpm'!AT55,"")</x:f>
        <x:v>0.21354330708661423</x:v>
      </x:c>
      <x:c r="M387" s="22" t="n">
        <x:f>IFERROR('5000rpm'!AS55,"")</x:f>
        <x:v>0.0762898684320136</x:v>
      </x:c>
      <x:c r="N387" s="22" t="n">
        <x:f>IFERROR('5000rpm'!AT56,"")</x:f>
        <x:v>0.24023622047244095</x:v>
      </x:c>
      <x:c r="O387" s="22" t="n">
        <x:f>IFERROR('5000rpm'!AS56,"")</x:f>
        <x:v>0.07539204321023216</x:v>
      </x:c>
      <x:c r="P387" s="22" t="n">
        <x:f>IF(OR(NOT(AND(ISNUMBER(D387),ISNUMBER(E387),ISNUMBER(G387),ISNUMBER(H387))),OR(F387&lt;J387,F387&gt;K387)),"",IF(N387=L387,M387,M387+(F387-L387)*(O387-M387)/(N387-L387)))</x:f>
        <x:v>0.07624757683694137</x:v>
      </x:c>
      <x:c r="Q387" s="22" t="n">
        <x:f>IF(AND(ISNUMBER(I387),ISNUMBER(P387)),I387-P387,"")</x:f>
        <x:v>-0.004387686417289996</x:v>
      </x:c>
      <x:c r="R387" s="22" t="n">
        <x:f>IF(ISNUMBER(Q387),ABS(Q387),"")</x:f>
        <x:v>0.004387686417289996</x:v>
      </x:c>
      <x:c r="S387" s="36" t="n">
        <x:f>IF(AND(ISNUMBER(Q387),ISNUMBER(P387)),IF(ABS(P387)&lt;1E-12,"",Q387/P387),"")</x:f>
        <x:v>-0.057545257165001404</x:v>
      </x:c>
      <x:c r="T387" s="36" t="n">
        <x:f>IF(ISNUMBER(S387),ABS(S387),"")</x:f>
        <x:v>0.057545257165001404</x:v>
      </x:c>
      <x:c r="U387" s="37" t="n">
        <x:f>IF(ISNUMBER(Q387),Q387^2,"")</x:f>
        <x:v>0.00001925179209647112</x:v>
      </x:c>
      <x:c r="V387" s="21" t="str">
        <x:f>IF(NOT(AND(ISNUMBER(D387),ISNUMBER(E387),ISNUMBER(G387),ISNUMBER(H387))),"缺少配对",IF(OR(F387&lt;J387,F387&gt;K387),"超出理论J范围","有效"))</x:f>
        <x:v>有效</x:v>
      </x:c>
      <x:c r="W387" s="20" t="str">
        <x:v>升力 y=0.915708x+28.7687 → C_T_prop；实验攻角 30° ↔ 理论 alpha_p_deg 60°；原升力源 5000rpm!C67/M67</x:v>
      </x:c>
      <x:c r="X387" s="20" t="str">
        <x:v>升力标定计算!M773</x:v>
      </x:c>
      <x:c r="Y387" s="20" t="str">
        <x:v>升力标定计算!M774</x:v>
      </x:c>
      <x:c r="Z387" s="20" t="str">
        <x:v>升力标定计算!N773</x:v>
      </x:c>
      <x:c r="AA387" s="20" t="str">
        <x:v>升力标定计算!N774</x:v>
      </x:c>
      <x:c r="AB387" s="20" t="str">
        <x:v>5000rpm!AT55:AS56</x:v>
      </x:c>
    </x:row>
    <x:row r="388">
      <x:c r="A388" s="21" t="n">
        <x:v>5000</x:v>
      </x:c>
      <x:c r="B388" s="21" t="n">
        <x:v>30</x:v>
      </x:c>
      <x:c r="C388" s="21" t="n">
        <x:v>11</x:v>
      </x:c>
      <x:c r="D388" s="22" t="n">
        <x:f>IFERROR('升力标定计算'!M775,"")</x:f>
        <x:v>0.246375749469699</x:v>
      </x:c>
      <x:c r="E388" s="22" t="n">
        <x:f>IFERROR('升力标定计算'!M776,"")</x:f>
        <x:v>0.2409105455564575</x:v>
      </x:c>
      <x:c r="F388" s="22" t="n">
        <x:f>IF(AND(ISNUMBER(D388),ISNUMBER(E388)),AVERAGE(D388,E388),"")</x:f>
        <x:v>0.24364314751307825</x:v>
      </x:c>
      <x:c r="G388" s="22" t="n">
        <x:f>IFERROR('升力标定计算'!N775,"")</x:f>
        <x:v>0.07228132962448</x:v>
      </x:c>
      <x:c r="H388" s="22" t="n">
        <x:f>IFERROR('升力标定计算'!N776,"")</x:f>
        <x:v>0.07233396954560545</x:v>
      </x:c>
      <x:c r="I388" s="22" t="n">
        <x:f>IF(AND(ISNUMBER(G388),ISNUMBER(H388)),AVERAGE(G388,H388),"")</x:f>
        <x:v>0.07230764958504272</x:v>
      </x:c>
      <x:c r="J388" s="22" t="n">
        <x:f>IFERROR('5000rpm'!AT47,"")</x:f>
        <x:v>0</x:v>
      </x:c>
      <x:c r="K388" s="22" t="n">
        <x:f>IFERROR('5000rpm'!AT57,"")</x:f>
        <x:v>0.26692913385826766</x:v>
      </x:c>
      <x:c r="L388" s="22" t="n">
        <x:f>IFERROR('5000rpm'!AT56,"")</x:f>
        <x:v>0.24023622047244095</x:v>
      </x:c>
      <x:c r="M388" s="22" t="n">
        <x:f>IFERROR('5000rpm'!AS56,"")</x:f>
        <x:v>0.07539204321023216</x:v>
      </x:c>
      <x:c r="N388" s="22" t="n">
        <x:f>IFERROR('5000rpm'!AT57,"")</x:f>
        <x:v>0.26692913385826766</x:v>
      </x:c>
      <x:c r="O388" s="22" t="n">
        <x:f>IFERROR('5000rpm'!AS57,"")</x:f>
        <x:v>0.07440258583861342</x:v>
      </x:c>
      <x:c r="P388" s="22" t="n">
        <x:f>IF(OR(NOT(AND(ISNUMBER(D388),ISNUMBER(E388),ISNUMBER(G388),ISNUMBER(H388))),OR(F388&lt;J388,F388&gt;K388)),"",IF(N388=L388,M388,M388+(F388-L388)*(O388-M388)/(N388-L388)))</x:f>
        <x:v>0.07526575466966709</x:v>
      </x:c>
      <x:c r="Q388" s="22" t="n">
        <x:f>IF(AND(ISNUMBER(I388),ISNUMBER(P388)),I388-P388,"")</x:f>
        <x:v>-0.0029581050846243656</x:v>
      </x:c>
      <x:c r="R388" s="22" t="n">
        <x:f>IF(ISNUMBER(Q388),ABS(Q388),"")</x:f>
        <x:v>0.0029581050846243656</x:v>
      </x:c>
      <x:c r="S388" s="36" t="n">
        <x:f>IF(AND(ISNUMBER(Q388),ISNUMBER(P388)),IF(ABS(P388)&lt;1E-12,"",Q388/P388),"")</x:f>
        <x:v>-0.03930213810526654</x:v>
      </x:c>
      <x:c r="T388" s="36" t="n">
        <x:f>IF(ISNUMBER(S388),ABS(S388),"")</x:f>
        <x:v>0.03930213810526654</x:v>
      </x:c>
      <x:c r="U388" s="37" t="n">
        <x:f>IF(ISNUMBER(Q388),Q388^2,"")</x:f>
        <x:v>0.000008750385691680526</x:v>
      </x:c>
      <x:c r="V388" s="21" t="str">
        <x:f>IF(NOT(AND(ISNUMBER(D388),ISNUMBER(E388),ISNUMBER(G388),ISNUMBER(H388))),"缺少配对",IF(OR(F388&lt;J388,F388&gt;K388),"超出理论J范围","有效"))</x:f>
        <x:v>有效</x:v>
      </x:c>
      <x:c r="W388" s="20" t="str">
        <x:v>升力 y=0.915708x+28.7687 → C_T_prop；实验攻角 30° ↔ 理论 alpha_p_deg 60°；原升力源 5000rpm!C68/M68</x:v>
      </x:c>
      <x:c r="X388" s="20" t="str">
        <x:v>升力标定计算!M775</x:v>
      </x:c>
      <x:c r="Y388" s="20" t="str">
        <x:v>升力标定计算!M776</x:v>
      </x:c>
      <x:c r="Z388" s="20" t="str">
        <x:v>升力标定计算!N775</x:v>
      </x:c>
      <x:c r="AA388" s="20" t="str">
        <x:v>升力标定计算!N776</x:v>
      </x:c>
      <x:c r="AB388" s="20" t="str">
        <x:v>5000rpm!AT56:AS57</x:v>
      </x:c>
    </x:row>
    <x:row r="389">
      <x:c r="A389" s="21" t="n">
        <x:v>5000</x:v>
      </x:c>
      <x:c r="B389" s="21" t="n">
        <x:v>30</x:v>
      </x:c>
      <x:c r="C389" s="21" t="n">
        <x:v>12</x:v>
      </x:c>
      <x:c r="D389" s="22" t="n">
        <x:f>IFERROR('升力标定计算'!M777,"")</x:f>
        <x:v>0.27107944159501657</x:v>
      </x:c>
      <x:c r="E389" s="22" t="n">
        <x:f>IFERROR('升力标定计算'!M778,"")</x:f>
        <x:v>0.2657858000473996</x:v>
      </x:c>
      <x:c r="F389" s="22" t="n">
        <x:f>IF(AND(ISNUMBER(D389),ISNUMBER(E389)),AVERAGE(D389,E389),"")</x:f>
        <x:v>0.2684326208212081</x:v>
      </x:c>
      <x:c r="G389" s="22" t="n">
        <x:f>IFERROR('升力标定计算'!N777,"")</x:f>
        <x:v>0.07110780293245485</x:v>
      </x:c>
      <x:c r="H389" s="22" t="n">
        <x:f>IFERROR('升力标定计算'!N778,"")</x:f>
        <x:v>0.07142272297646395</x:v>
      </x:c>
      <x:c r="I389" s="22" t="n">
        <x:f>IF(AND(ISNUMBER(G389),ISNUMBER(H389)),AVERAGE(G389,H389),"")</x:f>
        <x:v>0.0712652629544594</x:v>
      </x:c>
      <x:c r="J389" s="22" t="n">
        <x:f>IFERROR('5000rpm'!AT47,"")</x:f>
        <x:v>0</x:v>
      </x:c>
      <x:c r="K389" s="22" t="n">
        <x:f>IFERROR('5000rpm'!AT57,"")</x:f>
        <x:v>0.26692913385826766</x:v>
      </x:c>
      <x:c r="L389" s="22" t="n">
        <x:f>IFERROR('5000rpm'!AT47,"")</x:f>
        <x:v>0</x:v>
      </x:c>
      <x:c r="M389" s="22" t="n">
        <x:f>IFERROR('5000rpm'!AS47,"")</x:f>
        <x:v>0.0836476206119306</x:v>
      </x:c>
      <x:c r="N389" s="22" t="n">
        <x:f>IFERROR('5000rpm'!AT57,"")</x:f>
        <x:v>0.26692913385826766</x:v>
      </x:c>
      <x:c r="O389" s="22" t="n">
        <x:f>IFERROR('5000rpm'!AS57,"")</x:f>
        <x:v>0.07440258583861342</x:v>
      </x:c>
      <x:c r="P389" s="22" t="str">
        <x:f>IF(OR(NOT(AND(ISNUMBER(D389),ISNUMBER(E389),ISNUMBER(G389),ISNUMBER(H389))),OR(F389&lt;J389,F389&gt;K389)),"",IF(N389=L389,M389,M389+(F389-L389)*(O389-M389)/(N389-L389)))</x:f>
      </x:c>
      <x:c r="Q389" s="22" t="str">
        <x:f>IF(AND(ISNUMBER(I389),ISNUMBER(P389)),I389-P389,"")</x:f>
      </x:c>
      <x:c r="R389" s="22" t="str">
        <x:f>IF(ISNUMBER(Q389),ABS(Q389),"")</x:f>
      </x:c>
      <x:c r="S389" s="36" t="str">
        <x:f>IF(AND(ISNUMBER(Q389),ISNUMBER(P389)),IF(ABS(P389)&lt;1E-12,"",Q389/P389),"")</x:f>
      </x:c>
      <x:c r="T389" s="36" t="str">
        <x:f>IF(ISNUMBER(S389),ABS(S389),"")</x:f>
      </x:c>
      <x:c r="U389" s="37" t="str">
        <x:f>IF(ISNUMBER(Q389),Q389^2,"")</x:f>
      </x:c>
      <x:c r="V389" s="21" t="str">
        <x:f>IF(NOT(AND(ISNUMBER(D389),ISNUMBER(E389),ISNUMBER(G389),ISNUMBER(H389))),"缺少配对",IF(OR(F389&lt;J389,F389&gt;K389),"超出理论J范围","有效"))</x:f>
        <x:v>超出理论J范围</x:v>
      </x:c>
      <x:c r="W389" s="20" t="str">
        <x:v>升力 y=0.915708x+28.7687 → C_T_prop；实验攻角 30° ↔ 理论 alpha_p_deg 60°；原升力源 5000rpm!C69/M69</x:v>
      </x:c>
      <x:c r="X389" s="20" t="str">
        <x:v>升力标定计算!M777</x:v>
      </x:c>
      <x:c r="Y389" s="20" t="str">
        <x:v>升力标定计算!M778</x:v>
      </x:c>
      <x:c r="Z389" s="20" t="str">
        <x:v>升力标定计算!N777</x:v>
      </x:c>
      <x:c r="AA389" s="20" t="str">
        <x:v>升力标定计算!N778</x:v>
      </x:c>
      <x:c r="AB389" s="20" t="str">
        <x:v>5000rpm!AT47:AS57</x:v>
      </x:c>
    </x:row>
    <x:row r="390">
      <x:c r="A390" s="21" t="n">
        <x:v>5000</x:v>
      </x:c>
      <x:c r="B390" s="21" t="n">
        <x:v>30</x:v>
      </x:c>
      <x:c r="C390" s="21" t="n">
        <x:v>13</x:v>
      </x:c>
      <x:c r="D390" s="22" t="n">
        <x:f>IFERROR('升力标定计算'!M779,"")</x:f>
        <x:v>0.24509809958279824</x:v>
      </x:c>
      <x:c r="E390" s="22" t="n">
        <x:f>IFERROR('升力标定计算'!M780,"")</x:f>
        <x:v>0.24325556472633905</x:v>
      </x:c>
      <x:c r="F390" s="22" t="n">
        <x:f>IF(AND(ISNUMBER(D390),ISNUMBER(E390)),AVERAGE(D390,E390),"")</x:f>
        <x:v>0.24417683215456865</x:v>
      </x:c>
      <x:c r="G390" s="22" t="n">
        <x:f>IFERROR('升力标定计算'!N779,"")</x:f>
        <x:v>0.07175302708515066</x:v>
      </x:c>
      <x:c r="H390" s="22" t="n">
        <x:f>IFERROR('升力标定计算'!N780,"")</x:f>
        <x:v>0.07262852423019407</x:v>
      </x:c>
      <x:c r="I390" s="22" t="n">
        <x:f>IF(AND(ISNUMBER(G390),ISNUMBER(H390)),AVERAGE(G390,H390),"")</x:f>
        <x:v>0.07219077565767237</x:v>
      </x:c>
      <x:c r="J390" s="22" t="n">
        <x:f>IFERROR('5000rpm'!AT47,"")</x:f>
        <x:v>0</x:v>
      </x:c>
      <x:c r="K390" s="22" t="n">
        <x:f>IFERROR('5000rpm'!AT57,"")</x:f>
        <x:v>0.26692913385826766</x:v>
      </x:c>
      <x:c r="L390" s="22" t="n">
        <x:f>IFERROR('5000rpm'!AT56,"")</x:f>
        <x:v>0.24023622047244095</x:v>
      </x:c>
      <x:c r="M390" s="22" t="n">
        <x:f>IFERROR('5000rpm'!AS56,"")</x:f>
        <x:v>0.07539204321023216</x:v>
      </x:c>
      <x:c r="N390" s="22" t="n">
        <x:f>IFERROR('5000rpm'!AT57,"")</x:f>
        <x:v>0.26692913385826766</x:v>
      </x:c>
      <x:c r="O390" s="22" t="n">
        <x:f>IFERROR('5000rpm'!AS57,"")</x:f>
        <x:v>0.07440258583861342</x:v>
      </x:c>
      <x:c r="P390" s="22" t="n">
        <x:f>IF(OR(NOT(AND(ISNUMBER(D390),ISNUMBER(E390),ISNUMBER(G390),ISNUMBER(H390))),OR(F390&lt;J390,F390&gt;K390)),"",IF(N390=L390,M390,M390+(F390-L390)*(O390-M390)/(N390-L390)))</x:f>
        <x:v>0.07524597195824066</x:v>
      </x:c>
      <x:c r="Q390" s="22" t="n">
        <x:f>IF(AND(ISNUMBER(I390),ISNUMBER(P390)),I390-P390,"")</x:f>
        <x:v>-0.0030551963005682886</x:v>
      </x:c>
      <x:c r="R390" s="22" t="n">
        <x:f>IF(ISNUMBER(Q390),ABS(Q390),"")</x:f>
        <x:v>0.0030551963005682886</x:v>
      </x:c>
      <x:c r="S390" s="36" t="n">
        <x:f>IF(AND(ISNUMBER(Q390),ISNUMBER(P390)),IF(ABS(P390)&lt;1E-12,"",Q390/P390),"")</x:f>
        <x:v>-0.04060278870826247</x:v>
      </x:c>
      <x:c r="T390" s="36" t="n">
        <x:f>IF(ISNUMBER(S390),ABS(S390),"")</x:f>
        <x:v>0.04060278870826247</x:v>
      </x:c>
      <x:c r="U390" s="37" t="n">
        <x:f>IF(ISNUMBER(Q390),Q390^2,"")</x:f>
        <x:v>0.000009334224435006157</x:v>
      </x:c>
      <x:c r="V390" s="21" t="str">
        <x:f>IF(NOT(AND(ISNUMBER(D390),ISNUMBER(E390),ISNUMBER(G390),ISNUMBER(H390))),"缺少配对",IF(OR(F390&lt;J390,F390&gt;K390),"超出理论J范围","有效"))</x:f>
        <x:v>有效</x:v>
      </x:c>
      <x:c r="W390" s="20" t="str">
        <x:v>升力 y=0.915708x+28.7687 → C_T_prop；实验攻角 30° ↔ 理论 alpha_p_deg 60°；原升力源 5000rpm!C70/M70</x:v>
      </x:c>
      <x:c r="X390" s="20" t="str">
        <x:v>升力标定计算!M779</x:v>
      </x:c>
      <x:c r="Y390" s="20" t="str">
        <x:v>升力标定计算!M780</x:v>
      </x:c>
      <x:c r="Z390" s="20" t="str">
        <x:v>升力标定计算!N779</x:v>
      </x:c>
      <x:c r="AA390" s="20" t="str">
        <x:v>升力标定计算!N780</x:v>
      </x:c>
      <x:c r="AB390" s="20" t="str">
        <x:v>5000rpm!AT56:AS57</x:v>
      </x:c>
    </x:row>
    <x:row r="391">
      <x:c r="A391" s="21" t="n">
        <x:v>5000</x:v>
      </x:c>
      <x:c r="B391" s="21" t="n">
        <x:v>30</x:v>
      </x:c>
      <x:c r="C391" s="21" t="n">
        <x:v>14</x:v>
      </x:c>
      <x:c r="D391" s="22" t="n">
        <x:f>IFERROR('升力标定计算'!M781,"")</x:f>
        <x:v>0.21968851308969975</x:v>
      </x:c>
      <x:c r="E391" s="22" t="n">
        <x:f>IFERROR('升力标定计算'!M782,"")</x:f>
        <x:v>0.21586670276345277</x:v>
      </x:c>
      <x:c r="F391" s="22" t="n">
        <x:f>IF(AND(ISNUMBER(D391),ISNUMBER(E391)),AVERAGE(D391,E391),"")</x:f>
        <x:v>0.21777760792657624</x:v>
      </x:c>
      <x:c r="G391" s="22" t="n">
        <x:f>IFERROR('升力标定计算'!N781,"")</x:f>
        <x:v>0.0729098231480203</x:v>
      </x:c>
      <x:c r="H391" s="22" t="n">
        <x:f>IFERROR('升力标定计算'!N782,"")</x:f>
        <x:v>0.07248672339307442</x:v>
      </x:c>
      <x:c r="I391" s="22" t="n">
        <x:f>IF(AND(ISNUMBER(G391),ISNUMBER(H391)),AVERAGE(G391,H391),"")</x:f>
        <x:v>0.07269827327054737</x:v>
      </x:c>
      <x:c r="J391" s="22" t="n">
        <x:f>IFERROR('5000rpm'!AT47,"")</x:f>
        <x:v>0</x:v>
      </x:c>
      <x:c r="K391" s="22" t="n">
        <x:f>IFERROR('5000rpm'!AT57,"")</x:f>
        <x:v>0.26692913385826766</x:v>
      </x:c>
      <x:c r="L391" s="22" t="n">
        <x:f>IFERROR('5000rpm'!AT55,"")</x:f>
        <x:v>0.21354330708661423</x:v>
      </x:c>
      <x:c r="M391" s="22" t="n">
        <x:f>IFERROR('5000rpm'!AS55,"")</x:f>
        <x:v>0.0762898684320136</x:v>
      </x:c>
      <x:c r="N391" s="22" t="n">
        <x:f>IFERROR('5000rpm'!AT56,"")</x:f>
        <x:v>0.24023622047244095</x:v>
      </x:c>
      <x:c r="O391" s="22" t="n">
        <x:f>IFERROR('5000rpm'!AS56,"")</x:f>
        <x:v>0.07539204321023216</x:v>
      </x:c>
      <x:c r="P391" s="22" t="n">
        <x:f>IF(OR(NOT(AND(ISNUMBER(D391),ISNUMBER(E391),ISNUMBER(G391),ISNUMBER(H391))),OR(F391&lt;J391,F391&gt;K391)),"",IF(N391=L391,M391,M391+(F391-L391)*(O391-M391)/(N391-L391)))</x:f>
        <x:v>0.07614744628289193</x:v>
      </x:c>
      <x:c r="Q391" s="22" t="n">
        <x:f>IF(AND(ISNUMBER(I391),ISNUMBER(P391)),I391-P391,"")</x:f>
        <x:v>-0.0034491730123445558</x:v>
      </x:c>
      <x:c r="R391" s="22" t="n">
        <x:f>IF(ISNUMBER(Q391),ABS(Q391),"")</x:f>
        <x:v>0.0034491730123445558</x:v>
      </x:c>
      <x:c r="S391" s="36" t="n">
        <x:f>IF(AND(ISNUMBER(Q391),ISNUMBER(P391)),IF(ABS(P391)&lt;1E-12,"",Q391/P391),"")</x:f>
        <x:v>-0.04529597748466428</x:v>
      </x:c>
      <x:c r="T391" s="36" t="n">
        <x:f>IF(ISNUMBER(S391),ABS(S391),"")</x:f>
        <x:v>0.04529597748466428</x:v>
      </x:c>
      <x:c r="U391" s="37" t="n">
        <x:f>IF(ISNUMBER(Q391),Q391^2,"")</x:f>
        <x:v>0.000011896794469086017</x:v>
      </x:c>
      <x:c r="V391" s="21" t="str">
        <x:f>IF(NOT(AND(ISNUMBER(D391),ISNUMBER(E391),ISNUMBER(G391),ISNUMBER(H391))),"缺少配对",IF(OR(F391&lt;J391,F391&gt;K391),"超出理论J范围","有效"))</x:f>
        <x:v>有效</x:v>
      </x:c>
      <x:c r="W391" s="20" t="str">
        <x:v>升力 y=0.915708x+28.7687 → C_T_prop；实验攻角 30° ↔ 理论 alpha_p_deg 60°；原升力源 5000rpm!C71/M71</x:v>
      </x:c>
      <x:c r="X391" s="20" t="str">
        <x:v>升力标定计算!M781</x:v>
      </x:c>
      <x:c r="Y391" s="20" t="str">
        <x:v>升力标定计算!M782</x:v>
      </x:c>
      <x:c r="Z391" s="20" t="str">
        <x:v>升力标定计算!N781</x:v>
      </x:c>
      <x:c r="AA391" s="20" t="str">
        <x:v>升力标定计算!N782</x:v>
      </x:c>
      <x:c r="AB391" s="20" t="str">
        <x:v>5000rpm!AT55:AS56</x:v>
      </x:c>
    </x:row>
    <x:row r="392">
      <x:c r="A392" s="21" t="n">
        <x:v>5000</x:v>
      </x:c>
      <x:c r="B392" s="21" t="n">
        <x:v>30</x:v>
      </x:c>
      <x:c r="C392" s="21" t="n">
        <x:v>15</x:v>
      </x:c>
      <x:c r="D392" s="22" t="n">
        <x:f>IFERROR('升力标定计算'!M783,"")</x:f>
        <x:v>0.19223053028716391</x:v>
      </x:c>
      <x:c r="E392" s="22" t="n">
        <x:f>IFERROR('升力标定计算'!M784,"")</x:f>
        <x:v>0.1891654513567069</x:v>
      </x:c>
      <x:c r="F392" s="22" t="n">
        <x:f>IF(AND(ISNUMBER(D392),ISNUMBER(E392)),AVERAGE(D392,E392),"")</x:f>
        <x:v>0.1906979908219354</x:v>
      </x:c>
      <x:c r="G392" s="22" t="n">
        <x:f>IFERROR('升力标定计算'!N783,"")</x:f>
        <x:v>0.07349274699166876</x:v>
      </x:c>
      <x:c r="H392" s="22" t="n">
        <x:f>IFERROR('升力标定计算'!N784,"")</x:f>
        <x:v>0.07365949695922963</x:v>
      </x:c>
      <x:c r="I392" s="22" t="n">
        <x:f>IF(AND(ISNUMBER(G392),ISNUMBER(H392)),AVERAGE(G392,H392),"")</x:f>
        <x:v>0.07357612197544919</x:v>
      </x:c>
      <x:c r="J392" s="22" t="n">
        <x:f>IFERROR('5000rpm'!AT47,"")</x:f>
        <x:v>0</x:v>
      </x:c>
      <x:c r="K392" s="22" t="n">
        <x:f>IFERROR('5000rpm'!AT57,"")</x:f>
        <x:v>0.26692913385826766</x:v>
      </x:c>
      <x:c r="L392" s="22" t="n">
        <x:f>IFERROR('5000rpm'!AT54,"")</x:f>
        <x:v>0.18685039370078743</x:v>
      </x:c>
      <x:c r="M392" s="22" t="n">
        <x:f>IFERROR('5000rpm'!AS54,"")</x:f>
        <x:v>0.07712045590231399</x:v>
      </x:c>
      <x:c r="N392" s="22" t="n">
        <x:f>IFERROR('5000rpm'!AT55,"")</x:f>
        <x:v>0.21354330708661423</x:v>
      </x:c>
      <x:c r="O392" s="22" t="n">
        <x:f>IFERROR('5000rpm'!AS55,"")</x:f>
        <x:v>0.0762898684320136</x:v>
      </x:c>
      <x:c r="P392" s="22" t="n">
        <x:f>IF(OR(NOT(AND(ISNUMBER(D392),ISNUMBER(E392),ISNUMBER(G392),ISNUMBER(H392))),OR(F392&lt;J392,F392&gt;K392)),"",IF(N392=L392,M392,M392+(F392-L392)*(O392-M392)/(N392-L392)))</x:f>
        <x:v>0.07700073251680725</x:v>
      </x:c>
      <x:c r="Q392" s="22" t="n">
        <x:f>IF(AND(ISNUMBER(I392),ISNUMBER(P392)),I392-P392,"")</x:f>
        <x:v>-0.003424610541358064</x:v>
      </x:c>
      <x:c r="R392" s="22" t="n">
        <x:f>IF(ISNUMBER(Q392),ABS(Q392),"")</x:f>
        <x:v>0.003424610541358064</x:v>
      </x:c>
      <x:c r="S392" s="36" t="n">
        <x:f>IF(AND(ISNUMBER(Q392),ISNUMBER(P392)),IF(ABS(P392)&lt;1E-12,"",Q392/P392),"")</x:f>
        <x:v>-0.044475038475907495</x:v>
      </x:c>
      <x:c r="T392" s="36" t="n">
        <x:f>IF(ISNUMBER(S392),ABS(S392),"")</x:f>
        <x:v>0.044475038475907495</x:v>
      </x:c>
      <x:c r="U392" s="37" t="n">
        <x:f>IF(ISNUMBER(Q392),Q392^2,"")</x:f>
        <x:v>0.000011727957359980772</x:v>
      </x:c>
      <x:c r="V392" s="21" t="str">
        <x:f>IF(NOT(AND(ISNUMBER(D392),ISNUMBER(E392),ISNUMBER(G392),ISNUMBER(H392))),"缺少配对",IF(OR(F392&lt;J392,F392&gt;K392),"超出理论J范围","有效"))</x:f>
        <x:v>有效</x:v>
      </x:c>
      <x:c r="W392" s="20" t="str">
        <x:v>升力 y=0.915708x+28.7687 → C_T_prop；实验攻角 30° ↔ 理论 alpha_p_deg 60°；原升力源 5000rpm!C72/M72</x:v>
      </x:c>
      <x:c r="X392" s="20" t="str">
        <x:v>升力标定计算!M783</x:v>
      </x:c>
      <x:c r="Y392" s="20" t="str">
        <x:v>升力标定计算!M784</x:v>
      </x:c>
      <x:c r="Z392" s="20" t="str">
        <x:v>升力标定计算!N783</x:v>
      </x:c>
      <x:c r="AA392" s="20" t="str">
        <x:v>升力标定计算!N784</x:v>
      </x:c>
      <x:c r="AB392" s="20" t="str">
        <x:v>5000rpm!AT54:AS55</x:v>
      </x:c>
    </x:row>
    <x:row r="393">
      <x:c r="A393" s="21" t="n">
        <x:v>5000</x:v>
      </x:c>
      <x:c r="B393" s="21" t="n">
        <x:v>30</x:v>
      </x:c>
      <x:c r="C393" s="21" t="n">
        <x:v>16</x:v>
      </x:c>
      <x:c r="D393" s="22" t="n">
        <x:f>IFERROR('升力标定计算'!M785,"")</x:f>
        <x:v>0.16516350095212196</x:v>
      </x:c>
      <x:c r="E393" s="22" t="n">
        <x:f>IFERROR('升力标定计算'!M786,"")</x:f>
        <x:v>0.16198769720836373</x:v>
      </x:c>
      <x:c r="F393" s="22" t="n">
        <x:f>IF(AND(ISNUMBER(D393),ISNUMBER(E393)),AVERAGE(D393,E393),"")</x:f>
        <x:v>0.16357559908024283</x:v>
      </x:c>
      <x:c r="G393" s="22" t="n">
        <x:f>IFERROR('升力标定计算'!N785,"")</x:f>
        <x:v>0.07439588757836267</x:v>
      </x:c>
      <x:c r="H393" s="22" t="n">
        <x:f>IFERROR('升力标定计算'!N786,"")</x:f>
        <x:v>0.07436778007608</x:v>
      </x:c>
      <x:c r="I393" s="22" t="n">
        <x:f>IF(AND(ISNUMBER(G393),ISNUMBER(H393)),AVERAGE(G393,H393),"")</x:f>
        <x:v>0.07438183382722133</x:v>
      </x:c>
      <x:c r="J393" s="22" t="n">
        <x:f>IFERROR('5000rpm'!AT47,"")</x:f>
        <x:v>0</x:v>
      </x:c>
      <x:c r="K393" s="22" t="n">
        <x:f>IFERROR('5000rpm'!AT57,"")</x:f>
        <x:v>0.26692913385826766</x:v>
      </x:c>
      <x:c r="L393" s="22" t="n">
        <x:f>IFERROR('5000rpm'!AT53,"")</x:f>
        <x:v>0.16015748031496063</x:v>
      </x:c>
      <x:c r="M393" s="22" t="n">
        <x:f>IFERROR('5000rpm'!AS53,"")</x:f>
        <x:v>0.07790195597861993</x:v>
      </x:c>
      <x:c r="N393" s="22" t="n">
        <x:f>IFERROR('5000rpm'!AT54,"")</x:f>
        <x:v>0.18685039370078743</x:v>
      </x:c>
      <x:c r="O393" s="22" t="n">
        <x:f>IFERROR('5000rpm'!AS54,"")</x:f>
        <x:v>0.07712045590231399</x:v>
      </x:c>
      <x:c r="P393" s="22" t="n">
        <x:f>IF(OR(NOT(AND(ISNUMBER(D393),ISNUMBER(E393),ISNUMBER(G393),ISNUMBER(H393))),OR(F393&lt;J393,F393&gt;K393)),"",IF(N393=L393,M393,M393+(F393-L393)*(O393-M393)/(N393-L393)))</x:f>
        <x:v>0.07780188222356443</x:v>
      </x:c>
      <x:c r="Q393" s="22" t="n">
        <x:f>IF(AND(ISNUMBER(I393),ISNUMBER(P393)),I393-P393,"")</x:f>
        <x:v>-0.003420048396343106</x:v>
      </x:c>
      <x:c r="R393" s="22" t="n">
        <x:f>IF(ISNUMBER(Q393),ABS(Q393),"")</x:f>
        <x:v>0.003420048396343106</x:v>
      </x:c>
      <x:c r="S393" s="36" t="n">
        <x:f>IF(AND(ISNUMBER(Q393),ISNUMBER(P393)),IF(ABS(P393)&lt;1E-12,"",Q393/P393),"")</x:f>
        <x:v>-0.04395842746471821</x:v>
      </x:c>
      <x:c r="T393" s="36" t="n">
        <x:f>IF(ISNUMBER(S393),ABS(S393),"")</x:f>
        <x:v>0.04395842746471821</x:v>
      </x:c>
      <x:c r="U393" s="37" t="n">
        <x:f>IF(ISNUMBER(Q393),Q393^2,"")</x:f>
        <x:v>0.000011696731033329052</x:v>
      </x:c>
      <x:c r="V393" s="21" t="str">
        <x:f>IF(NOT(AND(ISNUMBER(D393),ISNUMBER(E393),ISNUMBER(G393),ISNUMBER(H393))),"缺少配对",IF(OR(F393&lt;J393,F393&gt;K393),"超出理论J范围","有效"))</x:f>
        <x:v>有效</x:v>
      </x:c>
      <x:c r="W393" s="20" t="str">
        <x:v>升力 y=0.915708x+28.7687 → C_T_prop；实验攻角 30° ↔ 理论 alpha_p_deg 60°；原升力源 5000rpm!C73/M73</x:v>
      </x:c>
      <x:c r="X393" s="20" t="str">
        <x:v>升力标定计算!M785</x:v>
      </x:c>
      <x:c r="Y393" s="20" t="str">
        <x:v>升力标定计算!M786</x:v>
      </x:c>
      <x:c r="Z393" s="20" t="str">
        <x:v>升力标定计算!N785</x:v>
      </x:c>
      <x:c r="AA393" s="20" t="str">
        <x:v>升力标定计算!N786</x:v>
      </x:c>
      <x:c r="AB393" s="20" t="str">
        <x:v>5000rpm!AT53:AS54</x:v>
      </x:c>
    </x:row>
    <x:row r="394">
      <x:c r="A394" s="21" t="n">
        <x:v>5000</x:v>
      </x:c>
      <x:c r="B394" s="21" t="n">
        <x:v>30</x:v>
      </x:c>
      <x:c r="C394" s="21" t="n">
        <x:v>17</x:v>
      </x:c>
      <x:c r="D394" s="22" t="n">
        <x:f>IFERROR('升力标定计算'!M787,"")</x:f>
        <x:v>0.1375422337193551</x:v>
      </x:c>
      <x:c r="E394" s="22" t="n">
        <x:f>IFERROR('升力标定计算'!M788,"")</x:f>
        <x:v>0.1354116096394937</x:v>
      </x:c>
      <x:c r="F394" s="22" t="n">
        <x:f>IF(AND(ISNUMBER(D394),ISNUMBER(E394)),AVERAGE(D394,E394),"")</x:f>
        <x:v>0.13647692167942438</x:v>
      </x:c>
      <x:c r="G394" s="22" t="n">
        <x:f>IFERROR('升力标定计算'!N787,"")</x:f>
        <x:v>0.07424192015245118</x:v>
      </x:c>
      <x:c r="H394" s="22" t="n">
        <x:f>IFERROR('升力标定计算'!N788,"")</x:f>
        <x:v>0.0754470837477529</x:v>
      </x:c>
      <x:c r="I394" s="22" t="n">
        <x:f>IF(AND(ISNUMBER(G394),ISNUMBER(H394)),AVERAGE(G394,H394),"")</x:f>
        <x:v>0.07484450195010203</x:v>
      </x:c>
      <x:c r="J394" s="22" t="n">
        <x:f>IFERROR('5000rpm'!AT47,"")</x:f>
        <x:v>0</x:v>
      </x:c>
      <x:c r="K394" s="22" t="n">
        <x:f>IFERROR('5000rpm'!AT57,"")</x:f>
        <x:v>0.26692913385826766</x:v>
      </x:c>
      <x:c r="L394" s="22" t="n">
        <x:f>IFERROR('5000rpm'!AT52,"")</x:f>
        <x:v>0.13346456692913383</x:v>
      </x:c>
      <x:c r="M394" s="22" t="n">
        <x:f>IFERROR('5000rpm'!AS52,"")</x:f>
        <x:v>0.07865279947026055</x:v>
      </x:c>
      <x:c r="N394" s="22" t="n">
        <x:f>IFERROR('5000rpm'!AT53,"")</x:f>
        <x:v>0.16015748031496063</x:v>
      </x:c>
      <x:c r="O394" s="22" t="n">
        <x:f>IFERROR('5000rpm'!AS53,"")</x:f>
        <x:v>0.07790195597861993</x:v>
      </x:c>
      <x:c r="P394" s="22" t="n">
        <x:f>IF(OR(NOT(AND(ISNUMBER(D394),ISNUMBER(E394),ISNUMBER(G394),ISNUMBER(H394))),OR(F394&lt;J394,F394&gt;K394)),"",IF(N394=L394,M394,M394+(F394-L394)*(O394-M394)/(N394-L394)))</x:f>
        <x:v>0.07856806510926834</x:v>
      </x:c>
      <x:c r="Q394" s="22" t="n">
        <x:f>IF(AND(ISNUMBER(I394),ISNUMBER(P394)),I394-P394,"")</x:f>
        <x:v>-0.0037235631591663043</x:v>
      </x:c>
      <x:c r="R394" s="22" t="n">
        <x:f>IF(ISNUMBER(Q394),ABS(Q394),"")</x:f>
        <x:v>0.0037235631591663043</x:v>
      </x:c>
      <x:c r="S394" s="36" t="n">
        <x:f>IF(AND(ISNUMBER(Q394),ISNUMBER(P394)),IF(ABS(P394)&lt;1E-12,"",Q394/P394),"")</x:f>
        <x:v>-0.0473928326221063</x:v>
      </x:c>
      <x:c r="T394" s="36" t="n">
        <x:f>IF(ISNUMBER(S394),ABS(S394),"")</x:f>
        <x:v>0.0473928326221063</x:v>
      </x:c>
      <x:c r="U394" s="37" t="n">
        <x:f>IF(ISNUMBER(Q394),Q394^2,"")</x:f>
        <x:v>0.000013864922600300549</x:v>
      </x:c>
      <x:c r="V394" s="21" t="str">
        <x:f>IF(NOT(AND(ISNUMBER(D394),ISNUMBER(E394),ISNUMBER(G394),ISNUMBER(H394))),"缺少配对",IF(OR(F394&lt;J394,F394&gt;K394),"超出理论J范围","有效"))</x:f>
        <x:v>有效</x:v>
      </x:c>
      <x:c r="W394" s="20" t="str">
        <x:v>升力 y=0.915708x+28.7687 → C_T_prop；实验攻角 30° ↔ 理论 alpha_p_deg 60°；原升力源 5000rpm!C74/M74</x:v>
      </x:c>
      <x:c r="X394" s="20" t="str">
        <x:v>升力标定计算!M787</x:v>
      </x:c>
      <x:c r="Y394" s="20" t="str">
        <x:v>升力标定计算!M788</x:v>
      </x:c>
      <x:c r="Z394" s="20" t="str">
        <x:v>升力标定计算!N787</x:v>
      </x:c>
      <x:c r="AA394" s="20" t="str">
        <x:v>升力标定计算!N788</x:v>
      </x:c>
      <x:c r="AB394" s="20" t="str">
        <x:v>5000rpm!AT52:AS53</x:v>
      </x:c>
    </x:row>
    <x:row r="395">
      <x:c r="A395" s="21" t="n">
        <x:v>5000</x:v>
      </x:c>
      <x:c r="B395" s="21" t="n">
        <x:v>30</x:v>
      </x:c>
      <x:c r="C395" s="21" t="n">
        <x:v>18</x:v>
      </x:c>
      <x:c r="D395" s="22" t="n">
        <x:f>IFERROR('升力标定计算'!M789,"")</x:f>
        <x:v>0.1115714372205303</x:v>
      </x:c>
      <x:c r="E395" s="22" t="n">
        <x:f>IFERROR('升力标定计算'!M790,"")</x:f>
        <x:v>0.10858935974209266</x:v>
      </x:c>
      <x:c r="F395" s="22" t="n">
        <x:f>IF(AND(ISNUMBER(D395),ISNUMBER(E395)),AVERAGE(D395,E395),"")</x:f>
        <x:v>0.11008039848131149</x:v>
      </x:c>
      <x:c r="G395" s="22" t="n">
        <x:f>IFERROR('升力标定计算'!N789,"")</x:f>
        <x:v>0.07695110676120945</x:v>
      </x:c>
      <x:c r="H395" s="22" t="n">
        <x:f>IFERROR('升力标定计算'!N790,"")</x:f>
        <x:v>0.07653107151738375</x:v>
      </x:c>
      <x:c r="I395" s="22" t="n">
        <x:f>IF(AND(ISNUMBER(G395),ISNUMBER(H395)),AVERAGE(G395,H395),"")</x:f>
        <x:v>0.0767410891392966</x:v>
      </x:c>
      <x:c r="J395" s="22" t="n">
        <x:f>IFERROR('5000rpm'!AT47,"")</x:f>
        <x:v>0</x:v>
      </x:c>
      <x:c r="K395" s="22" t="n">
        <x:f>IFERROR('5000rpm'!AT57,"")</x:f>
        <x:v>0.26692913385826766</x:v>
      </x:c>
      <x:c r="L395" s="22" t="n">
        <x:f>IFERROR('5000rpm'!AT51,"")</x:f>
        <x:v>0.10677165354330712</x:v>
      </x:c>
      <x:c r="M395" s="22" t="n">
        <x:f>IFERROR('5000rpm'!AS51,"")</x:f>
        <x:v>0.07942042386688802</x:v>
      </x:c>
      <x:c r="N395" s="22" t="n">
        <x:f>IFERROR('5000rpm'!AT52,"")</x:f>
        <x:v>0.13346456692913383</x:v>
      </x:c>
      <x:c r="O395" s="22" t="n">
        <x:f>IFERROR('5000rpm'!AS52,"")</x:f>
        <x:v>0.07865279947026055</x:v>
      </x:c>
      <x:c r="P395" s="22" t="n">
        <x:f>IF(OR(NOT(AND(ISNUMBER(D395),ISNUMBER(E395),ISNUMBER(G395),ISNUMBER(H395))),OR(F395&lt;J395,F395&gt;K395)),"",IF(N395=L395,M395,M395+(F395-L395)*(O395-M395)/(N395-L395)))</x:f>
        <x:v>0.07932527226991104</x:v>
      </x:c>
      <x:c r="Q395" s="22" t="n">
        <x:f>IF(AND(ISNUMBER(I395),ISNUMBER(P395)),I395-P395,"")</x:f>
        <x:v>-0.0025841831306144397</x:v>
      </x:c>
      <x:c r="R395" s="22" t="n">
        <x:f>IF(ISNUMBER(Q395),ABS(Q395),"")</x:f>
        <x:v>0.0025841831306144397</x:v>
      </x:c>
      <x:c r="S395" s="36" t="n">
        <x:f>IF(AND(ISNUMBER(Q395),ISNUMBER(P395)),IF(ABS(P395)&lt;1E-12,"",Q395/P395),"")</x:f>
        <x:v>-0.03257704709567885</x:v>
      </x:c>
      <x:c r="T395" s="36" t="n">
        <x:f>IF(ISNUMBER(S395),ABS(S395),"")</x:f>
        <x:v>0.03257704709567885</x:v>
      </x:c>
      <x:c r="U395" s="37" t="n">
        <x:f>IF(ISNUMBER(Q395),Q395^2,"")</x:f>
        <x:v>0.000006678002452552246</x:v>
      </x:c>
      <x:c r="V395" s="21" t="str">
        <x:f>IF(NOT(AND(ISNUMBER(D395),ISNUMBER(E395),ISNUMBER(G395),ISNUMBER(H395))),"缺少配对",IF(OR(F395&lt;J395,F395&gt;K395),"超出理论J范围","有效"))</x:f>
        <x:v>有效</x:v>
      </x:c>
      <x:c r="W395" s="20" t="str">
        <x:v>升力 y=0.915708x+28.7687 → C_T_prop；实验攻角 30° ↔ 理论 alpha_p_deg 60°；原升力源 5000rpm!C75/M75</x:v>
      </x:c>
      <x:c r="X395" s="20" t="str">
        <x:v>升力标定计算!M789</x:v>
      </x:c>
      <x:c r="Y395" s="20" t="str">
        <x:v>升力标定计算!M790</x:v>
      </x:c>
      <x:c r="Z395" s="20" t="str">
        <x:v>升力标定计算!N789</x:v>
      </x:c>
      <x:c r="AA395" s="20" t="str">
        <x:v>升力标定计算!N790</x:v>
      </x:c>
      <x:c r="AB395" s="20" t="str">
        <x:v>5000rpm!AT51:AS52</x:v>
      </x:c>
    </x:row>
    <x:row r="396">
      <x:c r="A396" s="21" t="n">
        <x:v>5000</x:v>
      </x:c>
      <x:c r="B396" s="21" t="n">
        <x:v>30</x:v>
      </x:c>
      <x:c r="C396" s="21" t="n">
        <x:v>19</x:v>
      </x:c>
      <x:c r="D396" s="22" t="n">
        <x:f>IFERROR('升力标定计算'!M791,"")</x:f>
        <x:v>0.08295650532614127</x:v>
      </x:c>
      <x:c r="E396" s="22" t="n">
        <x:f>IFERROR('升力标定计算'!M792,"")</x:f>
        <x:v>0.08224592036609675</x:v>
      </x:c>
      <x:c r="F396" s="22" t="n">
        <x:f>IF(AND(ISNUMBER(D396),ISNUMBER(E396)),AVERAGE(D396,E396),"")</x:f>
        <x:v>0.08260121284611902</x:v>
      </x:c>
      <x:c r="G396" s="22" t="n">
        <x:f>IFERROR('升力标定计算'!N791,"")</x:f>
        <x:v>0.07618000751321188</x:v>
      </x:c>
      <x:c r="H396" s="22" t="n">
        <x:f>IFERROR('升力标定计算'!N792,"")</x:f>
        <x:v>0.07800386213083707</x:v>
      </x:c>
      <x:c r="I396" s="22" t="n">
        <x:f>IF(AND(ISNUMBER(G396),ISNUMBER(H396)),AVERAGE(G396,H396),"")</x:f>
        <x:v>0.07709193482202448</x:v>
      </x:c>
      <x:c r="J396" s="22" t="n">
        <x:f>IFERROR('5000rpm'!AT47,"")</x:f>
        <x:v>0</x:v>
      </x:c>
      <x:c r="K396" s="22" t="n">
        <x:f>IFERROR('5000rpm'!AT57,"")</x:f>
        <x:v>0.26692913385826766</x:v>
      </x:c>
      <x:c r="L396" s="22" t="n">
        <x:f>IFERROR('5000rpm'!AT50,"")</x:f>
        <x:v>0.08007874015748032</x:v>
      </x:c>
      <x:c r="M396" s="22" t="n">
        <x:f>IFERROR('5000rpm'!AS50,"")</x:f>
        <x:v>0.08024611488190982</x:v>
      </x:c>
      <x:c r="N396" s="22" t="n">
        <x:f>IFERROR('5000rpm'!AT51,"")</x:f>
        <x:v>0.10677165354330712</x:v>
      </x:c>
      <x:c r="O396" s="22" t="n">
        <x:f>IFERROR('5000rpm'!AS51,"")</x:f>
        <x:v>0.07942042386688802</x:v>
      </x:c>
      <x:c r="P396" s="22" t="n">
        <x:f>IF(OR(NOT(AND(ISNUMBER(D396),ISNUMBER(E396),ISNUMBER(G396),ISNUMBER(H396))),OR(F396&lt;J396,F396&gt;K396)),"",IF(N396=L396,M396,M396+(F396-L396)*(O396-M396)/(N396-L396)))</x:f>
        <x:v>0.08016808731689502</x:v>
      </x:c>
      <x:c r="Q396" s="22" t="n">
        <x:f>IF(AND(ISNUMBER(I396),ISNUMBER(P396)),I396-P396,"")</x:f>
        <x:v>-0.003076152494870546</x:v>
      </x:c>
      <x:c r="R396" s="22" t="n">
        <x:f>IF(ISNUMBER(Q396),ABS(Q396),"")</x:f>
        <x:v>0.003076152494870546</x:v>
      </x:c>
      <x:c r="S396" s="36" t="n">
        <x:f>IF(AND(ISNUMBER(Q396),ISNUMBER(P396)),IF(ABS(P396)&lt;1E-12,"",Q396/P396),"")</x:f>
        <x:v>-0.03837128460743833</x:v>
      </x:c>
      <x:c r="T396" s="36" t="n">
        <x:f>IF(ISNUMBER(S396),ABS(S396),"")</x:f>
        <x:v>0.03837128460743833</x:v>
      </x:c>
      <x:c r="U396" s="37" t="n">
        <x:f>IF(ISNUMBER(Q396),Q396^2,"")</x:f>
        <x:v>0.000009462714171698285</x:v>
      </x:c>
      <x:c r="V396" s="21" t="str">
        <x:f>IF(NOT(AND(ISNUMBER(D396),ISNUMBER(E396),ISNUMBER(G396),ISNUMBER(H396))),"缺少配对",IF(OR(F396&lt;J396,F396&gt;K396),"超出理论J范围","有效"))</x:f>
        <x:v>有效</x:v>
      </x:c>
      <x:c r="W396" s="20" t="str">
        <x:v>升力 y=0.915708x+28.7687 → C_T_prop；实验攻角 30° ↔ 理论 alpha_p_deg 60°；原升力源 5000rpm!C76/M76</x:v>
      </x:c>
      <x:c r="X396" s="20" t="str">
        <x:v>升力标定计算!M791</x:v>
      </x:c>
      <x:c r="Y396" s="20" t="str">
        <x:v>升力标定计算!M792</x:v>
      </x:c>
      <x:c r="Z396" s="20" t="str">
        <x:v>升力标定计算!N791</x:v>
      </x:c>
      <x:c r="AA396" s="20" t="str">
        <x:v>升力标定计算!N792</x:v>
      </x:c>
      <x:c r="AB396" s="20" t="str">
        <x:v>5000rpm!AT50:AS51</x:v>
      </x:c>
    </x:row>
    <x:row r="397">
      <x:c r="A397" s="21" t="n">
        <x:v>5000</x:v>
      </x:c>
      <x:c r="B397" s="21" t="n">
        <x:v>30</x:v>
      </x:c>
      <x:c r="C397" s="21" t="n">
        <x:v>20</x:v>
      </x:c>
      <x:c r="D397" s="22" t="n">
        <x:f>IFERROR('升力标定计算'!M793,"")</x:f>
        <x:v>0.05491907419074183</x:v>
      </x:c>
      <x:c r="E397" s="22" t="n">
        <x:f>IFERROR('升力标定计算'!M794,"")</x:f>
        <x:v>0.05464054422991919</x:v>
      </x:c>
      <x:c r="F397" s="22" t="n">
        <x:f>IF(AND(ISNUMBER(D397),ISNUMBER(E397)),AVERAGE(D397,E397),"")</x:f>
        <x:v>0.05477980921033051</x:v>
      </x:c>
      <x:c r="G397" s="22" t="n">
        <x:f>IFERROR('升力标定计算'!N793,"")</x:f>
        <x:v>0.07560629832553098</x:v>
      </x:c>
      <x:c r="H397" s="22" t="n">
        <x:f>IFERROR('升力标定计算'!N794,"")</x:f>
        <x:v>0.07699516406028264</x:v>
      </x:c>
      <x:c r="I397" s="22" t="n">
        <x:f>IF(AND(ISNUMBER(G397),ISNUMBER(H397)),AVERAGE(G397,H397),"")</x:f>
        <x:v>0.07630073119290681</x:v>
      </x:c>
      <x:c r="J397" s="22" t="n">
        <x:f>IFERROR('5000rpm'!AT47,"")</x:f>
        <x:v>0</x:v>
      </x:c>
      <x:c r="K397" s="22" t="n">
        <x:f>IFERROR('5000rpm'!AT57,"")</x:f>
        <x:v>0.26692913385826766</x:v>
      </x:c>
      <x:c r="L397" s="22" t="n">
        <x:f>IFERROR('5000rpm'!AT49,"")</x:f>
        <x:v>0.05338582677165356</x:v>
      </x:c>
      <x:c r="M397" s="22" t="n">
        <x:f>IFERROR('5000rpm'!AS49,"")</x:f>
        <x:v>0.08117071154932211</x:v>
      </x:c>
      <x:c r="N397" s="22" t="n">
        <x:f>IFERROR('5000rpm'!AT50,"")</x:f>
        <x:v>0.08007874015748032</x:v>
      </x:c>
      <x:c r="O397" s="22" t="n">
        <x:f>IFERROR('5000rpm'!AS50,"")</x:f>
        <x:v>0.08024611488190982</x:v>
      </x:c>
      <x:c r="P397" s="22" t="n">
        <x:f>IF(OR(NOT(AND(ISNUMBER(D397),ISNUMBER(E397),ISNUMBER(G397),ISNUMBER(H397))),OR(F397&lt;J397,F397&gt;K397)),"",IF(N397=L397,M397,M397+(F397-L397)*(O397-M397)/(N397-L397)))</x:f>
        <x:v>0.08112242639218686</x:v>
      </x:c>
      <x:c r="Q397" s="22" t="n">
        <x:f>IF(AND(ISNUMBER(I397),ISNUMBER(P397)),I397-P397,"")</x:f>
        <x:v>-0.004821695199280052</x:v>
      </x:c>
      <x:c r="R397" s="22" t="n">
        <x:f>IF(ISNUMBER(Q397),ABS(Q397),"")</x:f>
        <x:v>0.004821695199280052</x:v>
      </x:c>
      <x:c r="S397" s="36" t="n">
        <x:f>IF(AND(ISNUMBER(Q397),ISNUMBER(P397)),IF(ABS(P397)&lt;1E-12,"",Q397/P397),"")</x:f>
        <x:v>-0.05943726554688511</x:v>
      </x:c>
      <x:c r="T397" s="36" t="n">
        <x:f>IF(ISNUMBER(S397),ABS(S397),"")</x:f>
        <x:v>0.05943726554688511</x:v>
      </x:c>
      <x:c r="U397" s="37" t="n">
        <x:f>IF(ISNUMBER(Q397),Q397^2,"")</x:f>
        <x:v>0.000023248744594760298</x:v>
      </x:c>
      <x:c r="V397" s="21" t="str">
        <x:f>IF(NOT(AND(ISNUMBER(D397),ISNUMBER(E397),ISNUMBER(G397),ISNUMBER(H397))),"缺少配对",IF(OR(F397&lt;J397,F397&gt;K397),"超出理论J范围","有效"))</x:f>
        <x:v>有效</x:v>
      </x:c>
      <x:c r="W397" s="20" t="str">
        <x:v>升力 y=0.915708x+28.7687 → C_T_prop；实验攻角 30° ↔ 理论 alpha_p_deg 60°；原升力源 5000rpm!C77/M77</x:v>
      </x:c>
      <x:c r="X397" s="20" t="str">
        <x:v>升力标定计算!M793</x:v>
      </x:c>
      <x:c r="Y397" s="20" t="str">
        <x:v>升力标定计算!M794</x:v>
      </x:c>
      <x:c r="Z397" s="20" t="str">
        <x:v>升力标定计算!N793</x:v>
      </x:c>
      <x:c r="AA397" s="20" t="str">
        <x:v>升力标定计算!N794</x:v>
      </x:c>
      <x:c r="AB397" s="20" t="str">
        <x:v>5000rpm!AT49:AS50</x:v>
      </x:c>
    </x:row>
    <x:row r="398">
      <x:c r="A398" s="21" t="n">
        <x:v>5000</x:v>
      </x:c>
      <x:c r="B398" s="21" t="n">
        <x:v>30</x:v>
      </x:c>
      <x:c r="C398" s="21" t="n">
        <x:v>21</x:v>
      </x:c>
      <x:c r="D398" s="22" t="n">
        <x:f>IFERROR('升力标定计算'!M795,"")</x:f>
        <x:v>0.028336498851992502</x:v>
      </x:c>
      <x:c r="E398" s="22" t="n">
        <x:f>IFERROR('升力标定计算'!M796,"")</x:f>
        <x:v>0.02765290767523177</x:v>
      </x:c>
      <x:c r="F398" s="22" t="n">
        <x:f>IF(AND(ISNUMBER(D398),ISNUMBER(E398)),AVERAGE(D398,E398),"")</x:f>
        <x:v>0.027994703263612135</x:v>
      </x:c>
      <x:c r="G398" s="22" t="n">
        <x:f>IFERROR('升力标定计算'!N795,"")</x:f>
        <x:v>0.07819592671619388</x:v>
      </x:c>
      <x:c r="H398" s="22" t="n">
        <x:f>IFERROR('升力标定计算'!N796,"")</x:f>
        <x:v>0.07777886867671549</x:v>
      </x:c>
      <x:c r="I398" s="22" t="n">
        <x:f>IF(AND(ISNUMBER(G398),ISNUMBER(H398)),AVERAGE(G398,H398),"")</x:f>
        <x:v>0.07798739769645469</x:v>
      </x:c>
      <x:c r="J398" s="22" t="n">
        <x:f>IFERROR('5000rpm'!AT47,"")</x:f>
        <x:v>0</x:v>
      </x:c>
      <x:c r="K398" s="22" t="n">
        <x:f>IFERROR('5000rpm'!AT57,"")</x:f>
        <x:v>0.26692913385826766</x:v>
      </x:c>
      <x:c r="L398" s="22" t="n">
        <x:f>IFERROR('5000rpm'!AT48,"")</x:f>
        <x:v>0.02669291338582678</x:v>
      </x:c>
      <x:c r="M398" s="22" t="n">
        <x:f>IFERROR('5000rpm'!AS48,"")</x:f>
        <x:v>0.0822361588083525</x:v>
      </x:c>
      <x:c r="N398" s="22" t="n">
        <x:f>IFERROR('5000rpm'!AT49,"")</x:f>
        <x:v>0.05338582677165356</x:v>
      </x:c>
      <x:c r="O398" s="22" t="n">
        <x:f>IFERROR('5000rpm'!AS49,"")</x:f>
        <x:v>0.08117071154932211</x:v>
      </x:c>
      <x:c r="P398" s="22" t="n">
        <x:f>IF(OR(NOT(AND(ISNUMBER(D398),ISNUMBER(E398),ISNUMBER(G398),ISNUMBER(H398))),OR(F398&lt;J398,F398&gt;K398)),"",IF(N398=L398,M398,M398+(F398-L398)*(O398-M398)/(N398-L398)))</x:f>
        <x:v>0.08218419788385273</x:v>
      </x:c>
      <x:c r="Q398" s="22" t="n">
        <x:f>IF(AND(ISNUMBER(I398),ISNUMBER(P398)),I398-P398,"")</x:f>
        <x:v>-0.004196800187398042</x:v>
      </x:c>
      <x:c r="R398" s="22" t="n">
        <x:f>IF(ISNUMBER(Q398),ABS(Q398),"")</x:f>
        <x:v>0.004196800187398042</x:v>
      </x:c>
      <x:c r="S398" s="36" t="n">
        <x:f>IF(AND(ISNUMBER(Q398),ISNUMBER(P398)),IF(ABS(P398)&lt;1E-12,"",Q398/P398),"")</x:f>
        <x:v>-0.05106578022856892</x:v>
      </x:c>
      <x:c r="T398" s="36" t="n">
        <x:f>IF(ISNUMBER(S398),ABS(S398),"")</x:f>
        <x:v>0.05106578022856892</x:v>
      </x:c>
      <x:c r="U398" s="37" t="n">
        <x:f>IF(ISNUMBER(Q398),Q398^2,"")</x:f>
        <x:v>0.000017613131812944242</x:v>
      </x:c>
      <x:c r="V398" s="21" t="str">
        <x:f>IF(NOT(AND(ISNUMBER(D398),ISNUMBER(E398),ISNUMBER(G398),ISNUMBER(H398))),"缺少配对",IF(OR(F398&lt;J398,F398&gt;K398),"超出理论J范围","有效"))</x:f>
        <x:v>有效</x:v>
      </x:c>
      <x:c r="W398" s="20" t="str">
        <x:v>升力 y=0.915708x+28.7687 → C_T_prop；实验攻角 30° ↔ 理论 alpha_p_deg 60°；原升力源 5000rpm!C78/M78</x:v>
      </x:c>
      <x:c r="X398" s="20" t="str">
        <x:v>升力标定计算!M795</x:v>
      </x:c>
      <x:c r="Y398" s="20" t="str">
        <x:v>升力标定计算!M796</x:v>
      </x:c>
      <x:c r="Z398" s="20" t="str">
        <x:v>升力标定计算!N795</x:v>
      </x:c>
      <x:c r="AA398" s="20" t="str">
        <x:v>升力标定计算!N796</x:v>
      </x:c>
      <x:c r="AB398" s="20" t="str">
        <x:v>5000rpm!AT48:AS49</x:v>
      </x:c>
    </x:row>
    <x:row r="399">
      <x:c r="A399" s="21" t="n">
        <x:v>5000</x:v>
      </x:c>
      <x:c r="B399" s="21" t="n">
        <x:v>30</x:v>
      </x:c>
      <x:c r="C399" s="21" t="n">
        <x:v>22</x:v>
      </x:c>
      <x:c r="D399" s="22" t="n">
        <x:f>IFERROR('升力标定计算'!M797,"")</x:f>
        <x:v>0.006995959476566292</x:v>
      </x:c>
      <x:c r="E399" s="22" t="n">
        <x:f>IFERROR('升力标定计算'!M798,"")</x:f>
        <x:v>0.006620157801757783</x:v>
      </x:c>
      <x:c r="F399" s="22" t="n">
        <x:f>IF(AND(ISNUMBER(D399),ISNUMBER(E399)),AVERAGE(D399,E399),"")</x:f>
        <x:v>0.006808058639162038</x:v>
      </x:c>
      <x:c r="G399" s="22" t="n">
        <x:f>IFERROR('升力标定计算'!N797,"")</x:f>
        <x:v>0.07898778517812373</x:v>
      </x:c>
      <x:c r="H399" s="22" t="n">
        <x:f>IFERROR('升力标定计算'!N798,"")</x:f>
        <x:v>0.07846829770308793</x:v>
      </x:c>
      <x:c r="I399" s="22" t="n">
        <x:f>IF(AND(ISNUMBER(G399),ISNUMBER(H399)),AVERAGE(G399,H399),"")</x:f>
        <x:v>0.07872804144060583</x:v>
      </x:c>
      <x:c r="J399" s="22" t="n">
        <x:f>IFERROR('5000rpm'!AT47,"")</x:f>
        <x:v>0</x:v>
      </x:c>
      <x:c r="K399" s="22" t="n">
        <x:f>IFERROR('5000rpm'!AT57,"")</x:f>
        <x:v>0.26692913385826766</x:v>
      </x:c>
      <x:c r="L399" s="22" t="n">
        <x:f>IFERROR('5000rpm'!AT47,"")</x:f>
        <x:v>0</x:v>
      </x:c>
      <x:c r="M399" s="22" t="n">
        <x:f>IFERROR('5000rpm'!AS47,"")</x:f>
        <x:v>0.0836476206119306</x:v>
      </x:c>
      <x:c r="N399" s="22" t="n">
        <x:f>IFERROR('5000rpm'!AT48,"")</x:f>
        <x:v>0.02669291338582678</x:v>
      </x:c>
      <x:c r="O399" s="22" t="n">
        <x:f>IFERROR('5000rpm'!AS48,"")</x:f>
        <x:v>0.0822361588083525</x:v>
      </x:c>
      <x:c r="P399" s="22" t="n">
        <x:f>IF(OR(NOT(AND(ISNUMBER(D399),ISNUMBER(E399),ISNUMBER(G399),ISNUMBER(H399))),OR(F399&lt;J399,F399&gt;K399)),"",IF(N399=L399,M399,M399+(F399-L399)*(O399-M399)/(N399-L399)))</x:f>
        <x:v>0.08328762563548117</x:v>
      </x:c>
      <x:c r="Q399" s="22" t="n">
        <x:f>IF(AND(ISNUMBER(I399),ISNUMBER(P399)),I399-P399,"")</x:f>
        <x:v>-0.0045595841948753435</x:v>
      </x:c>
      <x:c r="R399" s="22" t="n">
        <x:f>IF(ISNUMBER(Q399),ABS(Q399),"")</x:f>
        <x:v>0.0045595841948753435</x:v>
      </x:c>
      <x:c r="S399" s="36" t="n">
        <x:f>IF(AND(ISNUMBER(Q399),ISNUMBER(P399)),IF(ABS(P399)&lt;1E-12,"",Q399/P399),"")</x:f>
        <x:v>-0.05474503757414025</x:v>
      </x:c>
      <x:c r="T399" s="36" t="n">
        <x:f>IF(ISNUMBER(S399),ABS(S399),"")</x:f>
        <x:v>0.05474503757414025</x:v>
      </x:c>
      <x:c r="U399" s="37" t="n">
        <x:f>IF(ISNUMBER(Q399),Q399^2,"")</x:f>
        <x:v>0.000020789808030157033</x:v>
      </x:c>
      <x:c r="V399" s="21" t="str">
        <x:f>IF(NOT(AND(ISNUMBER(D399),ISNUMBER(E399),ISNUMBER(G399),ISNUMBER(H399))),"缺少配对",IF(OR(F399&lt;J399,F399&gt;K399),"超出理论J范围","有效"))</x:f>
        <x:v>有效</x:v>
      </x:c>
      <x:c r="W399" s="20" t="str">
        <x:v>升力 y=0.915708x+28.7687 → C_T_prop；实验攻角 30° ↔ 理论 alpha_p_deg 60°；原升力源 5000rpm!C79/M79</x:v>
      </x:c>
      <x:c r="X399" s="20" t="str">
        <x:v>升力标定计算!M797</x:v>
      </x:c>
      <x:c r="Y399" s="20" t="str">
        <x:v>升力标定计算!M798</x:v>
      </x:c>
      <x:c r="Z399" s="20" t="str">
        <x:v>升力标定计算!N797</x:v>
      </x:c>
      <x:c r="AA399" s="20" t="str">
        <x:v>升力标定计算!N798</x:v>
      </x:c>
      <x:c r="AB399" s="20" t="str">
        <x:v>5000rpm!AT47:AS48</x:v>
      </x:c>
    </x:row>
    <x:row r="400">
      <x:c r="A400" s="21" t="n">
        <x:v>5000</x:v>
      </x:c>
      <x:c r="B400" s="21" t="n">
        <x:v>30</x:v>
      </x:c>
      <x:c r="C400" s="21" t="n">
        <x:v>23</x:v>
      </x:c>
      <x:c r="D400" s="22" t="str">
        <x:f>IFERROR('升力标定计算'!M799,"")</x:f>
      </x:c>
      <x:c r="E400" s="22" t="str">
        <x:f>IFERROR('升力标定计算'!M800,"")</x:f>
      </x:c>
      <x:c r="F400" s="22" t="str">
        <x:f>IF(AND(ISNUMBER(D400),ISNUMBER(E400)),AVERAGE(D400,E400),"")</x:f>
      </x:c>
      <x:c r="G400" s="22" t="str">
        <x:f>IFERROR('升力标定计算'!N799,"")</x:f>
      </x:c>
      <x:c r="H400" s="22" t="str">
        <x:f>IFERROR('升力标定计算'!N800,"")</x:f>
      </x:c>
      <x:c r="I400" s="22" t="str">
        <x:f>IF(AND(ISNUMBER(G400),ISNUMBER(H400)),AVERAGE(G400,H400),"")</x:f>
      </x:c>
      <x:c r="J400" s="22" t="n">
        <x:f>IFERROR('5000rpm'!AT47,"")</x:f>
        <x:v>0</x:v>
      </x:c>
      <x:c r="K400" s="22" t="n">
        <x:f>IFERROR('5000rpm'!AT57,"")</x:f>
        <x:v>0.26692913385826766</x:v>
      </x:c>
      <x:c r="L400" s="22" t="n">
        <x:f>IFERROR('5000rpm'!AT47,"")</x:f>
        <x:v>0</x:v>
      </x:c>
      <x:c r="M400" s="22" t="n">
        <x:f>IFERROR('5000rpm'!AS47,"")</x:f>
        <x:v>0.0836476206119306</x:v>
      </x:c>
      <x:c r="N400" s="22" t="n">
        <x:f>IFERROR('5000rpm'!AT57,"")</x:f>
        <x:v>0.26692913385826766</x:v>
      </x:c>
      <x:c r="O400" s="22" t="n">
        <x:f>IFERROR('5000rpm'!AS57,"")</x:f>
        <x:v>0.07440258583861342</x:v>
      </x:c>
      <x:c r="P400" s="22" t="str">
        <x:f>IF(OR(NOT(AND(ISNUMBER(D400),ISNUMBER(E400),ISNUMBER(G400),ISNUMBER(H400))),OR(F400&lt;J400,F400&gt;K400)),"",IF(N400=L400,M400,M400+(F400-L400)*(O400-M400)/(N400-L400)))</x:f>
      </x:c>
      <x:c r="Q400" s="22" t="str">
        <x:f>IF(AND(ISNUMBER(I400),ISNUMBER(P400)),I400-P400,"")</x:f>
      </x:c>
      <x:c r="R400" s="22" t="str">
        <x:f>IF(ISNUMBER(Q400),ABS(Q400),"")</x:f>
      </x:c>
      <x:c r="S400" s="36" t="str">
        <x:f>IF(AND(ISNUMBER(Q400),ISNUMBER(P400)),IF(ABS(P400)&lt;1E-12,"",Q400/P400),"")</x:f>
      </x:c>
      <x:c r="T400" s="36" t="str">
        <x:f>IF(ISNUMBER(S400),ABS(S400),"")</x:f>
      </x:c>
      <x:c r="U400" s="37" t="str">
        <x:f>IF(ISNUMBER(Q400),Q400^2,"")</x:f>
      </x:c>
      <x:c r="V400" s="21" t="str">
        <x:f>IF(NOT(AND(ISNUMBER(D400),ISNUMBER(E400),ISNUMBER(G400),ISNUMBER(H400))),"缺少配对",IF(OR(F400&lt;J400,F400&gt;K400),"超出理论J范围","有效"))</x:f>
        <x:v>缺少配对</x:v>
      </x:c>
      <x:c r="W400" s="20" t="str">
        <x:v>升力 y=0.915708x+28.7687 → C_T_prop；实验攻角 30° ↔ 理论 alpha_p_deg 60°；原升力源 5000rpm!C80/M80</x:v>
      </x:c>
      <x:c r="X400" s="20" t="str">
        <x:v>升力标定计算!M799</x:v>
      </x:c>
      <x:c r="Y400" s="20" t="str">
        <x:v>升力标定计算!M800</x:v>
      </x:c>
      <x:c r="Z400" s="20" t="str">
        <x:v>升力标定计算!N799</x:v>
      </x:c>
      <x:c r="AA400" s="20" t="str">
        <x:v>升力标定计算!N800</x:v>
      </x:c>
      <x:c r="AB400" s="20" t="str">
        <x:v>5000rpm!AT47:AS57</x:v>
      </x:c>
    </x:row>
    <x:row r="401">
      <x:c r="A401" s="21" t="n">
        <x:v>5000</x:v>
      </x:c>
      <x:c r="B401" s="21" t="n">
        <x:v>45</x:v>
      </x:c>
      <x:c r="C401" s="21" t="n">
        <x:v>1</x:v>
      </x:c>
      <x:c r="D401" s="22" t="str">
        <x:f>IFERROR('升力标定计算'!M801,"")</x:f>
      </x:c>
      <x:c r="E401" s="22" t="str">
        <x:f>IFERROR('升力标定计算'!M802,"")</x:f>
      </x:c>
      <x:c r="F401" s="22" t="str">
        <x:f>IF(AND(ISNUMBER(D401),ISNUMBER(E401)),AVERAGE(D401,E401),"")</x:f>
      </x:c>
      <x:c r="G401" s="22" t="str">
        <x:f>IFERROR('升力标定计算'!N801,"")</x:f>
      </x:c>
      <x:c r="H401" s="22" t="str">
        <x:f>IFERROR('升力标定计算'!N802,"")</x:f>
      </x:c>
      <x:c r="I401" s="22" t="str">
        <x:f>IF(AND(ISNUMBER(G401),ISNUMBER(H401)),AVERAGE(G401,H401),"")</x:f>
      </x:c>
      <x:c r="J401" s="22" t="n">
        <x:f>IFERROR('5000rpm'!AT36,"")</x:f>
        <x:v>0</x:v>
      </x:c>
      <x:c r="K401" s="22" t="n">
        <x:f>IFERROR('5000rpm'!AT46,"")</x:f>
        <x:v>0.26692913385826766</x:v>
      </x:c>
      <x:c r="L401" s="22" t="n">
        <x:f>IFERROR('5000rpm'!AT36,"")</x:f>
        <x:v>0</x:v>
      </x:c>
      <x:c r="M401" s="22" t="n">
        <x:f>IFERROR('5000rpm'!AS36,"")</x:f>
        <x:v>0.0836476206119306</x:v>
      </x:c>
      <x:c r="N401" s="22" t="n">
        <x:f>IFERROR('5000rpm'!AT46,"")</x:f>
        <x:v>0.26692913385826766</x:v>
      </x:c>
      <x:c r="O401" s="22" t="n">
        <x:f>IFERROR('5000rpm'!AS46,"")</x:f>
        <x:v>0.06278465252768957</x:v>
      </x:c>
      <x:c r="P401" s="22" t="str">
        <x:f>IF(OR(NOT(AND(ISNUMBER(D401),ISNUMBER(E401),ISNUMBER(G401),ISNUMBER(H401))),OR(F401&lt;J401,F401&gt;K401)),"",IF(N401=L401,M401,M401+(F401-L401)*(O401-M401)/(N401-L401)))</x:f>
      </x:c>
      <x:c r="Q401" s="22" t="str">
        <x:f>IF(AND(ISNUMBER(I401),ISNUMBER(P401)),I401-P401,"")</x:f>
      </x:c>
      <x:c r="R401" s="22" t="str">
        <x:f>IF(ISNUMBER(Q401),ABS(Q401),"")</x:f>
      </x:c>
      <x:c r="S401" s="36" t="str">
        <x:f>IF(AND(ISNUMBER(Q401),ISNUMBER(P401)),IF(ABS(P401)&lt;1E-12,"",Q401/P401),"")</x:f>
      </x:c>
      <x:c r="T401" s="36" t="str">
        <x:f>IF(ISNUMBER(S401),ABS(S401),"")</x:f>
      </x:c>
      <x:c r="U401" s="37" t="str">
        <x:f>IF(ISNUMBER(Q401),Q401^2,"")</x:f>
      </x:c>
      <x:c r="V401" s="21" t="str">
        <x:f>IF(NOT(AND(ISNUMBER(D401),ISNUMBER(E401),ISNUMBER(G401),ISNUMBER(H401))),"缺少配对",IF(OR(F401&lt;J401,F401&gt;K401),"超出理论J范围","有效"))</x:f>
        <x:v>缺少配对</x:v>
      </x:c>
      <x:c r="W401" s="20" t="str">
        <x:v>升力 y=0.915708x+28.7687 → C_T_prop；实验攻角 45° ↔ 理论 alpha_p_deg 45°；原升力源 5000rpm!C86/M86</x:v>
      </x:c>
      <x:c r="X401" s="20" t="str">
        <x:v>升力标定计算!M801</x:v>
      </x:c>
      <x:c r="Y401" s="20" t="str">
        <x:v>升力标定计算!M802</x:v>
      </x:c>
      <x:c r="Z401" s="20" t="str">
        <x:v>升力标定计算!N801</x:v>
      </x:c>
      <x:c r="AA401" s="20" t="str">
        <x:v>升力标定计算!N802</x:v>
      </x:c>
      <x:c r="AB401" s="20" t="str">
        <x:v>5000rpm!AT36:AS46</x:v>
      </x:c>
    </x:row>
    <x:row r="402">
      <x:c r="A402" s="21" t="n">
        <x:v>5000</x:v>
      </x:c>
      <x:c r="B402" s="21" t="n">
        <x:v>45</x:v>
      </x:c>
      <x:c r="C402" s="21" t="n">
        <x:v>2</x:v>
      </x:c>
      <x:c r="D402" s="22" t="n">
        <x:f>IFERROR('升力标定计算'!M803,"")</x:f>
        <x:v>0.003298386098589235</x:v>
      </x:c>
      <x:c r="E402" s="22" t="n">
        <x:f>IFERROR('升力标定计算'!M804,"")</x:f>
        <x:v>0.0027382820572011556</x:v>
      </x:c>
      <x:c r="F402" s="22" t="n">
        <x:f>IF(AND(ISNUMBER(D402),ISNUMBER(E402)),AVERAGE(D402,E402),"")</x:f>
        <x:v>0.003018334077895195</x:v>
      </x:c>
      <x:c r="G402" s="22" t="n">
        <x:f>IFERROR('升力标定计算'!N803,"")</x:f>
        <x:v>0.07877870863327015</x:v>
      </x:c>
      <x:c r="H402" s="22" t="n">
        <x:f>IFERROR('升力标定计算'!N804,"")</x:f>
        <x:v>0.08017072385410395</x:v>
      </x:c>
      <x:c r="I402" s="22" t="n">
        <x:f>IF(AND(ISNUMBER(G402),ISNUMBER(H402)),AVERAGE(G402,H402),"")</x:f>
        <x:v>0.07947471624368704</x:v>
      </x:c>
      <x:c r="J402" s="22" t="n">
        <x:f>IFERROR('5000rpm'!AT36,"")</x:f>
        <x:v>0</x:v>
      </x:c>
      <x:c r="K402" s="22" t="n">
        <x:f>IFERROR('5000rpm'!AT46,"")</x:f>
        <x:v>0.26692913385826766</x:v>
      </x:c>
      <x:c r="L402" s="22" t="n">
        <x:f>IFERROR('5000rpm'!AT36,"")</x:f>
        <x:v>0</x:v>
      </x:c>
      <x:c r="M402" s="22" t="n">
        <x:f>IFERROR('5000rpm'!AS36,"")</x:f>
        <x:v>0.0836476206119306</x:v>
      </x:c>
      <x:c r="N402" s="22" t="n">
        <x:f>IFERROR('5000rpm'!AT37,"")</x:f>
        <x:v>0.02669291338582678</x:v>
      </x:c>
      <x:c r="O402" s="22" t="n">
        <x:f>IFERROR('5000rpm'!AS37,"")</x:f>
        <x:v>0.08154372877032114</x:v>
      </x:c>
      <x:c r="P402" s="22" t="n">
        <x:f>IF(OR(NOT(AND(ISNUMBER(D402),ISNUMBER(E402),ISNUMBER(G402),ISNUMBER(H402))),OR(F402&lt;J402,F402&gt;K402)),"",IF(N402=L402,M402,M402+(F402-L402)*(O402-M402)/(N402-L402)))</x:f>
        <x:v>0.08340972044906912</x:v>
      </x:c>
      <x:c r="Q402" s="22" t="n">
        <x:f>IF(AND(ISNUMBER(I402),ISNUMBER(P402)),I402-P402,"")</x:f>
        <x:v>-0.003935004205382078</x:v>
      </x:c>
      <x:c r="R402" s="22" t="n">
        <x:f>IF(ISNUMBER(Q402),ABS(Q402),"")</x:f>
        <x:v>0.003935004205382078</x:v>
      </x:c>
      <x:c r="S402" s="36" t="n">
        <x:f>IF(AND(ISNUMBER(Q402),ISNUMBER(P402)),IF(ABS(P402)&lt;1E-12,"",Q402/P402),"")</x:f>
        <x:v>-0.04717680606284773</x:v>
      </x:c>
      <x:c r="T402" s="36" t="n">
        <x:f>IF(ISNUMBER(S402),ABS(S402),"")</x:f>
        <x:v>0.04717680606284773</x:v>
      </x:c>
      <x:c r="U402" s="37" t="n">
        <x:f>IF(ISNUMBER(Q402),Q402^2,"")</x:f>
        <x:v>0.00001548425809637464</x:v>
      </x:c>
      <x:c r="V402" s="21" t="str">
        <x:f>IF(NOT(AND(ISNUMBER(D402),ISNUMBER(E402),ISNUMBER(G402),ISNUMBER(H402))),"缺少配对",IF(OR(F402&lt;J402,F402&gt;K402),"超出理论J范围","有效"))</x:f>
        <x:v>有效</x:v>
      </x:c>
      <x:c r="W402" s="20" t="str">
        <x:v>升力 y=0.915708x+28.7687 → C_T_prop；实验攻角 45° ↔ 理论 alpha_p_deg 45°；原升力源 5000rpm!C87/M87</x:v>
      </x:c>
      <x:c r="X402" s="20" t="str">
        <x:v>升力标定计算!M803</x:v>
      </x:c>
      <x:c r="Y402" s="20" t="str">
        <x:v>升力标定计算!M804</x:v>
      </x:c>
      <x:c r="Z402" s="20" t="str">
        <x:v>升力标定计算!N803</x:v>
      </x:c>
      <x:c r="AA402" s="20" t="str">
        <x:v>升力标定计算!N804</x:v>
      </x:c>
      <x:c r="AB402" s="20" t="str">
        <x:v>5000rpm!AT36:AS37</x:v>
      </x:c>
    </x:row>
    <x:row r="403">
      <x:c r="A403" s="21" t="n">
        <x:v>5000</x:v>
      </x:c>
      <x:c r="B403" s="21" t="n">
        <x:v>45</x:v>
      </x:c>
      <x:c r="C403" s="21" t="n">
        <x:v>3</x:v>
      </x:c>
      <x:c r="D403" s="22" t="n">
        <x:f>IFERROR('升力标定计算'!M805,"")</x:f>
        <x:v>0.026856939940211117</x:v>
      </x:c>
      <x:c r="E403" s="22" t="n">
        <x:f>IFERROR('升力标定计算'!M806,"")</x:f>
        <x:v>0.02410416890434553</x:v>
      </x:c>
      <x:c r="F403" s="22" t="n">
        <x:f>IF(AND(ISNUMBER(D403),ISNUMBER(E403)),AVERAGE(D403,E403),"")</x:f>
        <x:v>0.025480554422278326</x:v>
      </x:c>
      <x:c r="G403" s="22" t="n">
        <x:f>IFERROR('升力标定计算'!N805,"")</x:f>
        <x:v>0.07932743039752453</x:v>
      </x:c>
      <x:c r="H403" s="22" t="n">
        <x:f>IFERROR('升力标定计算'!N806,"")</x:f>
        <x:v>0.07924013683550363</x:v>
      </x:c>
      <x:c r="I403" s="22" t="n">
        <x:f>IF(AND(ISNUMBER(G403),ISNUMBER(H403)),AVERAGE(G403,H403),"")</x:f>
        <x:v>0.07928378361651409</x:v>
      </x:c>
      <x:c r="J403" s="22" t="n">
        <x:f>IFERROR('5000rpm'!AT36,"")</x:f>
        <x:v>0</x:v>
      </x:c>
      <x:c r="K403" s="22" t="n">
        <x:f>IFERROR('5000rpm'!AT46,"")</x:f>
        <x:v>0.26692913385826766</x:v>
      </x:c>
      <x:c r="L403" s="22" t="n">
        <x:f>IFERROR('5000rpm'!AT36,"")</x:f>
        <x:v>0</x:v>
      </x:c>
      <x:c r="M403" s="22" t="n">
        <x:f>IFERROR('5000rpm'!AS36,"")</x:f>
        <x:v>0.0836476206119306</x:v>
      </x:c>
      <x:c r="N403" s="22" t="n">
        <x:f>IFERROR('5000rpm'!AT37,"")</x:f>
        <x:v>0.02669291338582678</x:v>
      </x:c>
      <x:c r="O403" s="22" t="n">
        <x:f>IFERROR('5000rpm'!AS37,"")</x:f>
        <x:v>0.08154372877032114</x:v>
      </x:c>
      <x:c r="P403" s="22" t="n">
        <x:f>IF(OR(NOT(AND(ISNUMBER(D403),ISNUMBER(E403),ISNUMBER(G403),ISNUMBER(H403))),OR(F403&lt;J403,F403&gt;K403)),"",IF(N403=L403,M403,M403+(F403-L403)*(O403-M403)/(N403-L403)))</x:f>
        <x:v>0.081639284923958</x:v>
      </x:c>
      <x:c r="Q403" s="22" t="n">
        <x:f>IF(AND(ISNUMBER(I403),ISNUMBER(P403)),I403-P403,"")</x:f>
        <x:v>-0.0023555013074439135</x:v>
      </x:c>
      <x:c r="R403" s="22" t="n">
        <x:f>IF(ISNUMBER(Q403),ABS(Q403),"")</x:f>
        <x:v>0.0023555013074439135</x:v>
      </x:c>
      <x:c r="S403" s="36" t="n">
        <x:f>IF(AND(ISNUMBER(Q403),ISNUMBER(P403)),IF(ABS(P403)&lt;1E-12,"",Q403/P403),"")</x:f>
        <x:v>-0.028852547026078423</x:v>
      </x:c>
      <x:c r="T403" s="36" t="n">
        <x:f>IF(ISNUMBER(S403),ABS(S403),"")</x:f>
        <x:v>0.028852547026078423</x:v>
      </x:c>
      <x:c r="U403" s="37" t="n">
        <x:f>IF(ISNUMBER(Q403),Q403^2,"")</x:f>
        <x:v>0.000005548386409369986</x:v>
      </x:c>
      <x:c r="V403" s="21" t="str">
        <x:f>IF(NOT(AND(ISNUMBER(D403),ISNUMBER(E403),ISNUMBER(G403),ISNUMBER(H403))),"缺少配对",IF(OR(F403&lt;J403,F403&gt;K403),"超出理论J范围","有效"))</x:f>
        <x:v>有效</x:v>
      </x:c>
      <x:c r="W403" s="20" t="str">
        <x:v>升力 y=0.915708x+28.7687 → C_T_prop；实验攻角 45° ↔ 理论 alpha_p_deg 45°；原升力源 5000rpm!C88/M88</x:v>
      </x:c>
      <x:c r="X403" s="20" t="str">
        <x:v>升力标定计算!M805</x:v>
      </x:c>
      <x:c r="Y403" s="20" t="str">
        <x:v>升力标定计算!M806</x:v>
      </x:c>
      <x:c r="Z403" s="20" t="str">
        <x:v>升力标定计算!N805</x:v>
      </x:c>
      <x:c r="AA403" s="20" t="str">
        <x:v>升力标定计算!N806</x:v>
      </x:c>
      <x:c r="AB403" s="20" t="str">
        <x:v>5000rpm!AT36:AS37</x:v>
      </x:c>
    </x:row>
    <x:row r="404">
      <x:c r="A404" s="21" t="n">
        <x:v>5000</x:v>
      </x:c>
      <x:c r="B404" s="21" t="n">
        <x:v>45</x:v>
      </x:c>
      <x:c r="C404" s="21" t="n">
        <x:v>4</x:v>
      </x:c>
      <x:c r="D404" s="22" t="n">
        <x:f>IFERROR('升力标定计算'!M807,"")</x:f>
        <x:v>0.05380099514731856</x:v>
      </x:c>
      <x:c r="E404" s="22" t="n">
        <x:f>IFERROR('升力标定计算'!M808,"")</x:f>
        <x:v>0.05144140208897684</x:v>
      </x:c>
      <x:c r="F404" s="22" t="n">
        <x:f>IF(AND(ISNUMBER(D404),ISNUMBER(E404)),AVERAGE(D404,E404),"")</x:f>
        <x:v>0.052621198618147694</x:v>
      </x:c>
      <x:c r="G404" s="22" t="n">
        <x:f>IFERROR('升力标定计算'!N807,"")</x:f>
        <x:v>0.0774889709992442</x:v>
      </x:c>
      <x:c r="H404" s="22" t="n">
        <x:f>IFERROR('升力标定计算'!N808,"")</x:f>
        <x:v>0.07831551398551363</x:v>
      </x:c>
      <x:c r="I404" s="22" t="n">
        <x:f>IF(AND(ISNUMBER(G404),ISNUMBER(H404)),AVERAGE(G404,H404),"")</x:f>
        <x:v>0.07790224249237893</x:v>
      </x:c>
      <x:c r="J404" s="22" t="n">
        <x:f>IFERROR('5000rpm'!AT36,"")</x:f>
        <x:v>0</x:v>
      </x:c>
      <x:c r="K404" s="22" t="n">
        <x:f>IFERROR('5000rpm'!AT46,"")</x:f>
        <x:v>0.26692913385826766</x:v>
      </x:c>
      <x:c r="L404" s="22" t="n">
        <x:f>IFERROR('5000rpm'!AT37,"")</x:f>
        <x:v>0.02669291338582678</x:v>
      </x:c>
      <x:c r="M404" s="22" t="n">
        <x:f>IFERROR('5000rpm'!AS37,"")</x:f>
        <x:v>0.08154372877032114</x:v>
      </x:c>
      <x:c r="N404" s="22" t="n">
        <x:f>IFERROR('5000rpm'!AT38,"")</x:f>
        <x:v>0.05338582677165356</x:v>
      </x:c>
      <x:c r="O404" s="22" t="n">
        <x:f>IFERROR('5000rpm'!AS38,"")</x:f>
        <x:v>0.07965466316745667</x:v>
      </x:c>
      <x:c r="P404" s="22" t="n">
        <x:f>IF(OR(NOT(AND(ISNUMBER(D404),ISNUMBER(E404),ISNUMBER(G404),ISNUMBER(H404))),OR(F404&lt;J404,F404&gt;K404)),"",IF(N404=L404,M404,M404+(F404-L404)*(O404-M404)/(N404-L404)))</x:f>
        <x:v>0.07970877613455365</x:v>
      </x:c>
      <x:c r="Q404" s="22" t="n">
        <x:f>IF(AND(ISNUMBER(I404),ISNUMBER(P404)),I404-P404,"")</x:f>
        <x:v>-0.0018065336421747291</x:v>
      </x:c>
      <x:c r="R404" s="22" t="n">
        <x:f>IF(ISNUMBER(Q404),ABS(Q404),"")</x:f>
        <x:v>0.0018065336421747291</x:v>
      </x:c>
      <x:c r="S404" s="36" t="n">
        <x:f>IF(AND(ISNUMBER(Q404),ISNUMBER(P404)),IF(ABS(P404)&lt;1E-12,"",Q404/P404),"")</x:f>
        <x:v>-0.022664174884898265</x:v>
      </x:c>
      <x:c r="T404" s="36" t="n">
        <x:f>IF(ISNUMBER(S404),ABS(S404),"")</x:f>
        <x:v>0.022664174884898265</x:v>
      </x:c>
      <x:c r="U404" s="37" t="n">
        <x:f>IF(ISNUMBER(Q404),Q404^2,"")</x:f>
        <x:v>0.000003263563800309092</x:v>
      </x:c>
      <x:c r="V404" s="21" t="str">
        <x:f>IF(NOT(AND(ISNUMBER(D404),ISNUMBER(E404),ISNUMBER(G404),ISNUMBER(H404))),"缺少配对",IF(OR(F404&lt;J404,F404&gt;K404),"超出理论J范围","有效"))</x:f>
        <x:v>有效</x:v>
      </x:c>
      <x:c r="W404" s="20" t="str">
        <x:v>升力 y=0.915708x+28.7687 → C_T_prop；实验攻角 45° ↔ 理论 alpha_p_deg 45°；原升力源 5000rpm!C89/M89</x:v>
      </x:c>
      <x:c r="X404" s="20" t="str">
        <x:v>升力标定计算!M807</x:v>
      </x:c>
      <x:c r="Y404" s="20" t="str">
        <x:v>升力标定计算!M808</x:v>
      </x:c>
      <x:c r="Z404" s="20" t="str">
        <x:v>升力标定计算!N807</x:v>
      </x:c>
      <x:c r="AA404" s="20" t="str">
        <x:v>升力标定计算!N808</x:v>
      </x:c>
      <x:c r="AB404" s="20" t="str">
        <x:v>5000rpm!AT37:AS38</x:v>
      </x:c>
    </x:row>
    <x:row r="405">
      <x:c r="A405" s="21" t="n">
        <x:v>5000</x:v>
      </x:c>
      <x:c r="B405" s="21" t="n">
        <x:v>45</x:v>
      </x:c>
      <x:c r="C405" s="21" t="n">
        <x:v>5</x:v>
      </x:c>
      <x:c r="D405" s="22" t="n">
        <x:f>IFERROR('升力标定计算'!M809,"")</x:f>
        <x:v>0.08100362435970294</x:v>
      </x:c>
      <x:c r="E405" s="22" t="n">
        <x:f>IFERROR('升力标定计算'!M810,"")</x:f>
        <x:v>0.07855582430846893</x:v>
      </x:c>
      <x:c r="F405" s="22" t="n">
        <x:f>IF(AND(ISNUMBER(D405),ISNUMBER(E405)),AVERAGE(D405,E405),"")</x:f>
        <x:v>0.07977972433408594</x:v>
      </x:c>
      <x:c r="G405" s="22" t="n">
        <x:f>IFERROR('升力标定计算'!N809,"")</x:f>
        <x:v>0.07620805236786572</x:v>
      </x:c>
      <x:c r="H405" s="22" t="n">
        <x:f>IFERROR('升力标定计算'!N810,"")</x:f>
        <x:v>0.07653246232339794</x:v>
      </x:c>
      <x:c r="I405" s="22" t="n">
        <x:f>IF(AND(ISNUMBER(G405),ISNUMBER(H405)),AVERAGE(G405,H405),"")</x:f>
        <x:v>0.07637025734563183</x:v>
      </x:c>
      <x:c r="J405" s="22" t="n">
        <x:f>IFERROR('5000rpm'!AT36,"")</x:f>
        <x:v>0</x:v>
      </x:c>
      <x:c r="K405" s="22" t="n">
        <x:f>IFERROR('5000rpm'!AT46,"")</x:f>
        <x:v>0.26692913385826766</x:v>
      </x:c>
      <x:c r="L405" s="22" t="n">
        <x:f>IFERROR('5000rpm'!AT38,"")</x:f>
        <x:v>0.05338582677165356</x:v>
      </x:c>
      <x:c r="M405" s="22" t="n">
        <x:f>IFERROR('5000rpm'!AS38,"")</x:f>
        <x:v>0.07965466316745667</x:v>
      </x:c>
      <x:c r="N405" s="22" t="n">
        <x:f>IFERROR('5000rpm'!AT39,"")</x:f>
        <x:v>0.08007874015748032</x:v>
      </x:c>
      <x:c r="O405" s="22" t="n">
        <x:f>IFERROR('5000rpm'!AS39,"")</x:f>
        <x:v>0.07778541101824346</x:v>
      </x:c>
      <x:c r="P405" s="22" t="n">
        <x:f>IF(OR(NOT(AND(ISNUMBER(D405),ISNUMBER(E405),ISNUMBER(G405),ISNUMBER(H405))),OR(F405&lt;J405,F405&gt;K405)),"",IF(N405=L405,M405,M405+(F405-L405)*(O405-M405)/(N405-L405)))</x:f>
        <x:v>0.07780635050740486</x:v>
      </x:c>
      <x:c r="Q405" s="22" t="n">
        <x:f>IF(AND(ISNUMBER(I405),ISNUMBER(P405)),I405-P405,"")</x:f>
        <x:v>-0.0014360931617730388</x:v>
      </x:c>
      <x:c r="R405" s="22" t="n">
        <x:f>IF(ISNUMBER(Q405),ABS(Q405),"")</x:f>
        <x:v>0.0014360931617730388</x:v>
      </x:c>
      <x:c r="S405" s="36" t="n">
        <x:f>IF(AND(ISNUMBER(Q405),ISNUMBER(P405)),IF(ABS(P405)&lt;1E-12,"",Q405/P405),"")</x:f>
        <x:v>-0.01845727440508041</x:v>
      </x:c>
      <x:c r="T405" s="36" t="n">
        <x:f>IF(ISNUMBER(S405),ABS(S405),"")</x:f>
        <x:v>0.01845727440508041</x:v>
      </x:c>
      <x:c r="U405" s="37" t="n">
        <x:f>IF(ISNUMBER(Q405),Q405^2,"")</x:f>
        <x:v>0.0000020623635692912834</x:v>
      </x:c>
      <x:c r="V405" s="21" t="str">
        <x:f>IF(NOT(AND(ISNUMBER(D405),ISNUMBER(E405),ISNUMBER(G405),ISNUMBER(H405))),"缺少配对",IF(OR(F405&lt;J405,F405&gt;K405),"超出理论J范围","有效"))</x:f>
        <x:v>有效</x:v>
      </x:c>
      <x:c r="W405" s="20" t="str">
        <x:v>升力 y=0.915708x+28.7687 → C_T_prop；实验攻角 45° ↔ 理论 alpha_p_deg 45°；原升力源 5000rpm!C90/M90</x:v>
      </x:c>
      <x:c r="X405" s="20" t="str">
        <x:v>升力标定计算!M809</x:v>
      </x:c>
      <x:c r="Y405" s="20" t="str">
        <x:v>升力标定计算!M810</x:v>
      </x:c>
      <x:c r="Z405" s="20" t="str">
        <x:v>升力标定计算!N809</x:v>
      </x:c>
      <x:c r="AA405" s="20" t="str">
        <x:v>升力标定计算!N810</x:v>
      </x:c>
      <x:c r="AB405" s="20" t="str">
        <x:v>5000rpm!AT38:AS39</x:v>
      </x:c>
    </x:row>
    <x:row r="406">
      <x:c r="A406" s="21" t="n">
        <x:v>5000</x:v>
      </x:c>
      <x:c r="B406" s="21" t="n">
        <x:v>45</x:v>
      </x:c>
      <x:c r="C406" s="21" t="n">
        <x:v>6</x:v>
      </x:c>
      <x:c r="D406" s="22" t="n">
        <x:f>IFERROR('升力标定计算'!M811,"")</x:f>
        <x:v>0.10823158839157254</x:v>
      </x:c>
      <x:c r="E406" s="22" t="n">
        <x:f>IFERROR('升力标定计算'!M812,"")</x:f>
        <x:v>0.10580403259184201</x:v>
      </x:c>
      <x:c r="F406" s="22" t="n">
        <x:f>IF(AND(ISNUMBER(D406),ISNUMBER(E406)),AVERAGE(D406,E406),"")</x:f>
        <x:v>0.10701781049170728</x:v>
      </x:c>
      <x:c r="G406" s="22" t="n">
        <x:f>IFERROR('升力标定计算'!N811,"")</x:f>
        <x:v>0.0744434168369727</x:v>
      </x:c>
      <x:c r="H406" s="22" t="n">
        <x:f>IFERROR('升力标定计算'!N812,"")</x:f>
        <x:v>0.0745744441624525</x:v>
      </x:c>
      <x:c r="I406" s="22" t="n">
        <x:f>IF(AND(ISNUMBER(G406),ISNUMBER(H406)),AVERAGE(G406,H406),"")</x:f>
        <x:v>0.0745089304997126</x:v>
      </x:c>
      <x:c r="J406" s="22" t="n">
        <x:f>IFERROR('5000rpm'!AT36,"")</x:f>
        <x:v>0</x:v>
      </x:c>
      <x:c r="K406" s="22" t="n">
        <x:f>IFERROR('5000rpm'!AT46,"")</x:f>
        <x:v>0.26692913385826766</x:v>
      </x:c>
      <x:c r="L406" s="22" t="n">
        <x:f>IFERROR('5000rpm'!AT40,"")</x:f>
        <x:v>0.10677165354330712</x:v>
      </x:c>
      <x:c r="M406" s="22" t="n">
        <x:f>IFERROR('5000rpm'!AS40,"")</x:f>
        <x:v>0.07590172614205415</x:v>
      </x:c>
      <x:c r="N406" s="22" t="n">
        <x:f>IFERROR('5000rpm'!AT41,"")</x:f>
        <x:v>0.13346456692913383</x:v>
      </x:c>
      <x:c r="O406" s="22" t="n">
        <x:f>IFERROR('5000rpm'!AS41,"")</x:f>
        <x:v>0.07397392902268657</x:v>
      </x:c>
      <x:c r="P406" s="22" t="n">
        <x:f>IF(OR(NOT(AND(ISNUMBER(D406),ISNUMBER(E406),ISNUMBER(G406),ISNUMBER(H406))),OR(F406&lt;J406,F406&gt;K406)),"",IF(N406=L406,M406,M406+(F406-L406)*(O406-M406)/(N406-L406)))</x:f>
        <x:v>0.07588394836526452</x:v>
      </x:c>
      <x:c r="Q406" s="22" t="n">
        <x:f>IF(AND(ISNUMBER(I406),ISNUMBER(P406)),I406-P406,"")</x:f>
        <x:v>-0.001375017865551914</x:v>
      </x:c>
      <x:c r="R406" s="22" t="n">
        <x:f>IF(ISNUMBER(Q406),ABS(Q406),"")</x:f>
        <x:v>0.001375017865551914</x:v>
      </x:c>
      <x:c r="S406" s="36" t="n">
        <x:f>IF(AND(ISNUMBER(Q406),ISNUMBER(P406)),IF(ABS(P406)&lt;1E-12,"",Q406/P406),"")</x:f>
        <x:v>-0.018120009503634647</x:v>
      </x:c>
      <x:c r="T406" s="36" t="n">
        <x:f>IF(ISNUMBER(S406),ABS(S406),"")</x:f>
        <x:v>0.018120009503634647</x:v>
      </x:c>
      <x:c r="U406" s="37" t="n">
        <x:f>IF(ISNUMBER(Q406),Q406^2,"")</x:f>
        <x:v>0.0000018906741305869417</x:v>
      </x:c>
      <x:c r="V406" s="21" t="str">
        <x:f>IF(NOT(AND(ISNUMBER(D406),ISNUMBER(E406),ISNUMBER(G406),ISNUMBER(H406))),"缺少配对",IF(OR(F406&lt;J406,F406&gt;K406),"超出理论J范围","有效"))</x:f>
        <x:v>有效</x:v>
      </x:c>
      <x:c r="W406" s="20" t="str">
        <x:v>升力 y=0.915708x+28.7687 → C_T_prop；实验攻角 45° ↔ 理论 alpha_p_deg 45°；原升力源 5000rpm!C91/M91</x:v>
      </x:c>
      <x:c r="X406" s="20" t="str">
        <x:v>升力标定计算!M811</x:v>
      </x:c>
      <x:c r="Y406" s="20" t="str">
        <x:v>升力标定计算!M812</x:v>
      </x:c>
      <x:c r="Z406" s="20" t="str">
        <x:v>升力标定计算!N811</x:v>
      </x:c>
      <x:c r="AA406" s="20" t="str">
        <x:v>升力标定计算!N812</x:v>
      </x:c>
      <x:c r="AB406" s="20" t="str">
        <x:v>5000rpm!AT40:AS41</x:v>
      </x:c>
    </x:row>
    <x:row r="407">
      <x:c r="A407" s="21" t="n">
        <x:v>5000</x:v>
      </x:c>
      <x:c r="B407" s="21" t="n">
        <x:v>45</x:v>
      </x:c>
      <x:c r="C407" s="21" t="n">
        <x:v>7</x:v>
      </x:c>
      <x:c r="D407" s="22" t="n">
        <x:f>IFERROR('升力标定计算'!M813,"")</x:f>
        <x:v>0.1365386102913436</x:v>
      </x:c>
      <x:c r="E407" s="22" t="n">
        <x:f>IFERROR('升力标定计算'!M814,"")</x:f>
        <x:v>0.13413797770789715</x:v>
      </x:c>
      <x:c r="F407" s="22" t="n">
        <x:f>IF(AND(ISNUMBER(D407),ISNUMBER(E407)),AVERAGE(D407,E407),"")</x:f>
        <x:v>0.13533829399962038</x:v>
      </x:c>
      <x:c r="G407" s="22" t="n">
        <x:f>IFERROR('升力标定计算'!N813,"")</x:f>
        <x:v>0.07388268704029388</x:v>
      </x:c>
      <x:c r="H407" s="22" t="n">
        <x:f>IFERROR('升力标定计算'!N814,"")</x:f>
        <x:v>0.07390544503900023</x:v>
      </x:c>
      <x:c r="I407" s="22" t="n">
        <x:f>IF(AND(ISNUMBER(G407),ISNUMBER(H407)),AVERAGE(G407,H407),"")</x:f>
        <x:v>0.07389406603964706</x:v>
      </x:c>
      <x:c r="J407" s="22" t="n">
        <x:f>IFERROR('5000rpm'!AT36,"")</x:f>
        <x:v>0</x:v>
      </x:c>
      <x:c r="K407" s="22" t="n">
        <x:f>IFERROR('5000rpm'!AT46,"")</x:f>
        <x:v>0.26692913385826766</x:v>
      </x:c>
      <x:c r="L407" s="22" t="n">
        <x:f>IFERROR('5000rpm'!AT41,"")</x:f>
        <x:v>0.13346456692913383</x:v>
      </x:c>
      <x:c r="M407" s="22" t="n">
        <x:f>IFERROR('5000rpm'!AS41,"")</x:f>
        <x:v>0.07397392902268657</x:v>
      </x:c>
      <x:c r="N407" s="22" t="n">
        <x:f>IFERROR('5000rpm'!AT42,"")</x:f>
        <x:v>0.16015748031496063</x:v>
      </x:c>
      <x:c r="O407" s="22" t="n">
        <x:f>IFERROR('5000rpm'!AS42,"")</x:f>
        <x:v>0.07196912499691512</x:v>
      </x:c>
      <x:c r="P407" s="22" t="n">
        <x:f>IF(OR(NOT(AND(ISNUMBER(D407),ISNUMBER(E407),ISNUMBER(G407),ISNUMBER(H407))),OR(F407&lt;J407,F407&gt;K407)),"",IF(N407=L407,M407,M407+(F407-L407)*(O407-M407)/(N407-L407)))</x:f>
        <x:v>0.07383320045103119</x:v>
      </x:c>
      <x:c r="Q407" s="22" t="n">
        <x:f>IF(AND(ISNUMBER(I407),ISNUMBER(P407)),I407-P407,"")</x:f>
        <x:v>0.000060865588615871546</x:v>
      </x:c>
      <x:c r="R407" s="22" t="n">
        <x:f>IF(ISNUMBER(Q407),ABS(Q407),"")</x:f>
        <x:v>0.000060865588615871546</x:v>
      </x:c>
      <x:c r="S407" s="36" t="n">
        <x:f>IF(AND(ISNUMBER(Q407),ISNUMBER(P407)),IF(ABS(P407)&lt;1E-12,"",Q407/P407),"")</x:f>
        <x:v>0.0008243661150276125</x:v>
      </x:c>
      <x:c r="T407" s="36" t="n">
        <x:f>IF(ISNUMBER(S407),ABS(S407),"")</x:f>
        <x:v>0.0008243661150276125</x:v>
      </x:c>
      <x:c r="U407" s="37" t="n">
        <x:f>IF(ISNUMBER(Q407),Q407^2,"")</x:f>
        <x:v>3.704619877556512e-9</x:v>
      </x:c>
      <x:c r="V407" s="21" t="str">
        <x:f>IF(NOT(AND(ISNUMBER(D407),ISNUMBER(E407),ISNUMBER(G407),ISNUMBER(H407))),"缺少配对",IF(OR(F407&lt;J407,F407&gt;K407),"超出理论J范围","有效"))</x:f>
        <x:v>有效</x:v>
      </x:c>
      <x:c r="W407" s="20" t="str">
        <x:v>升力 y=0.915708x+28.7687 → C_T_prop；实验攻角 45° ↔ 理论 alpha_p_deg 45°；原升力源 5000rpm!C92/M92</x:v>
      </x:c>
      <x:c r="X407" s="20" t="str">
        <x:v>升力标定计算!M813</x:v>
      </x:c>
      <x:c r="Y407" s="20" t="str">
        <x:v>升力标定计算!M814</x:v>
      </x:c>
      <x:c r="Z407" s="20" t="str">
        <x:v>升力标定计算!N813</x:v>
      </x:c>
      <x:c r="AA407" s="20" t="str">
        <x:v>升力标定计算!N814</x:v>
      </x:c>
      <x:c r="AB407" s="20" t="str">
        <x:v>5000rpm!AT41:AS42</x:v>
      </x:c>
    </x:row>
    <x:row r="408">
      <x:c r="A408" s="21" t="n">
        <x:v>5000</x:v>
      </x:c>
      <x:c r="B408" s="21" t="n">
        <x:v>45</x:v>
      </x:c>
      <x:c r="C408" s="21" t="n">
        <x:v>8</x:v>
      </x:c>
      <x:c r="D408" s="22" t="n">
        <x:f>IFERROR('升力标定计算'!M815,"")</x:f>
        <x:v>0.16416762923201228</x:v>
      </x:c>
      <x:c r="E408" s="22" t="n">
        <x:f>IFERROR('升力标定计算'!M816,"")</x:f>
        <x:v>0.1619829026433011</x:v>
      </x:c>
      <x:c r="F408" s="22" t="n">
        <x:f>IF(AND(ISNUMBER(D408),ISNUMBER(E408)),AVERAGE(D408,E408),"")</x:f>
        <x:v>0.1630752659376567</x:v>
      </x:c>
      <x:c r="G408" s="22" t="n">
        <x:f>IFERROR('升力标定计算'!N815,"")</x:f>
        <x:v>0.07210746592018871</x:v>
      </x:c>
      <x:c r="H408" s="22" t="n">
        <x:f>IFERROR('升力标定计算'!N816,"")</x:f>
        <x:v>0.0718554827499166</x:v>
      </x:c>
      <x:c r="I408" s="22" t="n">
        <x:f>IF(AND(ISNUMBER(G408),ISNUMBER(H408)),AVERAGE(G408,H408),"")</x:f>
        <x:v>0.07198147433505266</x:v>
      </x:c>
      <x:c r="J408" s="22" t="n">
        <x:f>IFERROR('5000rpm'!AT36,"")</x:f>
        <x:v>0</x:v>
      </x:c>
      <x:c r="K408" s="22" t="n">
        <x:f>IFERROR('5000rpm'!AT46,"")</x:f>
        <x:v>0.26692913385826766</x:v>
      </x:c>
      <x:c r="L408" s="22" t="n">
        <x:f>IFERROR('5000rpm'!AT42,"")</x:f>
        <x:v>0.16015748031496063</x:v>
      </x:c>
      <x:c r="M408" s="22" t="n">
        <x:f>IFERROR('5000rpm'!AS42,"")</x:f>
        <x:v>0.07196912499691512</x:v>
      </x:c>
      <x:c r="N408" s="22" t="n">
        <x:f>IFERROR('5000rpm'!AT43,"")</x:f>
        <x:v>0.18685039370078743</x:v>
      </x:c>
      <x:c r="O408" s="22" t="n">
        <x:f>IFERROR('5000rpm'!AS43,"")</x:f>
        <x:v>0.06985985576624944</x:v>
      </x:c>
      <x:c r="P408" s="22" t="n">
        <x:f>IF(OR(NOT(AND(ISNUMBER(D408),ISNUMBER(E408),ISNUMBER(G408),ISNUMBER(H408))),OR(F408&lt;J408,F408&gt;K408)),"",IF(N408=L408,M408,M408+(F408-L408)*(O408-M408)/(N408-L408)))</x:f>
        <x:v>0.07173856210006402</x:v>
      </x:c>
      <x:c r="Q408" s="22" t="n">
        <x:f>IF(AND(ISNUMBER(I408),ISNUMBER(P408)),I408-P408,"")</x:f>
        <x:v>0.00024291223498863757</x:v>
      </x:c>
      <x:c r="R408" s="22" t="n">
        <x:f>IF(ISNUMBER(Q408),ABS(Q408),"")</x:f>
        <x:v>0.00024291223498863757</x:v>
      </x:c>
      <x:c r="S408" s="36" t="n">
        <x:f>IF(AND(ISNUMBER(Q408),ISNUMBER(P408)),IF(ABS(P408)&lt;1E-12,"",Q408/P408),"")</x:f>
        <x:v>0.003386076161518448</x:v>
      </x:c>
      <x:c r="T408" s="36" t="n">
        <x:f>IF(ISNUMBER(S408),ABS(S408),"")</x:f>
        <x:v>0.003386076161518448</x:v>
      </x:c>
      <x:c r="U408" s="37" t="n">
        <x:f>IF(ISNUMBER(Q408),Q408^2,"")</x:f>
        <x:v>5.9006353907175075e-8</x:v>
      </x:c>
      <x:c r="V408" s="21" t="str">
        <x:f>IF(NOT(AND(ISNUMBER(D408),ISNUMBER(E408),ISNUMBER(G408),ISNUMBER(H408))),"缺少配对",IF(OR(F408&lt;J408,F408&gt;K408),"超出理论J范围","有效"))</x:f>
        <x:v>有效</x:v>
      </x:c>
      <x:c r="W408" s="20" t="str">
        <x:v>升力 y=0.915708x+28.7687 → C_T_prop；实验攻角 45° ↔ 理论 alpha_p_deg 45°；原升力源 5000rpm!C93/M93</x:v>
      </x:c>
      <x:c r="X408" s="20" t="str">
        <x:v>升力标定计算!M815</x:v>
      </x:c>
      <x:c r="Y408" s="20" t="str">
        <x:v>升力标定计算!M816</x:v>
      </x:c>
      <x:c r="Z408" s="20" t="str">
        <x:v>升力标定计算!N815</x:v>
      </x:c>
      <x:c r="AA408" s="20" t="str">
        <x:v>升力标定计算!N816</x:v>
      </x:c>
      <x:c r="AB408" s="20" t="str">
        <x:v>5000rpm!AT42:AS43</x:v>
      </x:c>
    </x:row>
    <x:row r="409">
      <x:c r="A409" s="21" t="n">
        <x:v>5000</x:v>
      </x:c>
      <x:c r="B409" s="21" t="n">
        <x:v>45</x:v>
      </x:c>
      <x:c r="C409" s="21" t="n">
        <x:v>9</x:v>
      </x:c>
      <x:c r="D409" s="22" t="n">
        <x:f>IFERROR('升力标定计算'!M817,"")</x:f>
        <x:v>0.19039841008035524</x:v>
      </x:c>
      <x:c r="E409" s="22" t="n">
        <x:f>IFERROR('升力标定计算'!M818,"")</x:f>
        <x:v>0.18958755567079175</x:v>
      </x:c>
      <x:c r="F409" s="22" t="n">
        <x:f>IF(AND(ISNUMBER(D409),ISNUMBER(E409)),AVERAGE(D409,E409),"")</x:f>
        <x:v>0.18999298287557348</x:v>
      </x:c>
      <x:c r="G409" s="22" t="n">
        <x:f>IFERROR('升力标定计算'!N817,"")</x:f>
        <x:v>0.06970083350040535</x:v>
      </x:c>
      <x:c r="H409" s="22" t="n">
        <x:f>IFERROR('升力标定计算'!N818,"")</x:f>
        <x:v>0.07049458891165562</x:v>
      </x:c>
      <x:c r="I409" s="22" t="n">
        <x:f>IF(AND(ISNUMBER(G409),ISNUMBER(H409)),AVERAGE(G409,H409),"")</x:f>
        <x:v>0.07009771120603048</x:v>
      </x:c>
      <x:c r="J409" s="22" t="n">
        <x:f>IFERROR('5000rpm'!AT36,"")</x:f>
        <x:v>0</x:v>
      </x:c>
      <x:c r="K409" s="22" t="n">
        <x:f>IFERROR('5000rpm'!AT46,"")</x:f>
        <x:v>0.26692913385826766</x:v>
      </x:c>
      <x:c r="L409" s="22" t="n">
        <x:f>IFERROR('5000rpm'!AT43,"")</x:f>
        <x:v>0.18685039370078743</x:v>
      </x:c>
      <x:c r="M409" s="22" t="n">
        <x:f>IFERROR('5000rpm'!AS43,"")</x:f>
        <x:v>0.06985985576624944</x:v>
      </x:c>
      <x:c r="N409" s="22" t="n">
        <x:f>IFERROR('5000rpm'!AT44,"")</x:f>
        <x:v>0.21354330708661423</x:v>
      </x:c>
      <x:c r="O409" s="22" t="n">
        <x:f>IFERROR('5000rpm'!AS44,"")</x:f>
        <x:v>0.06763540386546832</x:v>
      </x:c>
      <x:c r="P409" s="22" t="n">
        <x:f>IF(OR(NOT(AND(ISNUMBER(D409),ISNUMBER(E409),ISNUMBER(G409),ISNUMBER(H409))),OR(F409&lt;J409,F409&gt;K409)),"",IF(N409=L409,M409,M409+(F409-L409)*(O409-M409)/(N409-L409)))</x:f>
        <x:v>0.0695979683370961</x:v>
      </x:c>
      <x:c r="Q409" s="22" t="n">
        <x:f>IF(AND(ISNUMBER(I409),ISNUMBER(P409)),I409-P409,"")</x:f>
        <x:v>0.0004997428689343802</x:v>
      </x:c>
      <x:c r="R409" s="22" t="n">
        <x:f>IF(ISNUMBER(Q409),ABS(Q409),"")</x:f>
        <x:v>0.0004997428689343802</x:v>
      </x:c>
      <x:c r="S409" s="36" t="n">
        <x:f>IF(AND(ISNUMBER(Q409),ISNUMBER(P409)),IF(ABS(P409)&lt;1E-12,"",Q409/P409),"")</x:f>
        <x:v>0.007180423234682478</x:v>
      </x:c>
      <x:c r="T409" s="36" t="n">
        <x:f>IF(ISNUMBER(S409),ABS(S409),"")</x:f>
        <x:v>0.007180423234682478</x:v>
      </x:c>
      <x:c r="U409" s="37" t="n">
        <x:f>IF(ISNUMBER(Q409),Q409^2,"")</x:f>
        <x:v>2.4974293505076514e-7</x:v>
      </x:c>
      <x:c r="V409" s="21" t="str">
        <x:f>IF(NOT(AND(ISNUMBER(D409),ISNUMBER(E409),ISNUMBER(G409),ISNUMBER(H409))),"缺少配对",IF(OR(F409&lt;J409,F409&gt;K409),"超出理论J范围","有效"))</x:f>
        <x:v>有效</x:v>
      </x:c>
      <x:c r="W409" s="20" t="str">
        <x:v>升力 y=0.915708x+28.7687 → C_T_prop；实验攻角 45° ↔ 理论 alpha_p_deg 45°；原升力源 5000rpm!C94/M94</x:v>
      </x:c>
      <x:c r="X409" s="20" t="str">
        <x:v>升力标定计算!M817</x:v>
      </x:c>
      <x:c r="Y409" s="20" t="str">
        <x:v>升力标定计算!M818</x:v>
      </x:c>
      <x:c r="Z409" s="20" t="str">
        <x:v>升力标定计算!N817</x:v>
      </x:c>
      <x:c r="AA409" s="20" t="str">
        <x:v>升力标定计算!N818</x:v>
      </x:c>
      <x:c r="AB409" s="20" t="str">
        <x:v>5000rpm!AT43:AS44</x:v>
      </x:c>
    </x:row>
    <x:row r="410">
      <x:c r="A410" s="21" t="n">
        <x:v>5000</x:v>
      </x:c>
      <x:c r="B410" s="21" t="n">
        <x:v>45</x:v>
      </x:c>
      <x:c r="C410" s="21" t="n">
        <x:v>10</x:v>
      </x:c>
      <x:c r="D410" s="22" t="n">
        <x:f>IFERROR('升力标定计算'!M819,"")</x:f>
        <x:v>0.21815397522842697</x:v>
      </x:c>
      <x:c r="E410" s="22" t="n">
        <x:f>IFERROR('升力标定计算'!M820,"")</x:f>
        <x:v>0.2161287407941261</x:v>
      </x:c>
      <x:c r="F410" s="22" t="n">
        <x:f>IF(AND(ISNUMBER(D410),ISNUMBER(E410)),AVERAGE(D410,E410),"")</x:f>
        <x:v>0.21714135801127654</x:v>
      </x:c>
      <x:c r="G410" s="22" t="n">
        <x:f>IFERROR('升力标定计算'!N819,"")</x:f>
        <x:v>0.06837744315606605</x:v>
      </x:c>
      <x:c r="H410" s="22" t="n">
        <x:f>IFERROR('升力标定计算'!N820,"")</x:f>
        <x:v>0.06815812133484485</x:v>
      </x:c>
      <x:c r="I410" s="22" t="n">
        <x:f>IF(AND(ISNUMBER(G410),ISNUMBER(H410)),AVERAGE(G410,H410),"")</x:f>
        <x:v>0.06826778224545545</x:v>
      </x:c>
      <x:c r="J410" s="22" t="n">
        <x:f>IFERROR('5000rpm'!AT36,"")</x:f>
        <x:v>0</x:v>
      </x:c>
      <x:c r="K410" s="22" t="n">
        <x:f>IFERROR('5000rpm'!AT46,"")</x:f>
        <x:v>0.26692913385826766</x:v>
      </x:c>
      <x:c r="L410" s="22" t="n">
        <x:f>IFERROR('5000rpm'!AT44,"")</x:f>
        <x:v>0.21354330708661423</x:v>
      </x:c>
      <x:c r="M410" s="22" t="n">
        <x:f>IFERROR('5000rpm'!AS44,"")</x:f>
        <x:v>0.06763540386546832</x:v>
      </x:c>
      <x:c r="N410" s="22" t="n">
        <x:f>IFERROR('5000rpm'!AT45,"")</x:f>
        <x:v>0.24023622047244095</x:v>
      </x:c>
      <x:c r="O410" s="22" t="n">
        <x:f>IFERROR('5000rpm'!AS45,"")</x:f>
        <x:v>0.06528191226392419</x:v>
      </x:c>
      <x:c r="P410" s="22" t="n">
        <x:f>IF(OR(NOT(AND(ISNUMBER(D410),ISNUMBER(E410),ISNUMBER(G410),ISNUMBER(H410))),OR(F410&lt;J410,F410&gt;K410)),"",IF(N410=L410,M410,M410+(F410-L410)*(O410-M410)/(N410-L410)))</x:f>
        <x:v>0.06731816675797382</x:v>
      </x:c>
      <x:c r="Q410" s="22" t="n">
        <x:f>IF(AND(ISNUMBER(I410),ISNUMBER(P410)),I410-P410,"")</x:f>
        <x:v>0.0009496154874816254</x:v>
      </x:c>
      <x:c r="R410" s="22" t="n">
        <x:f>IF(ISNUMBER(Q410),ABS(Q410),"")</x:f>
        <x:v>0.0009496154874816254</x:v>
      </x:c>
      <x:c r="S410" s="36" t="n">
        <x:f>IF(AND(ISNUMBER(Q410),ISNUMBER(P410)),IF(ABS(P410)&lt;1E-12,"",Q410/P410),"")</x:f>
        <x:v>0.014106377716668044</x:v>
      </x:c>
      <x:c r="T410" s="36" t="n">
        <x:f>IF(ISNUMBER(S410),ABS(S410),"")</x:f>
        <x:v>0.014106377716668044</x:v>
      </x:c>
      <x:c r="U410" s="37" t="n">
        <x:f>IF(ISNUMBER(Q410),Q410^2,"")</x:f>
        <x:v>9.01769574064965e-7</x:v>
      </x:c>
      <x:c r="V410" s="21" t="str">
        <x:f>IF(NOT(AND(ISNUMBER(D410),ISNUMBER(E410),ISNUMBER(G410),ISNUMBER(H410))),"缺少配对",IF(OR(F410&lt;J410,F410&gt;K410),"超出理论J范围","有效"))</x:f>
        <x:v>有效</x:v>
      </x:c>
      <x:c r="W410" s="20" t="str">
        <x:v>升力 y=0.915708x+28.7687 → C_T_prop；实验攻角 45° ↔ 理论 alpha_p_deg 45°；原升力源 5000rpm!C95/M95</x:v>
      </x:c>
      <x:c r="X410" s="20" t="str">
        <x:v>升力标定计算!M819</x:v>
      </x:c>
      <x:c r="Y410" s="20" t="str">
        <x:v>升力标定计算!M820</x:v>
      </x:c>
      <x:c r="Z410" s="20" t="str">
        <x:v>升力标定计算!N819</x:v>
      </x:c>
      <x:c r="AA410" s="20" t="str">
        <x:v>升力标定计算!N820</x:v>
      </x:c>
      <x:c r="AB410" s="20" t="str">
        <x:v>5000rpm!AT44:AS45</x:v>
      </x:c>
    </x:row>
    <x:row r="411">
      <x:c r="A411" s="21" t="n">
        <x:v>5000</x:v>
      </x:c>
      <x:c r="B411" s="21" t="n">
        <x:v>45</x:v>
      </x:c>
      <x:c r="C411" s="21" t="n">
        <x:v>11</x:v>
      </x:c>
      <x:c r="D411" s="22" t="n">
        <x:f>IFERROR('升力标定计算'!M821,"")</x:f>
        <x:v>0.24592833615364346</x:v>
      </x:c>
      <x:c r="E411" s="22" t="n">
        <x:f>IFERROR('升力标定计算'!M822,"")</x:f>
        <x:v>0.2434161431930677</x:v>
      </x:c>
      <x:c r="F411" s="22" t="n">
        <x:f>IF(AND(ISNUMBER(D411),ISNUMBER(E411)),AVERAGE(D411,E411),"")</x:f>
        <x:v>0.24467223967335558</x:v>
      </x:c>
      <x:c r="G411" s="22" t="n">
        <x:f>IFERROR('升力标定计算'!N821,"")</x:f>
        <x:v>0.06717298640224298</x:v>
      </x:c>
      <x:c r="H411" s="22" t="n">
        <x:f>IFERROR('升力标定计算'!N822,"")</x:f>
        <x:v>0.06665896635856962</x:v>
      </x:c>
      <x:c r="I411" s="22" t="n">
        <x:f>IF(AND(ISNUMBER(G411),ISNUMBER(H411)),AVERAGE(G411,H411),"")</x:f>
        <x:v>0.0669159763804063</x:v>
      </x:c>
      <x:c r="J411" s="22" t="n">
        <x:f>IFERROR('5000rpm'!AT36,"")</x:f>
        <x:v>0</x:v>
      </x:c>
      <x:c r="K411" s="22" t="n">
        <x:f>IFERROR('5000rpm'!AT46,"")</x:f>
        <x:v>0.26692913385826766</x:v>
      </x:c>
      <x:c r="L411" s="22" t="n">
        <x:f>IFERROR('5000rpm'!AT45,"")</x:f>
        <x:v>0.24023622047244095</x:v>
      </x:c>
      <x:c r="M411" s="22" t="n">
        <x:f>IFERROR('5000rpm'!AS45,"")</x:f>
        <x:v>0.06528191226392419</x:v>
      </x:c>
      <x:c r="N411" s="22" t="n">
        <x:f>IFERROR('5000rpm'!AT46,"")</x:f>
        <x:v>0.26692913385826766</x:v>
      </x:c>
      <x:c r="O411" s="22" t="n">
        <x:f>IFERROR('5000rpm'!AS46,"")</x:f>
        <x:v>0.06278465252768957</x:v>
      </x:c>
      <x:c r="P411" s="22" t="n">
        <x:f>IF(OR(NOT(AND(ISNUMBER(D411),ISNUMBER(E411),ISNUMBER(G411),ISNUMBER(H411))),OR(F411&lt;J411,F411&gt;K411)),"",IF(N411=L411,M411,M411+(F411-L411)*(O411-M411)/(N411-L411)))</x:f>
        <x:v>0.0648668997855377</x:v>
      </x:c>
      <x:c r="Q411" s="22" t="n">
        <x:f>IF(AND(ISNUMBER(I411),ISNUMBER(P411)),I411-P411,"")</x:f>
        <x:v>0.0020490765948686096</x:v>
      </x:c>
      <x:c r="R411" s="22" t="n">
        <x:f>IF(ISNUMBER(Q411),ABS(Q411),"")</x:f>
        <x:v>0.0020490765948686096</x:v>
      </x:c>
      <x:c r="S411" s="36" t="n">
        <x:f>IF(AND(ISNUMBER(Q411),ISNUMBER(P411)),IF(ABS(P411)&lt;1E-12,"",Q411/P411),"")</x:f>
        <x:v>0.0315889398390126</x:v>
      </x:c>
      <x:c r="T411" s="36" t="n">
        <x:f>IF(ISNUMBER(S411),ABS(S411),"")</x:f>
        <x:v>0.0315889398390126</x:v>
      </x:c>
      <x:c r="U411" s="37" t="n">
        <x:f>IF(ISNUMBER(Q411),Q411^2,"")</x:f>
        <x:v>0.000004198714891638336</x:v>
      </x:c>
      <x:c r="V411" s="21" t="str">
        <x:f>IF(NOT(AND(ISNUMBER(D411),ISNUMBER(E411),ISNUMBER(G411),ISNUMBER(H411))),"缺少配对",IF(OR(F411&lt;J411,F411&gt;K411),"超出理论J范围","有效"))</x:f>
        <x:v>有效</x:v>
      </x:c>
      <x:c r="W411" s="20" t="str">
        <x:v>升力 y=0.915708x+28.7687 → C_T_prop；实验攻角 45° ↔ 理论 alpha_p_deg 45°；原升力源 5000rpm!C96/M96</x:v>
      </x:c>
      <x:c r="X411" s="20" t="str">
        <x:v>升力标定计算!M821</x:v>
      </x:c>
      <x:c r="Y411" s="20" t="str">
        <x:v>升力标定计算!M822</x:v>
      </x:c>
      <x:c r="Z411" s="20" t="str">
        <x:v>升力标定计算!N821</x:v>
      </x:c>
      <x:c r="AA411" s="20" t="str">
        <x:v>升力标定计算!N822</x:v>
      </x:c>
      <x:c r="AB411" s="20" t="str">
        <x:v>5000rpm!AT45:AS46</x:v>
      </x:c>
    </x:row>
    <x:row r="412">
      <x:c r="A412" s="21" t="n">
        <x:v>5000</x:v>
      </x:c>
      <x:c r="B412" s="21" t="n">
        <x:v>45</x:v>
      </x:c>
      <x:c r="C412" s="21" t="n">
        <x:v>12</x:v>
      </x:c>
      <x:c r="D412" s="22" t="n">
        <x:f>IFERROR('升力标定计算'!M823,"")</x:f>
        <x:v>0.26734573434955444</x:v>
      </x:c>
      <x:c r="E412" s="22" t="n">
        <x:f>IFERROR('升力标定计算'!M824,"")</x:f>
        <x:v>0.26810881109512186</x:v>
      </x:c>
      <x:c r="F412" s="22" t="n">
        <x:f>IF(AND(ISNUMBER(D412),ISNUMBER(E412)),AVERAGE(D412,E412),"")</x:f>
        <x:v>0.26772727272233815</x:v>
      </x:c>
      <x:c r="G412" s="22" t="n">
        <x:f>IFERROR('升力标定计算'!N823,"")</x:f>
        <x:v>0.06416798659979796</x:v>
      </x:c>
      <x:c r="H412" s="22" t="n">
        <x:f>IFERROR('升力标定计算'!N824,"")</x:f>
        <x:v>0.0655159358735836</x:v>
      </x:c>
      <x:c r="I412" s="22" t="n">
        <x:f>IF(AND(ISNUMBER(G412),ISNUMBER(H412)),AVERAGE(G412,H412),"")</x:f>
        <x:v>0.06484196123669078</x:v>
      </x:c>
      <x:c r="J412" s="22" t="n">
        <x:f>IFERROR('5000rpm'!AT36,"")</x:f>
        <x:v>0</x:v>
      </x:c>
      <x:c r="K412" s="22" t="n">
        <x:f>IFERROR('5000rpm'!AT46,"")</x:f>
        <x:v>0.26692913385826766</x:v>
      </x:c>
      <x:c r="L412" s="22" t="n">
        <x:f>IFERROR('5000rpm'!AT36,"")</x:f>
        <x:v>0</x:v>
      </x:c>
      <x:c r="M412" s="22" t="n">
        <x:f>IFERROR('5000rpm'!AS36,"")</x:f>
        <x:v>0.0836476206119306</x:v>
      </x:c>
      <x:c r="N412" s="22" t="n">
        <x:f>IFERROR('5000rpm'!AT46,"")</x:f>
        <x:v>0.26692913385826766</x:v>
      </x:c>
      <x:c r="O412" s="22" t="n">
        <x:f>IFERROR('5000rpm'!AS46,"")</x:f>
        <x:v>0.06278465252768957</x:v>
      </x:c>
      <x:c r="P412" s="22" t="str">
        <x:f>IF(OR(NOT(AND(ISNUMBER(D412),ISNUMBER(E412),ISNUMBER(G412),ISNUMBER(H412))),OR(F412&lt;J412,F412&gt;K412)),"",IF(N412=L412,M412,M412+(F412-L412)*(O412-M412)/(N412-L412)))</x:f>
      </x:c>
      <x:c r="Q412" s="22" t="str">
        <x:f>IF(AND(ISNUMBER(I412),ISNUMBER(P412)),I412-P412,"")</x:f>
      </x:c>
      <x:c r="R412" s="22" t="str">
        <x:f>IF(ISNUMBER(Q412),ABS(Q412),"")</x:f>
      </x:c>
      <x:c r="S412" s="36" t="str">
        <x:f>IF(AND(ISNUMBER(Q412),ISNUMBER(P412)),IF(ABS(P412)&lt;1E-12,"",Q412/P412),"")</x:f>
      </x:c>
      <x:c r="T412" s="36" t="str">
        <x:f>IF(ISNUMBER(S412),ABS(S412),"")</x:f>
      </x:c>
      <x:c r="U412" s="37" t="str">
        <x:f>IF(ISNUMBER(Q412),Q412^2,"")</x:f>
      </x:c>
      <x:c r="V412" s="21" t="str">
        <x:f>IF(NOT(AND(ISNUMBER(D412),ISNUMBER(E412),ISNUMBER(G412),ISNUMBER(H412))),"缺少配对",IF(OR(F412&lt;J412,F412&gt;K412),"超出理论J范围","有效"))</x:f>
        <x:v>超出理论J范围</x:v>
      </x:c>
      <x:c r="W412" s="20" t="str">
        <x:v>升力 y=0.915708x+28.7687 → C_T_prop；实验攻角 45° ↔ 理论 alpha_p_deg 45°；原升力源 5000rpm!C97/M97</x:v>
      </x:c>
      <x:c r="X412" s="20" t="str">
        <x:v>升力标定计算!M823</x:v>
      </x:c>
      <x:c r="Y412" s="20" t="str">
        <x:v>升力标定计算!M824</x:v>
      </x:c>
      <x:c r="Z412" s="20" t="str">
        <x:v>升力标定计算!N823</x:v>
      </x:c>
      <x:c r="AA412" s="20" t="str">
        <x:v>升力标定计算!N824</x:v>
      </x:c>
      <x:c r="AB412" s="20" t="str">
        <x:v>5000rpm!AT36:AS46</x:v>
      </x:c>
    </x:row>
    <x:row r="413">
      <x:c r="A413" s="21" t="n">
        <x:v>5000</x:v>
      </x:c>
      <x:c r="B413" s="21" t="n">
        <x:v>45</x:v>
      </x:c>
      <x:c r="C413" s="21" t="n">
        <x:v>13</x:v>
      </x:c>
      <x:c r="D413" s="22" t="n">
        <x:f>IFERROR('升力标定计算'!M825,"")</x:f>
        <x:v>0.24508735207438498</x:v>
      </x:c>
      <x:c r="E413" s="22" t="n">
        <x:f>IFERROR('升力标定计算'!M826,"")</x:f>
        <x:v>0.24179106385728996</x:v>
      </x:c>
      <x:c r="F413" s="22" t="n">
        <x:f>IF(AND(ISNUMBER(D413),ISNUMBER(E413)),AVERAGE(D413,E413),"")</x:f>
        <x:v>0.24343920796583746</x:v>
      </x:c>
      <x:c r="G413" s="22" t="n">
        <x:f>IFERROR('升力标定计算'!N825,"")</x:f>
        <x:v>0.06677037141228236</x:v>
      </x:c>
      <x:c r="H413" s="22" t="n">
        <x:f>IFERROR('升力标定计算'!N826,"")</x:f>
        <x:v>0.06579519373096025</x:v>
      </x:c>
      <x:c r="I413" s="22" t="n">
        <x:f>IF(AND(ISNUMBER(G413),ISNUMBER(H413)),AVERAGE(G413,H413),"")</x:f>
        <x:v>0.0662827825716213</x:v>
      </x:c>
      <x:c r="J413" s="22" t="n">
        <x:f>IFERROR('5000rpm'!AT36,"")</x:f>
        <x:v>0</x:v>
      </x:c>
      <x:c r="K413" s="22" t="n">
        <x:f>IFERROR('5000rpm'!AT46,"")</x:f>
        <x:v>0.26692913385826766</x:v>
      </x:c>
      <x:c r="L413" s="22" t="n">
        <x:f>IFERROR('5000rpm'!AT45,"")</x:f>
        <x:v>0.24023622047244095</x:v>
      </x:c>
      <x:c r="M413" s="22" t="n">
        <x:f>IFERROR('5000rpm'!AS45,"")</x:f>
        <x:v>0.06528191226392419</x:v>
      </x:c>
      <x:c r="N413" s="22" t="n">
        <x:f>IFERROR('5000rpm'!AT46,"")</x:f>
        <x:v>0.26692913385826766</x:v>
      </x:c>
      <x:c r="O413" s="22" t="n">
        <x:f>IFERROR('5000rpm'!AS46,"")</x:f>
        <x:v>0.06278465252768957</x:v>
      </x:c>
      <x:c r="P413" s="22" t="n">
        <x:f>IF(OR(NOT(AND(ISNUMBER(D413),ISNUMBER(E413),ISNUMBER(G413),ISNUMBER(H413))),OR(F413&lt;J413,F413&gt;K413)),"",IF(N413=L413,M413,M413+(F413-L413)*(O413-M413)/(N413-L413)))</x:f>
        <x:v>0.0649822562620743</x:v>
      </x:c>
      <x:c r="Q413" s="22" t="n">
        <x:f>IF(AND(ISNUMBER(I413),ISNUMBER(P413)),I413-P413,"")</x:f>
        <x:v>0.0013005263095470093</x:v>
      </x:c>
      <x:c r="R413" s="22" t="n">
        <x:f>IF(ISNUMBER(Q413),ABS(Q413),"")</x:f>
        <x:v>0.0013005263095470093</x:v>
      </x:c>
      <x:c r="S413" s="36" t="n">
        <x:f>IF(AND(ISNUMBER(Q413),ISNUMBER(P413)),IF(ABS(P413)&lt;1E-12,"",Q413/P413),"")</x:f>
        <x:v>0.020013560383344793</x:v>
      </x:c>
      <x:c r="T413" s="36" t="n">
        <x:f>IF(ISNUMBER(S413),ABS(S413),"")</x:f>
        <x:v>0.020013560383344793</x:v>
      </x:c>
      <x:c r="U413" s="37" t="n">
        <x:f>IF(ISNUMBER(Q413),Q413^2,"")</x:f>
        <x:v>0.0000016913686818239636</x:v>
      </x:c>
      <x:c r="V413" s="21" t="str">
        <x:f>IF(NOT(AND(ISNUMBER(D413),ISNUMBER(E413),ISNUMBER(G413),ISNUMBER(H413))),"缺少配对",IF(OR(F413&lt;J413,F413&gt;K413),"超出理论J范围","有效"))</x:f>
        <x:v>有效</x:v>
      </x:c>
      <x:c r="W413" s="20" t="str">
        <x:v>升力 y=0.915708x+28.7687 → C_T_prop；实验攻角 45° ↔ 理论 alpha_p_deg 45°；原升力源 5000rpm!C98/M98</x:v>
      </x:c>
      <x:c r="X413" s="20" t="str">
        <x:v>升力标定计算!M825</x:v>
      </x:c>
      <x:c r="Y413" s="20" t="str">
        <x:v>升力标定计算!M826</x:v>
      </x:c>
      <x:c r="Z413" s="20" t="str">
        <x:v>升力标定计算!N825</x:v>
      </x:c>
      <x:c r="AA413" s="20" t="str">
        <x:v>升力标定计算!N826</x:v>
      </x:c>
      <x:c r="AB413" s="20" t="str">
        <x:v>5000rpm!AT45:AS46</x:v>
      </x:c>
    </x:row>
    <x:row r="414">
      <x:c r="A414" s="21" t="n">
        <x:v>5000</x:v>
      </x:c>
      <x:c r="B414" s="21" t="n">
        <x:v>45</x:v>
      </x:c>
      <x:c r="C414" s="21" t="n">
        <x:v>14</x:v>
      </x:c>
      <x:c r="D414" s="22" t="n">
        <x:f>IFERROR('升力标定计算'!M827,"")</x:f>
        <x:v>0.21857148558165632</x:v>
      </x:c>
      <x:c r="E414" s="22" t="n">
        <x:f>IFERROR('升力标定计算'!M828,"")</x:f>
        <x:v>0.21633481075467717</x:v>
      </x:c>
      <x:c r="F414" s="22" t="n">
        <x:f>IF(AND(ISNUMBER(D414),ISNUMBER(E414)),AVERAGE(D414,E414),"")</x:f>
        <x:v>0.21745314816816674</x:v>
      </x:c>
      <x:c r="G414" s="22" t="n">
        <x:f>IFERROR('升力标定计算'!N827,"")</x:f>
        <x:v>0.0681843054031184</x:v>
      </x:c>
      <x:c r="H414" s="22" t="n">
        <x:f>IFERROR('升力标定计算'!N828,"")</x:f>
        <x:v>0.06789831453699921</x:v>
      </x:c>
      <x:c r="I414" s="22" t="n">
        <x:f>IF(AND(ISNUMBER(G414),ISNUMBER(H414)),AVERAGE(G414,H414),"")</x:f>
        <x:v>0.0680413099700588</x:v>
      </x:c>
      <x:c r="J414" s="22" t="n">
        <x:f>IFERROR('5000rpm'!AT36,"")</x:f>
        <x:v>0</x:v>
      </x:c>
      <x:c r="K414" s="22" t="n">
        <x:f>IFERROR('5000rpm'!AT46,"")</x:f>
        <x:v>0.26692913385826766</x:v>
      </x:c>
      <x:c r="L414" s="22" t="n">
        <x:f>IFERROR('5000rpm'!AT44,"")</x:f>
        <x:v>0.21354330708661423</x:v>
      </x:c>
      <x:c r="M414" s="22" t="n">
        <x:f>IFERROR('5000rpm'!AS44,"")</x:f>
        <x:v>0.06763540386546832</x:v>
      </x:c>
      <x:c r="N414" s="22" t="n">
        <x:f>IFERROR('5000rpm'!AT45,"")</x:f>
        <x:v>0.24023622047244095</x:v>
      </x:c>
      <x:c r="O414" s="22" t="n">
        <x:f>IFERROR('5000rpm'!AS45,"")</x:f>
        <x:v>0.06528191226392419</x:v>
      </x:c>
      <x:c r="P414" s="22" t="n">
        <x:f>IF(OR(NOT(AND(ISNUMBER(D414),ISNUMBER(E414),ISNUMBER(G414),ISNUMBER(H414))),OR(F414&lt;J414,F414&gt;K414)),"",IF(N414=L414,M414,M414+(F414-L414)*(O414-M414)/(N414-L414)))</x:f>
        <x:v>0.06729067648349239</x:v>
      </x:c>
      <x:c r="Q414" s="22" t="n">
        <x:f>IF(AND(ISNUMBER(I414),ISNUMBER(P414)),I414-P414,"")</x:f>
        <x:v>0.0007506334865664127</x:v>
      </x:c>
      <x:c r="R414" s="22" t="n">
        <x:f>IF(ISNUMBER(Q414),ABS(Q414),"")</x:f>
        <x:v>0.0007506334865664127</x:v>
      </x:c>
      <x:c r="S414" s="36" t="n">
        <x:f>IF(AND(ISNUMBER(Q414),ISNUMBER(P414)),IF(ABS(P414)&lt;1E-12,"",Q414/P414),"")</x:f>
        <x:v>0.011155089022630892</x:v>
      </x:c>
      <x:c r="T414" s="36" t="n">
        <x:f>IF(ISNUMBER(S414),ABS(S414),"")</x:f>
        <x:v>0.011155089022630892</x:v>
      </x:c>
      <x:c r="U414" s="37" t="n">
        <x:f>IF(ISNUMBER(Q414),Q414^2,"")</x:f>
        <x:v>5.634506311548489e-7</x:v>
      </x:c>
      <x:c r="V414" s="21" t="str">
        <x:f>IF(NOT(AND(ISNUMBER(D414),ISNUMBER(E414),ISNUMBER(G414),ISNUMBER(H414))),"缺少配对",IF(OR(F414&lt;J414,F414&gt;K414),"超出理论J范围","有效"))</x:f>
        <x:v>有效</x:v>
      </x:c>
      <x:c r="W414" s="20" t="str">
        <x:v>升力 y=0.915708x+28.7687 → C_T_prop；实验攻角 45° ↔ 理论 alpha_p_deg 45°；原升力源 5000rpm!C99/M99</x:v>
      </x:c>
      <x:c r="X414" s="20" t="str">
        <x:v>升力标定计算!M827</x:v>
      </x:c>
      <x:c r="Y414" s="20" t="str">
        <x:v>升力标定计算!M828</x:v>
      </x:c>
      <x:c r="Z414" s="20" t="str">
        <x:v>升力标定计算!N827</x:v>
      </x:c>
      <x:c r="AA414" s="20" t="str">
        <x:v>升力标定计算!N828</x:v>
      </x:c>
      <x:c r="AB414" s="20" t="str">
        <x:v>5000rpm!AT44:AS45</x:v>
      </x:c>
    </x:row>
    <x:row r="415">
      <x:c r="A415" s="21" t="n">
        <x:v>5000</x:v>
      </x:c>
      <x:c r="B415" s="21" t="n">
        <x:v>45</x:v>
      </x:c>
      <x:c r="C415" s="21" t="n">
        <x:v>15</x:v>
      </x:c>
      <x:c r="D415" s="22" t="n">
        <x:f>IFERROR('升力标定计算'!M829,"")</x:f>
        <x:v>0.1919286355195907</x:v>
      </x:c>
      <x:c r="E415" s="22" t="n">
        <x:f>IFERROR('升力标定计算'!M830,"")</x:f>
        <x:v>0.19073636895165752</x:v>
      </x:c>
      <x:c r="F415" s="22" t="n">
        <x:f>IF(AND(ISNUMBER(D415),ISNUMBER(E415)),AVERAGE(D415,E415),"")</x:f>
        <x:v>0.1913325022356241</x:v>
      </x:c>
      <x:c r="G415" s="22" t="n">
        <x:f>IFERROR('升力标定计算'!N829,"")</x:f>
        <x:v>0.07002628505712502</x:v>
      </x:c>
      <x:c r="H415" s="22" t="n">
        <x:f>IFERROR('升力标定计算'!N830,"")</x:f>
        <x:v>0.07003735465376613</x:v>
      </x:c>
      <x:c r="I415" s="22" t="n">
        <x:f>IF(AND(ISNUMBER(G415),ISNUMBER(H415)),AVERAGE(G415,H415),"")</x:f>
        <x:v>0.07003181985544557</x:v>
      </x:c>
      <x:c r="J415" s="22" t="n">
        <x:f>IFERROR('5000rpm'!AT36,"")</x:f>
        <x:v>0</x:v>
      </x:c>
      <x:c r="K415" s="22" t="n">
        <x:f>IFERROR('5000rpm'!AT46,"")</x:f>
        <x:v>0.26692913385826766</x:v>
      </x:c>
      <x:c r="L415" s="22" t="n">
        <x:f>IFERROR('5000rpm'!AT43,"")</x:f>
        <x:v>0.18685039370078743</x:v>
      </x:c>
      <x:c r="M415" s="22" t="n">
        <x:f>IFERROR('5000rpm'!AS43,"")</x:f>
        <x:v>0.06985985576624944</x:v>
      </x:c>
      <x:c r="N415" s="22" t="n">
        <x:f>IFERROR('5000rpm'!AT44,"")</x:f>
        <x:v>0.21354330708661423</x:v>
      </x:c>
      <x:c r="O415" s="22" t="n">
        <x:f>IFERROR('5000rpm'!AS44,"")</x:f>
        <x:v>0.06763540386546832</x:v>
      </x:c>
      <x:c r="P415" s="22" t="n">
        <x:f>IF(OR(NOT(AND(ISNUMBER(D415),ISNUMBER(E415),ISNUMBER(G415),ISNUMBER(H415))),OR(F415&lt;J415,F415&gt;K415)),"",IF(N415=L415,M415,M415+(F415-L415)*(O415-M415)/(N415-L415)))</x:f>
        <x:v>0.0694863395934094</x:v>
      </x:c>
      <x:c r="Q415" s="22" t="n">
        <x:f>IF(AND(ISNUMBER(I415),ISNUMBER(P415)),I415-P415,"")</x:f>
        <x:v>0.0005454802620361715</x:v>
      </x:c>
      <x:c r="R415" s="22" t="n">
        <x:f>IF(ISNUMBER(Q415),ABS(Q415),"")</x:f>
        <x:v>0.0005454802620361715</x:v>
      </x:c>
      <x:c r="S415" s="36" t="n">
        <x:f>IF(AND(ISNUMBER(Q415),ISNUMBER(P415)),IF(ABS(P415)&lt;1E-12,"",Q415/P415),"")</x:f>
        <x:v>0.007850179837187868</x:v>
      </x:c>
      <x:c r="T415" s="36" t="n">
        <x:f>IF(ISNUMBER(S415),ABS(S415),"")</x:f>
        <x:v>0.007850179837187868</x:v>
      </x:c>
      <x:c r="U415" s="37" t="n">
        <x:f>IF(ISNUMBER(Q415),Q415^2,"")</x:f>
        <x:v>2.9754871627105035e-7</x:v>
      </x:c>
      <x:c r="V415" s="21" t="str">
        <x:f>IF(NOT(AND(ISNUMBER(D415),ISNUMBER(E415),ISNUMBER(G415),ISNUMBER(H415))),"缺少配对",IF(OR(F415&lt;J415,F415&gt;K415),"超出理论J范围","有效"))</x:f>
        <x:v>有效</x:v>
      </x:c>
      <x:c r="W415" s="20" t="str">
        <x:v>升力 y=0.915708x+28.7687 → C_T_prop；实验攻角 45° ↔ 理论 alpha_p_deg 45°；原升力源 5000rpm!C100/M100</x:v>
      </x:c>
      <x:c r="X415" s="20" t="str">
        <x:v>升力标定计算!M829</x:v>
      </x:c>
      <x:c r="Y415" s="20" t="str">
        <x:v>升力标定计算!M830</x:v>
      </x:c>
      <x:c r="Z415" s="20" t="str">
        <x:v>升力标定计算!N829</x:v>
      </x:c>
      <x:c r="AA415" s="20" t="str">
        <x:v>升力标定计算!N830</x:v>
      </x:c>
      <x:c r="AB415" s="20" t="str">
        <x:v>5000rpm!AT43:AS44</x:v>
      </x:c>
    </x:row>
    <x:row r="416">
      <x:c r="A416" s="21" t="n">
        <x:v>5000</x:v>
      </x:c>
      <x:c r="B416" s="21" t="n">
        <x:v>45</x:v>
      </x:c>
      <x:c r="C416" s="21" t="n">
        <x:v>16</x:v>
      </x:c>
      <x:c r="D416" s="22" t="n">
        <x:f>IFERROR('升力标定计算'!M831,"")</x:f>
        <x:v>0.16515687845421562</x:v>
      </x:c>
      <x:c r="E416" s="22" t="n">
        <x:f>IFERROR('升力标定计算'!M832,"")</x:f>
        <x:v>0.16454936369975223</x:v>
      </x:c>
      <x:c r="F416" s="22" t="n">
        <x:f>IF(AND(ISNUMBER(D416),ISNUMBER(E416)),AVERAGE(D416,E416),"")</x:f>
        <x:v>0.1648531210769839</x:v>
      </x:c>
      <x:c r="G416" s="22" t="n">
        <x:f>IFERROR('升力标定计算'!N831,"")</x:f>
        <x:v>0.07136936269870152</x:v>
      </x:c>
      <x:c r="H416" s="22" t="n">
        <x:f>IFERROR('升力标定计算'!N832,"")</x:f>
        <x:v>0.07193777360031971</x:v>
      </x:c>
      <x:c r="I416" s="22" t="n">
        <x:f>IF(AND(ISNUMBER(G416),ISNUMBER(H416)),AVERAGE(G416,H416),"")</x:f>
        <x:v>0.07165356814951061</x:v>
      </x:c>
      <x:c r="J416" s="22" t="n">
        <x:f>IFERROR('5000rpm'!AT36,"")</x:f>
        <x:v>0</x:v>
      </x:c>
      <x:c r="K416" s="22" t="n">
        <x:f>IFERROR('5000rpm'!AT46,"")</x:f>
        <x:v>0.26692913385826766</x:v>
      </x:c>
      <x:c r="L416" s="22" t="n">
        <x:f>IFERROR('5000rpm'!AT42,"")</x:f>
        <x:v>0.16015748031496063</x:v>
      </x:c>
      <x:c r="M416" s="22" t="n">
        <x:f>IFERROR('5000rpm'!AS42,"")</x:f>
        <x:v>0.07196912499691512</x:v>
      </x:c>
      <x:c r="N416" s="22" t="n">
        <x:f>IFERROR('5000rpm'!AT43,"")</x:f>
        <x:v>0.18685039370078743</x:v>
      </x:c>
      <x:c r="O416" s="22" t="n">
        <x:f>IFERROR('5000rpm'!AS43,"")</x:f>
        <x:v>0.06985985576624944</x:v>
      </x:c>
      <x:c r="P416" s="22" t="n">
        <x:f>IF(OR(NOT(AND(ISNUMBER(D416),ISNUMBER(E416),ISNUMBER(G416),ISNUMBER(H416))),OR(F416&lt;J416,F416&gt;K416)),"",IF(N416=L416,M416,M416+(F416-L416)*(O416-M416)/(N416-L416)))</x:f>
        <x:v>0.07159807630566008</x:v>
      </x:c>
      <x:c r="Q416" s="22" t="n">
        <x:f>IF(AND(ISNUMBER(I416),ISNUMBER(P416)),I416-P416,"")</x:f>
        <x:v>0.00005549184385053585</x:v>
      </x:c>
      <x:c r="R416" s="22" t="n">
        <x:f>IF(ISNUMBER(Q416),ABS(Q416),"")</x:f>
        <x:v>0.00005549184385053585</x:v>
      </x:c>
      <x:c r="S416" s="36" t="n">
        <x:f>IF(AND(ISNUMBER(Q416),ISNUMBER(P416)),IF(ABS(P416)&lt;1E-12,"",Q416/P416),"")</x:f>
        <x:v>0.000775046575464333</x:v>
      </x:c>
      <x:c r="T416" s="36" t="n">
        <x:f>IF(ISNUMBER(S416),ABS(S416),"")</x:f>
        <x:v>0.000775046575464333</x:v>
      </x:c>
      <x:c r="U416" s="37" t="n">
        <x:f>IF(ISNUMBER(Q416),Q416^2,"")</x:f>
        <x:v>3.0793447339322533e-9</x:v>
      </x:c>
      <x:c r="V416" s="21" t="str">
        <x:f>IF(NOT(AND(ISNUMBER(D416),ISNUMBER(E416),ISNUMBER(G416),ISNUMBER(H416))),"缺少配对",IF(OR(F416&lt;J416,F416&gt;K416),"超出理论J范围","有效"))</x:f>
        <x:v>有效</x:v>
      </x:c>
      <x:c r="W416" s="20" t="str">
        <x:v>升力 y=0.915708x+28.7687 → C_T_prop；实验攻角 45° ↔ 理论 alpha_p_deg 45°；原升力源 5000rpm!C101/M101</x:v>
      </x:c>
      <x:c r="X416" s="20" t="str">
        <x:v>升力标定计算!M831</x:v>
      </x:c>
      <x:c r="Y416" s="20" t="str">
        <x:v>升力标定计算!M832</x:v>
      </x:c>
      <x:c r="Z416" s="20" t="str">
        <x:v>升力标定计算!N831</x:v>
      </x:c>
      <x:c r="AA416" s="20" t="str">
        <x:v>升力标定计算!N832</x:v>
      </x:c>
      <x:c r="AB416" s="20" t="str">
        <x:v>5000rpm!AT42:AS43</x:v>
      </x:c>
    </x:row>
    <x:row r="417">
      <x:c r="A417" s="21" t="n">
        <x:v>5000</x:v>
      </x:c>
      <x:c r="B417" s="21" t="n">
        <x:v>45</x:v>
      </x:c>
      <x:c r="C417" s="21" t="n">
        <x:v>17</x:v>
      </x:c>
      <x:c r="D417" s="22" t="n">
        <x:f>IFERROR('升力标定计算'!M833,"")</x:f>
        <x:v>0.13878655082600996</x:v>
      </x:c>
      <x:c r="E417" s="22" t="n">
        <x:f>IFERROR('升力标定计算'!M834,"")</x:f>
        <x:v>0.1372950887690867</x:v>
      </x:c>
      <x:c r="F417" s="22" t="n">
        <x:f>IF(AND(ISNUMBER(D417),ISNUMBER(E417)),AVERAGE(D417,E417),"")</x:f>
        <x:v>0.13804081979754834</x:v>
      </x:c>
      <x:c r="G417" s="22" t="n">
        <x:f>IFERROR('升力标定计算'!N833,"")</x:f>
        <x:v>0.07375515470838725</x:v>
      </x:c>
      <x:c r="H417" s="22" t="n">
        <x:f>IFERROR('升力标定计算'!N834,"")</x:f>
        <x:v>0.0731304301335578</x:v>
      </x:c>
      <x:c r="I417" s="22" t="n">
        <x:f>IF(AND(ISNUMBER(G417),ISNUMBER(H417)),AVERAGE(G417,H417),"")</x:f>
        <x:v>0.07344279242097253</x:v>
      </x:c>
      <x:c r="J417" s="22" t="n">
        <x:f>IFERROR('5000rpm'!AT36,"")</x:f>
        <x:v>0</x:v>
      </x:c>
      <x:c r="K417" s="22" t="n">
        <x:f>IFERROR('5000rpm'!AT46,"")</x:f>
        <x:v>0.26692913385826766</x:v>
      </x:c>
      <x:c r="L417" s="22" t="n">
        <x:f>IFERROR('5000rpm'!AT41,"")</x:f>
        <x:v>0.13346456692913383</x:v>
      </x:c>
      <x:c r="M417" s="22" t="n">
        <x:f>IFERROR('5000rpm'!AS41,"")</x:f>
        <x:v>0.07397392902268657</x:v>
      </x:c>
      <x:c r="N417" s="22" t="n">
        <x:f>IFERROR('5000rpm'!AT42,"")</x:f>
        <x:v>0.16015748031496063</x:v>
      </x:c>
      <x:c r="O417" s="22" t="n">
        <x:f>IFERROR('5000rpm'!AS42,"")</x:f>
        <x:v>0.07196912499691512</x:v>
      </x:c>
      <x:c r="P417" s="22" t="n">
        <x:f>IF(OR(NOT(AND(ISNUMBER(D417),ISNUMBER(E417),ISNUMBER(G417),ISNUMBER(H417))),OR(F417&lt;J417,F417&gt;K417)),"",IF(N417=L417,M417,M417+(F417-L417)*(O417-M417)/(N417-L417)))</x:f>
        <x:v>0.07363022393358915</x:v>
      </x:c>
      <x:c r="Q417" s="22" t="n">
        <x:f>IF(AND(ISNUMBER(I417),ISNUMBER(P417)),I417-P417,"")</x:f>
        <x:v>-0.0001874315126166176</x:v>
      </x:c>
      <x:c r="R417" s="22" t="n">
        <x:f>IF(ISNUMBER(Q417),ABS(Q417),"")</x:f>
        <x:v>0.0001874315126166176</x:v>
      </x:c>
      <x:c r="S417" s="36" t="n">
        <x:f>IF(AND(ISNUMBER(Q417),ISNUMBER(P417)),IF(ABS(P417)&lt;1E-12,"",Q417/P417),"")</x:f>
        <x:v>-0.002545578467691089</x:v>
      </x:c>
      <x:c r="T417" s="36" t="n">
        <x:f>IF(ISNUMBER(S417),ABS(S417),"")</x:f>
        <x:v>0.002545578467691089</x:v>
      </x:c>
      <x:c r="U417" s="37" t="n">
        <x:f>IF(ISNUMBER(Q417),Q417^2,"")</x:f>
        <x:v>3.513057192175329e-8</x:v>
      </x:c>
      <x:c r="V417" s="21" t="str">
        <x:f>IF(NOT(AND(ISNUMBER(D417),ISNUMBER(E417),ISNUMBER(G417),ISNUMBER(H417))),"缺少配对",IF(OR(F417&lt;J417,F417&gt;K417),"超出理论J范围","有效"))</x:f>
        <x:v>有效</x:v>
      </x:c>
      <x:c r="W417" s="20" t="str">
        <x:v>升力 y=0.915708x+28.7687 → C_T_prop；实验攻角 45° ↔ 理论 alpha_p_deg 45°；原升力源 5000rpm!C102/M102</x:v>
      </x:c>
      <x:c r="X417" s="20" t="str">
        <x:v>升力标定计算!M833</x:v>
      </x:c>
      <x:c r="Y417" s="20" t="str">
        <x:v>升力标定计算!M834</x:v>
      </x:c>
      <x:c r="Z417" s="20" t="str">
        <x:v>升力标定计算!N833</x:v>
      </x:c>
      <x:c r="AA417" s="20" t="str">
        <x:v>升力标定计算!N834</x:v>
      </x:c>
      <x:c r="AB417" s="20" t="str">
        <x:v>5000rpm!AT41:AS42</x:v>
      </x:c>
    </x:row>
    <x:row r="418">
      <x:c r="A418" s="21" t="n">
        <x:v>5000</x:v>
      </x:c>
      <x:c r="B418" s="21" t="n">
        <x:v>45</x:v>
      </x:c>
      <x:c r="C418" s="21" t="n">
        <x:v>18</x:v>
      </x:c>
      <x:c r="D418" s="22" t="n">
        <x:f>IFERROR('升力标定计算'!M835,"")</x:f>
        <x:v>0.1113620136760372</x:v>
      </x:c>
      <x:c r="E418" s="22" t="n">
        <x:f>IFERROR('升力标定计算'!M836,"")</x:f>
        <x:v>0.1111790540610379</x:v>
      </x:c>
      <x:c r="F418" s="22" t="n">
        <x:f>IF(AND(ISNUMBER(D418),ISNUMBER(E418)),AVERAGE(D418,E418),"")</x:f>
        <x:v>0.11127053386853755</x:v>
      </x:c>
      <x:c r="G418" s="22" t="n">
        <x:f>IFERROR('升力标定计算'!N835,"")</x:f>
        <x:v>0.07537531597680233</x:v>
      </x:c>
      <x:c r="H418" s="22" t="n">
        <x:f>IFERROR('升力标定计算'!N836,"")</x:f>
        <x:v>0.0761054653083083</x:v>
      </x:c>
      <x:c r="I418" s="22" t="n">
        <x:f>IF(AND(ISNUMBER(G418),ISNUMBER(H418)),AVERAGE(G418,H418),"")</x:f>
        <x:v>0.07574039064255532</x:v>
      </x:c>
      <x:c r="J418" s="22" t="n">
        <x:f>IFERROR('5000rpm'!AT36,"")</x:f>
        <x:v>0</x:v>
      </x:c>
      <x:c r="K418" s="22" t="n">
        <x:f>IFERROR('5000rpm'!AT46,"")</x:f>
        <x:v>0.26692913385826766</x:v>
      </x:c>
      <x:c r="L418" s="22" t="n">
        <x:f>IFERROR('5000rpm'!AT40,"")</x:f>
        <x:v>0.10677165354330712</x:v>
      </x:c>
      <x:c r="M418" s="22" t="n">
        <x:f>IFERROR('5000rpm'!AS40,"")</x:f>
        <x:v>0.07590172614205415</x:v>
      </x:c>
      <x:c r="N418" s="22" t="n">
        <x:f>IFERROR('5000rpm'!AT41,"")</x:f>
        <x:v>0.13346456692913383</x:v>
      </x:c>
      <x:c r="O418" s="22" t="n">
        <x:f>IFERROR('5000rpm'!AS41,"")</x:f>
        <x:v>0.07397392902268657</x:v>
      </x:c>
      <x:c r="P418" s="22" t="n">
        <x:f>IF(OR(NOT(AND(ISNUMBER(D418),ISNUMBER(E418),ISNUMBER(G418),ISNUMBER(H418))),OR(F418&lt;J418,F418&gt;K418)),"",IF(N418=L418,M418,M418+(F418-L418)*(O418-M418)/(N418-L418)))</x:f>
        <x:v>0.07557681112037788</x:v>
      </x:c>
      <x:c r="Q418" s="22" t="n">
        <x:f>IF(AND(ISNUMBER(I418),ISNUMBER(P418)),I418-P418,"")</x:f>
        <x:v>0.0001635795221774372</x:v>
      </x:c>
      <x:c r="R418" s="22" t="n">
        <x:f>IF(ISNUMBER(Q418),ABS(Q418),"")</x:f>
        <x:v>0.0001635795221774372</x:v>
      </x:c>
      <x:c r="S418" s="36" t="n">
        <x:f>IF(AND(ISNUMBER(Q418),ISNUMBER(P418)),IF(ABS(P418)&lt;1E-12,"",Q418/P418),"")</x:f>
        <x:v>0.002164414186738967</x:v>
      </x:c>
      <x:c r="T418" s="36" t="n">
        <x:f>IF(ISNUMBER(S418),ABS(S418),"")</x:f>
        <x:v>0.002164414186738967</x:v>
      </x:c>
      <x:c r="U418" s="37" t="n">
        <x:f>IF(ISNUMBER(Q418),Q418^2,"")</x:f>
        <x:v>2.6758260075798673e-8</x:v>
      </x:c>
      <x:c r="V418" s="21" t="str">
        <x:f>IF(NOT(AND(ISNUMBER(D418),ISNUMBER(E418),ISNUMBER(G418),ISNUMBER(H418))),"缺少配对",IF(OR(F418&lt;J418,F418&gt;K418),"超出理论J范围","有效"))</x:f>
        <x:v>有效</x:v>
      </x:c>
      <x:c r="W418" s="20" t="str">
        <x:v>升力 y=0.915708x+28.7687 → C_T_prop；实验攻角 45° ↔ 理论 alpha_p_deg 45°；原升力源 5000rpm!C103/M103</x:v>
      </x:c>
      <x:c r="X418" s="20" t="str">
        <x:v>升力标定计算!M835</x:v>
      </x:c>
      <x:c r="Y418" s="20" t="str">
        <x:v>升力标定计算!M836</x:v>
      </x:c>
      <x:c r="Z418" s="20" t="str">
        <x:v>升力标定计算!N835</x:v>
      </x:c>
      <x:c r="AA418" s="20" t="str">
        <x:v>升力标定计算!N836</x:v>
      </x:c>
      <x:c r="AB418" s="20" t="str">
        <x:v>5000rpm!AT40:AS41</x:v>
      </x:c>
    </x:row>
    <x:row r="419">
      <x:c r="A419" s="21" t="n">
        <x:v>5000</x:v>
      </x:c>
      <x:c r="B419" s="21" t="n">
        <x:v>45</x:v>
      </x:c>
      <x:c r="C419" s="21" t="n">
        <x:v>19</x:v>
      </x:c>
      <x:c r="D419" s="22" t="n">
        <x:f>IFERROR('升力标定计算'!M837,"")</x:f>
        <x:v>0.08391121267187578</x:v>
      </x:c>
      <x:c r="E419" s="22" t="n">
        <x:f>IFERROR('升力标定计算'!M838,"")</x:f>
        <x:v>0.08331692029380058</x:v>
      </x:c>
      <x:c r="F419" s="22" t="n">
        <x:f>IF(AND(ISNUMBER(D419),ISNUMBER(E419)),AVERAGE(D419,E419),"")</x:f>
        <x:v>0.08361406648283817</x:v>
      </x:c>
      <x:c r="G419" s="22" t="n">
        <x:f>IFERROR('升力标定计算'!N837,"")</x:f>
        <x:v>0.0768770545674479</x:v>
      </x:c>
      <x:c r="H419" s="22" t="n">
        <x:f>IFERROR('升力标定计算'!N838,"")</x:f>
        <x:v>0.07676163410311346</x:v>
      </x:c>
      <x:c r="I419" s="22" t="n">
        <x:f>IF(AND(ISNUMBER(G419),ISNUMBER(H419)),AVERAGE(G419,H419),"")</x:f>
        <x:v>0.07681934433528068</x:v>
      </x:c>
      <x:c r="J419" s="22" t="n">
        <x:f>IFERROR('5000rpm'!AT36,"")</x:f>
        <x:v>0</x:v>
      </x:c>
      <x:c r="K419" s="22" t="n">
        <x:f>IFERROR('5000rpm'!AT46,"")</x:f>
        <x:v>0.26692913385826766</x:v>
      </x:c>
      <x:c r="L419" s="22" t="n">
        <x:f>IFERROR('5000rpm'!AT39,"")</x:f>
        <x:v>0.08007874015748032</x:v>
      </x:c>
      <x:c r="M419" s="22" t="n">
        <x:f>IFERROR('5000rpm'!AS39,"")</x:f>
        <x:v>0.07778541101824346</x:v>
      </x:c>
      <x:c r="N419" s="22" t="n">
        <x:f>IFERROR('5000rpm'!AT40,"")</x:f>
        <x:v>0.10677165354330712</x:v>
      </x:c>
      <x:c r="O419" s="22" t="n">
        <x:f>IFERROR('5000rpm'!AS40,"")</x:f>
        <x:v>0.07590172614205415</x:v>
      </x:c>
      <x:c r="P419" s="22" t="n">
        <x:f>IF(OR(NOT(AND(ISNUMBER(D419),ISNUMBER(E419),ISNUMBER(G419),ISNUMBER(H419))),OR(F419&lt;J419,F419&gt;K419)),"",IF(N419=L419,M419,M419+(F419-L419)*(O419-M419)/(N419-L419)))</x:f>
        <x:v>0.07753592754541255</x:v>
      </x:c>
      <x:c r="Q419" s="22" t="n">
        <x:f>IF(AND(ISNUMBER(I419),ISNUMBER(P419)),I419-P419,"")</x:f>
        <x:v>-0.000716583210131877</x:v>
      </x:c>
      <x:c r="R419" s="22" t="n">
        <x:f>IF(ISNUMBER(Q419),ABS(Q419),"")</x:f>
        <x:v>0.000716583210131877</x:v>
      </x:c>
      <x:c r="S419" s="36" t="n">
        <x:f>IF(AND(ISNUMBER(Q419),ISNUMBER(P419)),IF(ABS(P419)&lt;1E-12,"",Q419/P419),"")</x:f>
        <x:v>-0.009241950574618152</x:v>
      </x:c>
      <x:c r="T419" s="36" t="n">
        <x:f>IF(ISNUMBER(S419),ABS(S419),"")</x:f>
        <x:v>0.009241950574618152</x:v>
      </x:c>
      <x:c r="U419" s="37" t="n">
        <x:f>IF(ISNUMBER(Q419),Q419^2,"")</x:f>
        <x:v>5.134914970429057e-7</x:v>
      </x:c>
      <x:c r="V419" s="21" t="str">
        <x:f>IF(NOT(AND(ISNUMBER(D419),ISNUMBER(E419),ISNUMBER(G419),ISNUMBER(H419))),"缺少配对",IF(OR(F419&lt;J419,F419&gt;K419),"超出理论J范围","有效"))</x:f>
        <x:v>有效</x:v>
      </x:c>
      <x:c r="W419" s="20" t="str">
        <x:v>升力 y=0.915708x+28.7687 → C_T_prop；实验攻角 45° ↔ 理论 alpha_p_deg 45°；原升力源 5000rpm!C104/M104</x:v>
      </x:c>
      <x:c r="X419" s="20" t="str">
        <x:v>升力标定计算!M837</x:v>
      </x:c>
      <x:c r="Y419" s="20" t="str">
        <x:v>升力标定计算!M838</x:v>
      </x:c>
      <x:c r="Z419" s="20" t="str">
        <x:v>升力标定计算!N837</x:v>
      </x:c>
      <x:c r="AA419" s="20" t="str">
        <x:v>升力标定计算!N838</x:v>
      </x:c>
      <x:c r="AB419" s="20" t="str">
        <x:v>5000rpm!AT39:AS40</x:v>
      </x:c>
    </x:row>
    <x:row r="420">
      <x:c r="A420" s="21" t="n">
        <x:v>5000</x:v>
      </x:c>
      <x:c r="B420" s="21" t="n">
        <x:v>45</x:v>
      </x:c>
      <x:c r="C420" s="21" t="n">
        <x:v>20</x:v>
      </x:c>
      <x:c r="D420" s="22" t="n">
        <x:f>IFERROR('升力标定计算'!M839,"")</x:f>
        <x:v>0.05623280802824081</x:v>
      </x:c>
      <x:c r="E420" s="22" t="n">
        <x:f>IFERROR('升力标定计算'!M840,"")</x:f>
        <x:v>0.05631864386060897</x:v>
      </x:c>
      <x:c r="F420" s="22" t="n">
        <x:f>IF(AND(ISNUMBER(D420),ISNUMBER(E420)),AVERAGE(D420,E420),"")</x:f>
        <x:v>0.056275725944424884</x:v>
      </x:c>
      <x:c r="G420" s="22" t="n">
        <x:f>IFERROR('升力标定计算'!N839,"")</x:f>
        <x:v>0.07735909964353148</x:v>
      </x:c>
      <x:c r="H420" s="22" t="n">
        <x:f>IFERROR('升力标定计算'!N840,"")</x:f>
        <x:v>0.07853283327497518</x:v>
      </x:c>
      <x:c r="I420" s="22" t="n">
        <x:f>IF(AND(ISNUMBER(G420),ISNUMBER(H420)),AVERAGE(G420,H420),"")</x:f>
        <x:v>0.07794596645925334</x:v>
      </x:c>
      <x:c r="J420" s="22" t="n">
        <x:f>IFERROR('5000rpm'!AT36,"")</x:f>
        <x:v>0</x:v>
      </x:c>
      <x:c r="K420" s="22" t="n">
        <x:f>IFERROR('5000rpm'!AT46,"")</x:f>
        <x:v>0.26692913385826766</x:v>
      </x:c>
      <x:c r="L420" s="22" t="n">
        <x:f>IFERROR('5000rpm'!AT38,"")</x:f>
        <x:v>0.05338582677165356</x:v>
      </x:c>
      <x:c r="M420" s="22" t="n">
        <x:f>IFERROR('5000rpm'!AS38,"")</x:f>
        <x:v>0.07965466316745667</x:v>
      </x:c>
      <x:c r="N420" s="22" t="n">
        <x:f>IFERROR('5000rpm'!AT39,"")</x:f>
        <x:v>0.08007874015748032</x:v>
      </x:c>
      <x:c r="O420" s="22" t="n">
        <x:f>IFERROR('5000rpm'!AS39,"")</x:f>
        <x:v>0.07778541101824346</x:v>
      </x:c>
      <x:c r="P420" s="22" t="n">
        <x:f>IF(OR(NOT(AND(ISNUMBER(D420),ISNUMBER(E420),ISNUMBER(G420),ISNUMBER(H420))),OR(F420&lt;J420,F420&gt;K420)),"",IF(N420=L420,M420,M420+(F420-L420)*(O420-M420)/(N420-L420)))</x:f>
        <x:v>0.0794522892204232</x:v>
      </x:c>
      <x:c r="Q420" s="22" t="n">
        <x:f>IF(AND(ISNUMBER(I420),ISNUMBER(P420)),I420-P420,"")</x:f>
        <x:v>-0.0015063227611698676</x:v>
      </x:c>
      <x:c r="R420" s="22" t="n">
        <x:f>IF(ISNUMBER(Q420),ABS(Q420),"")</x:f>
        <x:v>0.0015063227611698676</x:v>
      </x:c>
      <x:c r="S420" s="36" t="n">
        <x:f>IF(AND(ISNUMBER(Q420),ISNUMBER(P420)),IF(ABS(P420)&lt;1E-12,"",Q420/P420),"")</x:f>
        <x:v>-0.01895883398640536</x:v>
      </x:c>
      <x:c r="T420" s="36" t="n">
        <x:f>IF(ISNUMBER(S420),ABS(S420),"")</x:f>
        <x:v>0.01895883398640536</x:v>
      </x:c>
      <x:c r="U420" s="37" t="n">
        <x:f>IF(ISNUMBER(Q420),Q420^2,"")</x:f>
        <x:v>0.000002269008260818414</x:v>
      </x:c>
      <x:c r="V420" s="21" t="str">
        <x:f>IF(NOT(AND(ISNUMBER(D420),ISNUMBER(E420),ISNUMBER(G420),ISNUMBER(H420))),"缺少配对",IF(OR(F420&lt;J420,F420&gt;K420),"超出理论J范围","有效"))</x:f>
        <x:v>有效</x:v>
      </x:c>
      <x:c r="W420" s="20" t="str">
        <x:v>升力 y=0.915708x+28.7687 → C_T_prop；实验攻角 45° ↔ 理论 alpha_p_deg 45°；原升力源 5000rpm!C105/M105</x:v>
      </x:c>
      <x:c r="X420" s="20" t="str">
        <x:v>升力标定计算!M839</x:v>
      </x:c>
      <x:c r="Y420" s="20" t="str">
        <x:v>升力标定计算!M840</x:v>
      </x:c>
      <x:c r="Z420" s="20" t="str">
        <x:v>升力标定计算!N839</x:v>
      </x:c>
      <x:c r="AA420" s="20" t="str">
        <x:v>升力标定计算!N840</x:v>
      </x:c>
      <x:c r="AB420" s="20" t="str">
        <x:v>5000rpm!AT38:AS39</x:v>
      </x:c>
    </x:row>
    <x:row r="421">
      <x:c r="A421" s="21" t="n">
        <x:v>5000</x:v>
      </x:c>
      <x:c r="B421" s="21" t="n">
        <x:v>45</x:v>
      </x:c>
      <x:c r="C421" s="21" t="n">
        <x:v>21</x:v>
      </x:c>
      <x:c r="D421" s="22" t="n">
        <x:f>IFERROR('升力标定计算'!M841,"")</x:f>
        <x:v>0.029032205269340527</x:v>
      </x:c>
      <x:c r="E421" s="22" t="n">
        <x:f>IFERROR('升力标定计算'!M842,"")</x:f>
        <x:v>0.028700928976252007</x:v>
      </x:c>
      <x:c r="F421" s="22" t="n">
        <x:f>IF(AND(ISNUMBER(D421),ISNUMBER(E421)),AVERAGE(D421,E421),"")</x:f>
        <x:v>0.02886656712279627</x:v>
      </x:c>
      <x:c r="G421" s="22" t="n">
        <x:f>IFERROR('升力标定计算'!N841,"")</x:f>
        <x:v>0.0793219373327181</x:v>
      </x:c>
      <x:c r="H421" s="22" t="n">
        <x:f>IFERROR('升力标定计算'!N842,"")</x:f>
        <x:v>0.07826830471675325</x:v>
      </x:c>
      <x:c r="I421" s="22" t="n">
        <x:f>IF(AND(ISNUMBER(G421),ISNUMBER(H421)),AVERAGE(G421,H421),"")</x:f>
        <x:v>0.07879512102473568</x:v>
      </x:c>
      <x:c r="J421" s="22" t="n">
        <x:f>IFERROR('5000rpm'!AT36,"")</x:f>
        <x:v>0</x:v>
      </x:c>
      <x:c r="K421" s="22" t="n">
        <x:f>IFERROR('5000rpm'!AT46,"")</x:f>
        <x:v>0.26692913385826766</x:v>
      </x:c>
      <x:c r="L421" s="22" t="n">
        <x:f>IFERROR('5000rpm'!AT37,"")</x:f>
        <x:v>0.02669291338582678</x:v>
      </x:c>
      <x:c r="M421" s="22" t="n">
        <x:f>IFERROR('5000rpm'!AS37,"")</x:f>
        <x:v>0.08154372877032114</x:v>
      </x:c>
      <x:c r="N421" s="22" t="n">
        <x:f>IFERROR('5000rpm'!AT38,"")</x:f>
        <x:v>0.05338582677165356</x:v>
      </x:c>
      <x:c r="O421" s="22" t="n">
        <x:f>IFERROR('5000rpm'!AS38,"")</x:f>
        <x:v>0.07965466316745667</x:v>
      </x:c>
      <x:c r="P421" s="22" t="n">
        <x:f>IF(OR(NOT(AND(ISNUMBER(D421),ISNUMBER(E421),ISNUMBER(G421),ISNUMBER(H421))),OR(F421&lt;J421,F421&gt;K421)),"",IF(N421=L421,M421,M421+(F421-L421)*(O421-M421)/(N421-L421)))</x:f>
        <x:v>0.08138989863392145</x:v>
      </x:c>
      <x:c r="Q421" s="22" t="n">
        <x:f>IF(AND(ISNUMBER(I421),ISNUMBER(P421)),I421-P421,"")</x:f>
        <x:v>-0.002594777609185764</x:v>
      </x:c>
      <x:c r="R421" s="22" t="n">
        <x:f>IF(ISNUMBER(Q421),ABS(Q421),"")</x:f>
        <x:v>0.002594777609185764</x:v>
      </x:c>
      <x:c r="S421" s="36" t="n">
        <x:f>IF(AND(ISNUMBER(Q421),ISNUMBER(P421)),IF(ABS(P421)&lt;1E-12,"",Q421/P421),"")</x:f>
        <x:v>-0.031880831070409024</x:v>
      </x:c>
      <x:c r="T421" s="36" t="n">
        <x:f>IF(ISNUMBER(S421),ABS(S421),"")</x:f>
        <x:v>0.031880831070409024</x:v>
      </x:c>
      <x:c r="U421" s="37" t="n">
        <x:f>IF(ISNUMBER(Q421),Q421^2,"")</x:f>
        <x:v>0.000006732870841131789</x:v>
      </x:c>
      <x:c r="V421" s="21" t="str">
        <x:f>IF(NOT(AND(ISNUMBER(D421),ISNUMBER(E421),ISNUMBER(G421),ISNUMBER(H421))),"缺少配对",IF(OR(F421&lt;J421,F421&gt;K421),"超出理论J范围","有效"))</x:f>
        <x:v>有效</x:v>
      </x:c>
      <x:c r="W421" s="20" t="str">
        <x:v>升力 y=0.915708x+28.7687 → C_T_prop；实验攻角 45° ↔ 理论 alpha_p_deg 45°；原升力源 5000rpm!C106/M106</x:v>
      </x:c>
      <x:c r="X421" s="20" t="str">
        <x:v>升力标定计算!M841</x:v>
      </x:c>
      <x:c r="Y421" s="20" t="str">
        <x:v>升力标定计算!M842</x:v>
      </x:c>
      <x:c r="Z421" s="20" t="str">
        <x:v>升力标定计算!N841</x:v>
      </x:c>
      <x:c r="AA421" s="20" t="str">
        <x:v>升力标定计算!N842</x:v>
      </x:c>
      <x:c r="AB421" s="20" t="str">
        <x:v>5000rpm!AT37:AS38</x:v>
      </x:c>
    </x:row>
    <x:row r="422">
      <x:c r="A422" s="21" t="n">
        <x:v>5000</x:v>
      </x:c>
      <x:c r="B422" s="21" t="n">
        <x:v>45</x:v>
      </x:c>
      <x:c r="C422" s="21" t="n">
        <x:v>22</x:v>
      </x:c>
      <x:c r="D422" s="22" t="str">
        <x:f>IFERROR('升力标定计算'!M843,"")</x:f>
      </x:c>
      <x:c r="E422" s="22" t="str">
        <x:f>IFERROR('升力标定计算'!M844,"")</x:f>
      </x:c>
      <x:c r="F422" s="22" t="str">
        <x:f>IF(AND(ISNUMBER(D422),ISNUMBER(E422)),AVERAGE(D422,E422),"")</x:f>
      </x:c>
      <x:c r="G422" s="22" t="str">
        <x:f>IFERROR('升力标定计算'!N843,"")</x:f>
      </x:c>
      <x:c r="H422" s="22" t="str">
        <x:f>IFERROR('升力标定计算'!N844,"")</x:f>
      </x:c>
      <x:c r="I422" s="22" t="str">
        <x:f>IF(AND(ISNUMBER(G422),ISNUMBER(H422)),AVERAGE(G422,H422),"")</x:f>
      </x:c>
      <x:c r="J422" s="22" t="n">
        <x:f>IFERROR('5000rpm'!AT36,"")</x:f>
        <x:v>0</x:v>
      </x:c>
      <x:c r="K422" s="22" t="n">
        <x:f>IFERROR('5000rpm'!AT46,"")</x:f>
        <x:v>0.26692913385826766</x:v>
      </x:c>
      <x:c r="L422" s="22" t="n">
        <x:f>IFERROR('5000rpm'!AT36,"")</x:f>
        <x:v>0</x:v>
      </x:c>
      <x:c r="M422" s="22" t="n">
        <x:f>IFERROR('5000rpm'!AS36,"")</x:f>
        <x:v>0.0836476206119306</x:v>
      </x:c>
      <x:c r="N422" s="22" t="n">
        <x:f>IFERROR('5000rpm'!AT46,"")</x:f>
        <x:v>0.26692913385826766</x:v>
      </x:c>
      <x:c r="O422" s="22" t="n">
        <x:f>IFERROR('5000rpm'!AS46,"")</x:f>
        <x:v>0.06278465252768957</x:v>
      </x:c>
      <x:c r="P422" s="22" t="str">
        <x:f>IF(OR(NOT(AND(ISNUMBER(D422),ISNUMBER(E422),ISNUMBER(G422),ISNUMBER(H422))),OR(F422&lt;J422,F422&gt;K422)),"",IF(N422=L422,M422,M422+(F422-L422)*(O422-M422)/(N422-L422)))</x:f>
      </x:c>
      <x:c r="Q422" s="22" t="str">
        <x:f>IF(AND(ISNUMBER(I422),ISNUMBER(P422)),I422-P422,"")</x:f>
      </x:c>
      <x:c r="R422" s="22" t="str">
        <x:f>IF(ISNUMBER(Q422),ABS(Q422),"")</x:f>
      </x:c>
      <x:c r="S422" s="36" t="str">
        <x:f>IF(AND(ISNUMBER(Q422),ISNUMBER(P422)),IF(ABS(P422)&lt;1E-12,"",Q422/P422),"")</x:f>
      </x:c>
      <x:c r="T422" s="36" t="str">
        <x:f>IF(ISNUMBER(S422),ABS(S422),"")</x:f>
      </x:c>
      <x:c r="U422" s="37" t="str">
        <x:f>IF(ISNUMBER(Q422),Q422^2,"")</x:f>
      </x:c>
      <x:c r="V422" s="21" t="str">
        <x:f>IF(NOT(AND(ISNUMBER(D422),ISNUMBER(E422),ISNUMBER(G422),ISNUMBER(H422))),"缺少配对",IF(OR(F422&lt;J422,F422&gt;K422),"超出理论J范围","有效"))</x:f>
        <x:v>缺少配对</x:v>
      </x:c>
      <x:c r="W422" s="20" t="str">
        <x:v>升力 y=0.915708x+28.7687 → C_T_prop；实验攻角 45° ↔ 理论 alpha_p_deg 45°；原升力源 5000rpm!C107/M107</x:v>
      </x:c>
      <x:c r="X422" s="20" t="str">
        <x:v>升力标定计算!M843</x:v>
      </x:c>
      <x:c r="Y422" s="20" t="str">
        <x:v>升力标定计算!M844</x:v>
      </x:c>
      <x:c r="Z422" s="20" t="str">
        <x:v>升力标定计算!N843</x:v>
      </x:c>
      <x:c r="AA422" s="20" t="str">
        <x:v>升力标定计算!N844</x:v>
      </x:c>
      <x:c r="AB422" s="20" t="str">
        <x:v>5000rpm!AT36:AS46</x:v>
      </x:c>
    </x:row>
    <x:row r="423">
      <x:c r="A423" s="21" t="n">
        <x:v>5000</x:v>
      </x:c>
      <x:c r="B423" s="21" t="n">
        <x:v>60</x:v>
      </x:c>
      <x:c r="C423" s="21" t="n">
        <x:v>1</x:v>
      </x:c>
      <x:c r="D423" s="22" t="str">
        <x:f>IFERROR('升力标定计算'!M845,"")</x:f>
      </x:c>
      <x:c r="E423" s="22" t="str">
        <x:f>IFERROR('升力标定计算'!M846,"")</x:f>
      </x:c>
      <x:c r="F423" s="22" t="str">
        <x:f>IF(AND(ISNUMBER(D423),ISNUMBER(E423)),AVERAGE(D423,E423),"")</x:f>
      </x:c>
      <x:c r="G423" s="22" t="str">
        <x:f>IFERROR('升力标定计算'!N845,"")</x:f>
      </x:c>
      <x:c r="H423" s="22" t="str">
        <x:f>IFERROR('升力标定计算'!N846,"")</x:f>
      </x:c>
      <x:c r="I423" s="22" t="str">
        <x:f>IF(AND(ISNUMBER(G423),ISNUMBER(H423)),AVERAGE(G423,H423),"")</x:f>
      </x:c>
      <x:c r="J423" s="22" t="n">
        <x:f>IFERROR('5000rpm'!AT25,"")</x:f>
        <x:v>0</x:v>
      </x:c>
      <x:c r="K423" s="22" t="n">
        <x:f>IFERROR('5000rpm'!AT35,"")</x:f>
        <x:v>0.26692913385826766</x:v>
      </x:c>
      <x:c r="L423" s="22" t="n">
        <x:f>IFERROR('5000rpm'!AT25,"")</x:f>
        <x:v>0</x:v>
      </x:c>
      <x:c r="M423" s="22" t="n">
        <x:f>IFERROR('5000rpm'!AS25,"")</x:f>
        <x:v>0.0836476206119306</x:v>
      </x:c>
      <x:c r="N423" s="22" t="n">
        <x:f>IFERROR('5000rpm'!AT35,"")</x:f>
        <x:v>0.26692913385826766</x:v>
      </x:c>
      <x:c r="O423" s="22" t="n">
        <x:f>IFERROR('5000rpm'!AS35,"")</x:f>
        <x:v>0.05354137500489469</x:v>
      </x:c>
      <x:c r="P423" s="22" t="str">
        <x:f>IF(OR(NOT(AND(ISNUMBER(D423),ISNUMBER(E423),ISNUMBER(G423),ISNUMBER(H423))),OR(F423&lt;J423,F423&gt;K423)),"",IF(N423=L423,M423,M423+(F423-L423)*(O423-M423)/(N423-L423)))</x:f>
      </x:c>
      <x:c r="Q423" s="22" t="str">
        <x:f>IF(AND(ISNUMBER(I423),ISNUMBER(P423)),I423-P423,"")</x:f>
      </x:c>
      <x:c r="R423" s="22" t="str">
        <x:f>IF(ISNUMBER(Q423),ABS(Q423),"")</x:f>
      </x:c>
      <x:c r="S423" s="36" t="str">
        <x:f>IF(AND(ISNUMBER(Q423),ISNUMBER(P423)),IF(ABS(P423)&lt;1E-12,"",Q423/P423),"")</x:f>
      </x:c>
      <x:c r="T423" s="36" t="str">
        <x:f>IF(ISNUMBER(S423),ABS(S423),"")</x:f>
      </x:c>
      <x:c r="U423" s="37" t="str">
        <x:f>IF(ISNUMBER(Q423),Q423^2,"")</x:f>
      </x:c>
      <x:c r="V423" s="21" t="str">
        <x:f>IF(NOT(AND(ISNUMBER(D423),ISNUMBER(E423),ISNUMBER(G423),ISNUMBER(H423))),"缺少配对",IF(OR(F423&lt;J423,F423&gt;K423),"超出理论J范围","有效"))</x:f>
        <x:v>缺少配对</x:v>
      </x:c>
      <x:c r="W423" s="20" t="str">
        <x:v>升力 y=0.915708x+28.7687 → C_T_prop；实验攻角 60° ↔ 理论 alpha_p_deg 30°；原升力源 5000rpm!D113/O113</x:v>
      </x:c>
      <x:c r="X423" s="20" t="str">
        <x:v>升力标定计算!M845</x:v>
      </x:c>
      <x:c r="Y423" s="20" t="str">
        <x:v>升力标定计算!M846</x:v>
      </x:c>
      <x:c r="Z423" s="20" t="str">
        <x:v>升力标定计算!N845</x:v>
      </x:c>
      <x:c r="AA423" s="20" t="str">
        <x:v>升力标定计算!N846</x:v>
      </x:c>
      <x:c r="AB423" s="20" t="str">
        <x:v>5000rpm!AT25:AS35</x:v>
      </x:c>
    </x:row>
    <x:row r="424">
      <x:c r="A424" s="21" t="n">
        <x:v>5000</x:v>
      </x:c>
      <x:c r="B424" s="21" t="n">
        <x:v>60</x:v>
      </x:c>
      <x:c r="C424" s="21" t="n">
        <x:v>2</x:v>
      </x:c>
      <x:c r="D424" s="22" t="n">
        <x:f>IFERROR('升力标定计算'!M847,"")</x:f>
        <x:v>0.0064728311798693825</x:v>
      </x:c>
      <x:c r="E424" s="22" t="n">
        <x:f>IFERROR('升力标定计算'!M848,"")</x:f>
        <x:v>0.008151270807734493</x:v>
      </x:c>
      <x:c r="F424" s="22" t="n">
        <x:f>IF(AND(ISNUMBER(D424),ISNUMBER(E424)),AVERAGE(D424,E424),"")</x:f>
        <x:v>0.007312050993801937</x:v>
      </x:c>
      <x:c r="G424" s="22" t="n">
        <x:f>IFERROR('升力标定计算'!N847,"")</x:f>
        <x:v>0.07650858495192571</x:v>
      </x:c>
      <x:c r="H424" s="22" t="n">
        <x:f>IFERROR('升力标定计算'!N848,"")</x:f>
        <x:v>0.07667036457534757</x:v>
      </x:c>
      <x:c r="I424" s="22" t="n">
        <x:f>IF(AND(ISNUMBER(G424),ISNUMBER(H424)),AVERAGE(G424,H424),"")</x:f>
        <x:v>0.07658947476363664</x:v>
      </x:c>
      <x:c r="J424" s="22" t="n">
        <x:f>IFERROR('5000rpm'!AT25,"")</x:f>
        <x:v>0</x:v>
      </x:c>
      <x:c r="K424" s="22" t="n">
        <x:f>IFERROR('5000rpm'!AT35,"")</x:f>
        <x:v>0.26692913385826766</x:v>
      </x:c>
      <x:c r="L424" s="22" t="n">
        <x:f>IFERROR('5000rpm'!AT25,"")</x:f>
        <x:v>0</x:v>
      </x:c>
      <x:c r="M424" s="22" t="n">
        <x:f>IFERROR('5000rpm'!AS25,"")</x:f>
        <x:v>0.0836476206119306</x:v>
      </x:c>
      <x:c r="N424" s="22" t="n">
        <x:f>IFERROR('5000rpm'!AT26,"")</x:f>
        <x:v>0.02669291338582678</x:v>
      </x:c>
      <x:c r="O424" s="22" t="n">
        <x:f>IFERROR('5000rpm'!AS26,"")</x:f>
        <x:v>0.08099064755474797</x:v>
      </x:c>
      <x:c r="P424" s="22" t="n">
        <x:f>IF(OR(NOT(AND(ISNUMBER(D424),ISNUMBER(E424),ISNUMBER(G424),ISNUMBER(H424))),OR(F424&lt;J424,F424&gt;K424)),"",IF(N424=L424,M424,M424+(F424-L424)*(O424-M424)/(N424-L424)))</x:f>
        <x:v>0.08291978988763082</x:v>
      </x:c>
      <x:c r="Q424" s="22" t="n">
        <x:f>IF(AND(ISNUMBER(I424),ISNUMBER(P424)),I424-P424,"")</x:f>
        <x:v>-0.006330315123994179</x:v>
      </x:c>
      <x:c r="R424" s="22" t="n">
        <x:f>IF(ISNUMBER(Q424),ABS(Q424),"")</x:f>
        <x:v>0.006330315123994179</x:v>
      </x:c>
      <x:c r="S424" s="36" t="n">
        <x:f>IF(AND(ISNUMBER(Q424),ISNUMBER(P424)),IF(ABS(P424)&lt;1E-12,"",Q424/P424),"")</x:f>
        <x:v>-0.07634263343615243</x:v>
      </x:c>
      <x:c r="T424" s="36" t="n">
        <x:f>IF(ISNUMBER(S424),ABS(S424),"")</x:f>
        <x:v>0.07634263343615243</x:v>
      </x:c>
      <x:c r="U424" s="37" t="n">
        <x:f>IF(ISNUMBER(Q424),Q424^2,"")</x:f>
        <x:v>0.00004007288956906944</x:v>
      </x:c>
      <x:c r="V424" s="21" t="str">
        <x:f>IF(NOT(AND(ISNUMBER(D424),ISNUMBER(E424),ISNUMBER(G424),ISNUMBER(H424))),"缺少配对",IF(OR(F424&lt;J424,F424&gt;K424),"超出理论J范围","有效"))</x:f>
        <x:v>有效</x:v>
      </x:c>
      <x:c r="W424" s="20" t="str">
        <x:v>升力 y=0.915708x+28.7687 → C_T_prop；实验攻角 60° ↔ 理论 alpha_p_deg 30°；原升力源 5000rpm!D114/O114</x:v>
      </x:c>
      <x:c r="X424" s="20" t="str">
        <x:v>升力标定计算!M847</x:v>
      </x:c>
      <x:c r="Y424" s="20" t="str">
        <x:v>升力标定计算!M848</x:v>
      </x:c>
      <x:c r="Z424" s="20" t="str">
        <x:v>升力标定计算!N847</x:v>
      </x:c>
      <x:c r="AA424" s="20" t="str">
        <x:v>升力标定计算!N848</x:v>
      </x:c>
      <x:c r="AB424" s="20" t="str">
        <x:v>5000rpm!AT25:AS26</x:v>
      </x:c>
    </x:row>
    <x:row r="425">
      <x:c r="A425" s="21" t="n">
        <x:v>5000</x:v>
      </x:c>
      <x:c r="B425" s="21" t="n">
        <x:v>60</x:v>
      </x:c>
      <x:c r="C425" s="21" t="n">
        <x:v>3</x:v>
      </x:c>
      <x:c r="D425" s="22" t="n">
        <x:f>IFERROR('升力标定计算'!M849,"")</x:f>
        <x:v>0.028803429746429462</x:v>
      </x:c>
      <x:c r="E425" s="22" t="n">
        <x:f>IFERROR('升力标定计算'!M850,"")</x:f>
        <x:v>0.027210747061536172</x:v>
      </x:c>
      <x:c r="F425" s="22" t="n">
        <x:f>IF(AND(ISNUMBER(D425),ISNUMBER(E425)),AVERAGE(D425,E425),"")</x:f>
        <x:v>0.02800708840398282</x:v>
      </x:c>
      <x:c r="G425" s="22" t="n">
        <x:f>IFERROR('升力标定计算'!N849,"")</x:f>
        <x:v>0.07652977712702452</x:v>
      </x:c>
      <x:c r="H425" s="22" t="n">
        <x:f>IFERROR('升力标定计算'!N850,"")</x:f>
        <x:v>0.07601458308081503</x:v>
      </x:c>
      <x:c r="I425" s="22" t="n">
        <x:f>IF(AND(ISNUMBER(G425),ISNUMBER(H425)),AVERAGE(G425,H425),"")</x:f>
        <x:v>0.07627218010391978</x:v>
      </x:c>
      <x:c r="J425" s="22" t="n">
        <x:f>IFERROR('5000rpm'!AT25,"")</x:f>
        <x:v>0</x:v>
      </x:c>
      <x:c r="K425" s="22" t="n">
        <x:f>IFERROR('5000rpm'!AT35,"")</x:f>
        <x:v>0.26692913385826766</x:v>
      </x:c>
      <x:c r="L425" s="22" t="n">
        <x:f>IFERROR('5000rpm'!AT26,"")</x:f>
        <x:v>0.02669291338582678</x:v>
      </x:c>
      <x:c r="M425" s="22" t="n">
        <x:f>IFERROR('5000rpm'!AS26,"")</x:f>
        <x:v>0.08099064755474797</x:v>
      </x:c>
      <x:c r="N425" s="22" t="n">
        <x:f>IFERROR('5000rpm'!AT27,"")</x:f>
        <x:v>0.05338582677165356</x:v>
      </x:c>
      <x:c r="O425" s="22" t="n">
        <x:f>IFERROR('5000rpm'!AS27,"")</x:f>
        <x:v>0.07842552538963266</x:v>
      </x:c>
      <x:c r="P425" s="22" t="n">
        <x:f>IF(OR(NOT(AND(ISNUMBER(D425),ISNUMBER(E425),ISNUMBER(G425),ISNUMBER(H425))),OR(F425&lt;J425,F425&gt;K425)),"",IF(N425=L425,M425,M425+(F425-L425)*(O425-M425)/(N425-L425)))</x:f>
        <x:v>0.0808643586248291</x:v>
      </x:c>
      <x:c r="Q425" s="22" t="n">
        <x:f>IF(AND(ISNUMBER(I425),ISNUMBER(P425)),I425-P425,"")</x:f>
        <x:v>-0.004592178520909318</x:v>
      </x:c>
      <x:c r="R425" s="22" t="n">
        <x:f>IF(ISNUMBER(Q425),ABS(Q425),"")</x:f>
        <x:v>0.004592178520909318</x:v>
      </x:c>
      <x:c r="S425" s="36" t="n">
        <x:f>IF(AND(ISNUMBER(Q425),ISNUMBER(P425)),IF(ABS(P425)&lt;1E-12,"",Q425/P425),"")</x:f>
        <x:v>-0.05678865941687326</x:v>
      </x:c>
      <x:c r="T425" s="36" t="n">
        <x:f>IF(ISNUMBER(S425),ABS(S425),"")</x:f>
        <x:v>0.05678865941687326</x:v>
      </x:c>
      <x:c r="U425" s="37" t="n">
        <x:f>IF(ISNUMBER(Q425),Q425^2,"")</x:f>
        <x:v>0.00002108810356790089</x:v>
      </x:c>
      <x:c r="V425" s="21" t="str">
        <x:f>IF(NOT(AND(ISNUMBER(D425),ISNUMBER(E425),ISNUMBER(G425),ISNUMBER(H425))),"缺少配对",IF(OR(F425&lt;J425,F425&gt;K425),"超出理论J范围","有效"))</x:f>
        <x:v>有效</x:v>
      </x:c>
      <x:c r="W425" s="20" t="str">
        <x:v>升力 y=0.915708x+28.7687 → C_T_prop；实验攻角 60° ↔ 理论 alpha_p_deg 30°；原升力源 5000rpm!D115/O115</x:v>
      </x:c>
      <x:c r="X425" s="20" t="str">
        <x:v>升力标定计算!M849</x:v>
      </x:c>
      <x:c r="Y425" s="20" t="str">
        <x:v>升力标定计算!M850</x:v>
      </x:c>
      <x:c r="Z425" s="20" t="str">
        <x:v>升力标定计算!N849</x:v>
      </x:c>
      <x:c r="AA425" s="20" t="str">
        <x:v>升力标定计算!N850</x:v>
      </x:c>
      <x:c r="AB425" s="20" t="str">
        <x:v>5000rpm!AT26:AS27</x:v>
      </x:c>
    </x:row>
    <x:row r="426">
      <x:c r="A426" s="21" t="n">
        <x:v>5000</x:v>
      </x:c>
      <x:c r="B426" s="21" t="n">
        <x:v>60</x:v>
      </x:c>
      <x:c r="C426" s="21" t="n">
        <x:v>4</x:v>
      </x:c>
      <x:c r="D426" s="22" t="n">
        <x:f>IFERROR('升力标定计算'!M851,"")</x:f>
        <x:v>0.05502611141108017</x:v>
      </x:c>
      <x:c r="E426" s="22" t="n">
        <x:f>IFERROR('升力标定计算'!M852,"")</x:f>
        <x:v>0.054949712159728784</x:v>
      </x:c>
      <x:c r="F426" s="22" t="n">
        <x:f>IF(AND(ISNUMBER(D426),ISNUMBER(E426)),AVERAGE(D426,E426),"")</x:f>
        <x:v>0.05498791178540448</x:v>
      </x:c>
      <x:c r="G426" s="22" t="n">
        <x:f>IFERROR('升力标定计算'!N851,"")</x:f>
        <x:v>0.07327977180209055</x:v>
      </x:c>
      <x:c r="H426" s="22" t="n">
        <x:f>IFERROR('升力标定计算'!N852,"")</x:f>
        <x:v>0.07393956866495072</x:v>
      </x:c>
      <x:c r="I426" s="22" t="n">
        <x:f>IF(AND(ISNUMBER(G426),ISNUMBER(H426)),AVERAGE(G426,H426),"")</x:f>
        <x:v>0.07360967023352064</x:v>
      </x:c>
      <x:c r="J426" s="22" t="n">
        <x:f>IFERROR('5000rpm'!AT25,"")</x:f>
        <x:v>0</x:v>
      </x:c>
      <x:c r="K426" s="22" t="n">
        <x:f>IFERROR('5000rpm'!AT35,"")</x:f>
        <x:v>0.26692913385826766</x:v>
      </x:c>
      <x:c r="L426" s="22" t="n">
        <x:f>IFERROR('5000rpm'!AT27,"")</x:f>
        <x:v>0.05338582677165356</x:v>
      </x:c>
      <x:c r="M426" s="22" t="n">
        <x:f>IFERROR('5000rpm'!AS27,"")</x:f>
        <x:v>0.07842552538963266</x:v>
      </x:c>
      <x:c r="N426" s="22" t="n">
        <x:f>IFERROR('5000rpm'!AT28,"")</x:f>
        <x:v>0.08007874015748032</x:v>
      </x:c>
      <x:c r="O426" s="22" t="n">
        <x:f>IFERROR('5000rpm'!AS28,"")</x:f>
        <x:v>0.0757845750554204</x:v>
      </x:c>
      <x:c r="P426" s="22" t="n">
        <x:f>IF(OR(NOT(AND(ISNUMBER(D426),ISNUMBER(E426),ISNUMBER(G426),ISNUMBER(H426))),OR(F426&lt;J426,F426&gt;K426)),"",IF(N426=L426,M426,M426+(F426-L426)*(O426-M426)/(N426-L426)))</x:f>
        <x:v>0.07826701789023215</x:v>
      </x:c>
      <x:c r="Q426" s="22" t="n">
        <x:f>IF(AND(ISNUMBER(I426),ISNUMBER(P426)),I426-P426,"")</x:f>
        <x:v>-0.004657347656711511</x:v>
      </x:c>
      <x:c r="R426" s="22" t="n">
        <x:f>IF(ISNUMBER(Q426),ABS(Q426),"")</x:f>
        <x:v>0.004657347656711511</x:v>
      </x:c>
      <x:c r="S426" s="36" t="n">
        <x:f>IF(AND(ISNUMBER(Q426),ISNUMBER(P426)),IF(ABS(P426)&lt;1E-12,"",Q426/P426),"")</x:f>
        <x:v>-0.05950587849460859</x:v>
      </x:c>
      <x:c r="T426" s="36" t="n">
        <x:f>IF(ISNUMBER(S426),ABS(S426),"")</x:f>
        <x:v>0.05950587849460859</x:v>
      </x:c>
      <x:c r="U426" s="37" t="n">
        <x:f>IF(ISNUMBER(Q426),Q426^2,"")</x:f>
        <x:v>0.0000216908871954762</x:v>
      </x:c>
      <x:c r="V426" s="21" t="str">
        <x:f>IF(NOT(AND(ISNUMBER(D426),ISNUMBER(E426),ISNUMBER(G426),ISNUMBER(H426))),"缺少配对",IF(OR(F426&lt;J426,F426&gt;K426),"超出理论J范围","有效"))</x:f>
        <x:v>有效</x:v>
      </x:c>
      <x:c r="W426" s="20" t="str">
        <x:v>升力 y=0.915708x+28.7687 → C_T_prop；实验攻角 60° ↔ 理论 alpha_p_deg 30°；原升力源 5000rpm!D116/O116</x:v>
      </x:c>
      <x:c r="X426" s="20" t="str">
        <x:v>升力标定计算!M851</x:v>
      </x:c>
      <x:c r="Y426" s="20" t="str">
        <x:v>升力标定计算!M852</x:v>
      </x:c>
      <x:c r="Z426" s="20" t="str">
        <x:v>升力标定计算!N851</x:v>
      </x:c>
      <x:c r="AA426" s="20" t="str">
        <x:v>升力标定计算!N852</x:v>
      </x:c>
      <x:c r="AB426" s="20" t="str">
        <x:v>5000rpm!AT27:AS28</x:v>
      </x:c>
    </x:row>
    <x:row r="427">
      <x:c r="A427" s="21" t="n">
        <x:v>5000</x:v>
      </x:c>
      <x:c r="B427" s="21" t="n">
        <x:v>60</x:v>
      </x:c>
      <x:c r="C427" s="21" t="n">
        <x:v>5</x:v>
      </x:c>
      <x:c r="D427" s="22" t="n">
        <x:f>IFERROR('升力标定计算'!M853,"")</x:f>
        <x:v>0.08300076386502919</x:v>
      </x:c>
      <x:c r="E427" s="22" t="n">
        <x:f>IFERROR('升力标定计算'!M854,"")</x:f>
        <x:v>0.08243048004695437</x:v>
      </x:c>
      <x:c r="F427" s="22" t="n">
        <x:f>IF(AND(ISNUMBER(D427),ISNUMBER(E427)),AVERAGE(D427,E427),"")</x:f>
        <x:v>0.08271562195599177</x:v>
      </x:c>
      <x:c r="G427" s="22" t="n">
        <x:f>IFERROR('升力标定计算'!N853,"")</x:f>
        <x:v>0.07151108425964066</x:v>
      </x:c>
      <x:c r="H427" s="22" t="n">
        <x:f>IFERROR('升力标定计算'!N854,"")</x:f>
        <x:v>0.07228497971391144</x:v>
      </x:c>
      <x:c r="I427" s="22" t="n">
        <x:f>IF(AND(ISNUMBER(G427),ISNUMBER(H427)),AVERAGE(G427,H427),"")</x:f>
        <x:v>0.07189803198677605</x:v>
      </x:c>
      <x:c r="J427" s="22" t="n">
        <x:f>IFERROR('5000rpm'!AT25,"")</x:f>
        <x:v>0</x:v>
      </x:c>
      <x:c r="K427" s="22" t="n">
        <x:f>IFERROR('5000rpm'!AT35,"")</x:f>
        <x:v>0.26692913385826766</x:v>
      </x:c>
      <x:c r="L427" s="22" t="n">
        <x:f>IFERROR('5000rpm'!AT28,"")</x:f>
        <x:v>0.08007874015748032</x:v>
      </x:c>
      <x:c r="M427" s="22" t="n">
        <x:f>IFERROR('5000rpm'!AS28,"")</x:f>
        <x:v>0.0757845750554204</x:v>
      </x:c>
      <x:c r="N427" s="22" t="n">
        <x:f>IFERROR('5000rpm'!AT29,"")</x:f>
        <x:v>0.10677165354330712</x:v>
      </x:c>
      <x:c r="O427" s="22" t="n">
        <x:f>IFERROR('5000rpm'!AS29,"")</x:f>
        <x:v>0.07303618454216375</x:v>
      </x:c>
      <x:c r="P427" s="22" t="n">
        <x:f>IF(OR(NOT(AND(ISNUMBER(D427),ISNUMBER(E427),ISNUMBER(G427),ISNUMBER(H427))),OR(F427&lt;J427,F427&gt;K427)),"",IF(N427=L427,M427,M427+(F427-L427)*(O427-M427)/(N427-L427)))</x:f>
        <x:v>0.07551307299737019</x:v>
      </x:c>
      <x:c r="Q427" s="22" t="n">
        <x:f>IF(AND(ISNUMBER(I427),ISNUMBER(P427)),I427-P427,"")</x:f>
        <x:v>-0.003615041010594136</x:v>
      </x:c>
      <x:c r="R427" s="22" t="n">
        <x:f>IF(ISNUMBER(Q427),ABS(Q427),"")</x:f>
        <x:v>0.003615041010594136</x:v>
      </x:c>
      <x:c r="S427" s="36" t="n">
        <x:f>IF(AND(ISNUMBER(Q427),ISNUMBER(P427)),IF(ABS(P427)&lt;1E-12,"",Q427/P427),"")</x:f>
        <x:v>-0.047873048561009206</x:v>
      </x:c>
      <x:c r="T427" s="36" t="n">
        <x:f>IF(ISNUMBER(S427),ABS(S427),"")</x:f>
        <x:v>0.047873048561009206</x:v>
      </x:c>
      <x:c r="U427" s="37" t="n">
        <x:f>IF(ISNUMBER(Q427),Q427^2,"")</x:f>
        <x:v>0.000013068521508277473</x:v>
      </x:c>
      <x:c r="V427" s="21" t="str">
        <x:f>IF(NOT(AND(ISNUMBER(D427),ISNUMBER(E427),ISNUMBER(G427),ISNUMBER(H427))),"缺少配对",IF(OR(F427&lt;J427,F427&gt;K427),"超出理论J范围","有效"))</x:f>
        <x:v>有效</x:v>
      </x:c>
      <x:c r="W427" s="20" t="str">
        <x:v>升力 y=0.915708x+28.7687 → C_T_prop；实验攻角 60° ↔ 理论 alpha_p_deg 30°；原升力源 5000rpm!D117/O117</x:v>
      </x:c>
      <x:c r="X427" s="20" t="str">
        <x:v>升力标定计算!M853</x:v>
      </x:c>
      <x:c r="Y427" s="20" t="str">
        <x:v>升力标定计算!M854</x:v>
      </x:c>
      <x:c r="Z427" s="20" t="str">
        <x:v>升力标定计算!N853</x:v>
      </x:c>
      <x:c r="AA427" s="20" t="str">
        <x:v>升力标定计算!N854</x:v>
      </x:c>
      <x:c r="AB427" s="20" t="str">
        <x:v>5000rpm!AT28:AS29</x:v>
      </x:c>
    </x:row>
    <x:row r="428">
      <x:c r="A428" s="21" t="n">
        <x:v>5000</x:v>
      </x:c>
      <x:c r="B428" s="21" t="n">
        <x:v>60</x:v>
      </x:c>
      <x:c r="C428" s="21" t="n">
        <x:v>6</x:v>
      </x:c>
      <x:c r="D428" s="22" t="n">
        <x:f>IFERROR('升力标定计算'!M855,"")</x:f>
        <x:v>0.11398253965145112</x:v>
      </x:c>
      <x:c r="E428" s="22" t="n">
        <x:f>IFERROR('升力标定计算'!M856,"")</x:f>
        <x:v>0.1124592408958284</x:v>
      </x:c>
      <x:c r="F428" s="22" t="n">
        <x:f>IF(AND(ISNUMBER(D428),ISNUMBER(E428)),AVERAGE(D428,E428),"")</x:f>
        <x:v>0.11322089027363977</x:v>
      </x:c>
      <x:c r="G428" s="22" t="n">
        <x:f>IFERROR('升力标定计算'!N855,"")</x:f>
        <x:v>0.06968501809373917</x:v>
      </x:c>
      <x:c r="H428" s="22" t="n">
        <x:f>IFERROR('升力标定计算'!N856,"")</x:f>
        <x:v>0.06930661315270423</x:v>
      </x:c>
      <x:c r="I428" s="22" t="n">
        <x:f>IF(AND(ISNUMBER(G428),ISNUMBER(H428)),AVERAGE(G428,H428),"")</x:f>
        <x:v>0.0694958156232217</x:v>
      </x:c>
      <x:c r="J428" s="22" t="n">
        <x:f>IFERROR('5000rpm'!AT25,"")</x:f>
        <x:v>0</x:v>
      </x:c>
      <x:c r="K428" s="22" t="n">
        <x:f>IFERROR('5000rpm'!AT35,"")</x:f>
        <x:v>0.26692913385826766</x:v>
      </x:c>
      <x:c r="L428" s="22" t="n">
        <x:f>IFERROR('5000rpm'!AT29,"")</x:f>
        <x:v>0.10677165354330712</x:v>
      </x:c>
      <x:c r="M428" s="22" t="n">
        <x:f>IFERROR('5000rpm'!AS29,"")</x:f>
        <x:v>0.07303618454216375</x:v>
      </x:c>
      <x:c r="N428" s="22" t="n">
        <x:f>IFERROR('5000rpm'!AT30,"")</x:f>
        <x:v>0.13346456692913383</x:v>
      </x:c>
      <x:c r="O428" s="22" t="n">
        <x:f>IFERROR('5000rpm'!AS30,"")</x:f>
        <x:v>0.07016585094363773</x:v>
      </x:c>
      <x:c r="P428" s="22" t="n">
        <x:f>IF(OR(NOT(AND(ISNUMBER(D428),ISNUMBER(E428),ISNUMBER(G428),ISNUMBER(H428))),OR(F428&lt;J428,F428&gt;K428)),"",IF(N428=L428,M428,M428+(F428-L428)*(O428-M428)/(N428-L428)))</x:f>
        <x:v>0.07234268733545753</x:v>
      </x:c>
      <x:c r="Q428" s="22" t="n">
        <x:f>IF(AND(ISNUMBER(I428),ISNUMBER(P428)),I428-P428,"")</x:f>
        <x:v>-0.0028468717122358267</x:v>
      </x:c>
      <x:c r="R428" s="22" t="n">
        <x:f>IF(ISNUMBER(Q428),ABS(Q428),"")</x:f>
        <x:v>0.0028468717122358267</x:v>
      </x:c>
      <x:c r="S428" s="36" t="n">
        <x:f>IF(AND(ISNUMBER(Q428),ISNUMBER(P428)),IF(ABS(P428)&lt;1E-12,"",Q428/P428),"")</x:f>
        <x:v>-0.03935258444346567</x:v>
      </x:c>
      <x:c r="T428" s="36" t="n">
        <x:f>IF(ISNUMBER(S428),ABS(S428),"")</x:f>
        <x:v>0.03935258444346567</x:v>
      </x:c>
      <x:c r="U428" s="37" t="n">
        <x:f>IF(ISNUMBER(Q428),Q428^2,"")</x:f>
        <x:v>0.000008104678545928547</x:v>
      </x:c>
      <x:c r="V428" s="21" t="str">
        <x:f>IF(NOT(AND(ISNUMBER(D428),ISNUMBER(E428),ISNUMBER(G428),ISNUMBER(H428))),"缺少配对",IF(OR(F428&lt;J428,F428&gt;K428),"超出理论J范围","有效"))</x:f>
        <x:v>有效</x:v>
      </x:c>
      <x:c r="W428" s="20" t="str">
        <x:v>升力 y=0.915708x+28.7687 → C_T_prop；实验攻角 60° ↔ 理论 alpha_p_deg 30°；原升力源 5000rpm!D118/O118</x:v>
      </x:c>
      <x:c r="X428" s="20" t="str">
        <x:v>升力标定计算!M855</x:v>
      </x:c>
      <x:c r="Y428" s="20" t="str">
        <x:v>升力标定计算!M856</x:v>
      </x:c>
      <x:c r="Z428" s="20" t="str">
        <x:v>升力标定计算!N855</x:v>
      </x:c>
      <x:c r="AA428" s="20" t="str">
        <x:v>升力标定计算!N856</x:v>
      </x:c>
      <x:c r="AB428" s="20" t="str">
        <x:v>5000rpm!AT29:AS30</x:v>
      </x:c>
    </x:row>
    <x:row r="429">
      <x:c r="A429" s="21" t="n">
        <x:v>5000</x:v>
      </x:c>
      <x:c r="B429" s="21" t="n">
        <x:v>60</x:v>
      </x:c>
      <x:c r="C429" s="21" t="n">
        <x:v>7</x:v>
      </x:c>
      <x:c r="D429" s="22" t="n">
        <x:f>IFERROR('升力标定计算'!M857,"")</x:f>
        <x:v>0.13841751373988226</x:v>
      </x:c>
      <x:c r="E429" s="22" t="n">
        <x:f>IFERROR('升力标定计算'!M858,"")</x:f>
        <x:v>0.1365103579904783</x:v>
      </x:c>
      <x:c r="F429" s="22" t="n">
        <x:f>IF(AND(ISNUMBER(D429),ISNUMBER(E429)),AVERAGE(D429,E429),"")</x:f>
        <x:v>0.1374639358651803</x:v>
      </x:c>
      <x:c r="G429" s="22" t="n">
        <x:f>IFERROR('升力标定计算'!N857,"")</x:f>
        <x:v>0.06655085955544035</x:v>
      </x:c>
      <x:c r="H429" s="22" t="n">
        <x:f>IFERROR('升力标定计算'!N858,"")</x:f>
        <x:v>0.06601074637864714</x:v>
      </x:c>
      <x:c r="I429" s="22" t="n">
        <x:f>IF(AND(ISNUMBER(G429),ISNUMBER(H429)),AVERAGE(G429,H429),"")</x:f>
        <x:v>0.06628080296704375</x:v>
      </x:c>
      <x:c r="J429" s="22" t="n">
        <x:f>IFERROR('5000rpm'!AT25,"")</x:f>
        <x:v>0</x:v>
      </x:c>
      <x:c r="K429" s="22" t="n">
        <x:f>IFERROR('5000rpm'!AT35,"")</x:f>
        <x:v>0.26692913385826766</x:v>
      </x:c>
      <x:c r="L429" s="22" t="n">
        <x:f>IFERROR('5000rpm'!AT30,"")</x:f>
        <x:v>0.13346456692913383</x:v>
      </x:c>
      <x:c r="M429" s="22" t="n">
        <x:f>IFERROR('5000rpm'!AS30,"")</x:f>
        <x:v>0.07016585094363773</x:v>
      </x:c>
      <x:c r="N429" s="22" t="n">
        <x:f>IFERROR('5000rpm'!AT31,"")</x:f>
        <x:v>0.16015748031496063</x:v>
      </x:c>
      <x:c r="O429" s="22" t="n">
        <x:f>IFERROR('5000rpm'!AS31,"")</x:f>
        <x:v>0.0671558351819727</x:v>
      </x:c>
      <x:c r="P429" s="22" t="n">
        <x:f>IF(OR(NOT(AND(ISNUMBER(D429),ISNUMBER(E429),ISNUMBER(G429),ISNUMBER(H429))),OR(F429&lt;J429,F429&gt;K429)),"",IF(N429=L429,M429,M429+(F429-L429)*(O429-M429)/(N429-L429)))</x:f>
        <x:v>0.0697148636961908</x:v>
      </x:c>
      <x:c r="Q429" s="22" t="n">
        <x:f>IF(AND(ISNUMBER(I429),ISNUMBER(P429)),I429-P429,"")</x:f>
        <x:v>-0.003434060729147051</x:v>
      </x:c>
      <x:c r="R429" s="22" t="n">
        <x:f>IF(ISNUMBER(Q429),ABS(Q429),"")</x:f>
        <x:v>0.003434060729147051</x:v>
      </x:c>
      <x:c r="S429" s="36" t="n">
        <x:f>IF(AND(ISNUMBER(Q429),ISNUMBER(P429)),IF(ABS(P429)&lt;1E-12,"",Q429/P429),"")</x:f>
        <x:v>-0.04925865944617327</x:v>
      </x:c>
      <x:c r="T429" s="36" t="n">
        <x:f>IF(ISNUMBER(S429),ABS(S429),"")</x:f>
        <x:v>0.04925865944617327</x:v>
      </x:c>
      <x:c r="U429" s="37" t="n">
        <x:f>IF(ISNUMBER(Q429),Q429^2,"")</x:f>
        <x:v>0.000011792773091469976</x:v>
      </x:c>
      <x:c r="V429" s="21" t="str">
        <x:f>IF(NOT(AND(ISNUMBER(D429),ISNUMBER(E429),ISNUMBER(G429),ISNUMBER(H429))),"缺少配对",IF(OR(F429&lt;J429,F429&gt;K429),"超出理论J范围","有效"))</x:f>
        <x:v>有效</x:v>
      </x:c>
      <x:c r="W429" s="20" t="str">
        <x:v>升力 y=0.915708x+28.7687 → C_T_prop；实验攻角 60° ↔ 理论 alpha_p_deg 30°；原升力源 5000rpm!D119/O119</x:v>
      </x:c>
      <x:c r="X429" s="20" t="str">
        <x:v>升力标定计算!M857</x:v>
      </x:c>
      <x:c r="Y429" s="20" t="str">
        <x:v>升力标定计算!M858</x:v>
      </x:c>
      <x:c r="Z429" s="20" t="str">
        <x:v>升力标定计算!N857</x:v>
      </x:c>
      <x:c r="AA429" s="20" t="str">
        <x:v>升力标定计算!N858</x:v>
      </x:c>
      <x:c r="AB429" s="20" t="str">
        <x:v>5000rpm!AT30:AS31</x:v>
      </x:c>
    </x:row>
    <x:row r="430">
      <x:c r="A430" s="21" t="n">
        <x:v>5000</x:v>
      </x:c>
      <x:c r="B430" s="21" t="n">
        <x:v>60</x:v>
      </x:c>
      <x:c r="C430" s="21" t="n">
        <x:v>8</x:v>
      </x:c>
      <x:c r="D430" s="22" t="n">
        <x:f>IFERROR('升力标定计算'!M859,"")</x:f>
        <x:v>0.1661191697837205</x:v>
      </x:c>
      <x:c r="E430" s="22" t="n">
        <x:f>IFERROR('升力标定计算'!M860,"")</x:f>
        <x:v>0.16567521054800205</x:v>
      </x:c>
      <x:c r="F430" s="22" t="n">
        <x:f>IF(AND(ISNUMBER(D430),ISNUMBER(E430)),AVERAGE(D430,E430),"")</x:f>
        <x:v>0.16589719016586127</x:v>
      </x:c>
      <x:c r="G430" s="22" t="n">
        <x:f>IFERROR('升力标定计算'!N859,"")</x:f>
        <x:v>0.0631136941419947</x:v>
      </x:c>
      <x:c r="H430" s="22" t="n">
        <x:f>IFERROR('升力标定计算'!N860,"")</x:f>
        <x:v>0.06235231422205648</x:v>
      </x:c>
      <x:c r="I430" s="22" t="n">
        <x:f>IF(AND(ISNUMBER(G430),ISNUMBER(H430)),AVERAGE(G430,H430),"")</x:f>
        <x:v>0.0627330041820256</x:v>
      </x:c>
      <x:c r="J430" s="22" t="n">
        <x:f>IFERROR('5000rpm'!AT25,"")</x:f>
        <x:v>0</x:v>
      </x:c>
      <x:c r="K430" s="22" t="n">
        <x:f>IFERROR('5000rpm'!AT35,"")</x:f>
        <x:v>0.26692913385826766</x:v>
      </x:c>
      <x:c r="L430" s="22" t="n">
        <x:f>IFERROR('5000rpm'!AT31,"")</x:f>
        <x:v>0.16015748031496063</x:v>
      </x:c>
      <x:c r="M430" s="22" t="n">
        <x:f>IFERROR('5000rpm'!AS31,"")</x:f>
        <x:v>0.0671558351819727</x:v>
      </x:c>
      <x:c r="N430" s="22" t="n">
        <x:f>IFERROR('5000rpm'!AT32,"")</x:f>
        <x:v>0.18685039370078743</x:v>
      </x:c>
      <x:c r="O430" s="22" t="n">
        <x:f>IFERROR('5000rpm'!AS32,"")</x:f>
        <x:v>0.06399561935962678</x:v>
      </x:c>
      <x:c r="P430" s="22" t="n">
        <x:f>IF(OR(NOT(AND(ISNUMBER(D430),ISNUMBER(E430),ISNUMBER(G430),ISNUMBER(H430))),OR(F430&lt;J430,F430&gt;K430)),"",IF(N430=L430,M430,M430+(F430-L430)*(O430-M430)/(N430-L430)))</x:f>
        <x:v>0.06647630194315726</x:v>
      </x:c>
      <x:c r="Q430" s="22" t="n">
        <x:f>IF(AND(ISNUMBER(I430),ISNUMBER(P430)),I430-P430,"")</x:f>
        <x:v>-0.0037432977611316642</x:v>
      </x:c>
      <x:c r="R430" s="22" t="n">
        <x:f>IF(ISNUMBER(Q430),ABS(Q430),"")</x:f>
        <x:v>0.0037432977611316642</x:v>
      </x:c>
      <x:c r="S430" s="36" t="n">
        <x:f>IF(AND(ISNUMBER(Q430),ISNUMBER(P430)),IF(ABS(P430)&lt;1E-12,"",Q430/P430),"")</x:f>
        <x:v>-0.05631025871945304</x:v>
      </x:c>
      <x:c r="T430" s="36" t="n">
        <x:f>IF(ISNUMBER(S430),ABS(S430),"")</x:f>
        <x:v>0.05631025871945304</x:v>
      </x:c>
      <x:c r="U430" s="37" t="n">
        <x:f>IF(ISNUMBER(Q430),Q430^2,"")</x:f>
        <x:v>0.00001401227812849333</x:v>
      </x:c>
      <x:c r="V430" s="21" t="str">
        <x:f>IF(NOT(AND(ISNUMBER(D430),ISNUMBER(E430),ISNUMBER(G430),ISNUMBER(H430))),"缺少配对",IF(OR(F430&lt;J430,F430&gt;K430),"超出理论J范围","有效"))</x:f>
        <x:v>有效</x:v>
      </x:c>
      <x:c r="W430" s="20" t="str">
        <x:v>升力 y=0.915708x+28.7687 → C_T_prop；实验攻角 60° ↔ 理论 alpha_p_deg 30°；原升力源 5000rpm!D120/O120</x:v>
      </x:c>
      <x:c r="X430" s="20" t="str">
        <x:v>升力标定计算!M859</x:v>
      </x:c>
      <x:c r="Y430" s="20" t="str">
        <x:v>升力标定计算!M860</x:v>
      </x:c>
      <x:c r="Z430" s="20" t="str">
        <x:v>升力标定计算!N859</x:v>
      </x:c>
      <x:c r="AA430" s="20" t="str">
        <x:v>升力标定计算!N860</x:v>
      </x:c>
      <x:c r="AB430" s="20" t="str">
        <x:v>5000rpm!AT31:AS32</x:v>
      </x:c>
    </x:row>
    <x:row r="431">
      <x:c r="A431" s="21" t="n">
        <x:v>5000</x:v>
      </x:c>
      <x:c r="B431" s="21" t="n">
        <x:v>60</x:v>
      </x:c>
      <x:c r="C431" s="21" t="n">
        <x:v>9</x:v>
      </x:c>
      <x:c r="D431" s="22" t="n">
        <x:f>IFERROR('升力标定计算'!M861,"")</x:f>
        <x:v>0.19179837424075896</x:v>
      </x:c>
      <x:c r="E431" s="22" t="n">
        <x:f>IFERROR('升力标定计算'!M862,"")</x:f>
        <x:v>0.19102011957431198</x:v>
      </x:c>
      <x:c r="F431" s="22" t="n">
        <x:f>IF(AND(ISNUMBER(D431),ISNUMBER(E431)),AVERAGE(D431,E431),"")</x:f>
        <x:v>0.19140924690753547</x:v>
      </x:c>
      <x:c r="G431" s="22" t="n">
        <x:f>IFERROR('升力标定计算'!N861,"")</x:f>
        <x:v>0.05896572897999913</x:v>
      </x:c>
      <x:c r="H431" s="22" t="n">
        <x:f>IFERROR('升力标定计算'!N862,"")</x:f>
        <x:v>0.060764803198278435</x:v>
      </x:c>
      <x:c r="I431" s="22" t="n">
        <x:f>IF(AND(ISNUMBER(G431),ISNUMBER(H431)),AVERAGE(G431,H431),"")</x:f>
        <x:v>0.05986526608913878</x:v>
      </x:c>
      <x:c r="J431" s="22" t="n">
        <x:f>IFERROR('5000rpm'!AT25,"")</x:f>
        <x:v>0</x:v>
      </x:c>
      <x:c r="K431" s="22" t="n">
        <x:f>IFERROR('5000rpm'!AT35,"")</x:f>
        <x:v>0.26692913385826766</x:v>
      </x:c>
      <x:c r="L431" s="22" t="n">
        <x:f>IFERROR('5000rpm'!AT32,"")</x:f>
        <x:v>0.18685039370078743</x:v>
      </x:c>
      <x:c r="M431" s="22" t="n">
        <x:f>IFERROR('5000rpm'!AS32,"")</x:f>
        <x:v>0.06399561935962678</x:v>
      </x:c>
      <x:c r="N431" s="22" t="n">
        <x:f>IFERROR('5000rpm'!AT33,"")</x:f>
        <x:v>0.21354330708661423</x:v>
      </x:c>
      <x:c r="O431" s="22" t="n">
        <x:f>IFERROR('5000rpm'!AS33,"")</x:f>
        <x:v>0.0606816429168198</x:v>
      </x:c>
      <x:c r="P431" s="22" t="n">
        <x:f>IF(OR(NOT(AND(ISNUMBER(D431),ISNUMBER(E431),ISNUMBER(G431),ISNUMBER(H431))),OR(F431&lt;J431,F431&gt;K431)),"",IF(N431=L431,M431,M431+(F431-L431)*(O431-M431)/(N431-L431)))</x:f>
        <x:v>0.06342962898176867</x:v>
      </x:c>
      <x:c r="Q431" s="22" t="n">
        <x:f>IF(AND(ISNUMBER(I431),ISNUMBER(P431)),I431-P431,"")</x:f>
        <x:v>-0.003564362892629888</x:v>
      </x:c>
      <x:c r="R431" s="22" t="n">
        <x:f>IF(ISNUMBER(Q431),ABS(Q431),"")</x:f>
        <x:v>0.003564362892629888</x:v>
      </x:c>
      <x:c r="S431" s="36" t="n">
        <x:f>IF(AND(ISNUMBER(Q431),ISNUMBER(P431)),IF(ABS(P431)&lt;1E-12,"",Q431/P431),"")</x:f>
        <x:v>-0.056193973539627344</x:v>
      </x:c>
      <x:c r="T431" s="36" t="n">
        <x:f>IF(ISNUMBER(S431),ABS(S431),"")</x:f>
        <x:v>0.056193973539627344</x:v>
      </x:c>
      <x:c r="U431" s="37" t="n">
        <x:f>IF(ISNUMBER(Q431),Q431^2,"")</x:f>
        <x:v>0.000012704682830356903</x:v>
      </x:c>
      <x:c r="V431" s="21" t="str">
        <x:f>IF(NOT(AND(ISNUMBER(D431),ISNUMBER(E431),ISNUMBER(G431),ISNUMBER(H431))),"缺少配对",IF(OR(F431&lt;J431,F431&gt;K431),"超出理论J范围","有效"))</x:f>
        <x:v>有效</x:v>
      </x:c>
      <x:c r="W431" s="20" t="str">
        <x:v>升力 y=0.915708x+28.7687 → C_T_prop；实验攻角 60° ↔ 理论 alpha_p_deg 30°；原升力源 5000rpm!D121/O121</x:v>
      </x:c>
      <x:c r="X431" s="20" t="str">
        <x:v>升力标定计算!M861</x:v>
      </x:c>
      <x:c r="Y431" s="20" t="str">
        <x:v>升力标定计算!M862</x:v>
      </x:c>
      <x:c r="Z431" s="20" t="str">
        <x:v>升力标定计算!N861</x:v>
      </x:c>
      <x:c r="AA431" s="20" t="str">
        <x:v>升力标定计算!N862</x:v>
      </x:c>
      <x:c r="AB431" s="20" t="str">
        <x:v>5000rpm!AT32:AS33</x:v>
      </x:c>
    </x:row>
    <x:row r="432">
      <x:c r="A432" s="21" t="n">
        <x:v>5000</x:v>
      </x:c>
      <x:c r="B432" s="21" t="n">
        <x:v>60</x:v>
      </x:c>
      <x:c r="C432" s="21" t="n">
        <x:v>10</x:v>
      </x:c>
      <x:c r="D432" s="22" t="n">
        <x:f>IFERROR('升力标定计算'!M863,"")</x:f>
        <x:v>0.2212288175690216</x:v>
      </x:c>
      <x:c r="E432" s="22" t="n">
        <x:f>IFERROR('升力标定计算'!M864,"")</x:f>
        <x:v>0.2174958107667608</x:v>
      </x:c>
      <x:c r="F432" s="22" t="n">
        <x:f>IF(AND(ISNUMBER(D432),ISNUMBER(E432)),AVERAGE(D432,E432),"")</x:f>
        <x:v>0.2193623141678912</x:v>
      </x:c>
      <x:c r="G432" s="22" t="n">
        <x:f>IFERROR('升力标定计算'!N863,"")</x:f>
        <x:v>0.055485996553385306</x:v>
      </x:c>
      <x:c r="H432" s="22" t="n">
        <x:f>IFERROR('升力标定计算'!N864,"")</x:f>
        <x:v>0.05695409586312898</x:v>
      </x:c>
      <x:c r="I432" s="22" t="n">
        <x:f>IF(AND(ISNUMBER(G432),ISNUMBER(H432)),AVERAGE(G432,H432),"")</x:f>
        <x:v>0.05622004620825714</x:v>
      </x:c>
      <x:c r="J432" s="22" t="n">
        <x:f>IFERROR('5000rpm'!AT25,"")</x:f>
        <x:v>0</x:v>
      </x:c>
      <x:c r="K432" s="22" t="n">
        <x:f>IFERROR('5000rpm'!AT35,"")</x:f>
        <x:v>0.26692913385826766</x:v>
      </x:c>
      <x:c r="L432" s="22" t="n">
        <x:f>IFERROR('5000rpm'!AT33,"")</x:f>
        <x:v>0.21354330708661423</x:v>
      </x:c>
      <x:c r="M432" s="22" t="n">
        <x:f>IFERROR('5000rpm'!AS33,"")</x:f>
        <x:v>0.0606816429168198</x:v>
      </x:c>
      <x:c r="N432" s="22" t="n">
        <x:f>IFERROR('5000rpm'!AT34,"")</x:f>
        <x:v>0.24023622047244095</x:v>
      </x:c>
      <x:c r="O432" s="22" t="n">
        <x:f>IFERROR('5000rpm'!AS34,"")</x:f>
        <x:v>0.05720278694800591</x:v>
      </x:c>
      <x:c r="P432" s="22" t="n">
        <x:f>IF(OR(NOT(AND(ISNUMBER(D432),ISNUMBER(E432),ISNUMBER(G432),ISNUMBER(H432))),OR(F432&lt;J432,F432&gt;K432)),"",IF(N432=L432,M432,M432+(F432-L432)*(O432-M432)/(N432-L432)))</x:f>
        <x:v>0.05992325857620229</x:v>
      </x:c>
      <x:c r="Q432" s="22" t="n">
        <x:f>IF(AND(ISNUMBER(I432),ISNUMBER(P432)),I432-P432,"")</x:f>
        <x:v>-0.003703212367945144</x:v>
      </x:c>
      <x:c r="R432" s="22" t="n">
        <x:f>IF(ISNUMBER(Q432),ABS(Q432),"")</x:f>
        <x:v>0.003703212367945144</x:v>
      </x:c>
      <x:c r="S432" s="36" t="n">
        <x:f>IF(AND(ISNUMBER(Q432),ISNUMBER(P432)),IF(ABS(P432)&lt;1E-12,"",Q432/P432),"")</x:f>
        <x:v>-0.06179924883817691</x:v>
      </x:c>
      <x:c r="T432" s="36" t="n">
        <x:f>IF(ISNUMBER(S432),ABS(S432),"")</x:f>
        <x:v>0.06179924883817691</x:v>
      </x:c>
      <x:c r="U432" s="37" t="n">
        <x:f>IF(ISNUMBER(Q432),Q432^2,"")</x:f>
        <x:v>0.000013713781842101881</x:v>
      </x:c>
      <x:c r="V432" s="21" t="str">
        <x:f>IF(NOT(AND(ISNUMBER(D432),ISNUMBER(E432),ISNUMBER(G432),ISNUMBER(H432))),"缺少配对",IF(OR(F432&lt;J432,F432&gt;K432),"超出理论J范围","有效"))</x:f>
        <x:v>有效</x:v>
      </x:c>
      <x:c r="W432" s="20" t="str">
        <x:v>升力 y=0.915708x+28.7687 → C_T_prop；实验攻角 60° ↔ 理论 alpha_p_deg 30°；原升力源 5000rpm!D122/O122</x:v>
      </x:c>
      <x:c r="X432" s="20" t="str">
        <x:v>升力标定计算!M863</x:v>
      </x:c>
      <x:c r="Y432" s="20" t="str">
        <x:v>升力标定计算!M864</x:v>
      </x:c>
      <x:c r="Z432" s="20" t="str">
        <x:v>升力标定计算!N863</x:v>
      </x:c>
      <x:c r="AA432" s="20" t="str">
        <x:v>升力标定计算!N864</x:v>
      </x:c>
      <x:c r="AB432" s="20" t="str">
        <x:v>5000rpm!AT33:AS34</x:v>
      </x:c>
    </x:row>
    <x:row r="433">
      <x:c r="A433" s="21" t="n">
        <x:v>5000</x:v>
      </x:c>
      <x:c r="B433" s="21" t="n">
        <x:v>60</x:v>
      </x:c>
      <x:c r="C433" s="21" t="n">
        <x:v>11</x:v>
      </x:c>
      <x:c r="D433" s="22" t="n">
        <x:f>IFERROR('升力标定计算'!M865,"")</x:f>
        <x:v>0.24501003592295503</x:v>
      </x:c>
      <x:c r="E433" s="22" t="n">
        <x:f>IFERROR('升力标定计算'!M866,"")</x:f>
        <x:v>0.2409919457990062</x:v>
      </x:c>
      <x:c r="F433" s="22" t="n">
        <x:f>IF(AND(ISNUMBER(D433),ISNUMBER(E433)),AVERAGE(D433,E433),"")</x:f>
        <x:v>0.24300099086098062</x:v>
      </x:c>
      <x:c r="G433" s="22" t="n">
        <x:f>IFERROR('升力标定计算'!N865,"")</x:f>
        <x:v>0.051488910738137175</x:v>
      </x:c>
      <x:c r="H433" s="22" t="n">
        <x:f>IFERROR('升力标定计算'!N866,"")</x:f>
        <x:v>0.05226630099208419</x:v>
      </x:c>
      <x:c r="I433" s="22" t="n">
        <x:f>IF(AND(ISNUMBER(G433),ISNUMBER(H433)),AVERAGE(G433,H433),"")</x:f>
        <x:v>0.051877605865110685</x:v>
      </x:c>
      <x:c r="J433" s="22" t="n">
        <x:f>IFERROR('5000rpm'!AT25,"")</x:f>
        <x:v>0</x:v>
      </x:c>
      <x:c r="K433" s="22" t="n">
        <x:f>IFERROR('5000rpm'!AT35,"")</x:f>
        <x:v>0.26692913385826766</x:v>
      </x:c>
      <x:c r="L433" s="22" t="n">
        <x:f>IFERROR('5000rpm'!AT34,"")</x:f>
        <x:v>0.24023622047244095</x:v>
      </x:c>
      <x:c r="M433" s="22" t="n">
        <x:f>IFERROR('5000rpm'!AS34,"")</x:f>
        <x:v>0.05720278694800591</x:v>
      </x:c>
      <x:c r="N433" s="22" t="n">
        <x:f>IFERROR('5000rpm'!AT35,"")</x:f>
        <x:v>0.26692913385826766</x:v>
      </x:c>
      <x:c r="O433" s="22" t="n">
        <x:f>IFERROR('5000rpm'!AS35,"")</x:f>
        <x:v>0.05354137500489469</x:v>
      </x:c>
      <x:c r="P433" s="22" t="n">
        <x:f>IF(OR(NOT(AND(ISNUMBER(D433),ISNUMBER(E433),ISNUMBER(G433),ISNUMBER(H433))),OR(F433&lt;J433,F433&gt;K433)),"",IF(N433=L433,M433,M433+(F433-L433)*(O433-M433)/(N433-L433)))</x:f>
        <x:v>0.056823549089094094</x:v>
      </x:c>
      <x:c r="Q433" s="22" t="n">
        <x:f>IF(AND(ISNUMBER(I433),ISNUMBER(P433)),I433-P433,"")</x:f>
        <x:v>-0.0049459432239834095</x:v>
      </x:c>
      <x:c r="R433" s="22" t="n">
        <x:f>IF(ISNUMBER(Q433),ABS(Q433),"")</x:f>
        <x:v>0.0049459432239834095</x:v>
      </x:c>
      <x:c r="S433" s="36" t="n">
        <x:f>IF(AND(ISNUMBER(Q433),ISNUMBER(P433)),IF(ABS(P433)&lt;1E-12,"",Q433/P433),"")</x:f>
        <x:v>-0.08704037856256788</x:v>
      </x:c>
      <x:c r="T433" s="36" t="n">
        <x:f>IF(ISNUMBER(S433),ABS(S433),"")</x:f>
        <x:v>0.08704037856256788</x:v>
      </x:c>
      <x:c r="U433" s="37" t="n">
        <x:f>IF(ISNUMBER(Q433),Q433^2,"")</x:f>
        <x:v>0.000024462354374867403</x:v>
      </x:c>
      <x:c r="V433" s="21" t="str">
        <x:f>IF(NOT(AND(ISNUMBER(D433),ISNUMBER(E433),ISNUMBER(G433),ISNUMBER(H433))),"缺少配对",IF(OR(F433&lt;J433,F433&gt;K433),"超出理论J范围","有效"))</x:f>
        <x:v>有效</x:v>
      </x:c>
      <x:c r="W433" s="20" t="str">
        <x:v>升力 y=0.915708x+28.7687 → C_T_prop；实验攻角 60° ↔ 理论 alpha_p_deg 30°；原升力源 5000rpm!D123/O123</x:v>
      </x:c>
      <x:c r="X433" s="20" t="str">
        <x:v>升力标定计算!M865</x:v>
      </x:c>
      <x:c r="Y433" s="20" t="str">
        <x:v>升力标定计算!M866</x:v>
      </x:c>
      <x:c r="Z433" s="20" t="str">
        <x:v>升力标定计算!N865</x:v>
      </x:c>
      <x:c r="AA433" s="20" t="str">
        <x:v>升力标定计算!N866</x:v>
      </x:c>
      <x:c r="AB433" s="20" t="str">
        <x:v>5000rpm!AT34:AS35</x:v>
      </x:c>
    </x:row>
    <x:row r="434">
      <x:c r="A434" s="21" t="n">
        <x:v>5000</x:v>
      </x:c>
      <x:c r="B434" s="21" t="n">
        <x:v>60</x:v>
      </x:c>
      <x:c r="C434" s="21" t="n">
        <x:v>12</x:v>
      </x:c>
      <x:c r="D434" s="22" t="n">
        <x:f>IFERROR('升力标定计算'!M867,"")</x:f>
        <x:v>0.27128009347213694</x:v>
      </x:c>
      <x:c r="E434" s="22" t="n">
        <x:f>IFERROR('升力标定计算'!M868,"")</x:f>
        <x:v>0.26743200165768904</x:v>
      </x:c>
      <x:c r="F434" s="22" t="n">
        <x:f>IF(AND(ISNUMBER(D434),ISNUMBER(E434)),AVERAGE(D434,E434),"")</x:f>
        <x:v>0.269356047564913</x:v>
      </x:c>
      <x:c r="G434" s="22" t="n">
        <x:f>IFERROR('升力标定计算'!N867,"")</x:f>
        <x:v>0.048865751496730794</x:v>
      </x:c>
      <x:c r="H434" s="22" t="n">
        <x:f>IFERROR('升力标定计算'!N868,"")</x:f>
        <x:v>0.05018146926934726</x:v>
      </x:c>
      <x:c r="I434" s="22" t="n">
        <x:f>IF(AND(ISNUMBER(G434),ISNUMBER(H434)),AVERAGE(G434,H434),"")</x:f>
        <x:v>0.04952361038303903</x:v>
      </x:c>
      <x:c r="J434" s="22" t="n">
        <x:f>IFERROR('5000rpm'!AT25,"")</x:f>
        <x:v>0</x:v>
      </x:c>
      <x:c r="K434" s="22" t="n">
        <x:f>IFERROR('5000rpm'!AT35,"")</x:f>
        <x:v>0.26692913385826766</x:v>
      </x:c>
      <x:c r="L434" s="22" t="n">
        <x:f>IFERROR('5000rpm'!AT25,"")</x:f>
        <x:v>0</x:v>
      </x:c>
      <x:c r="M434" s="22" t="n">
        <x:f>IFERROR('5000rpm'!AS25,"")</x:f>
        <x:v>0.0836476206119306</x:v>
      </x:c>
      <x:c r="N434" s="22" t="n">
        <x:f>IFERROR('5000rpm'!AT35,"")</x:f>
        <x:v>0.26692913385826766</x:v>
      </x:c>
      <x:c r="O434" s="22" t="n">
        <x:f>IFERROR('5000rpm'!AS35,"")</x:f>
        <x:v>0.05354137500489469</x:v>
      </x:c>
      <x:c r="P434" s="22" t="str">
        <x:f>IF(OR(NOT(AND(ISNUMBER(D434),ISNUMBER(E434),ISNUMBER(G434),ISNUMBER(H434))),OR(F434&lt;J434,F434&gt;K434)),"",IF(N434=L434,M434,M434+(F434-L434)*(O434-M434)/(N434-L434)))</x:f>
      </x:c>
      <x:c r="Q434" s="22" t="str">
        <x:f>IF(AND(ISNUMBER(I434),ISNUMBER(P434)),I434-P434,"")</x:f>
      </x:c>
      <x:c r="R434" s="22" t="str">
        <x:f>IF(ISNUMBER(Q434),ABS(Q434),"")</x:f>
      </x:c>
      <x:c r="S434" s="36" t="str">
        <x:f>IF(AND(ISNUMBER(Q434),ISNUMBER(P434)),IF(ABS(P434)&lt;1E-12,"",Q434/P434),"")</x:f>
      </x:c>
      <x:c r="T434" s="36" t="str">
        <x:f>IF(ISNUMBER(S434),ABS(S434),"")</x:f>
      </x:c>
      <x:c r="U434" s="37" t="str">
        <x:f>IF(ISNUMBER(Q434),Q434^2,"")</x:f>
      </x:c>
      <x:c r="V434" s="21" t="str">
        <x:f>IF(NOT(AND(ISNUMBER(D434),ISNUMBER(E434),ISNUMBER(G434),ISNUMBER(H434))),"缺少配对",IF(OR(F434&lt;J434,F434&gt;K434),"超出理论J范围","有效"))</x:f>
        <x:v>超出理论J范围</x:v>
      </x:c>
      <x:c r="W434" s="20" t="str">
        <x:v>升力 y=0.915708x+28.7687 → C_T_prop；实验攻角 60° ↔ 理论 alpha_p_deg 30°；原升力源 5000rpm!D124/O124</x:v>
      </x:c>
      <x:c r="X434" s="20" t="str">
        <x:v>升力标定计算!M867</x:v>
      </x:c>
      <x:c r="Y434" s="20" t="str">
        <x:v>升力标定计算!M868</x:v>
      </x:c>
      <x:c r="Z434" s="20" t="str">
        <x:v>升力标定计算!N867</x:v>
      </x:c>
      <x:c r="AA434" s="20" t="str">
        <x:v>升力标定计算!N868</x:v>
      </x:c>
      <x:c r="AB434" s="20" t="str">
        <x:v>5000rpm!AT25:AS35</x:v>
      </x:c>
    </x:row>
    <x:row r="435">
      <x:c r="A435" s="21" t="n">
        <x:v>5000</x:v>
      </x:c>
      <x:c r="B435" s="21" t="n">
        <x:v>60</x:v>
      </x:c>
      <x:c r="C435" s="21" t="n">
        <x:v>13</x:v>
      </x:c>
      <x:c r="D435" s="22" t="n">
        <x:f>IFERROR('升力标定计算'!M869,"")</x:f>
        <x:v>0.24682477751072468</x:v>
      </x:c>
      <x:c r="E435" s="22" t="n">
        <x:f>IFERROR('升力标定计算'!M870,"")</x:f>
        <x:v>0.24317995490360297</x:v>
      </x:c>
      <x:c r="F435" s="22" t="n">
        <x:f>IF(AND(ISNUMBER(D435),ISNUMBER(E435)),AVERAGE(D435,E435),"")</x:f>
        <x:v>0.2450023662071638</x:v>
      </x:c>
      <x:c r="G435" s="22" t="n">
        <x:f>IFERROR('升力标定计算'!N869,"")</x:f>
        <x:v>0.05211844276004713</x:v>
      </x:c>
      <x:c r="H435" s="22" t="n">
        <x:f>IFERROR('升力标定计算'!N870,"")</x:f>
        <x:v>0.053111025345312354</x:v>
      </x:c>
      <x:c r="I435" s="22" t="n">
        <x:f>IF(AND(ISNUMBER(G435),ISNUMBER(H435)),AVERAGE(G435,H435),"")</x:f>
        <x:v>0.052614734052679746</x:v>
      </x:c>
      <x:c r="J435" s="22" t="n">
        <x:f>IFERROR('5000rpm'!AT25,"")</x:f>
        <x:v>0</x:v>
      </x:c>
      <x:c r="K435" s="22" t="n">
        <x:f>IFERROR('5000rpm'!AT35,"")</x:f>
        <x:v>0.26692913385826766</x:v>
      </x:c>
      <x:c r="L435" s="22" t="n">
        <x:f>IFERROR('5000rpm'!AT34,"")</x:f>
        <x:v>0.24023622047244095</x:v>
      </x:c>
      <x:c r="M435" s="22" t="n">
        <x:f>IFERROR('5000rpm'!AS34,"")</x:f>
        <x:v>0.05720278694800591</x:v>
      </x:c>
      <x:c r="N435" s="22" t="n">
        <x:f>IFERROR('5000rpm'!AT35,"")</x:f>
        <x:v>0.26692913385826766</x:v>
      </x:c>
      <x:c r="O435" s="22" t="n">
        <x:f>IFERROR('5000rpm'!AS35,"")</x:f>
        <x:v>0.05354137500489469</x:v>
      </x:c>
      <x:c r="P435" s="22" t="n">
        <x:f>IF(OR(NOT(AND(ISNUMBER(D435),ISNUMBER(E435),ISNUMBER(G435),ISNUMBER(H435))),OR(F435&lt;J435,F435&gt;K435)),"",IF(N435=L435,M435,M435+(F435-L435)*(O435-M435)/(N435-L435)))</x:f>
        <x:v>0.05654902455558797</x:v>
      </x:c>
      <x:c r="Q435" s="22" t="n">
        <x:f>IF(AND(ISNUMBER(I435),ISNUMBER(P435)),I435-P435,"")</x:f>
        <x:v>-0.003934290502908222</x:v>
      </x:c>
      <x:c r="R435" s="22" t="n">
        <x:f>IF(ISNUMBER(Q435),ABS(Q435),"")</x:f>
        <x:v>0.003934290502908222</x:v>
      </x:c>
      <x:c r="S435" s="36" t="n">
        <x:f>IF(AND(ISNUMBER(Q435),ISNUMBER(P435)),IF(ABS(P435)&lt;1E-12,"",Q435/P435),"")</x:f>
        <x:v>-0.06957309226511582</x:v>
      </x:c>
      <x:c r="T435" s="36" t="n">
        <x:f>IF(ISNUMBER(S435),ABS(S435),"")</x:f>
        <x:v>0.06957309226511582</x:v>
      </x:c>
      <x:c r="U435" s="37" t="n">
        <x:f>IF(ISNUMBER(Q435),Q435^2,"")</x:f>
        <x:v>0.00001547864176127383</x:v>
      </x:c>
      <x:c r="V435" s="21" t="str">
        <x:f>IF(NOT(AND(ISNUMBER(D435),ISNUMBER(E435),ISNUMBER(G435),ISNUMBER(H435))),"缺少配对",IF(OR(F435&lt;J435,F435&gt;K435),"超出理论J范围","有效"))</x:f>
        <x:v>有效</x:v>
      </x:c>
      <x:c r="W435" s="20" t="str">
        <x:v>升力 y=0.915708x+28.7687 → C_T_prop；实验攻角 60° ↔ 理论 alpha_p_deg 30°；原升力源 5000rpm!D125/O125</x:v>
      </x:c>
      <x:c r="X435" s="20" t="str">
        <x:v>升力标定计算!M869</x:v>
      </x:c>
      <x:c r="Y435" s="20" t="str">
        <x:v>升力标定计算!M870</x:v>
      </x:c>
      <x:c r="Z435" s="20" t="str">
        <x:v>升力标定计算!N869</x:v>
      </x:c>
      <x:c r="AA435" s="20" t="str">
        <x:v>升力标定计算!N870</x:v>
      </x:c>
      <x:c r="AB435" s="20" t="str">
        <x:v>5000rpm!AT34:AS35</x:v>
      </x:c>
    </x:row>
    <x:row r="436">
      <x:c r="A436" s="21" t="n">
        <x:v>5000</x:v>
      </x:c>
      <x:c r="B436" s="21" t="n">
        <x:v>60</x:v>
      </x:c>
      <x:c r="C436" s="21" t="n">
        <x:v>14</x:v>
      </x:c>
      <x:c r="D436" s="22" t="n">
        <x:f>IFERROR('升力标定计算'!M871,"")</x:f>
        <x:v>0.22067266575514097</x:v>
      </x:c>
      <x:c r="E436" s="22" t="n">
        <x:f>IFERROR('升力标定计算'!M872,"")</x:f>
        <x:v>0.21739763967898598</x:v>
      </x:c>
      <x:c r="F436" s="22" t="n">
        <x:f>IF(AND(ISNUMBER(D436),ISNUMBER(E436)),AVERAGE(D436,E436),"")</x:f>
        <x:v>0.21903515271706347</x:v>
      </x:c>
      <x:c r="G436" s="22" t="n">
        <x:f>IFERROR('升力标定计算'!N871,"")</x:f>
        <x:v>0.055912614038516335</x:v>
      </x:c>
      <x:c r="H436" s="22" t="n">
        <x:f>IFERROR('升力标定计算'!N872,"")</x:f>
        <x:v>0.05642054092559532</x:v>
      </x:c>
      <x:c r="I436" s="22" t="n">
        <x:f>IF(AND(ISNUMBER(G436),ISNUMBER(H436)),AVERAGE(G436,H436),"")</x:f>
        <x:v>0.05616657748205583</x:v>
      </x:c>
      <x:c r="J436" s="22" t="n">
        <x:f>IFERROR('5000rpm'!AT25,"")</x:f>
        <x:v>0</x:v>
      </x:c>
      <x:c r="K436" s="22" t="n">
        <x:f>IFERROR('5000rpm'!AT35,"")</x:f>
        <x:v>0.26692913385826766</x:v>
      </x:c>
      <x:c r="L436" s="22" t="n">
        <x:f>IFERROR('5000rpm'!AT33,"")</x:f>
        <x:v>0.21354330708661423</x:v>
      </x:c>
      <x:c r="M436" s="22" t="n">
        <x:f>IFERROR('5000rpm'!AS33,"")</x:f>
        <x:v>0.0606816429168198</x:v>
      </x:c>
      <x:c r="N436" s="22" t="n">
        <x:f>IFERROR('5000rpm'!AT34,"")</x:f>
        <x:v>0.24023622047244095</x:v>
      </x:c>
      <x:c r="O436" s="22" t="n">
        <x:f>IFERROR('5000rpm'!AS34,"")</x:f>
        <x:v>0.05720278694800591</x:v>
      </x:c>
      <x:c r="P436" s="22" t="n">
        <x:f>IF(OR(NOT(AND(ISNUMBER(D436),ISNUMBER(E436),ISNUMBER(G436),ISNUMBER(H436))),OR(F436&lt;J436,F436&gt;K436)),"",IF(N436=L436,M436,M436+(F436-L436)*(O436-M436)/(N436-L436)))</x:f>
        <x:v>0.05996589714283331</x:v>
      </x:c>
      <x:c r="Q436" s="22" t="n">
        <x:f>IF(AND(ISNUMBER(I436),ISNUMBER(P436)),I436-P436,"")</x:f>
        <x:v>-0.0037993196607774837</x:v>
      </x:c>
      <x:c r="R436" s="22" t="n">
        <x:f>IF(ISNUMBER(Q436),ABS(Q436),"")</x:f>
        <x:v>0.0037993196607774837</x:v>
      </x:c>
      <x:c r="S436" s="36" t="n">
        <x:f>IF(AND(ISNUMBER(Q436),ISNUMBER(P436)),IF(ABS(P436)&lt;1E-12,"",Q436/P436),"")</x:f>
        <x:v>-0.06335800583001118</x:v>
      </x:c>
      <x:c r="T436" s="36" t="n">
        <x:f>IF(ISNUMBER(S436),ABS(S436),"")</x:f>
        <x:v>0.06335800583001118</x:v>
      </x:c>
      <x:c r="U436" s="37" t="n">
        <x:f>IF(ISNUMBER(Q436),Q436^2,"")</x:f>
        <x:v>0.000014434829884770334</x:v>
      </x:c>
      <x:c r="V436" s="21" t="str">
        <x:f>IF(NOT(AND(ISNUMBER(D436),ISNUMBER(E436),ISNUMBER(G436),ISNUMBER(H436))),"缺少配对",IF(OR(F436&lt;J436,F436&gt;K436),"超出理论J范围","有效"))</x:f>
        <x:v>有效</x:v>
      </x:c>
      <x:c r="W436" s="20" t="str">
        <x:v>升力 y=0.915708x+28.7687 → C_T_prop；实验攻角 60° ↔ 理论 alpha_p_deg 30°；原升力源 5000rpm!D126/O126</x:v>
      </x:c>
      <x:c r="X436" s="20" t="str">
        <x:v>升力标定计算!M871</x:v>
      </x:c>
      <x:c r="Y436" s="20" t="str">
        <x:v>升力标定计算!M872</x:v>
      </x:c>
      <x:c r="Z436" s="20" t="str">
        <x:v>升力标定计算!N871</x:v>
      </x:c>
      <x:c r="AA436" s="20" t="str">
        <x:v>升力标定计算!N872</x:v>
      </x:c>
      <x:c r="AB436" s="20" t="str">
        <x:v>5000rpm!AT33:AS34</x:v>
      </x:c>
    </x:row>
    <x:row r="437">
      <x:c r="A437" s="21" t="n">
        <x:v>5000</x:v>
      </x:c>
      <x:c r="B437" s="21" t="n">
        <x:v>60</x:v>
      </x:c>
      <x:c r="C437" s="21" t="n">
        <x:v>15</x:v>
      </x:c>
      <x:c r="D437" s="22" t="n">
        <x:f>IFERROR('升力标定计算'!M873,"")</x:f>
        <x:v>0.19385230485596142</x:v>
      </x:c>
      <x:c r="E437" s="22" t="n">
        <x:f>IFERROR('升力标定计算'!M874,"")</x:f>
        <x:v>0.18920011103145257</x:v>
      </x:c>
      <x:c r="F437" s="22" t="n">
        <x:f>IF(AND(ISNUMBER(D437),ISNUMBER(E437)),AVERAGE(D437,E437),"")</x:f>
        <x:v>0.191526207943707</x:v>
      </x:c>
      <x:c r="G437" s="22" t="n">
        <x:f>IFERROR('升力标定计算'!N873,"")</x:f>
        <x:v>0.05912292261328237</x:v>
      </x:c>
      <x:c r="H437" s="22" t="n">
        <x:f>IFERROR('升力标定计算'!N874,"")</x:f>
        <x:v>0.058662625680586174</x:v>
      </x:c>
      <x:c r="I437" s="22" t="n">
        <x:f>IF(AND(ISNUMBER(G437),ISNUMBER(H437)),AVERAGE(G437,H437),"")</x:f>
        <x:v>0.05889277414693427</x:v>
      </x:c>
      <x:c r="J437" s="22" t="n">
        <x:f>IFERROR('5000rpm'!AT25,"")</x:f>
        <x:v>0</x:v>
      </x:c>
      <x:c r="K437" s="22" t="n">
        <x:f>IFERROR('5000rpm'!AT35,"")</x:f>
        <x:v>0.26692913385826766</x:v>
      </x:c>
      <x:c r="L437" s="22" t="n">
        <x:f>IFERROR('5000rpm'!AT32,"")</x:f>
        <x:v>0.18685039370078743</x:v>
      </x:c>
      <x:c r="M437" s="22" t="n">
        <x:f>IFERROR('5000rpm'!AS32,"")</x:f>
        <x:v>0.06399561935962678</x:v>
      </x:c>
      <x:c r="N437" s="22" t="n">
        <x:f>IFERROR('5000rpm'!AT33,"")</x:f>
        <x:v>0.21354330708661423</x:v>
      </x:c>
      <x:c r="O437" s="22" t="n">
        <x:f>IFERROR('5000rpm'!AS33,"")</x:f>
        <x:v>0.0606816429168198</x:v>
      </x:c>
      <x:c r="P437" s="22" t="n">
        <x:f>IF(OR(NOT(AND(ISNUMBER(D437),ISNUMBER(E437),ISNUMBER(G437),ISNUMBER(H437))),OR(F437&lt;J437,F437&gt;K437)),"",IF(N437=L437,M437,M437+(F437-L437)*(O437-M437)/(N437-L437)))</x:f>
        <x:v>0.06341510804458222</x:v>
      </x:c>
      <x:c r="Q437" s="22" t="n">
        <x:f>IF(AND(ISNUMBER(I437),ISNUMBER(P437)),I437-P437,"")</x:f>
        <x:v>-0.004522333897647952</x:v>
      </x:c>
      <x:c r="R437" s="22" t="n">
        <x:f>IF(ISNUMBER(Q437),ABS(Q437),"")</x:f>
        <x:v>0.004522333897647952</x:v>
      </x:c>
      <x:c r="S437" s="36" t="n">
        <x:f>IF(AND(ISNUMBER(Q437),ISNUMBER(P437)),IF(ABS(P437)&lt;1E-12,"",Q437/P437),"")</x:f>
        <x:v>-0.07131319392326275</x:v>
      </x:c>
      <x:c r="T437" s="36" t="n">
        <x:f>IF(ISNUMBER(S437),ABS(S437),"")</x:f>
        <x:v>0.07131319392326275</x:v>
      </x:c>
      <x:c r="U437" s="37" t="n">
        <x:f>IF(ISNUMBER(Q437),Q437^2,"")</x:f>
        <x:v>0.000020451503881815722</x:v>
      </x:c>
      <x:c r="V437" s="21" t="str">
        <x:f>IF(NOT(AND(ISNUMBER(D437),ISNUMBER(E437),ISNUMBER(G437),ISNUMBER(H437))),"缺少配对",IF(OR(F437&lt;J437,F437&gt;K437),"超出理论J范围","有效"))</x:f>
        <x:v>有效</x:v>
      </x:c>
      <x:c r="W437" s="20" t="str">
        <x:v>升力 y=0.915708x+28.7687 → C_T_prop；实验攻角 60° ↔ 理论 alpha_p_deg 30°；原升力源 5000rpm!D127/O127</x:v>
      </x:c>
      <x:c r="X437" s="20" t="str">
        <x:v>升力标定计算!M873</x:v>
      </x:c>
      <x:c r="Y437" s="20" t="str">
        <x:v>升力标定计算!M874</x:v>
      </x:c>
      <x:c r="Z437" s="20" t="str">
        <x:v>升力标定计算!N873</x:v>
      </x:c>
      <x:c r="AA437" s="20" t="str">
        <x:v>升力标定计算!N874</x:v>
      </x:c>
      <x:c r="AB437" s="20" t="str">
        <x:v>5000rpm!AT32:AS33</x:v>
      </x:c>
    </x:row>
    <x:row r="438">
      <x:c r="A438" s="21" t="n">
        <x:v>5000</x:v>
      </x:c>
      <x:c r="B438" s="21" t="n">
        <x:v>60</x:v>
      </x:c>
      <x:c r="C438" s="21" t="n">
        <x:v>16</x:v>
      </x:c>
      <x:c r="D438" s="22" t="n">
        <x:f>IFERROR('升力标定计算'!M875,"")</x:f>
        <x:v>0.16687621563279587</x:v>
      </x:c>
      <x:c r="E438" s="22" t="n">
        <x:f>IFERROR('升力标定计算'!M876,"")</x:f>
        <x:v>0.16217932228984988</x:v>
      </x:c>
      <x:c r="F438" s="22" t="n">
        <x:f>IF(AND(ISNUMBER(D438),ISNUMBER(E438)),AVERAGE(D438,E438),"")</x:f>
        <x:v>0.16452776896132287</x:v>
      </x:c>
      <x:c r="G438" s="22" t="n">
        <x:f>IFERROR('升力标定计算'!N875,"")</x:f>
        <x:v>0.06217289606186645</x:v>
      </x:c>
      <x:c r="H438" s="22" t="n">
        <x:f>IFERROR('升力标定计算'!N876,"")</x:f>
        <x:v>0.06337504769838923</x:v>
      </x:c>
      <x:c r="I438" s="22" t="n">
        <x:f>IF(AND(ISNUMBER(G438),ISNUMBER(H438)),AVERAGE(G438,H438),"")</x:f>
        <x:v>0.06277397188012784</x:v>
      </x:c>
      <x:c r="J438" s="22" t="n">
        <x:f>IFERROR('5000rpm'!AT25,"")</x:f>
        <x:v>0</x:v>
      </x:c>
      <x:c r="K438" s="22" t="n">
        <x:f>IFERROR('5000rpm'!AT35,"")</x:f>
        <x:v>0.26692913385826766</x:v>
      </x:c>
      <x:c r="L438" s="22" t="n">
        <x:f>IFERROR('5000rpm'!AT31,"")</x:f>
        <x:v>0.16015748031496063</x:v>
      </x:c>
      <x:c r="M438" s="22" t="n">
        <x:f>IFERROR('5000rpm'!AS31,"")</x:f>
        <x:v>0.0671558351819727</x:v>
      </x:c>
      <x:c r="N438" s="22" t="n">
        <x:f>IFERROR('5000rpm'!AT32,"")</x:f>
        <x:v>0.18685039370078743</x:v>
      </x:c>
      <x:c r="O438" s="22" t="n">
        <x:f>IFERROR('5000rpm'!AS32,"")</x:f>
        <x:v>0.06399561935962678</x:v>
      </x:c>
      <x:c r="P438" s="22" t="n">
        <x:f>IF(OR(NOT(AND(ISNUMBER(D438),ISNUMBER(E438),ISNUMBER(G438),ISNUMBER(H438))),OR(F438&lt;J438,F438&gt;K438)),"",IF(N438=L438,M438,M438+(F438-L438)*(O438-M438)/(N438-L438)))</x:f>
        <x:v>0.0666384298643581</x:v>
      </x:c>
      <x:c r="Q438" s="22" t="n">
        <x:f>IF(AND(ISNUMBER(I438),ISNUMBER(P438)),I438-P438,"")</x:f>
        <x:v>-0.0038644579842302546</x:v>
      </x:c>
      <x:c r="R438" s="22" t="n">
        <x:f>IF(ISNUMBER(Q438),ABS(Q438),"")</x:f>
        <x:v>0.0038644579842302546</x:v>
      </x:c>
      <x:c r="S438" s="36" t="n">
        <x:f>IF(AND(ISNUMBER(Q438),ISNUMBER(P438)),IF(ABS(P438)&lt;1E-12,"",Q438/P438),"")</x:f>
        <x:v>-0.057991432152533044</x:v>
      </x:c>
      <x:c r="T438" s="36" t="n">
        <x:f>IF(ISNUMBER(S438),ABS(S438),"")</x:f>
        <x:v>0.057991432152533044</x:v>
      </x:c>
      <x:c r="U438" s="37" t="n">
        <x:f>IF(ISNUMBER(Q438),Q438^2,"")</x:f>
        <x:v>0.000014934035511880962</x:v>
      </x:c>
      <x:c r="V438" s="21" t="str">
        <x:f>IF(NOT(AND(ISNUMBER(D438),ISNUMBER(E438),ISNUMBER(G438),ISNUMBER(H438))),"缺少配对",IF(OR(F438&lt;J438,F438&gt;K438),"超出理论J范围","有效"))</x:f>
        <x:v>有效</x:v>
      </x:c>
      <x:c r="W438" s="20" t="str">
        <x:v>升力 y=0.915708x+28.7687 → C_T_prop；实验攻角 60° ↔ 理论 alpha_p_deg 30°；原升力源 5000rpm!D128/O128</x:v>
      </x:c>
      <x:c r="X438" s="20" t="str">
        <x:v>升力标定计算!M875</x:v>
      </x:c>
      <x:c r="Y438" s="20" t="str">
        <x:v>升力标定计算!M876</x:v>
      </x:c>
      <x:c r="Z438" s="20" t="str">
        <x:v>升力标定计算!N875</x:v>
      </x:c>
      <x:c r="AA438" s="20" t="str">
        <x:v>升力标定计算!N876</x:v>
      </x:c>
      <x:c r="AB438" s="20" t="str">
        <x:v>5000rpm!AT31:AS32</x:v>
      </x:c>
    </x:row>
    <x:row r="439">
      <x:c r="A439" s="21" t="n">
        <x:v>5000</x:v>
      </x:c>
      <x:c r="B439" s="21" t="n">
        <x:v>60</x:v>
      </x:c>
      <x:c r="C439" s="21" t="n">
        <x:v>17</x:v>
      </x:c>
      <x:c r="D439" s="22" t="n">
        <x:f>IFERROR('升力标定计算'!M877,"")</x:f>
        <x:v>0.14044805463011323</x:v>
      </x:c>
      <x:c r="E439" s="22" t="n">
        <x:f>IFERROR('升力标定计算'!M878,"")</x:f>
        <x:v>0.13755218173934916</x:v>
      </x:c>
      <x:c r="F439" s="22" t="n">
        <x:f>IF(AND(ISNUMBER(D439),ISNUMBER(E439)),AVERAGE(D439,E439),"")</x:f>
        <x:v>0.13900011818473118</x:v>
      </x:c>
      <x:c r="G439" s="22" t="n">
        <x:f>IFERROR('升力标定计算'!N877,"")</x:f>
        <x:v>0.065978902586048</x:v>
      </x:c>
      <x:c r="H439" s="22" t="n">
        <x:f>IFERROR('升力标定计算'!N878,"")</x:f>
        <x:v>0.06566791245613982</x:v>
      </x:c>
      <x:c r="I439" s="22" t="n">
        <x:f>IF(AND(ISNUMBER(G439),ISNUMBER(H439)),AVERAGE(G439,H439),"")</x:f>
        <x:v>0.0658234075210939</x:v>
      </x:c>
      <x:c r="J439" s="22" t="n">
        <x:f>IFERROR('5000rpm'!AT25,"")</x:f>
        <x:v>0</x:v>
      </x:c>
      <x:c r="K439" s="22" t="n">
        <x:f>IFERROR('5000rpm'!AT35,"")</x:f>
        <x:v>0.26692913385826766</x:v>
      </x:c>
      <x:c r="L439" s="22" t="n">
        <x:f>IFERROR('5000rpm'!AT30,"")</x:f>
        <x:v>0.13346456692913383</x:v>
      </x:c>
      <x:c r="M439" s="22" t="n">
        <x:f>IFERROR('5000rpm'!AS30,"")</x:f>
        <x:v>0.07016585094363773</x:v>
      </x:c>
      <x:c r="N439" s="22" t="n">
        <x:f>IFERROR('5000rpm'!AT31,"")</x:f>
        <x:v>0.16015748031496063</x:v>
      </x:c>
      <x:c r="O439" s="22" t="n">
        <x:f>IFERROR('5000rpm'!AS31,"")</x:f>
        <x:v>0.0671558351819727</x:v>
      </x:c>
      <x:c r="P439" s="22" t="n">
        <x:f>IF(OR(NOT(AND(ISNUMBER(D439),ISNUMBER(E439),ISNUMBER(G439),ISNUMBER(H439))),OR(F439&lt;J439,F439&gt;K439)),"",IF(N439=L439,M439,M439+(F439-L439)*(O439-M439)/(N439-L439)))</x:f>
        <x:v>0.06954163670789605</x:v>
      </x:c>
      <x:c r="Q439" s="22" t="n">
        <x:f>IF(AND(ISNUMBER(I439),ISNUMBER(P439)),I439-P439,"")</x:f>
        <x:v>-0.0037182291868021466</x:v>
      </x:c>
      <x:c r="R439" s="22" t="n">
        <x:f>IF(ISNUMBER(Q439),ABS(Q439),"")</x:f>
        <x:v>0.0037182291868021466</x:v>
      </x:c>
      <x:c r="S439" s="36" t="n">
        <x:f>IF(AND(ISNUMBER(Q439),ISNUMBER(P439)),IF(ABS(P439)&lt;1E-12,"",Q439/P439),"")</x:f>
        <x:v>-0.05346766862017159</x:v>
      </x:c>
      <x:c r="T439" s="36" t="n">
        <x:f>IF(ISNUMBER(S439),ABS(S439),"")</x:f>
        <x:v>0.05346766862017159</x:v>
      </x:c>
      <x:c r="U439" s="37" t="n">
        <x:f>IF(ISNUMBER(Q439),Q439^2,"")</x:f>
        <x:v>0.000013825228285587352</x:v>
      </x:c>
      <x:c r="V439" s="21" t="str">
        <x:f>IF(NOT(AND(ISNUMBER(D439),ISNUMBER(E439),ISNUMBER(G439),ISNUMBER(H439))),"缺少配对",IF(OR(F439&lt;J439,F439&gt;K439),"超出理论J范围","有效"))</x:f>
        <x:v>有效</x:v>
      </x:c>
      <x:c r="W439" s="20" t="str">
        <x:v>升力 y=0.915708x+28.7687 → C_T_prop；实验攻角 60° ↔ 理论 alpha_p_deg 30°；原升力源 5000rpm!D129/O129</x:v>
      </x:c>
      <x:c r="X439" s="20" t="str">
        <x:v>升力标定计算!M877</x:v>
      </x:c>
      <x:c r="Y439" s="20" t="str">
        <x:v>升力标定计算!M878</x:v>
      </x:c>
      <x:c r="Z439" s="20" t="str">
        <x:v>升力标定计算!N877</x:v>
      </x:c>
      <x:c r="AA439" s="20" t="str">
        <x:v>升力标定计算!N878</x:v>
      </x:c>
      <x:c r="AB439" s="20" t="str">
        <x:v>5000rpm!AT30:AS31</x:v>
      </x:c>
    </x:row>
    <x:row r="440">
      <x:c r="A440" s="21" t="n">
        <x:v>5000</x:v>
      </x:c>
      <x:c r="B440" s="21" t="n">
        <x:v>60</x:v>
      </x:c>
      <x:c r="C440" s="21" t="n">
        <x:v>18</x:v>
      </x:c>
      <x:c r="D440" s="22" t="n">
        <x:f>IFERROR('升力标定计算'!M879,"")</x:f>
        <x:v>0.11316045984445744</x:v>
      </x:c>
      <x:c r="E440" s="22" t="n">
        <x:f>IFERROR('升力标定计算'!M880,"")</x:f>
        <x:v>0.11030649532664825</x:v>
      </x:c>
      <x:c r="F440" s="22" t="n">
        <x:f>IF(AND(ISNUMBER(D440),ISNUMBER(E440)),AVERAGE(D440,E440),"")</x:f>
        <x:v>0.11173347758555285</x:v>
      </x:c>
      <x:c r="G440" s="22" t="n">
        <x:f>IFERROR('升力标定计算'!N879,"")</x:f>
        <x:v>0.06927920304742922</x:v>
      </x:c>
      <x:c r="H440" s="22" t="n">
        <x:f>IFERROR('升力标定计算'!N880,"")</x:f>
        <x:v>0.06829625806213734</x:v>
      </x:c>
      <x:c r="I440" s="22" t="n">
        <x:f>IF(AND(ISNUMBER(G440),ISNUMBER(H440)),AVERAGE(G440,H440),"")</x:f>
        <x:v>0.06878773055478328</x:v>
      </x:c>
      <x:c r="J440" s="22" t="n">
        <x:f>IFERROR('5000rpm'!AT25,"")</x:f>
        <x:v>0</x:v>
      </x:c>
      <x:c r="K440" s="22" t="n">
        <x:f>IFERROR('5000rpm'!AT35,"")</x:f>
        <x:v>0.26692913385826766</x:v>
      </x:c>
      <x:c r="L440" s="22" t="n">
        <x:f>IFERROR('5000rpm'!AT29,"")</x:f>
        <x:v>0.10677165354330712</x:v>
      </x:c>
      <x:c r="M440" s="22" t="n">
        <x:f>IFERROR('5000rpm'!AS29,"")</x:f>
        <x:v>0.07303618454216375</x:v>
      </x:c>
      <x:c r="N440" s="22" t="n">
        <x:f>IFERROR('5000rpm'!AT30,"")</x:f>
        <x:v>0.13346456692913383</x:v>
      </x:c>
      <x:c r="O440" s="22" t="n">
        <x:f>IFERROR('5000rpm'!AS30,"")</x:f>
        <x:v>0.07016585094363773</x:v>
      </x:c>
      <x:c r="P440" s="22" t="n">
        <x:f>IF(OR(NOT(AND(ISNUMBER(D440),ISNUMBER(E440),ISNUMBER(G440),ISNUMBER(H440))),OR(F440&lt;J440,F440&gt;K440)),"",IF(N440=L440,M440,M440+(F440-L440)*(O440-M440)/(N440-L440)))</x:f>
        <x:v>0.07250263130829328</x:v>
      </x:c>
      <x:c r="Q440" s="22" t="n">
        <x:f>IF(AND(ISNUMBER(I440),ISNUMBER(P440)),I440-P440,"")</x:f>
        <x:v>-0.0037149007535099976</x:v>
      </x:c>
      <x:c r="R440" s="22" t="n">
        <x:f>IF(ISNUMBER(Q440),ABS(Q440),"")</x:f>
        <x:v>0.0037149007535099976</x:v>
      </x:c>
      <x:c r="S440" s="36" t="n">
        <x:f>IF(AND(ISNUMBER(Q440),ISNUMBER(P440)),IF(ABS(P440)&lt;1E-12,"",Q440/P440),"")</x:f>
        <x:v>-0.051238150760537504</x:v>
      </x:c>
      <x:c r="T440" s="36" t="n">
        <x:f>IF(ISNUMBER(S440),ABS(S440),"")</x:f>
        <x:v>0.051238150760537504</x:v>
      </x:c>
      <x:c r="U440" s="37" t="n">
        <x:f>IF(ISNUMBER(Q440),Q440^2,"")</x:f>
        <x:v>0.000013800487608429149</x:v>
      </x:c>
      <x:c r="V440" s="21" t="str">
        <x:f>IF(NOT(AND(ISNUMBER(D440),ISNUMBER(E440),ISNUMBER(G440),ISNUMBER(H440))),"缺少配对",IF(OR(F440&lt;J440,F440&gt;K440),"超出理论J范围","有效"))</x:f>
        <x:v>有效</x:v>
      </x:c>
      <x:c r="W440" s="20" t="str">
        <x:v>升力 y=0.915708x+28.7687 → C_T_prop；实验攻角 60° ↔ 理论 alpha_p_deg 30°；原升力源 5000rpm!D130/O130</x:v>
      </x:c>
      <x:c r="X440" s="20" t="str">
        <x:v>升力标定计算!M879</x:v>
      </x:c>
      <x:c r="Y440" s="20" t="str">
        <x:v>升力标定计算!M880</x:v>
      </x:c>
      <x:c r="Z440" s="20" t="str">
        <x:v>升力标定计算!N879</x:v>
      </x:c>
      <x:c r="AA440" s="20" t="str">
        <x:v>升力标定计算!N880</x:v>
      </x:c>
      <x:c r="AB440" s="20" t="str">
        <x:v>5000rpm!AT29:AS30</x:v>
      </x:c>
    </x:row>
    <x:row r="441">
      <x:c r="A441" s="21" t="n">
        <x:v>5000</x:v>
      </x:c>
      <x:c r="B441" s="21" t="n">
        <x:v>60</x:v>
      </x:c>
      <x:c r="C441" s="21" t="n">
        <x:v>19</x:v>
      </x:c>
      <x:c r="D441" s="22" t="n">
        <x:f>IFERROR('升力标定计算'!M881,"")</x:f>
        <x:v>0.08534902399270176</x:v>
      </x:c>
      <x:c r="E441" s="22" t="n">
        <x:f>IFERROR('升力标定计算'!M882,"")</x:f>
        <x:v>0.07820342992844884</x:v>
      </x:c>
      <x:c r="F441" s="22" t="n">
        <x:f>IF(AND(ISNUMBER(D441),ISNUMBER(E441)),AVERAGE(D441,E441),"")</x:f>
        <x:v>0.0817762269605753</x:v>
      </x:c>
      <x:c r="G441" s="22" t="n">
        <x:f>IFERROR('升力标定计算'!N881,"")</x:f>
        <x:v>0.07221424063933947</x:v>
      </x:c>
      <x:c r="H441" s="22" t="n">
        <x:f>IFERROR('升力标定计算'!N882,"")</x:f>
        <x:v>0.07246703856348233</x:v>
      </x:c>
      <x:c r="I441" s="22" t="n">
        <x:f>IF(AND(ISNUMBER(G441),ISNUMBER(H441)),AVERAGE(G441,H441),"")</x:f>
        <x:v>0.0723406396014109</x:v>
      </x:c>
      <x:c r="J441" s="22" t="n">
        <x:f>IFERROR('5000rpm'!AT25,"")</x:f>
        <x:v>0</x:v>
      </x:c>
      <x:c r="K441" s="22" t="n">
        <x:f>IFERROR('5000rpm'!AT35,"")</x:f>
        <x:v>0.26692913385826766</x:v>
      </x:c>
      <x:c r="L441" s="22" t="n">
        <x:f>IFERROR('5000rpm'!AT28,"")</x:f>
        <x:v>0.08007874015748032</x:v>
      </x:c>
      <x:c r="M441" s="22" t="n">
        <x:f>IFERROR('5000rpm'!AS28,"")</x:f>
        <x:v>0.0757845750554204</x:v>
      </x:c>
      <x:c r="N441" s="22" t="n">
        <x:f>IFERROR('5000rpm'!AT29,"")</x:f>
        <x:v>0.10677165354330712</x:v>
      </x:c>
      <x:c r="O441" s="22" t="n">
        <x:f>IFERROR('5000rpm'!AS29,"")</x:f>
        <x:v>0.07303618454216375</x:v>
      </x:c>
      <x:c r="P441" s="22" t="n">
        <x:f>IF(OR(NOT(AND(ISNUMBER(D441),ISNUMBER(E441),ISNUMBER(G441),ISNUMBER(H441))),OR(F441&lt;J441,F441&gt;K441)),"",IF(N441=L441,M441,M441+(F441-L441)*(O441-M441)/(N441-L441)))</x:f>
        <x:v>0.07560979620836948</x:v>
      </x:c>
      <x:c r="Q441" s="22" t="n">
        <x:f>IF(AND(ISNUMBER(I441),ISNUMBER(P441)),I441-P441,"")</x:f>
        <x:v>-0.003269156606958576</x:v>
      </x:c>
      <x:c r="R441" s="22" t="n">
        <x:f>IF(ISNUMBER(Q441),ABS(Q441),"")</x:f>
        <x:v>0.003269156606958576</x:v>
      </x:c>
      <x:c r="S441" s="36" t="n">
        <x:f>IF(AND(ISNUMBER(Q441),ISNUMBER(P441)),IF(ABS(P441)&lt;1E-12,"",Q441/P441),"")</x:f>
        <x:v>-0.043237209606401546</x:v>
      </x:c>
      <x:c r="T441" s="36" t="n">
        <x:f>IF(ISNUMBER(S441),ABS(S441),"")</x:f>
        <x:v>0.043237209606401546</x:v>
      </x:c>
      <x:c r="U441" s="37" t="n">
        <x:f>IF(ISNUMBER(Q441),Q441^2,"")</x:f>
        <x:v>0.00001068738492082091</x:v>
      </x:c>
      <x:c r="V441" s="21" t="str">
        <x:f>IF(NOT(AND(ISNUMBER(D441),ISNUMBER(E441),ISNUMBER(G441),ISNUMBER(H441))),"缺少配对",IF(OR(F441&lt;J441,F441&gt;K441),"超出理论J范围","有效"))</x:f>
        <x:v>有效</x:v>
      </x:c>
      <x:c r="W441" s="20" t="str">
        <x:v>升力 y=0.915708x+28.7687 → C_T_prop；实验攻角 60° ↔ 理论 alpha_p_deg 30°；原升力源 5000rpm!D131/O131</x:v>
      </x:c>
      <x:c r="X441" s="20" t="str">
        <x:v>升力标定计算!M881</x:v>
      </x:c>
      <x:c r="Y441" s="20" t="str">
        <x:v>升力标定计算!M882</x:v>
      </x:c>
      <x:c r="Z441" s="20" t="str">
        <x:v>升力标定计算!N881</x:v>
      </x:c>
      <x:c r="AA441" s="20" t="str">
        <x:v>升力标定计算!N882</x:v>
      </x:c>
      <x:c r="AB441" s="20" t="str">
        <x:v>5000rpm!AT28:AS29</x:v>
      </x:c>
    </x:row>
    <x:row r="442">
      <x:c r="A442" s="21" t="n">
        <x:v>5000</x:v>
      </x:c>
      <x:c r="B442" s="21" t="n">
        <x:v>60</x:v>
      </x:c>
      <x:c r="C442" s="21" t="n">
        <x:v>20</x:v>
      </x:c>
      <x:c r="D442" s="22" t="n">
        <x:f>IFERROR('升力标定计算'!M883,"")</x:f>
        <x:v>0.057645063748664516</x:v>
      </x:c>
      <x:c r="E442" s="22" t="n">
        <x:f>IFERROR('升力标定计算'!M884,"")</x:f>
        <x:v>0.056806417301035535</x:v>
      </x:c>
      <x:c r="F442" s="22" t="n">
        <x:f>IF(AND(ISNUMBER(D442),ISNUMBER(E442)),AVERAGE(D442,E442),"")</x:f>
        <x:v>0.05722574052485002</x:v>
      </x:c>
      <x:c r="G442" s="22" t="n">
        <x:f>IFERROR('升力标定计算'!N883,"")</x:f>
        <x:v>0.07470083837283883</x:v>
      </x:c>
      <x:c r="H442" s="22" t="n">
        <x:f>IFERROR('升力标定计算'!N884,"")</x:f>
        <x:v>0.07436453469958283</x:v>
      </x:c>
      <x:c r="I442" s="22" t="n">
        <x:f>IF(AND(ISNUMBER(G442),ISNUMBER(H442)),AVERAGE(G442,H442),"")</x:f>
        <x:v>0.07453268653621084</x:v>
      </x:c>
      <x:c r="J442" s="22" t="n">
        <x:f>IFERROR('5000rpm'!AT25,"")</x:f>
        <x:v>0</x:v>
      </x:c>
      <x:c r="K442" s="22" t="n">
        <x:f>IFERROR('5000rpm'!AT35,"")</x:f>
        <x:v>0.26692913385826766</x:v>
      </x:c>
      <x:c r="L442" s="22" t="n">
        <x:f>IFERROR('5000rpm'!AT27,"")</x:f>
        <x:v>0.05338582677165356</x:v>
      </x:c>
      <x:c r="M442" s="22" t="n">
        <x:f>IFERROR('5000rpm'!AS27,"")</x:f>
        <x:v>0.07842552538963266</x:v>
      </x:c>
      <x:c r="N442" s="22" t="n">
        <x:f>IFERROR('5000rpm'!AT28,"")</x:f>
        <x:v>0.08007874015748032</x:v>
      </x:c>
      <x:c r="O442" s="22" t="n">
        <x:f>IFERROR('5000rpm'!AS28,"")</x:f>
        <x:v>0.0757845750554204</x:v>
      </x:c>
      <x:c r="P442" s="22" t="n">
        <x:f>IF(OR(NOT(AND(ISNUMBER(D442),ISNUMBER(E442),ISNUMBER(G442),ISNUMBER(H442))),OR(F442&lt;J442,F442&gt;K442)),"",IF(N442=L442,M442,M442+(F442-L442)*(O442-M442)/(N442-L442)))</x:f>
        <x:v>0.07804561101448487</x:v>
      </x:c>
      <x:c r="Q442" s="22" t="n">
        <x:f>IF(AND(ISNUMBER(I442),ISNUMBER(P442)),I442-P442,"")</x:f>
        <x:v>-0.003512924478274032</x:v>
      </x:c>
      <x:c r="R442" s="22" t="n">
        <x:f>IF(ISNUMBER(Q442),ABS(Q442),"")</x:f>
        <x:v>0.003512924478274032</x:v>
      </x:c>
      <x:c r="S442" s="36" t="n">
        <x:f>IF(AND(ISNUMBER(Q442),ISNUMBER(P442)),IF(ABS(P442)&lt;1E-12,"",Q442/P442),"")</x:f>
        <x:v>-0.04501117273105916</x:v>
      </x:c>
      <x:c r="T442" s="36" t="n">
        <x:f>IF(ISNUMBER(S442),ABS(S442),"")</x:f>
        <x:v>0.04501117273105916</x:v>
      </x:c>
      <x:c r="U442" s="37" t="n">
        <x:f>IF(ISNUMBER(Q442),Q442^2,"")</x:f>
        <x:v>0.00001234063839005688</x:v>
      </x:c>
      <x:c r="V442" s="21" t="str">
        <x:f>IF(NOT(AND(ISNUMBER(D442),ISNUMBER(E442),ISNUMBER(G442),ISNUMBER(H442))),"缺少配对",IF(OR(F442&lt;J442,F442&gt;K442),"超出理论J范围","有效"))</x:f>
        <x:v>有效</x:v>
      </x:c>
      <x:c r="W442" s="20" t="str">
        <x:v>升力 y=0.915708x+28.7687 → C_T_prop；实验攻角 60° ↔ 理论 alpha_p_deg 30°；原升力源 5000rpm!D132/O132</x:v>
      </x:c>
      <x:c r="X442" s="20" t="str">
        <x:v>升力标定计算!M883</x:v>
      </x:c>
      <x:c r="Y442" s="20" t="str">
        <x:v>升力标定计算!M884</x:v>
      </x:c>
      <x:c r="Z442" s="20" t="str">
        <x:v>升力标定计算!N883</x:v>
      </x:c>
      <x:c r="AA442" s="20" t="str">
        <x:v>升力标定计算!N884</x:v>
      </x:c>
      <x:c r="AB442" s="20" t="str">
        <x:v>5000rpm!AT27:AS28</x:v>
      </x:c>
    </x:row>
    <x:row r="443">
      <x:c r="A443" s="21" t="n">
        <x:v>5000</x:v>
      </x:c>
      <x:c r="B443" s="21" t="n">
        <x:v>60</x:v>
      </x:c>
      <x:c r="C443" s="21" t="n">
        <x:v>21</x:v>
      </x:c>
      <x:c r="D443" s="22" t="n">
        <x:f>IFERROR('升力标定计算'!M885,"")</x:f>
        <x:v>0.029684340220418964</x:v>
      </x:c>
      <x:c r="E443" s="22" t="n">
        <x:f>IFERROR('升力标定计算'!M886,"")</x:f>
        <x:v>0.029242103023062772</x:v>
      </x:c>
      <x:c r="F443" s="22" t="n">
        <x:f>IF(AND(ISNUMBER(D443),ISNUMBER(E443)),AVERAGE(D443,E443),"")</x:f>
        <x:v>0.02946322162174087</x:v>
      </x:c>
      <x:c r="G443" s="22" t="n">
        <x:f>IFERROR('升力标定计算'!N885,"")</x:f>
        <x:v>0.07661258789565627</x:v>
      </x:c>
      <x:c r="H443" s="22" t="n">
        <x:f>IFERROR('升力标定计算'!N886,"")</x:f>
        <x:v>0.07463958370850585</x:v>
      </x:c>
      <x:c r="I443" s="22" t="n">
        <x:f>IF(AND(ISNUMBER(G443),ISNUMBER(H443)),AVERAGE(G443,H443),"")</x:f>
        <x:v>0.07562608580208105</x:v>
      </x:c>
      <x:c r="J443" s="22" t="n">
        <x:f>IFERROR('5000rpm'!AT25,"")</x:f>
        <x:v>0</x:v>
      </x:c>
      <x:c r="K443" s="22" t="n">
        <x:f>IFERROR('5000rpm'!AT35,"")</x:f>
        <x:v>0.26692913385826766</x:v>
      </x:c>
      <x:c r="L443" s="22" t="n">
        <x:f>IFERROR('5000rpm'!AT26,"")</x:f>
        <x:v>0.02669291338582678</x:v>
      </x:c>
      <x:c r="M443" s="22" t="n">
        <x:f>IFERROR('5000rpm'!AS26,"")</x:f>
        <x:v>0.08099064755474797</x:v>
      </x:c>
      <x:c r="N443" s="22" t="n">
        <x:f>IFERROR('5000rpm'!AT27,"")</x:f>
        <x:v>0.05338582677165356</x:v>
      </x:c>
      <x:c r="O443" s="22" t="n">
        <x:f>IFERROR('5000rpm'!AS27,"")</x:f>
        <x:v>0.07842552538963266</x:v>
      </x:c>
      <x:c r="P443" s="22" t="n">
        <x:f>IF(OR(NOT(AND(ISNUMBER(D443),ISNUMBER(E443),ISNUMBER(G443),ISNUMBER(H443))),OR(F443&lt;J443,F443&gt;K443)),"",IF(N443=L443,M443,M443+(F443-L443)*(O443-M443)/(N443-L443)))</x:f>
        <x:v>0.08072442786724403</x:v>
      </x:c>
      <x:c r="Q443" s="22" t="n">
        <x:f>IF(AND(ISNUMBER(I443),ISNUMBER(P443)),I443-P443,"")</x:f>
        <x:v>-0.005098342065162978</x:v>
      </x:c>
      <x:c r="R443" s="22" t="n">
        <x:f>IF(ISNUMBER(Q443),ABS(Q443),"")</x:f>
        <x:v>0.005098342065162978</x:v>
      </x:c>
      <x:c r="S443" s="36" t="n">
        <x:f>IF(AND(ISNUMBER(Q443),ISNUMBER(P443)),IF(ABS(P443)&lt;1E-12,"",Q443/P443),"")</x:f>
        <x:v>-0.06315736388429405</x:v>
      </x:c>
      <x:c r="T443" s="36" t="n">
        <x:f>IF(ISNUMBER(S443),ABS(S443),"")</x:f>
        <x:v>0.06315736388429405</x:v>
      </x:c>
      <x:c r="U443" s="37" t="n">
        <x:f>IF(ISNUMBER(Q443),Q443^2,"")</x:f>
        <x:v>0.0000259930918134103</x:v>
      </x:c>
      <x:c r="V443" s="21" t="str">
        <x:f>IF(NOT(AND(ISNUMBER(D443),ISNUMBER(E443),ISNUMBER(G443),ISNUMBER(H443))),"缺少配对",IF(OR(F443&lt;J443,F443&gt;K443),"超出理论J范围","有效"))</x:f>
        <x:v>有效</x:v>
      </x:c>
      <x:c r="W443" s="20" t="str">
        <x:v>升力 y=0.915708x+28.7687 → C_T_prop；实验攻角 60° ↔ 理论 alpha_p_deg 30°；原升力源 5000rpm!D133/O133</x:v>
      </x:c>
      <x:c r="X443" s="20" t="str">
        <x:v>升力标定计算!M885</x:v>
      </x:c>
      <x:c r="Y443" s="20" t="str">
        <x:v>升力标定计算!M886</x:v>
      </x:c>
      <x:c r="Z443" s="20" t="str">
        <x:v>升力标定计算!N885</x:v>
      </x:c>
      <x:c r="AA443" s="20" t="str">
        <x:v>升力标定计算!N886</x:v>
      </x:c>
      <x:c r="AB443" s="20" t="str">
        <x:v>5000rpm!AT26:AS27</x:v>
      </x:c>
    </x:row>
    <x:row r="444">
      <x:c r="A444" s="21" t="n">
        <x:v>5000</x:v>
      </x:c>
      <x:c r="B444" s="21" t="n">
        <x:v>60</x:v>
      </x:c>
      <x:c r="C444" s="21" t="n">
        <x:v>22</x:v>
      </x:c>
      <x:c r="D444" s="22" t="n">
        <x:f>IFERROR('升力标定计算'!M887,"")</x:f>
        <x:v>0.008220642489275846</x:v>
      </x:c>
      <x:c r="E444" s="22" t="n">
        <x:f>IFERROR('升力标定计算'!M888,"")</x:f>
        <x:v>0.008381682569605845</x:v>
      </x:c>
      <x:c r="F444" s="22" t="n">
        <x:f>IF(AND(ISNUMBER(D444),ISNUMBER(E444)),AVERAGE(D444,E444),"")</x:f>
        <x:v>0.008301162529440846</x:v>
      </x:c>
      <x:c r="G444" s="22" t="n">
        <x:f>IFERROR('升力标定计算'!N887,"")</x:f>
        <x:v>0.07778460283801962</x:v>
      </x:c>
      <x:c r="H444" s="22" t="n">
        <x:f>IFERROR('升力标定计算'!N888,"")</x:f>
        <x:v>0.07777323902624336</x:v>
      </x:c>
      <x:c r="I444" s="22" t="n">
        <x:f>IF(AND(ISNUMBER(G444),ISNUMBER(H444)),AVERAGE(G444,H444),"")</x:f>
        <x:v>0.07777892093213148</x:v>
      </x:c>
      <x:c r="J444" s="22" t="n">
        <x:f>IFERROR('5000rpm'!AT25,"")</x:f>
        <x:v>0</x:v>
      </x:c>
      <x:c r="K444" s="22" t="n">
        <x:f>IFERROR('5000rpm'!AT35,"")</x:f>
        <x:v>0.26692913385826766</x:v>
      </x:c>
      <x:c r="L444" s="22" t="n">
        <x:f>IFERROR('5000rpm'!AT25,"")</x:f>
        <x:v>0</x:v>
      </x:c>
      <x:c r="M444" s="22" t="n">
        <x:f>IFERROR('5000rpm'!AS25,"")</x:f>
        <x:v>0.0836476206119306</x:v>
      </x:c>
      <x:c r="N444" s="22" t="n">
        <x:f>IFERROR('5000rpm'!AT26,"")</x:f>
        <x:v>0.02669291338582678</x:v>
      </x:c>
      <x:c r="O444" s="22" t="n">
        <x:f>IFERROR('5000rpm'!AS26,"")</x:f>
        <x:v>0.08099064755474797</x:v>
      </x:c>
      <x:c r="P444" s="22" t="n">
        <x:f>IF(OR(NOT(AND(ISNUMBER(D444),ISNUMBER(E444),ISNUMBER(G444),ISNUMBER(H444))),OR(F444&lt;J444,F444&gt;K444)),"",IF(N444=L444,M444,M444+(F444-L444)*(O444-M444)/(N444-L444)))</x:f>
        <x:v>0.08282133519058242</x:v>
      </x:c>
      <x:c r="Q444" s="22" t="n">
        <x:f>IF(AND(ISNUMBER(I444),ISNUMBER(P444)),I444-P444,"")</x:f>
        <x:v>-0.005042414258450936</x:v>
      </x:c>
      <x:c r="R444" s="22" t="n">
        <x:f>IF(ISNUMBER(Q444),ABS(Q444),"")</x:f>
        <x:v>0.005042414258450936</x:v>
      </x:c>
      <x:c r="S444" s="36" t="n">
        <x:f>IF(AND(ISNUMBER(Q444),ISNUMBER(P444)),IF(ABS(P444)&lt;1E-12,"",Q444/P444),"")</x:f>
        <x:v>-0.06088303511224131</x:v>
      </x:c>
      <x:c r="T444" s="36" t="n">
        <x:f>IF(ISNUMBER(S444),ABS(S444),"")</x:f>
        <x:v>0.06088303511224131</x:v>
      </x:c>
      <x:c r="U444" s="37" t="n">
        <x:f>IF(ISNUMBER(Q444),Q444^2,"")</x:f>
        <x:v>0.000025425941553829306</x:v>
      </x:c>
      <x:c r="V444" s="21" t="str">
        <x:f>IF(NOT(AND(ISNUMBER(D444),ISNUMBER(E444),ISNUMBER(G444),ISNUMBER(H444))),"缺少配对",IF(OR(F444&lt;J444,F444&gt;K444),"超出理论J范围","有效"))</x:f>
        <x:v>有效</x:v>
      </x:c>
      <x:c r="W444" s="20" t="str">
        <x:v>升力 y=0.915708x+28.7687 → C_T_prop；实验攻角 60° ↔ 理论 alpha_p_deg 30°；原升力源 5000rpm!D134/O134</x:v>
      </x:c>
      <x:c r="X444" s="20" t="str">
        <x:v>升力标定计算!M887</x:v>
      </x:c>
      <x:c r="Y444" s="20" t="str">
        <x:v>升力标定计算!M888</x:v>
      </x:c>
      <x:c r="Z444" s="20" t="str">
        <x:v>升力标定计算!N887</x:v>
      </x:c>
      <x:c r="AA444" s="20" t="str">
        <x:v>升力标定计算!N888</x:v>
      </x:c>
      <x:c r="AB444" s="20" t="str">
        <x:v>5000rpm!AT25:AS26</x:v>
      </x:c>
    </x:row>
    <x:row r="445">
      <x:c r="A445" s="21" t="n">
        <x:v>5000</x:v>
      </x:c>
      <x:c r="B445" s="21" t="n">
        <x:v>60</x:v>
      </x:c>
      <x:c r="C445" s="21" t="n">
        <x:v>23</x:v>
      </x:c>
      <x:c r="D445" s="22" t="str">
        <x:f>IFERROR('升力标定计算'!M889,"")</x:f>
      </x:c>
      <x:c r="E445" s="22" t="str">
        <x:f>IFERROR('升力标定计算'!M890,"")</x:f>
      </x:c>
      <x:c r="F445" s="22" t="str">
        <x:f>IF(AND(ISNUMBER(D445),ISNUMBER(E445)),AVERAGE(D445,E445),"")</x:f>
      </x:c>
      <x:c r="G445" s="22" t="str">
        <x:f>IFERROR('升力标定计算'!N889,"")</x:f>
      </x:c>
      <x:c r="H445" s="22" t="str">
        <x:f>IFERROR('升力标定计算'!N890,"")</x:f>
      </x:c>
      <x:c r="I445" s="22" t="str">
        <x:f>IF(AND(ISNUMBER(G445),ISNUMBER(H445)),AVERAGE(G445,H445),"")</x:f>
      </x:c>
      <x:c r="J445" s="22" t="n">
        <x:f>IFERROR('5000rpm'!AT25,"")</x:f>
        <x:v>0</x:v>
      </x:c>
      <x:c r="K445" s="22" t="n">
        <x:f>IFERROR('5000rpm'!AT35,"")</x:f>
        <x:v>0.26692913385826766</x:v>
      </x:c>
      <x:c r="L445" s="22" t="n">
        <x:f>IFERROR('5000rpm'!AT25,"")</x:f>
        <x:v>0</x:v>
      </x:c>
      <x:c r="M445" s="22" t="n">
        <x:f>IFERROR('5000rpm'!AS25,"")</x:f>
        <x:v>0.0836476206119306</x:v>
      </x:c>
      <x:c r="N445" s="22" t="n">
        <x:f>IFERROR('5000rpm'!AT35,"")</x:f>
        <x:v>0.26692913385826766</x:v>
      </x:c>
      <x:c r="O445" s="22" t="n">
        <x:f>IFERROR('5000rpm'!AS35,"")</x:f>
        <x:v>0.05354137500489469</x:v>
      </x:c>
      <x:c r="P445" s="22" t="str">
        <x:f>IF(OR(NOT(AND(ISNUMBER(D445),ISNUMBER(E445),ISNUMBER(G445),ISNUMBER(H445))),OR(F445&lt;J445,F445&gt;K445)),"",IF(N445=L445,M445,M445+(F445-L445)*(O445-M445)/(N445-L445)))</x:f>
      </x:c>
      <x:c r="Q445" s="22" t="str">
        <x:f>IF(AND(ISNUMBER(I445),ISNUMBER(P445)),I445-P445,"")</x:f>
      </x:c>
      <x:c r="R445" s="22" t="str">
        <x:f>IF(ISNUMBER(Q445),ABS(Q445),"")</x:f>
      </x:c>
      <x:c r="S445" s="36" t="str">
        <x:f>IF(AND(ISNUMBER(Q445),ISNUMBER(P445)),IF(ABS(P445)&lt;1E-12,"",Q445/P445),"")</x:f>
      </x:c>
      <x:c r="T445" s="36" t="str">
        <x:f>IF(ISNUMBER(S445),ABS(S445),"")</x:f>
      </x:c>
      <x:c r="U445" s="37" t="str">
        <x:f>IF(ISNUMBER(Q445),Q445^2,"")</x:f>
      </x:c>
      <x:c r="V445" s="21" t="str">
        <x:f>IF(NOT(AND(ISNUMBER(D445),ISNUMBER(E445),ISNUMBER(G445),ISNUMBER(H445))),"缺少配对",IF(OR(F445&lt;J445,F445&gt;K445),"超出理论J范围","有效"))</x:f>
        <x:v>缺少配对</x:v>
      </x:c>
      <x:c r="W445" s="20" t="str">
        <x:v>升力 y=0.915708x+28.7687 → C_T_prop；实验攻角 60° ↔ 理论 alpha_p_deg 30°；原升力源 5000rpm!D135/O135</x:v>
      </x:c>
      <x:c r="X445" s="20" t="str">
        <x:v>升力标定计算!M889</x:v>
      </x:c>
      <x:c r="Y445" s="20" t="str">
        <x:v>升力标定计算!M890</x:v>
      </x:c>
      <x:c r="Z445" s="20" t="str">
        <x:v>升力标定计算!N889</x:v>
      </x:c>
      <x:c r="AA445" s="20" t="str">
        <x:v>升力标定计算!N890</x:v>
      </x:c>
      <x:c r="AB445" s="20" t="str">
        <x:v>5000rpm!AT25:AS35</x:v>
      </x:c>
    </x:row>
    <x:row r="446">
      <x:c r="A446" s="21" t="n">
        <x:v>5000</x:v>
      </x:c>
      <x:c r="B446" s="21" t="n">
        <x:v>75</x:v>
      </x:c>
      <x:c r="C446" s="21" t="n">
        <x:v>1</x:v>
      </x:c>
      <x:c r="D446" s="22" t="str">
        <x:f>IFERROR('升力标定计算'!M891,"")</x:f>
      </x:c>
      <x:c r="E446" s="22" t="str">
        <x:f>IFERROR('升力标定计算'!M892,"")</x:f>
      </x:c>
      <x:c r="F446" s="22" t="str">
        <x:f>IF(AND(ISNUMBER(D446),ISNUMBER(E446)),AVERAGE(D446,E446),"")</x:f>
      </x:c>
      <x:c r="G446" s="22" t="str">
        <x:f>IFERROR('升力标定计算'!N891,"")</x:f>
      </x:c>
      <x:c r="H446" s="22" t="str">
        <x:f>IFERROR('升力标定计算'!N892,"")</x:f>
      </x:c>
      <x:c r="I446" s="22" t="str">
        <x:f>IF(AND(ISNUMBER(G446),ISNUMBER(H446)),AVERAGE(G446,H446),"")</x:f>
      </x:c>
      <x:c r="J446" s="22" t="n">
        <x:f>IFERROR('5000rpm'!AT14,"")</x:f>
        <x:v>0</x:v>
      </x:c>
      <x:c r="K446" s="22" t="n">
        <x:f>IFERROR('5000rpm'!AT24,"")</x:f>
        <x:v>0.26692913385826766</x:v>
      </x:c>
      <x:c r="L446" s="22" t="n">
        <x:f>IFERROR('5000rpm'!AT14,"")</x:f>
        <x:v>0</x:v>
      </x:c>
      <x:c r="M446" s="22" t="n">
        <x:f>IFERROR('5000rpm'!AS14,"")</x:f>
        <x:v>0.0836476206119306</x:v>
      </x:c>
      <x:c r="N446" s="22" t="n">
        <x:f>IFERROR('5000rpm'!AT24,"")</x:f>
        <x:v>0.26692913385826766</x:v>
      </x:c>
      <x:c r="O446" s="22" t="n">
        <x:f>IFERROR('5000rpm'!AS24,"")</x:f>
        <x:v>0.04757659414830129</x:v>
      </x:c>
      <x:c r="P446" s="22" t="str">
        <x:f>IF(OR(NOT(AND(ISNUMBER(D446),ISNUMBER(E446),ISNUMBER(G446),ISNUMBER(H446))),OR(F446&lt;J446,F446&gt;K446)),"",IF(N446=L446,M446,M446+(F446-L446)*(O446-M446)/(N446-L446)))</x:f>
      </x:c>
      <x:c r="Q446" s="22" t="str">
        <x:f>IF(AND(ISNUMBER(I446),ISNUMBER(P446)),I446-P446,"")</x:f>
      </x:c>
      <x:c r="R446" s="22" t="str">
        <x:f>IF(ISNUMBER(Q446),ABS(Q446),"")</x:f>
      </x:c>
      <x:c r="S446" s="36" t="str">
        <x:f>IF(AND(ISNUMBER(Q446),ISNUMBER(P446)),IF(ABS(P446)&lt;1E-12,"",Q446/P446),"")</x:f>
      </x:c>
      <x:c r="T446" s="36" t="str">
        <x:f>IF(ISNUMBER(S446),ABS(S446),"")</x:f>
      </x:c>
      <x:c r="U446" s="37" t="str">
        <x:f>IF(ISNUMBER(Q446),Q446^2,"")</x:f>
      </x:c>
      <x:c r="V446" s="21" t="str">
        <x:f>IF(NOT(AND(ISNUMBER(D446),ISNUMBER(E446),ISNUMBER(G446),ISNUMBER(H446))),"缺少配对",IF(OR(F446&lt;J446,F446&gt;K446),"超出理论J范围","有效"))</x:f>
        <x:v>缺少配对</x:v>
      </x:c>
      <x:c r="W446" s="20" t="str">
        <x:v>升力 y=0.915708x+28.7687 → C_T_prop；实验攻角 75° ↔ 理论 alpha_p_deg 15°；原升力源 5000rpm!D140/O140</x:v>
      </x:c>
      <x:c r="X446" s="20" t="str">
        <x:v>升力标定计算!M891</x:v>
      </x:c>
      <x:c r="Y446" s="20" t="str">
        <x:v>升力标定计算!M892</x:v>
      </x:c>
      <x:c r="Z446" s="20" t="str">
        <x:v>升力标定计算!N891</x:v>
      </x:c>
      <x:c r="AA446" s="20" t="str">
        <x:v>升力标定计算!N892</x:v>
      </x:c>
      <x:c r="AB446" s="20" t="str">
        <x:v>5000rpm!AT14:AS24</x:v>
      </x:c>
    </x:row>
    <x:row r="447">
      <x:c r="A447" s="21" t="n">
        <x:v>5000</x:v>
      </x:c>
      <x:c r="B447" s="21" t="n">
        <x:v>75</x:v>
      </x:c>
      <x:c r="C447" s="21" t="n">
        <x:v>2</x:v>
      </x:c>
      <x:c r="D447" s="22" t="n">
        <x:f>IFERROR('升力标定计算'!M893,"")</x:f>
        <x:v>0.008691049624821352</x:v>
      </x:c>
      <x:c r="E447" s="22" t="n">
        <x:f>IFERROR('升力标定计算'!M894,"")</x:f>
        <x:v>0.005922442577386638</x:v>
      </x:c>
      <x:c r="F447" s="22" t="n">
        <x:f>IF(AND(ISNUMBER(D447),ISNUMBER(E447)),AVERAGE(D447,E447),"")</x:f>
        <x:v>0.007306746101103994</x:v>
      </x:c>
      <x:c r="G447" s="22" t="n">
        <x:f>IFERROR('升力标定计算'!N893,"")</x:f>
        <x:v>0.07638416359542526</x:v>
      </x:c>
      <x:c r="H447" s="22" t="n">
        <x:f>IFERROR('升力标定计算'!N894,"")</x:f>
        <x:v>0.07702622690208637</x:v>
      </x:c>
      <x:c r="I447" s="22" t="n">
        <x:f>IF(AND(ISNUMBER(G447),ISNUMBER(H447)),AVERAGE(G447,H447),"")</x:f>
        <x:v>0.07670519524875581</x:v>
      </x:c>
      <x:c r="J447" s="22" t="n">
        <x:f>IFERROR('5000rpm'!AT14,"")</x:f>
        <x:v>0</x:v>
      </x:c>
      <x:c r="K447" s="22" t="n">
        <x:f>IFERROR('5000rpm'!AT24,"")</x:f>
        <x:v>0.26692913385826766</x:v>
      </x:c>
      <x:c r="L447" s="22" t="n">
        <x:f>IFERROR('5000rpm'!AT14,"")</x:f>
        <x:v>0</x:v>
      </x:c>
      <x:c r="M447" s="22" t="n">
        <x:f>IFERROR('5000rpm'!AS14,"")</x:f>
        <x:v>0.0836476206119306</x:v>
      </x:c>
      <x:c r="N447" s="22" t="n">
        <x:f>IFERROR('5000rpm'!AT15,"")</x:f>
        <x:v>0.02669291338582678</x:v>
      </x:c>
      <x:c r="O447" s="22" t="n">
        <x:f>IFERROR('5000rpm'!AS15,"")</x:f>
        <x:v>0.0806258972008846</x:v>
      </x:c>
      <x:c r="P447" s="22" t="n">
        <x:f>IF(OR(NOT(AND(ISNUMBER(D447),ISNUMBER(E447),ISNUMBER(G447),ISNUMBER(H447))),OR(F447&lt;J447,F447&gt;K447)),"",IF(N447=L447,M447,M447+(F447-L447)*(O447-M447)/(N447-L447)))</x:f>
        <x:v>0.08282047351737634</x:v>
      </x:c>
      <x:c r="Q447" s="22" t="n">
        <x:f>IF(AND(ISNUMBER(I447),ISNUMBER(P447)),I447-P447,"")</x:f>
        <x:v>-0.00611527826862053</x:v>
      </x:c>
      <x:c r="R447" s="22" t="n">
        <x:f>IF(ISNUMBER(Q447),ABS(Q447),"")</x:f>
        <x:v>0.00611527826862053</x:v>
      </x:c>
      <x:c r="S447" s="36" t="n">
        <x:f>IF(AND(ISNUMBER(Q447),ISNUMBER(P447)),IF(ABS(P447)&lt;1E-12,"",Q447/P447),"")</x:f>
        <x:v>-0.07383776026512938</x:v>
      </x:c>
      <x:c r="T447" s="36" t="n">
        <x:f>IF(ISNUMBER(S447),ABS(S447),"")</x:f>
        <x:v>0.07383776026512938</x:v>
      </x:c>
      <x:c r="U447" s="37" t="n">
        <x:f>IF(ISNUMBER(Q447),Q447^2,"")</x:f>
        <x:v>0.000037396628302662514</x:v>
      </x:c>
      <x:c r="V447" s="21" t="str">
        <x:f>IF(NOT(AND(ISNUMBER(D447),ISNUMBER(E447),ISNUMBER(G447),ISNUMBER(H447))),"缺少配对",IF(OR(F447&lt;J447,F447&gt;K447),"超出理论J范围","有效"))</x:f>
        <x:v>有效</x:v>
      </x:c>
      <x:c r="W447" s="20" t="str">
        <x:v>升力 y=0.915708x+28.7687 → C_T_prop；实验攻角 75° ↔ 理论 alpha_p_deg 15°；原升力源 5000rpm!D141/O141</x:v>
      </x:c>
      <x:c r="X447" s="20" t="str">
        <x:v>升力标定计算!M893</x:v>
      </x:c>
      <x:c r="Y447" s="20" t="str">
        <x:v>升力标定计算!M894</x:v>
      </x:c>
      <x:c r="Z447" s="20" t="str">
        <x:v>升力标定计算!N893</x:v>
      </x:c>
      <x:c r="AA447" s="20" t="str">
        <x:v>升力标定计算!N894</x:v>
      </x:c>
      <x:c r="AB447" s="20" t="str">
        <x:v>5000rpm!AT14:AS15</x:v>
      </x:c>
    </x:row>
    <x:row r="448">
      <x:c r="A448" s="21" t="n">
        <x:v>5000</x:v>
      </x:c>
      <x:c r="B448" s="21" t="n">
        <x:v>75</x:v>
      </x:c>
      <x:c r="C448" s="21" t="n">
        <x:v>3</x:v>
      </x:c>
      <x:c r="D448" s="22" t="n">
        <x:f>IFERROR('升力标定计算'!M895,"")</x:f>
        <x:v>0.029245323489257475</x:v>
      </x:c>
      <x:c r="E448" s="22" t="n">
        <x:f>IFERROR('升力标定计算'!M896,"")</x:f>
        <x:v>0.02890666647525417</x:v>
      </x:c>
      <x:c r="F448" s="22" t="n">
        <x:f>IF(AND(ISNUMBER(D448),ISNUMBER(E448)),AVERAGE(D448,E448),"")</x:f>
        <x:v>0.029075994982255823</x:v>
      </x:c>
      <x:c r="G448" s="22" t="n">
        <x:f>IFERROR('升力标定计算'!N895,"")</x:f>
        <x:v>0.0755633718526498</x:v>
      </x:c>
      <x:c r="H448" s="22" t="n">
        <x:f>IFERROR('升力标定计算'!N896,"")</x:f>
        <x:v>0.07502220850956982</x:v>
      </x:c>
      <x:c r="I448" s="22" t="n">
        <x:f>IF(AND(ISNUMBER(G448),ISNUMBER(H448)),AVERAGE(G448,H448),"")</x:f>
        <x:v>0.07529279018110982</x:v>
      </x:c>
      <x:c r="J448" s="22" t="n">
        <x:f>IFERROR('5000rpm'!AT14,"")</x:f>
        <x:v>0</x:v>
      </x:c>
      <x:c r="K448" s="22" t="n">
        <x:f>IFERROR('5000rpm'!AT24,"")</x:f>
        <x:v>0.26692913385826766</x:v>
      </x:c>
      <x:c r="L448" s="22" t="n">
        <x:f>IFERROR('5000rpm'!AT15,"")</x:f>
        <x:v>0.02669291338582678</x:v>
      </x:c>
      <x:c r="M448" s="22" t="n">
        <x:f>IFERROR('5000rpm'!AS15,"")</x:f>
        <x:v>0.0806258972008846</x:v>
      </x:c>
      <x:c r="N448" s="22" t="n">
        <x:f>IFERROR('5000rpm'!AT16,"")</x:f>
        <x:v>0.05338582677165356</x:v>
      </x:c>
      <x:c r="O448" s="22" t="n">
        <x:f>IFERROR('5000rpm'!AS16,"")</x:f>
        <x:v>0.07761423283445075</x:v>
      </x:c>
      <x:c r="P448" s="22" t="n">
        <x:f>IF(OR(NOT(AND(ISNUMBER(D448),ISNUMBER(E448),ISNUMBER(G448),ISNUMBER(H448))),OR(F448&lt;J448,F448&gt;K448)),"",IF(N448=L448,M448,M448+(F448-L448)*(O448-M448)/(N448-L448)))</x:f>
        <x:v>0.0803570227688385</x:v>
      </x:c>
      <x:c r="Q448" s="22" t="n">
        <x:f>IF(AND(ISNUMBER(I448),ISNUMBER(P448)),I448-P448,"")</x:f>
        <x:v>-0.005064232587728687</x:v>
      </x:c>
      <x:c r="R448" s="22" t="n">
        <x:f>IF(ISNUMBER(Q448),ABS(Q448),"")</x:f>
        <x:v>0.005064232587728687</x:v>
      </x:c>
      <x:c r="S448" s="36" t="n">
        <x:f>IF(AND(ISNUMBER(Q448),ISNUMBER(P448)),IF(ABS(P448)&lt;1E-12,"",Q448/P448),"")</x:f>
        <x:v>-0.06302165527332772</x:v>
      </x:c>
      <x:c r="T448" s="36" t="n">
        <x:f>IF(ISNUMBER(S448),ABS(S448),"")</x:f>
        <x:v>0.06302165527332772</x:v>
      </x:c>
      <x:c r="U448" s="37" t="n">
        <x:f>IF(ISNUMBER(Q448),Q448^2,"")</x:f>
        <x:v>0.000025646451702613195</x:v>
      </x:c>
      <x:c r="V448" s="21" t="str">
        <x:f>IF(NOT(AND(ISNUMBER(D448),ISNUMBER(E448),ISNUMBER(G448),ISNUMBER(H448))),"缺少配对",IF(OR(F448&lt;J448,F448&gt;K448),"超出理论J范围","有效"))</x:f>
        <x:v>有效</x:v>
      </x:c>
      <x:c r="W448" s="20" t="str">
        <x:v>升力 y=0.915708x+28.7687 → C_T_prop；实验攻角 75° ↔ 理论 alpha_p_deg 15°；原升力源 5000rpm!D142/O142</x:v>
      </x:c>
      <x:c r="X448" s="20" t="str">
        <x:v>升力标定计算!M895</x:v>
      </x:c>
      <x:c r="Y448" s="20" t="str">
        <x:v>升力标定计算!M896</x:v>
      </x:c>
      <x:c r="Z448" s="20" t="str">
        <x:v>升力标定计算!N895</x:v>
      </x:c>
      <x:c r="AA448" s="20" t="str">
        <x:v>升力标定计算!N896</x:v>
      </x:c>
      <x:c r="AB448" s="20" t="str">
        <x:v>5000rpm!AT15:AS16</x:v>
      </x:c>
    </x:row>
    <x:row r="449">
      <x:c r="A449" s="21" t="n">
        <x:v>5000</x:v>
      </x:c>
      <x:c r="B449" s="21" t="n">
        <x:v>75</x:v>
      </x:c>
      <x:c r="C449" s="21" t="n">
        <x:v>4</x:v>
      </x:c>
      <x:c r="D449" s="22" t="n">
        <x:f>IFERROR('升力标定计算'!M897,"")</x:f>
        <x:v>0.05332998503401581</x:v>
      </x:c>
      <x:c r="E449" s="22" t="n">
        <x:f>IFERROR('升力标定计算'!M898,"")</x:f>
        <x:v>0.05624566786824094</x:v>
      </x:c>
      <x:c r="F449" s="22" t="n">
        <x:f>IF(AND(ISNUMBER(D449),ISNUMBER(E449)),AVERAGE(D449,E449),"")</x:f>
        <x:v>0.05478782645112837</x:v>
      </x:c>
      <x:c r="G449" s="22" t="n">
        <x:f>IFERROR('升力标定计算'!N897,"")</x:f>
        <x:v>0.07319590876951736</x:v>
      </x:c>
      <x:c r="H449" s="22" t="n">
        <x:f>IFERROR('升力标定计算'!N898,"")</x:f>
        <x:v>0.07101589338306977</x:v>
      </x:c>
      <x:c r="I449" s="22" t="n">
        <x:f>IF(AND(ISNUMBER(G449),ISNUMBER(H449)),AVERAGE(G449,H449),"")</x:f>
        <x:v>0.07210590107629355</x:v>
      </x:c>
      <x:c r="J449" s="22" t="n">
        <x:f>IFERROR('5000rpm'!AT14,"")</x:f>
        <x:v>0</x:v>
      </x:c>
      <x:c r="K449" s="22" t="n">
        <x:f>IFERROR('5000rpm'!AT24,"")</x:f>
        <x:v>0.26692913385826766</x:v>
      </x:c>
      <x:c r="L449" s="22" t="n">
        <x:f>IFERROR('5000rpm'!AT16,"")</x:f>
        <x:v>0.05338582677165356</x:v>
      </x:c>
      <x:c r="M449" s="22" t="n">
        <x:f>IFERROR('5000rpm'!AS16,"")</x:f>
        <x:v>0.07761423283445075</x:v>
      </x:c>
      <x:c r="N449" s="22" t="n">
        <x:f>IFERROR('5000rpm'!AT17,"")</x:f>
        <x:v>0.08007874015748032</x:v>
      </x:c>
      <x:c r="O449" s="22" t="n">
        <x:f>IFERROR('5000rpm'!AS17,"")</x:f>
        <x:v>0.07445440330819372</x:v>
      </x:c>
      <x:c r="P449" s="22" t="n">
        <x:f>IF(OR(NOT(AND(ISNUMBER(D449),ISNUMBER(E449),ISNUMBER(G449),ISNUMBER(H449))),OR(F449&lt;J449,F449&gt;K449)),"",IF(N449=L449,M449,M449+(F449-L449)*(O449-M449)/(N449-L449)))</x:f>
        <x:v>0.0774482681861198</x:v>
      </x:c>
      <x:c r="Q449" s="22" t="n">
        <x:f>IF(AND(ISNUMBER(I449),ISNUMBER(P449)),I449-P449,"")</x:f>
        <x:v>-0.005342367109826246</x:v>
      </x:c>
      <x:c r="R449" s="22" t="n">
        <x:f>IF(ISNUMBER(Q449),ABS(Q449),"")</x:f>
        <x:v>0.005342367109826246</x:v>
      </x:c>
      <x:c r="S449" s="36" t="n">
        <x:f>IF(AND(ISNUMBER(Q449),ISNUMBER(P449)),IF(ABS(P449)&lt;1E-12,"",Q449/P449),"")</x:f>
        <x:v>-0.06897981368657252</x:v>
      </x:c>
      <x:c r="T449" s="36" t="n">
        <x:f>IF(ISNUMBER(S449),ABS(S449),"")</x:f>
        <x:v>0.06897981368657252</x:v>
      </x:c>
      <x:c r="U449" s="37" t="n">
        <x:f>IF(ISNUMBER(Q449),Q449^2,"")</x:f>
        <x:v>0.000028540886336153236</x:v>
      </x:c>
      <x:c r="V449" s="21" t="str">
        <x:f>IF(NOT(AND(ISNUMBER(D449),ISNUMBER(E449),ISNUMBER(G449),ISNUMBER(H449))),"缺少配对",IF(OR(F449&lt;J449,F449&gt;K449),"超出理论J范围","有效"))</x:f>
        <x:v>有效</x:v>
      </x:c>
      <x:c r="W449" s="20" t="str">
        <x:v>升力 y=0.915708x+28.7687 → C_T_prop；实验攻角 75° ↔ 理论 alpha_p_deg 15°；原升力源 5000rpm!D143/O143</x:v>
      </x:c>
      <x:c r="X449" s="20" t="str">
        <x:v>升力标定计算!M897</x:v>
      </x:c>
      <x:c r="Y449" s="20" t="str">
        <x:v>升力标定计算!M898</x:v>
      </x:c>
      <x:c r="Z449" s="20" t="str">
        <x:v>升力标定计算!N897</x:v>
      </x:c>
      <x:c r="AA449" s="20" t="str">
        <x:v>升力标定计算!N898</x:v>
      </x:c>
      <x:c r="AB449" s="20" t="str">
        <x:v>5000rpm!AT16:AS17</x:v>
      </x:c>
    </x:row>
    <x:row r="450">
      <x:c r="A450" s="21" t="n">
        <x:v>5000</x:v>
      </x:c>
      <x:c r="B450" s="21" t="n">
        <x:v>75</x:v>
      </x:c>
      <x:c r="C450" s="21" t="n">
        <x:v>5</x:v>
      </x:c>
      <x:c r="D450" s="22" t="n">
        <x:f>IFERROR('升力标定计算'!M899,"")</x:f>
        <x:v>0.08644709572032024</x:v>
      </x:c>
      <x:c r="E450" s="22" t="n">
        <x:f>IFERROR('升力标定计算'!M900,"")</x:f>
        <x:v>0.08387157265008241</x:v>
      </x:c>
      <x:c r="F450" s="22" t="n">
        <x:f>IF(AND(ISNUMBER(D450),ISNUMBER(E450)),AVERAGE(D450,E450),"")</x:f>
        <x:v>0.08515933418520133</x:v>
      </x:c>
      <x:c r="G450" s="22" t="n">
        <x:f>IFERROR('升力标定计算'!N899,"")</x:f>
        <x:v>0.07036419009654658</x:v>
      </x:c>
      <x:c r="H450" s="22" t="n">
        <x:f>IFERROR('升力标定计算'!N900,"")</x:f>
        <x:v>0.06613560158903983</x:v>
      </x:c>
      <x:c r="I450" s="22" t="n">
        <x:f>IF(AND(ISNUMBER(G450),ISNUMBER(H450)),AVERAGE(G450,H450),"")</x:f>
        <x:v>0.0682498958427932</x:v>
      </x:c>
      <x:c r="J450" s="22" t="n">
        <x:f>IFERROR('5000rpm'!AT14,"")</x:f>
        <x:v>0</x:v>
      </x:c>
      <x:c r="K450" s="22" t="n">
        <x:f>IFERROR('5000rpm'!AT24,"")</x:f>
        <x:v>0.26692913385826766</x:v>
      </x:c>
      <x:c r="L450" s="22" t="n">
        <x:f>IFERROR('5000rpm'!AT17,"")</x:f>
        <x:v>0.08007874015748032</x:v>
      </x:c>
      <x:c r="M450" s="22" t="n">
        <x:f>IFERROR('5000rpm'!AS17,"")</x:f>
        <x:v>0.07445440330819372</x:v>
      </x:c>
      <x:c r="N450" s="22" t="n">
        <x:f>IFERROR('5000rpm'!AT18,"")</x:f>
        <x:v>0.10677165354330712</x:v>
      </x:c>
      <x:c r="O450" s="22" t="n">
        <x:f>IFERROR('5000rpm'!AS18,"")</x:f>
        <x:v>0.07113905769459414</x:v>
      </x:c>
      <x:c r="P450" s="22" t="n">
        <x:f>IF(OR(NOT(AND(ISNUMBER(D450),ISNUMBER(E450),ISNUMBER(G450),ISNUMBER(H450))),OR(F450&lt;J450,F450&gt;K450)),"",IF(N450=L450,M450,M450+(F450-L450)*(O450-M450)/(N450-L450)))</x:f>
        <x:v>0.07382337720471756</x:v>
      </x:c>
      <x:c r="Q450" s="22" t="n">
        <x:f>IF(AND(ISNUMBER(I450),ISNUMBER(P450)),I450-P450,"")</x:f>
        <x:v>-0.005573481361924357</x:v>
      </x:c>
      <x:c r="R450" s="22" t="n">
        <x:f>IF(ISNUMBER(Q450),ABS(Q450),"")</x:f>
        <x:v>0.005573481361924357</x:v>
      </x:c>
      <x:c r="S450" s="36" t="n">
        <x:f>IF(AND(ISNUMBER(Q450),ISNUMBER(P450)),IF(ABS(P450)&lt;1E-12,"",Q450/P450),"")</x:f>
        <x:v>-0.07549751275220978</x:v>
      </x:c>
      <x:c r="T450" s="36" t="n">
        <x:f>IF(ISNUMBER(S450),ABS(S450),"")</x:f>
        <x:v>0.07549751275220978</x:v>
      </x:c>
      <x:c r="U450" s="37" t="n">
        <x:f>IF(ISNUMBER(Q450),Q450^2,"")</x:f>
        <x:v>0.00003106369449171818</x:v>
      </x:c>
      <x:c r="V450" s="21" t="str">
        <x:f>IF(NOT(AND(ISNUMBER(D450),ISNUMBER(E450),ISNUMBER(G450),ISNUMBER(H450))),"缺少配对",IF(OR(F450&lt;J450,F450&gt;K450),"超出理论J范围","有效"))</x:f>
        <x:v>有效</x:v>
      </x:c>
      <x:c r="W450" s="20" t="str">
        <x:v>升力 y=0.915708x+28.7687 → C_T_prop；实验攻角 75° ↔ 理论 alpha_p_deg 15°；原升力源 5000rpm!D144/O144</x:v>
      </x:c>
      <x:c r="X450" s="20" t="str">
        <x:v>升力标定计算!M899</x:v>
      </x:c>
      <x:c r="Y450" s="20" t="str">
        <x:v>升力标定计算!M900</x:v>
      </x:c>
      <x:c r="Z450" s="20" t="str">
        <x:v>升力标定计算!N899</x:v>
      </x:c>
      <x:c r="AA450" s="20" t="str">
        <x:v>升力标定计算!N900</x:v>
      </x:c>
      <x:c r="AB450" s="20" t="str">
        <x:v>5000rpm!AT17:AS18</x:v>
      </x:c>
    </x:row>
    <x:row r="451">
      <x:c r="A451" s="21" t="n">
        <x:v>5000</x:v>
      </x:c>
      <x:c r="B451" s="21" t="n">
        <x:v>75</x:v>
      </x:c>
      <x:c r="C451" s="21" t="n">
        <x:v>6</x:v>
      </x:c>
      <x:c r="D451" s="22" t="n">
        <x:f>IFERROR('升力标定计算'!M901,"")</x:f>
        <x:v>0.1136812611160949</x:v>
      </x:c>
      <x:c r="E451" s="22" t="n">
        <x:f>IFERROR('升力标定计算'!M902,"")</x:f>
        <x:v>0.11106237586426974</x:v>
      </x:c>
      <x:c r="F451" s="22" t="n">
        <x:f>IF(AND(ISNUMBER(D451),ISNUMBER(E451)),AVERAGE(D451,E451),"")</x:f>
        <x:v>0.11237181849018232</x:v>
      </x:c>
      <x:c r="G451" s="22" t="n">
        <x:f>IFERROR('升力标定计算'!N901,"")</x:f>
        <x:v>0.06639996272998364</x:v>
      </x:c>
      <x:c r="H451" s="22" t="n">
        <x:f>IFERROR('升力标定计算'!N902,"")</x:f>
        <x:v>0.06253227766849062</x:v>
      </x:c>
      <x:c r="I451" s="22" t="n">
        <x:f>IF(AND(ISNUMBER(G451),ISNUMBER(H451)),AVERAGE(G451,H451),"")</x:f>
        <x:v>0.06446612019923713</x:v>
      </x:c>
      <x:c r="J451" s="22" t="n">
        <x:f>IFERROR('5000rpm'!AT14,"")</x:f>
        <x:v>0</x:v>
      </x:c>
      <x:c r="K451" s="22" t="n">
        <x:f>IFERROR('5000rpm'!AT24,"")</x:f>
        <x:v>0.26692913385826766</x:v>
      </x:c>
      <x:c r="L451" s="22" t="n">
        <x:f>IFERROR('5000rpm'!AT18,"")</x:f>
        <x:v>0.10677165354330712</x:v>
      </x:c>
      <x:c r="M451" s="22" t="n">
        <x:f>IFERROR('5000rpm'!AS18,"")</x:f>
        <x:v>0.07113905769459414</x:v>
      </x:c>
      <x:c r="N451" s="22" t="n">
        <x:f>IFERROR('5000rpm'!AT19,"")</x:f>
        <x:v>0.13346456692913383</x:v>
      </x:c>
      <x:c r="O451" s="22" t="n">
        <x:f>IFERROR('5000rpm'!AS19,"")</x:f>
        <x:v>0.06765767893490979</x:v>
      </x:c>
      <x:c r="P451" s="22" t="n">
        <x:f>IF(OR(NOT(AND(ISNUMBER(D451),ISNUMBER(E451),ISNUMBER(G451),ISNUMBER(H451))),OR(F451&lt;J451,F451&gt;K451)),"",IF(N451=L451,M451,M451+(F451-L451)*(O451-M451)/(N451-L451)))</x:f>
        <x:v>0.07040866551090945</x:v>
      </x:c>
      <x:c r="Q451" s="22" t="n">
        <x:f>IF(AND(ISNUMBER(I451),ISNUMBER(P451)),I451-P451,"")</x:f>
        <x:v>-0.00594254531167232</x:v>
      </x:c>
      <x:c r="R451" s="22" t="n">
        <x:f>IF(ISNUMBER(Q451),ABS(Q451),"")</x:f>
        <x:v>0.00594254531167232</x:v>
      </x:c>
      <x:c r="S451" s="36" t="n">
        <x:f>IF(AND(ISNUMBER(Q451),ISNUMBER(P451)),IF(ABS(P451)&lt;1E-12,"",Q451/P451),"")</x:f>
        <x:v>-0.0844007661351223</x:v>
      </x:c>
      <x:c r="T451" s="36" t="n">
        <x:f>IF(ISNUMBER(S451),ABS(S451),"")</x:f>
        <x:v>0.0844007661351223</x:v>
      </x:c>
      <x:c r="U451" s="37" t="n">
        <x:f>IF(ISNUMBER(Q451),Q451^2,"")</x:f>
        <x:v>0.000035313844781278675</x:v>
      </x:c>
      <x:c r="V451" s="21" t="str">
        <x:f>IF(NOT(AND(ISNUMBER(D451),ISNUMBER(E451),ISNUMBER(G451),ISNUMBER(H451))),"缺少配对",IF(OR(F451&lt;J451,F451&gt;K451),"超出理论J范围","有效"))</x:f>
        <x:v>有效</x:v>
      </x:c>
      <x:c r="W451" s="20" t="str">
        <x:v>升力 y=0.915708x+28.7687 → C_T_prop；实验攻角 75° ↔ 理论 alpha_p_deg 15°；原升力源 5000rpm!D145/O145</x:v>
      </x:c>
      <x:c r="X451" s="20" t="str">
        <x:v>升力标定计算!M901</x:v>
      </x:c>
      <x:c r="Y451" s="20" t="str">
        <x:v>升力标定计算!M902</x:v>
      </x:c>
      <x:c r="Z451" s="20" t="str">
        <x:v>升力标定计算!N901</x:v>
      </x:c>
      <x:c r="AA451" s="20" t="str">
        <x:v>升力标定计算!N902</x:v>
      </x:c>
      <x:c r="AB451" s="20" t="str">
        <x:v>5000rpm!AT18:AS19</x:v>
      </x:c>
    </x:row>
    <x:row r="452">
      <x:c r="A452" s="21" t="n">
        <x:v>5000</x:v>
      </x:c>
      <x:c r="B452" s="21" t="n">
        <x:v>75</x:v>
      </x:c>
      <x:c r="C452" s="21" t="n">
        <x:v>7</x:v>
      </x:c>
      <x:c r="D452" s="22" t="n">
        <x:f>IFERROR('升力标定计算'!M903,"")</x:f>
        <x:v>0.1403586540620703</x:v>
      </x:c>
      <x:c r="E452" s="22" t="n">
        <x:f>IFERROR('升力标定计算'!M904,"")</x:f>
        <x:v>0.1387318850832784</x:v>
      </x:c>
      <x:c r="F452" s="22" t="n">
        <x:f>IF(AND(ISNUMBER(D452),ISNUMBER(E452)),AVERAGE(D452,E452),"")</x:f>
        <x:v>0.13954526957267435</x:v>
      </x:c>
      <x:c r="G452" s="22" t="n">
        <x:f>IFERROR('升力标定计算'!N903,"")</x:f>
        <x:v>0.06242049572332277</x:v>
      </x:c>
      <x:c r="H452" s="22" t="n">
        <x:f>IFERROR('升力标定计算'!N904,"")</x:f>
        <x:v>0.06411562752555557</x:v>
      </x:c>
      <x:c r="I452" s="22" t="n">
        <x:f>IF(AND(ISNUMBER(G452),ISNUMBER(H452)),AVERAGE(G452,H452),"")</x:f>
        <x:v>0.06326806162443917</x:v>
      </x:c>
      <x:c r="J452" s="22" t="n">
        <x:f>IFERROR('5000rpm'!AT14,"")</x:f>
        <x:v>0</x:v>
      </x:c>
      <x:c r="K452" s="22" t="n">
        <x:f>IFERROR('5000rpm'!AT24,"")</x:f>
        <x:v>0.26692913385826766</x:v>
      </x:c>
      <x:c r="L452" s="22" t="n">
        <x:f>IFERROR('5000rpm'!AT19,"")</x:f>
        <x:v>0.13346456692913383</x:v>
      </x:c>
      <x:c r="M452" s="22" t="n">
        <x:f>IFERROR('5000rpm'!AS19,"")</x:f>
        <x:v>0.06765767893490979</x:v>
      </x:c>
      <x:c r="N452" s="22" t="n">
        <x:f>IFERROR('5000rpm'!AT20,"")</x:f>
        <x:v>0.16015748031496063</x:v>
      </x:c>
      <x:c r="O452" s="22" t="n">
        <x:f>IFERROR('5000rpm'!AS20,"")</x:f>
        <x:v>0.0640075663897467</x:v>
      </x:c>
      <x:c r="P452" s="22" t="n">
        <x:f>IF(OR(NOT(AND(ISNUMBER(D452),ISNUMBER(E452),ISNUMBER(G452),ISNUMBER(H452))),OR(F452&lt;J452,F452&gt;K452)),"",IF(N452=L452,M452,M452+(F452-L452)*(O452-M452)/(N452-L452)))</x:f>
        <x:v>0.06682617550619906</x:v>
      </x:c>
      <x:c r="Q452" s="22" t="n">
        <x:f>IF(AND(ISNUMBER(I452),ISNUMBER(P452)),I452-P452,"")</x:f>
        <x:v>-0.003558113881759889</x:v>
      </x:c>
      <x:c r="R452" s="22" t="n">
        <x:f>IF(ISNUMBER(Q452),ABS(Q452),"")</x:f>
        <x:v>0.003558113881759889</x:v>
      </x:c>
      <x:c r="S452" s="36" t="n">
        <x:f>IF(AND(ISNUMBER(Q452),ISNUMBER(P452)),IF(ABS(P452)&lt;1E-12,"",Q452/P452),"")</x:f>
        <x:v>-0.053244314144983866</x:v>
      </x:c>
      <x:c r="T452" s="36" t="n">
        <x:f>IF(ISNUMBER(S452),ABS(S452),"")</x:f>
        <x:v>0.053244314144983866</x:v>
      </x:c>
      <x:c r="U452" s="37" t="n">
        <x:f>IF(ISNUMBER(Q452),Q452^2,"")</x:f>
        <x:v>0.000012660174395572425</x:v>
      </x:c>
      <x:c r="V452" s="21" t="str">
        <x:f>IF(NOT(AND(ISNUMBER(D452),ISNUMBER(E452),ISNUMBER(G452),ISNUMBER(H452))),"缺少配对",IF(OR(F452&lt;J452,F452&gt;K452),"超出理论J范围","有效"))</x:f>
        <x:v>有效</x:v>
      </x:c>
      <x:c r="W452" s="20" t="str">
        <x:v>升力 y=0.915708x+28.7687 → C_T_prop；实验攻角 75° ↔ 理论 alpha_p_deg 15°；原升力源 5000rpm!D146/O146</x:v>
      </x:c>
      <x:c r="X452" s="20" t="str">
        <x:v>升力标定计算!M903</x:v>
      </x:c>
      <x:c r="Y452" s="20" t="str">
        <x:v>升力标定计算!M904</x:v>
      </x:c>
      <x:c r="Z452" s="20" t="str">
        <x:v>升力标定计算!N903</x:v>
      </x:c>
      <x:c r="AA452" s="20" t="str">
        <x:v>升力标定计算!N904</x:v>
      </x:c>
      <x:c r="AB452" s="20" t="str">
        <x:v>5000rpm!AT19:AS20</x:v>
      </x:c>
    </x:row>
    <x:row r="453">
      <x:c r="A453" s="21" t="n">
        <x:v>5000</x:v>
      </x:c>
      <x:c r="B453" s="21" t="n">
        <x:v>75</x:v>
      </x:c>
      <x:c r="C453" s="21" t="n">
        <x:v>8</x:v>
      </x:c>
      <x:c r="D453" s="22" t="n">
        <x:f>IFERROR('升力标定计算'!M905,"")</x:f>
        <x:v>0.16408543518113106</x:v>
      </x:c>
      <x:c r="E453" s="22" t="n">
        <x:f>IFERROR('升力标定计算'!M906,"")</x:f>
        <x:v>0.16470244704507914</x:v>
      </x:c>
      <x:c r="F453" s="22" t="n">
        <x:f>IF(AND(ISNUMBER(D453),ISNUMBER(E453)),AVERAGE(D453,E453),"")</x:f>
        <x:v>0.1643939411131051</x:v>
      </x:c>
      <x:c r="G453" s="22" t="n">
        <x:f>IFERROR('升力标定计算'!N905,"")</x:f>
        <x:v>0.058639529692919884</x:v>
      </x:c>
      <x:c r="H453" s="22" t="n">
        <x:f>IFERROR('升力标定计算'!N906,"")</x:f>
        <x:v>0.05991583929444801</x:v>
      </x:c>
      <x:c r="I453" s="22" t="n">
        <x:f>IF(AND(ISNUMBER(G453),ISNUMBER(H453)),AVERAGE(G453,H453),"")</x:f>
        <x:v>0.05927768449368395</x:v>
      </x:c>
      <x:c r="J453" s="22" t="n">
        <x:f>IFERROR('5000rpm'!AT14,"")</x:f>
        <x:v>0</x:v>
      </x:c>
      <x:c r="K453" s="22" t="n">
        <x:f>IFERROR('5000rpm'!AT24,"")</x:f>
        <x:v>0.26692913385826766</x:v>
      </x:c>
      <x:c r="L453" s="22" t="n">
        <x:f>IFERROR('5000rpm'!AT20,"")</x:f>
        <x:v>0.16015748031496063</x:v>
      </x:c>
      <x:c r="M453" s="22" t="n">
        <x:f>IFERROR('5000rpm'!AS20,"")</x:f>
        <x:v>0.0640075663897467</x:v>
      </x:c>
      <x:c r="N453" s="22" t="n">
        <x:f>IFERROR('5000rpm'!AT21,"")</x:f>
        <x:v>0.18685039370078743</x:v>
      </x:c>
      <x:c r="O453" s="22" t="n">
        <x:f>IFERROR('5000rpm'!AS21,"")</x:f>
        <x:v>0.0601823795488138</x:v>
      </x:c>
      <x:c r="P453" s="22" t="n">
        <x:f>IF(OR(NOT(AND(ISNUMBER(D453),ISNUMBER(E453),ISNUMBER(G453),ISNUMBER(H453))),OR(F453&lt;J453,F453&gt;K453)),"",IF(N453=L453,M453,M453+(F453-L453)*(O453-M453)/(N453-L453)))</x:f>
        <x:v>0.06340046689996995</x:v>
      </x:c>
      <x:c r="Q453" s="22" t="n">
        <x:f>IF(AND(ISNUMBER(I453),ISNUMBER(P453)),I453-P453,"")</x:f>
        <x:v>-0.004122782406285996</x:v>
      </x:c>
      <x:c r="R453" s="22" t="n">
        <x:f>IF(ISNUMBER(Q453),ABS(Q453),"")</x:f>
        <x:v>0.004122782406285996</x:v>
      </x:c>
      <x:c r="S453" s="36" t="n">
        <x:f>IF(AND(ISNUMBER(Q453),ISNUMBER(P453)),IF(ABS(P453)&lt;1E-12,"",Q453/P453),"")</x:f>
        <x:v>-0.06502763477737024</x:v>
      </x:c>
      <x:c r="T453" s="36" t="n">
        <x:f>IF(ISNUMBER(S453),ABS(S453),"")</x:f>
        <x:v>0.06502763477737024</x:v>
      </x:c>
      <x:c r="U453" s="37" t="n">
        <x:f>IF(ISNUMBER(Q453),Q453^2,"")</x:f>
        <x:v>0.00001699733476958135</x:v>
      </x:c>
      <x:c r="V453" s="21" t="str">
        <x:f>IF(NOT(AND(ISNUMBER(D453),ISNUMBER(E453),ISNUMBER(G453),ISNUMBER(H453))),"缺少配对",IF(OR(F453&lt;J453,F453&gt;K453),"超出理论J范围","有效"))</x:f>
        <x:v>有效</x:v>
      </x:c>
      <x:c r="W453" s="20" t="str">
        <x:v>升力 y=0.915708x+28.7687 → C_T_prop；实验攻角 75° ↔ 理论 alpha_p_deg 15°；原升力源 5000rpm!D147/O147</x:v>
      </x:c>
      <x:c r="X453" s="20" t="str">
        <x:v>升力标定计算!M905</x:v>
      </x:c>
      <x:c r="Y453" s="20" t="str">
        <x:v>升力标定计算!M906</x:v>
      </x:c>
      <x:c r="Z453" s="20" t="str">
        <x:v>升力标定计算!N905</x:v>
      </x:c>
      <x:c r="AA453" s="20" t="str">
        <x:v>升力标定计算!N906</x:v>
      </x:c>
      <x:c r="AB453" s="20" t="str">
        <x:v>5000rpm!AT20:AS21</x:v>
      </x:c>
    </x:row>
    <x:row r="454">
      <x:c r="A454" s="21" t="n">
        <x:v>5000</x:v>
      </x:c>
      <x:c r="B454" s="21" t="n">
        <x:v>75</x:v>
      </x:c>
      <x:c r="C454" s="21" t="n">
        <x:v>9</x:v>
      </x:c>
      <x:c r="D454" s="22" t="n">
        <x:f>IFERROR('升力标定计算'!M907,"")</x:f>
        <x:v>0.19392290872848963</x:v>
      </x:c>
      <x:c r="E454" s="22" t="n">
        <x:f>IFERROR('升力标定计算'!M908,"")</x:f>
        <x:v>0.19353001178911935</x:v>
      </x:c>
      <x:c r="F454" s="22" t="n">
        <x:f>IF(AND(ISNUMBER(D454),ISNUMBER(E454)),AVERAGE(D454,E454),"")</x:f>
        <x:v>0.1937264602588045</x:v>
      </x:c>
      <x:c r="G454" s="22" t="n">
        <x:f>IFERROR('升力标定计算'!N907,"")</x:f>
        <x:v>0.0552655216026796</x:v>
      </x:c>
      <x:c r="H454" s="22" t="n">
        <x:f>IFERROR('升力标定计算'!N908,"")</x:f>
        <x:v>0.05525219052045221</x:v>
      </x:c>
      <x:c r="I454" s="22" t="n">
        <x:f>IF(AND(ISNUMBER(G454),ISNUMBER(H454)),AVERAGE(G454,H454),"")</x:f>
        <x:v>0.0552588560615659</x:v>
      </x:c>
      <x:c r="J454" s="22" t="n">
        <x:f>IFERROR('5000rpm'!AT14,"")</x:f>
        <x:v>0</x:v>
      </x:c>
      <x:c r="K454" s="22" t="n">
        <x:f>IFERROR('5000rpm'!AT24,"")</x:f>
        <x:v>0.26692913385826766</x:v>
      </x:c>
      <x:c r="L454" s="22" t="n">
        <x:f>IFERROR('5000rpm'!AT21,"")</x:f>
        <x:v>0.18685039370078743</x:v>
      </x:c>
      <x:c r="M454" s="22" t="n">
        <x:f>IFERROR('5000rpm'!AS21,"")</x:f>
        <x:v>0.0601823795488138</x:v>
      </x:c>
      <x:c r="N454" s="22" t="n">
        <x:f>IFERROR('5000rpm'!AT22,"")</x:f>
        <x:v>0.21354330708661423</x:v>
      </x:c>
      <x:c r="O454" s="22" t="n">
        <x:f>IFERROR('5000rpm'!AS22,"")</x:f>
        <x:v>0.056173452145869794</x:v>
      </x:c>
      <x:c r="P454" s="22" t="n">
        <x:f>IF(OR(NOT(AND(ISNUMBER(D454),ISNUMBER(E454),ISNUMBER(G454),ISNUMBER(H454))),OR(F454&lt;J454,F454&gt;K454)),"",IF(N454=L454,M454,M454+(F454-L454)*(O454-M454)/(N454-L454)))</x:f>
        <x:v>0.059149684044562924</x:v>
      </x:c>
      <x:c r="Q454" s="22" t="n">
        <x:f>IF(AND(ISNUMBER(I454),ISNUMBER(P454)),I454-P454,"")</x:f>
        <x:v>-0.0038908279829970235</x:v>
      </x:c>
      <x:c r="R454" s="22" t="n">
        <x:f>IF(ISNUMBER(Q454),ABS(Q454),"")</x:f>
        <x:v>0.0038908279829970235</x:v>
      </x:c>
      <x:c r="S454" s="36" t="n">
        <x:f>IF(AND(ISNUMBER(Q454),ISNUMBER(P454)),IF(ABS(P454)&lt;1E-12,"",Q454/P454),"")</x:f>
        <x:v>-0.06577935361524</x:v>
      </x:c>
      <x:c r="T454" s="36" t="n">
        <x:f>IF(ISNUMBER(S454),ABS(S454),"")</x:f>
        <x:v>0.06577935361524</x:v>
      </x:c>
      <x:c r="U454" s="37" t="n">
        <x:f>IF(ISNUMBER(Q454),Q454^2,"")</x:f>
        <x:v>0.000015138542393272687</x:v>
      </x:c>
      <x:c r="V454" s="21" t="str">
        <x:f>IF(NOT(AND(ISNUMBER(D454),ISNUMBER(E454),ISNUMBER(G454),ISNUMBER(H454))),"缺少配对",IF(OR(F454&lt;J454,F454&gt;K454),"超出理论J范围","有效"))</x:f>
        <x:v>有效</x:v>
      </x:c>
      <x:c r="W454" s="20" t="str">
        <x:v>升力 y=0.915708x+28.7687 → C_T_prop；实验攻角 75° ↔ 理论 alpha_p_deg 15°；原升力源 5000rpm!D148/O148</x:v>
      </x:c>
      <x:c r="X454" s="20" t="str">
        <x:v>升力标定计算!M907</x:v>
      </x:c>
      <x:c r="Y454" s="20" t="str">
        <x:v>升力标定计算!M908</x:v>
      </x:c>
      <x:c r="Z454" s="20" t="str">
        <x:v>升力标定计算!N907</x:v>
      </x:c>
      <x:c r="AA454" s="20" t="str">
        <x:v>升力标定计算!N908</x:v>
      </x:c>
      <x:c r="AB454" s="20" t="str">
        <x:v>5000rpm!AT21:AS22</x:v>
      </x:c>
    </x:row>
    <x:row r="455">
      <x:c r="A455" s="21" t="n">
        <x:v>5000</x:v>
      </x:c>
      <x:c r="B455" s="21" t="n">
        <x:v>75</x:v>
      </x:c>
      <x:c r="C455" s="21" t="n">
        <x:v>10</x:v>
      </x:c>
      <x:c r="D455" s="22" t="n">
        <x:f>IFERROR('升力标定计算'!M909,"")</x:f>
        <x:v>0.2165559593618551</x:v>
      </x:c>
      <x:c r="E455" s="22" t="n">
        <x:f>IFERROR('升力标定计算'!M910,"")</x:f>
        <x:v>0.2184070391614981</x:v>
      </x:c>
      <x:c r="F455" s="22" t="n">
        <x:f>IF(AND(ISNUMBER(D455),ISNUMBER(E455)),AVERAGE(D455,E455),"")</x:f>
        <x:v>0.2174814992616766</x:v>
      </x:c>
      <x:c r="G455" s="22" t="n">
        <x:f>IFERROR('升力标定计算'!N909,"")</x:f>
        <x:v>0.05103146617094561</x:v>
      </x:c>
      <x:c r="H455" s="22" t="n">
        <x:f>IFERROR('升力标定计算'!N910,"")</x:f>
        <x:v>0.052014179091077986</x:v>
      </x:c>
      <x:c r="I455" s="22" t="n">
        <x:f>IF(AND(ISNUMBER(G455),ISNUMBER(H455)),AVERAGE(G455,H455),"")</x:f>
        <x:v>0.051522822631011794</x:v>
      </x:c>
      <x:c r="J455" s="22" t="n">
        <x:f>IFERROR('5000rpm'!AT14,"")</x:f>
        <x:v>0</x:v>
      </x:c>
      <x:c r="K455" s="22" t="n">
        <x:f>IFERROR('5000rpm'!AT24,"")</x:f>
        <x:v>0.26692913385826766</x:v>
      </x:c>
      <x:c r="L455" s="22" t="n">
        <x:f>IFERROR('5000rpm'!AT22,"")</x:f>
        <x:v>0.21354330708661423</x:v>
      </x:c>
      <x:c r="M455" s="22" t="n">
        <x:f>IFERROR('5000rpm'!AS22,"")</x:f>
        <x:v>0.056173452145869794</x:v>
      </x:c>
      <x:c r="N455" s="22" t="n">
        <x:f>IFERROR('5000rpm'!AT23,"")</x:f>
        <x:v>0.24023622047244095</x:v>
      </x:c>
      <x:c r="O455" s="22" t="n">
        <x:f>IFERROR('5000rpm'!AS23,"")</x:f>
        <x:v>0.05197034856197231</x:v>
      </x:c>
      <x:c r="P455" s="22" t="n">
        <x:f>IF(OR(NOT(AND(ISNUMBER(D455),ISNUMBER(E455),ISNUMBER(G455),ISNUMBER(H455))),OR(F455&lt;J455,F455&gt;K455)),"",IF(N455=L455,M455,M455+(F455-L455)*(O455-M455)/(N455-L455)))</x:f>
        <x:v>0.05555333888188001</x:v>
      </x:c>
      <x:c r="Q455" s="22" t="n">
        <x:f>IF(AND(ISNUMBER(I455),ISNUMBER(P455)),I455-P455,"")</x:f>
        <x:v>-0.004030516250868213</x:v>
      </x:c>
      <x:c r="R455" s="22" t="n">
        <x:f>IF(ISNUMBER(Q455),ABS(Q455),"")</x:f>
        <x:v>0.004030516250868213</x:v>
      </x:c>
      <x:c r="S455" s="36" t="n">
        <x:f>IF(AND(ISNUMBER(Q455),ISNUMBER(P455)),IF(ABS(P455)&lt;1E-12,"",Q455/P455),"")</x:f>
        <x:v>-0.07255218735705656</x:v>
      </x:c>
      <x:c r="T455" s="36" t="n">
        <x:f>IF(ISNUMBER(S455),ABS(S455),"")</x:f>
        <x:v>0.07255218735705656</x:v>
      </x:c>
      <x:c r="U455" s="37" t="n">
        <x:f>IF(ISNUMBER(Q455),Q455^2,"")</x:f>
        <x:v>0.000016245061248512756</x:v>
      </x:c>
      <x:c r="V455" s="21" t="str">
        <x:f>IF(NOT(AND(ISNUMBER(D455),ISNUMBER(E455),ISNUMBER(G455),ISNUMBER(H455))),"缺少配对",IF(OR(F455&lt;J455,F455&gt;K455),"超出理论J范围","有效"))</x:f>
        <x:v>有效</x:v>
      </x:c>
      <x:c r="W455" s="20" t="str">
        <x:v>升力 y=0.915708x+28.7687 → C_T_prop；实验攻角 75° ↔ 理论 alpha_p_deg 15°；原升力源 5000rpm!D149/O149</x:v>
      </x:c>
      <x:c r="X455" s="20" t="str">
        <x:v>升力标定计算!M909</x:v>
      </x:c>
      <x:c r="Y455" s="20" t="str">
        <x:v>升力标定计算!M910</x:v>
      </x:c>
      <x:c r="Z455" s="20" t="str">
        <x:v>升力标定计算!N909</x:v>
      </x:c>
      <x:c r="AA455" s="20" t="str">
        <x:v>升力标定计算!N910</x:v>
      </x:c>
      <x:c r="AB455" s="20" t="str">
        <x:v>5000rpm!AT22:AS23</x:v>
      </x:c>
    </x:row>
    <x:row r="456">
      <x:c r="A456" s="21" t="n">
        <x:v>5000</x:v>
      </x:c>
      <x:c r="B456" s="21" t="n">
        <x:v>75</x:v>
      </x:c>
      <x:c r="C456" s="21" t="n">
        <x:v>11</x:v>
      </x:c>
      <x:c r="D456" s="22" t="n">
        <x:f>IFERROR('升力标定计算'!M911,"")</x:f>
        <x:v>0.24389360918956915</x:v>
      </x:c>
      <x:c r="E456" s="22" t="n">
        <x:f>IFERROR('升力标定计算'!M912,"")</x:f>
        <x:v>0.2433061917886904</x:v>
      </x:c>
      <x:c r="F456" s="22" t="n">
        <x:f>IF(AND(ISNUMBER(D456),ISNUMBER(E456)),AVERAGE(D456,E456),"")</x:f>
        <x:v>0.24359990048912977</x:v>
      </x:c>
      <x:c r="G456" s="22" t="n">
        <x:f>IFERROR('升力标定计算'!N911,"")</x:f>
        <x:v>0.0471736204461052</x:v>
      </x:c>
      <x:c r="H456" s="22" t="n">
        <x:f>IFERROR('升力标定计算'!N912,"")</x:f>
        <x:v>0.04753824081487176</x:v>
      </x:c>
      <x:c r="I456" s="22" t="n">
        <x:f>IF(AND(ISNUMBER(G456),ISNUMBER(H456)),AVERAGE(G456,H456),"")</x:f>
        <x:v>0.047355930630488485</x:v>
      </x:c>
      <x:c r="J456" s="22" t="n">
        <x:f>IFERROR('5000rpm'!AT14,"")</x:f>
        <x:v>0</x:v>
      </x:c>
      <x:c r="K456" s="22" t="n">
        <x:f>IFERROR('5000rpm'!AT24,"")</x:f>
        <x:v>0.26692913385826766</x:v>
      </x:c>
      <x:c r="L456" s="22" t="n">
        <x:f>IFERROR('5000rpm'!AT23,"")</x:f>
        <x:v>0.24023622047244095</x:v>
      </x:c>
      <x:c r="M456" s="22" t="n">
        <x:f>IFERROR('5000rpm'!AS23,"")</x:f>
        <x:v>0.05197034856197231</x:v>
      </x:c>
      <x:c r="N456" s="22" t="n">
        <x:f>IFERROR('5000rpm'!AT24,"")</x:f>
        <x:v>0.26692913385826766</x:v>
      </x:c>
      <x:c r="O456" s="22" t="n">
        <x:f>IFERROR('5000rpm'!AS24,"")</x:f>
        <x:v>0.04757659414830129</x:v>
      </x:c>
      <x:c r="P456" s="22" t="n">
        <x:f>IF(OR(NOT(AND(ISNUMBER(D456),ISNUMBER(E456),ISNUMBER(G456),ISNUMBER(H456))),OR(F456&lt;J456,F456&gt;K456)),"",IF(N456=L456,M456,M456+(F456-L456)*(O456-M456)/(N456-L456)))</x:f>
        <x:v>0.0514166741201502</x:v>
      </x:c>
      <x:c r="Q456" s="22" t="n">
        <x:f>IF(AND(ISNUMBER(I456),ISNUMBER(P456)),I456-P456,"")</x:f>
        <x:v>-0.0040607434896617126</x:v>
      </x:c>
      <x:c r="R456" s="22" t="n">
        <x:f>IF(ISNUMBER(Q456),ABS(Q456),"")</x:f>
        <x:v>0.0040607434896617126</x:v>
      </x:c>
      <x:c r="S456" s="36" t="n">
        <x:f>IF(AND(ISNUMBER(Q456),ISNUMBER(P456)),IF(ABS(P456)&lt;1E-12,"",Q456/P456),"")</x:f>
        <x:v>-0.07897717149445703</x:v>
      </x:c>
      <x:c r="T456" s="36" t="n">
        <x:f>IF(ISNUMBER(S456),ABS(S456),"")</x:f>
        <x:v>0.07897717149445703</x:v>
      </x:c>
      <x:c r="U456" s="37" t="n">
        <x:f>IF(ISNUMBER(Q456),Q456^2,"")</x:f>
        <x:v>0.000016489637688829985</x:v>
      </x:c>
      <x:c r="V456" s="21" t="str">
        <x:f>IF(NOT(AND(ISNUMBER(D456),ISNUMBER(E456),ISNUMBER(G456),ISNUMBER(H456))),"缺少配对",IF(OR(F456&lt;J456,F456&gt;K456),"超出理论J范围","有效"))</x:f>
        <x:v>有效</x:v>
      </x:c>
      <x:c r="W456" s="20" t="str">
        <x:v>升力 y=0.915708x+28.7687 → C_T_prop；实验攻角 75° ↔ 理论 alpha_p_deg 15°；原升力源 5000rpm!D150/O150</x:v>
      </x:c>
      <x:c r="X456" s="20" t="str">
        <x:v>升力标定计算!M911</x:v>
      </x:c>
      <x:c r="Y456" s="20" t="str">
        <x:v>升力标定计算!M912</x:v>
      </x:c>
      <x:c r="Z456" s="20" t="str">
        <x:v>升力标定计算!N911</x:v>
      </x:c>
      <x:c r="AA456" s="20" t="str">
        <x:v>升力标定计算!N912</x:v>
      </x:c>
      <x:c r="AB456" s="20" t="str">
        <x:v>5000rpm!AT23:AS24</x:v>
      </x:c>
    </x:row>
    <x:row r="457">
      <x:c r="A457" s="21" t="n">
        <x:v>5000</x:v>
      </x:c>
      <x:c r="B457" s="21" t="n">
        <x:v>75</x:v>
      </x:c>
      <x:c r="C457" s="21" t="n">
        <x:v>12</x:v>
      </x:c>
      <x:c r="D457" s="22" t="n">
        <x:f>IFERROR('升力标定计算'!M913,"")</x:f>
        <x:v>0.2649048161723505</x:v>
      </x:c>
      <x:c r="E457" s="22" t="n">
        <x:f>IFERROR('升力标定计算'!M914,"")</x:f>
        <x:v>0.26516729332008854</x:v>
      </x:c>
      <x:c r="F457" s="22" t="n">
        <x:f>IF(AND(ISNUMBER(D457),ISNUMBER(E457)),AVERAGE(D457,E457),"")</x:f>
        <x:v>0.2650360547462195</x:v>
      </x:c>
      <x:c r="G457" s="22" t="n">
        <x:f>IFERROR('升力标定计算'!N913,"")</x:f>
        <x:v>0.042739596875856656</x:v>
      </x:c>
      <x:c r="H457" s="22" t="n">
        <x:f>IFERROR('升力标定计算'!N914,"")</x:f>
        <x:v>0.04333093313808427</x:v>
      </x:c>
      <x:c r="I457" s="22" t="n">
        <x:f>IF(AND(ISNUMBER(G457),ISNUMBER(H457)),AVERAGE(G457,H457),"")</x:f>
        <x:v>0.04303526500697046</x:v>
      </x:c>
      <x:c r="J457" s="22" t="n">
        <x:f>IFERROR('5000rpm'!AT14,"")</x:f>
        <x:v>0</x:v>
      </x:c>
      <x:c r="K457" s="22" t="n">
        <x:f>IFERROR('5000rpm'!AT24,"")</x:f>
        <x:v>0.26692913385826766</x:v>
      </x:c>
      <x:c r="L457" s="22" t="n">
        <x:f>IFERROR('5000rpm'!AT23,"")</x:f>
        <x:v>0.24023622047244095</x:v>
      </x:c>
      <x:c r="M457" s="22" t="n">
        <x:f>IFERROR('5000rpm'!AS23,"")</x:f>
        <x:v>0.05197034856197231</x:v>
      </x:c>
      <x:c r="N457" s="22" t="n">
        <x:f>IFERROR('5000rpm'!AT24,"")</x:f>
        <x:v>0.26692913385826766</x:v>
      </x:c>
      <x:c r="O457" s="22" t="n">
        <x:f>IFERROR('5000rpm'!AS24,"")</x:f>
        <x:v>0.04757659414830129</x:v>
      </x:c>
      <x:c r="P457" s="22" t="n">
        <x:f>IF(OR(NOT(AND(ISNUMBER(D457),ISNUMBER(E457),ISNUMBER(G457),ISNUMBER(H457))),OR(F457&lt;J457,F457&gt;K457)),"",IF(N457=L457,M457,M457+(F457-L457)*(O457-M457)/(N457-L457)))</x:f>
        <x:v>0.0478882021239375</x:v>
      </x:c>
      <x:c r="Q457" s="22" t="n">
        <x:f>IF(AND(ISNUMBER(I457),ISNUMBER(P457)),I457-P457,"")</x:f>
        <x:v>-0.004852937116967035</x:v>
      </x:c>
      <x:c r="R457" s="22" t="n">
        <x:f>IF(ISNUMBER(Q457),ABS(Q457),"")</x:f>
        <x:v>0.004852937116967035</x:v>
      </x:c>
      <x:c r="S457" s="36" t="n">
        <x:f>IF(AND(ISNUMBER(Q457),ISNUMBER(P457)),IF(ABS(P457)&lt;1E-12,"",Q457/P457),"")</x:f>
        <x:v>-0.10133888727765028</x:v>
      </x:c>
      <x:c r="T457" s="36" t="n">
        <x:f>IF(ISNUMBER(S457),ABS(S457),"")</x:f>
        <x:v>0.10133888727765028</x:v>
      </x:c>
      <x:c r="U457" s="37" t="n">
        <x:f>IF(ISNUMBER(Q457),Q457^2,"")</x:f>
        <x:v>0.000023550998661236318</x:v>
      </x:c>
      <x:c r="V457" s="21" t="str">
        <x:f>IF(NOT(AND(ISNUMBER(D457),ISNUMBER(E457),ISNUMBER(G457),ISNUMBER(H457))),"缺少配对",IF(OR(F457&lt;J457,F457&gt;K457),"超出理论J范围","有效"))</x:f>
        <x:v>有效</x:v>
      </x:c>
      <x:c r="W457" s="20" t="str">
        <x:v>升力 y=0.915708x+28.7687 → C_T_prop；实验攻角 75° ↔ 理论 alpha_p_deg 15°；原升力源 5000rpm!D151/O151</x:v>
      </x:c>
      <x:c r="X457" s="20" t="str">
        <x:v>升力标定计算!M913</x:v>
      </x:c>
      <x:c r="Y457" s="20" t="str">
        <x:v>升力标定计算!M914</x:v>
      </x:c>
      <x:c r="Z457" s="20" t="str">
        <x:v>升力标定计算!N913</x:v>
      </x:c>
      <x:c r="AA457" s="20" t="str">
        <x:v>升力标定计算!N914</x:v>
      </x:c>
      <x:c r="AB457" s="20" t="str">
        <x:v>5000rpm!AT23:AS24</x:v>
      </x:c>
    </x:row>
    <x:row r="458">
      <x:c r="A458" s="21" t="n">
        <x:v>5000</x:v>
      </x:c>
      <x:c r="B458" s="21" t="n">
        <x:v>75</x:v>
      </x:c>
      <x:c r="C458" s="21" t="n">
        <x:v>13</x:v>
      </x:c>
      <x:c r="D458" s="22" t="n">
        <x:f>IFERROR('升力标定计算'!M915,"")</x:f>
        <x:v>0.2432263804244101</x:v>
      </x:c>
      <x:c r="E458" s="22" t="n">
        <x:f>IFERROR('升力标定计算'!M916,"")</x:f>
        <x:v>0.2443721988360029</x:v>
      </x:c>
      <x:c r="F458" s="22" t="n">
        <x:f>IF(AND(ISNUMBER(D458),ISNUMBER(E458)),AVERAGE(D458,E458),"")</x:f>
        <x:v>0.2437992896302065</x:v>
      </x:c>
      <x:c r="G458" s="22" t="n">
        <x:f>IFERROR('升力标定计算'!N915,"")</x:f>
        <x:v>0.046329541842888095</x:v>
      </x:c>
      <x:c r="H458" s="22" t="n">
        <x:f>IFERROR('升力标定计算'!N916,"")</x:f>
        <x:v>0.04696621224294258</x:v>
      </x:c>
      <x:c r="I458" s="22" t="n">
        <x:f>IF(AND(ISNUMBER(G458),ISNUMBER(H458)),AVERAGE(G458,H458),"")</x:f>
        <x:v>0.04664787704291534</x:v>
      </x:c>
      <x:c r="J458" s="22" t="n">
        <x:f>IFERROR('5000rpm'!AT14,"")</x:f>
        <x:v>0</x:v>
      </x:c>
      <x:c r="K458" s="22" t="n">
        <x:f>IFERROR('5000rpm'!AT24,"")</x:f>
        <x:v>0.26692913385826766</x:v>
      </x:c>
      <x:c r="L458" s="22" t="n">
        <x:f>IFERROR('5000rpm'!AT23,"")</x:f>
        <x:v>0.24023622047244095</x:v>
      </x:c>
      <x:c r="M458" s="22" t="n">
        <x:f>IFERROR('5000rpm'!AS23,"")</x:f>
        <x:v>0.05197034856197231</x:v>
      </x:c>
      <x:c r="N458" s="22" t="n">
        <x:f>IFERROR('5000rpm'!AT24,"")</x:f>
        <x:v>0.26692913385826766</x:v>
      </x:c>
      <x:c r="O458" s="22" t="n">
        <x:f>IFERROR('5000rpm'!AS24,"")</x:f>
        <x:v>0.04757659414830129</x:v>
      </x:c>
      <x:c r="P458" s="22" t="n">
        <x:f>IF(OR(NOT(AND(ISNUMBER(D458),ISNUMBER(E458),ISNUMBER(G458),ISNUMBER(H458))),OR(F458&lt;J458,F458&gt;K458)),"",IF(N458=L458,M458,M458+(F458-L458)*(O458-M458)/(N458-L458)))</x:f>
        <x:v>0.05138385391405351</x:v>
      </x:c>
      <x:c r="Q458" s="22" t="n">
        <x:f>IF(AND(ISNUMBER(I458),ISNUMBER(P458)),I458-P458,"")</x:f>
        <x:v>-0.0047359768711381645</x:v>
      </x:c>
      <x:c r="R458" s="22" t="n">
        <x:f>IF(ISNUMBER(Q458),ABS(Q458),"")</x:f>
        <x:v>0.0047359768711381645</x:v>
      </x:c>
      <x:c r="S458" s="36" t="n">
        <x:f>IF(AND(ISNUMBER(Q458),ISNUMBER(P458)),IF(ABS(P458)&lt;1E-12,"",Q458/P458),"")</x:f>
        <x:v>-0.09216858040776253</x:v>
      </x:c>
      <x:c r="T458" s="36" t="n">
        <x:f>IF(ISNUMBER(S458),ABS(S458),"")</x:f>
        <x:v>0.09216858040776253</x:v>
      </x:c>
      <x:c r="U458" s="37" t="n">
        <x:f>IF(ISNUMBER(Q458),Q458^2,"")</x:f>
        <x:v>0.000022429476923955638</x:v>
      </x:c>
      <x:c r="V458" s="21" t="str">
        <x:f>IF(NOT(AND(ISNUMBER(D458),ISNUMBER(E458),ISNUMBER(G458),ISNUMBER(H458))),"缺少配对",IF(OR(F458&lt;J458,F458&gt;K458),"超出理论J范围","有效"))</x:f>
        <x:v>有效</x:v>
      </x:c>
      <x:c r="W458" s="20" t="str">
        <x:v>升力 y=0.915708x+28.7687 → C_T_prop；实验攻角 75° ↔ 理论 alpha_p_deg 15°；原升力源 5000rpm!D152/O152</x:v>
      </x:c>
      <x:c r="X458" s="20" t="str">
        <x:v>升力标定计算!M915</x:v>
      </x:c>
      <x:c r="Y458" s="20" t="str">
        <x:v>升力标定计算!M916</x:v>
      </x:c>
      <x:c r="Z458" s="20" t="str">
        <x:v>升力标定计算!N915</x:v>
      </x:c>
      <x:c r="AA458" s="20" t="str">
        <x:v>升力标定计算!N916</x:v>
      </x:c>
      <x:c r="AB458" s="20" t="str">
        <x:v>5000rpm!AT23:AS24</x:v>
      </x:c>
    </x:row>
    <x:row r="459">
      <x:c r="A459" s="21" t="n">
        <x:v>5000</x:v>
      </x:c>
      <x:c r="B459" s="21" t="n">
        <x:v>75</x:v>
      </x:c>
      <x:c r="C459" s="21" t="n">
        <x:v>14</x:v>
      </x:c>
      <x:c r="D459" s="22" t="n">
        <x:f>IFERROR('升力标定计算'!M917,"")</x:f>
        <x:v>0.21793587580459264</x:v>
      </x:c>
      <x:c r="E459" s="22" t="n">
        <x:f>IFERROR('升力标定计算'!M918,"")</x:f>
        <x:v>0.21739570198455085</x:v>
      </x:c>
      <x:c r="F459" s="22" t="n">
        <x:f>IF(AND(ISNUMBER(D459),ISNUMBER(E459)),AVERAGE(D459,E459),"")</x:f>
        <x:v>0.21766578889457175</x:v>
      </x:c>
      <x:c r="G459" s="22" t="n">
        <x:f>IFERROR('升力标定计算'!N917,"")</x:f>
        <x:v>0.051087750225585336</x:v>
      </x:c>
      <x:c r="H459" s="22" t="n">
        <x:f>IFERROR('升力标定计算'!N918,"")</x:f>
        <x:v>0.05235089905685525</x:v>
      </x:c>
      <x:c r="I459" s="22" t="n">
        <x:f>IF(AND(ISNUMBER(G459),ISNUMBER(H459)),AVERAGE(G459,H459),"")</x:f>
        <x:v>0.051719324641220296</x:v>
      </x:c>
      <x:c r="J459" s="22" t="n">
        <x:f>IFERROR('5000rpm'!AT14,"")</x:f>
        <x:v>0</x:v>
      </x:c>
      <x:c r="K459" s="22" t="n">
        <x:f>IFERROR('5000rpm'!AT24,"")</x:f>
        <x:v>0.26692913385826766</x:v>
      </x:c>
      <x:c r="L459" s="22" t="n">
        <x:f>IFERROR('5000rpm'!AT22,"")</x:f>
        <x:v>0.21354330708661423</x:v>
      </x:c>
      <x:c r="M459" s="22" t="n">
        <x:f>IFERROR('5000rpm'!AS22,"")</x:f>
        <x:v>0.056173452145869794</x:v>
      </x:c>
      <x:c r="N459" s="22" t="n">
        <x:f>IFERROR('5000rpm'!AT23,"")</x:f>
        <x:v>0.24023622047244095</x:v>
      </x:c>
      <x:c r="O459" s="22" t="n">
        <x:f>IFERROR('5000rpm'!AS23,"")</x:f>
        <x:v>0.05197034856197231</x:v>
      </x:c>
      <x:c r="P459" s="22" t="n">
        <x:f>IF(OR(NOT(AND(ISNUMBER(D459),ISNUMBER(E459),ISNUMBER(G459),ISNUMBER(H459))),OR(F459&lt;J459,F459&gt;K459)),"",IF(N459=L459,M459,M459+(F459-L459)*(O459-M459)/(N459-L459)))</x:f>
        <x:v>0.05552432037778116</x:v>
      </x:c>
      <x:c r="Q459" s="22" t="n">
        <x:f>IF(AND(ISNUMBER(I459),ISNUMBER(P459)),I459-P459,"")</x:f>
        <x:v>-0.0038049957365608664</x:v>
      </x:c>
      <x:c r="R459" s="22" t="n">
        <x:f>IF(ISNUMBER(Q459),ABS(Q459),"")</x:f>
        <x:v>0.0038049957365608664</x:v>
      </x:c>
      <x:c r="S459" s="36" t="n">
        <x:f>IF(AND(ISNUMBER(Q459),ISNUMBER(P459)),IF(ABS(P459)&lt;1E-12,"",Q459/P459),"")</x:f>
        <x:v>-0.06852845222907922</x:v>
      </x:c>
      <x:c r="T459" s="36" t="n">
        <x:f>IF(ISNUMBER(S459),ABS(S459),"")</x:f>
        <x:v>0.06852845222907922</x:v>
      </x:c>
      <x:c r="U459" s="37" t="n">
        <x:f>IF(ISNUMBER(Q459),Q459^2,"")</x:f>
        <x:v>0.00001447799255524637</x:v>
      </x:c>
      <x:c r="V459" s="21" t="str">
        <x:f>IF(NOT(AND(ISNUMBER(D459),ISNUMBER(E459),ISNUMBER(G459),ISNUMBER(H459))),"缺少配对",IF(OR(F459&lt;J459,F459&gt;K459),"超出理论J范围","有效"))</x:f>
        <x:v>有效</x:v>
      </x:c>
      <x:c r="W459" s="20" t="str">
        <x:v>升力 y=0.915708x+28.7687 → C_T_prop；实验攻角 75° ↔ 理论 alpha_p_deg 15°；原升力源 5000rpm!D153/O153</x:v>
      </x:c>
      <x:c r="X459" s="20" t="str">
        <x:v>升力标定计算!M917</x:v>
      </x:c>
      <x:c r="Y459" s="20" t="str">
        <x:v>升力标定计算!M918</x:v>
      </x:c>
      <x:c r="Z459" s="20" t="str">
        <x:v>升力标定计算!N917</x:v>
      </x:c>
      <x:c r="AA459" s="20" t="str">
        <x:v>升力标定计算!N918</x:v>
      </x:c>
      <x:c r="AB459" s="20" t="str">
        <x:v>5000rpm!AT22:AS23</x:v>
      </x:c>
    </x:row>
    <x:row r="460">
      <x:c r="A460" s="21" t="n">
        <x:v>5000</x:v>
      </x:c>
      <x:c r="B460" s="21" t="n">
        <x:v>75</x:v>
      </x:c>
      <x:c r="C460" s="21" t="n">
        <x:v>15</x:v>
      </x:c>
      <x:c r="D460" s="22" t="n">
        <x:f>IFERROR('升力标定计算'!M919,"")</x:f>
        <x:v>0.19011547072150192</x:v>
      </x:c>
      <x:c r="E460" s="22" t="n">
        <x:f>IFERROR('升力标定计算'!M920,"")</x:f>
        <x:v>0.1902463807393687</x:v>
      </x:c>
      <x:c r="F460" s="22" t="n">
        <x:f>IF(AND(ISNUMBER(D460),ISNUMBER(E460)),AVERAGE(D460,E460),"")</x:f>
        <x:v>0.19018092573043532</x:v>
      </x:c>
      <x:c r="G460" s="22" t="n">
        <x:f>IFERROR('升力标定计算'!N919,"")</x:f>
        <x:v>0.05609946566834096</x:v>
      </x:c>
      <x:c r="H460" s="22" t="n">
        <x:f>IFERROR('升力标定计算'!N920,"")</x:f>
        <x:v>0.0575312843412452</x:v>
      </x:c>
      <x:c r="I460" s="22" t="n">
        <x:f>IF(AND(ISNUMBER(G460),ISNUMBER(H460)),AVERAGE(G460,H460),"")</x:f>
        <x:v>0.056815375004793084</x:v>
      </x:c>
      <x:c r="J460" s="22" t="n">
        <x:f>IFERROR('5000rpm'!AT14,"")</x:f>
        <x:v>0</x:v>
      </x:c>
      <x:c r="K460" s="22" t="n">
        <x:f>IFERROR('5000rpm'!AT24,"")</x:f>
        <x:v>0.26692913385826766</x:v>
      </x:c>
      <x:c r="L460" s="22" t="n">
        <x:f>IFERROR('5000rpm'!AT21,"")</x:f>
        <x:v>0.18685039370078743</x:v>
      </x:c>
      <x:c r="M460" s="22" t="n">
        <x:f>IFERROR('5000rpm'!AS21,"")</x:f>
        <x:v>0.0601823795488138</x:v>
      </x:c>
      <x:c r="N460" s="22" t="n">
        <x:f>IFERROR('5000rpm'!AT22,"")</x:f>
        <x:v>0.21354330708661423</x:v>
      </x:c>
      <x:c r="O460" s="22" t="n">
        <x:f>IFERROR('5000rpm'!AS22,"")</x:f>
        <x:v>0.056173452145869794</x:v>
      </x:c>
      <x:c r="P460" s="22" t="n">
        <x:f>IF(OR(NOT(AND(ISNUMBER(D460),ISNUMBER(E460),ISNUMBER(G460),ISNUMBER(H460))),OR(F460&lt;J460,F460&gt;K460)),"",IF(N460=L460,M460,M460+(F460-L460)*(O460-M460)/(N460-L460)))</x:f>
        <x:v>0.05968217708207491</x:v>
      </x:c>
      <x:c r="Q460" s="22" t="n">
        <x:f>IF(AND(ISNUMBER(I460),ISNUMBER(P460)),I460-P460,"")</x:f>
        <x:v>-0.0028668020772818284</x:v>
      </x:c>
      <x:c r="R460" s="22" t="n">
        <x:f>IF(ISNUMBER(Q460),ABS(Q460),"")</x:f>
        <x:v>0.0028668020772818284</x:v>
      </x:c>
      <x:c r="S460" s="36" t="n">
        <x:f>IF(AND(ISNUMBER(Q460),ISNUMBER(P460)),IF(ABS(P460)&lt;1E-12,"",Q460/P460),"")</x:f>
        <x:v>-0.048034475574498615</x:v>
      </x:c>
      <x:c r="T460" s="36" t="n">
        <x:f>IF(ISNUMBER(S460),ABS(S460),"")</x:f>
        <x:v>0.048034475574498615</x:v>
      </x:c>
      <x:c r="U460" s="37" t="n">
        <x:f>IF(ISNUMBER(Q460),Q460^2,"")</x:f>
        <x:v>0.000008218554150307406</x:v>
      </x:c>
      <x:c r="V460" s="21" t="str">
        <x:f>IF(NOT(AND(ISNUMBER(D460),ISNUMBER(E460),ISNUMBER(G460),ISNUMBER(H460))),"缺少配对",IF(OR(F460&lt;J460,F460&gt;K460),"超出理论J范围","有效"))</x:f>
        <x:v>有效</x:v>
      </x:c>
      <x:c r="W460" s="20" t="str">
        <x:v>升力 y=0.915708x+28.7687 → C_T_prop；实验攻角 75° ↔ 理论 alpha_p_deg 15°；原升力源 5000rpm!D154/O154</x:v>
      </x:c>
      <x:c r="X460" s="20" t="str">
        <x:v>升力标定计算!M919</x:v>
      </x:c>
      <x:c r="Y460" s="20" t="str">
        <x:v>升力标定计算!M920</x:v>
      </x:c>
      <x:c r="Z460" s="20" t="str">
        <x:v>升力标定计算!N919</x:v>
      </x:c>
      <x:c r="AA460" s="20" t="str">
        <x:v>升力标定计算!N920</x:v>
      </x:c>
      <x:c r="AB460" s="20" t="str">
        <x:v>5000rpm!AT21:AS22</x:v>
      </x:c>
    </x:row>
    <x:row r="461">
      <x:c r="A461" s="21" t="n">
        <x:v>5000</x:v>
      </x:c>
      <x:c r="B461" s="21" t="n">
        <x:v>75</x:v>
      </x:c>
      <x:c r="C461" s="21" t="n">
        <x:v>16</x:v>
      </x:c>
      <x:c r="D461" s="22" t="n">
        <x:f>IFERROR('升力标定计算'!M921,"")</x:f>
        <x:v>0.165470272971541</x:v>
      </x:c>
      <x:c r="E461" s="22" t="n">
        <x:f>IFERROR('升力标定计算'!M922,"")</x:f>
        <x:v>0.1668641580509574</x:v>
      </x:c>
      <x:c r="F461" s="22" t="n">
        <x:f>IF(AND(ISNUMBER(D461),ISNUMBER(E461)),AVERAGE(D461,E461),"")</x:f>
        <x:v>0.1661672155112492</x:v>
      </x:c>
      <x:c r="G461" s="22" t="n">
        <x:f>IFERROR('升力标定计算'!N921,"")</x:f>
        <x:v>0.05757323930220305</x:v>
      </x:c>
      <x:c r="H461" s="22" t="n">
        <x:f>IFERROR('升力标定计算'!N922,"")</x:f>
        <x:v>0.06076072965933101</x:v>
      </x:c>
      <x:c r="I461" s="22" t="n">
        <x:f>IF(AND(ISNUMBER(G461),ISNUMBER(H461)),AVERAGE(G461,H461),"")</x:f>
        <x:v>0.05916698448076703</x:v>
      </x:c>
      <x:c r="J461" s="22" t="n">
        <x:f>IFERROR('5000rpm'!AT14,"")</x:f>
        <x:v>0</x:v>
      </x:c>
      <x:c r="K461" s="22" t="n">
        <x:f>IFERROR('5000rpm'!AT24,"")</x:f>
        <x:v>0.26692913385826766</x:v>
      </x:c>
      <x:c r="L461" s="22" t="n">
        <x:f>IFERROR('5000rpm'!AT20,"")</x:f>
        <x:v>0.16015748031496063</x:v>
      </x:c>
      <x:c r="M461" s="22" t="n">
        <x:f>IFERROR('5000rpm'!AS20,"")</x:f>
        <x:v>0.0640075663897467</x:v>
      </x:c>
      <x:c r="N461" s="22" t="n">
        <x:f>IFERROR('5000rpm'!AT21,"")</x:f>
        <x:v>0.18685039370078743</x:v>
      </x:c>
      <x:c r="O461" s="22" t="n">
        <x:f>IFERROR('5000rpm'!AS21,"")</x:f>
        <x:v>0.0601823795488138</x:v>
      </x:c>
      <x:c r="P461" s="22" t="n">
        <x:f>IF(OR(NOT(AND(ISNUMBER(D461),ISNUMBER(E461),ISNUMBER(G461),ISNUMBER(H461))),OR(F461&lt;J461,F461&gt;K461)),"",IF(N461=L461,M461,M461+(F461-L461)*(O461-M461)/(N461-L461)))</x:f>
        <x:v>0.06314635054350114</x:v>
      </x:c>
      <x:c r="Q461" s="22" t="n">
        <x:f>IF(AND(ISNUMBER(I461),ISNUMBER(P461)),I461-P461,"")</x:f>
        <x:v>-0.003979366062734108</x:v>
      </x:c>
      <x:c r="R461" s="22" t="n">
        <x:f>IF(ISNUMBER(Q461),ABS(Q461),"")</x:f>
        <x:v>0.003979366062734108</x:v>
      </x:c>
      <x:c r="S461" s="36" t="n">
        <x:f>IF(AND(ISNUMBER(Q461),ISNUMBER(P461)),IF(ABS(P461)&lt;1E-12,"",Q461/P461),"")</x:f>
        <x:v>-0.06301814797662371</x:v>
      </x:c>
      <x:c r="T461" s="36" t="n">
        <x:f>IF(ISNUMBER(S461),ABS(S461),"")</x:f>
        <x:v>0.06301814797662371</x:v>
      </x:c>
      <x:c r="U461" s="37" t="n">
        <x:f>IF(ISNUMBER(Q461),Q461^2,"")</x:f>
        <x:v>0.000015835354261239955</x:v>
      </x:c>
      <x:c r="V461" s="21" t="str">
        <x:f>IF(NOT(AND(ISNUMBER(D461),ISNUMBER(E461),ISNUMBER(G461),ISNUMBER(H461))),"缺少配对",IF(OR(F461&lt;J461,F461&gt;K461),"超出理论J范围","有效"))</x:f>
        <x:v>有效</x:v>
      </x:c>
      <x:c r="W461" s="20" t="str">
        <x:v>升力 y=0.915708x+28.7687 → C_T_prop；实验攻角 75° ↔ 理论 alpha_p_deg 15°；原升力源 5000rpm!D155/O155</x:v>
      </x:c>
      <x:c r="X461" s="20" t="str">
        <x:v>升力标定计算!M921</x:v>
      </x:c>
      <x:c r="Y461" s="20" t="str">
        <x:v>升力标定计算!M922</x:v>
      </x:c>
      <x:c r="Z461" s="20" t="str">
        <x:v>升力标定计算!N921</x:v>
      </x:c>
      <x:c r="AA461" s="20" t="str">
        <x:v>升力标定计算!N922</x:v>
      </x:c>
      <x:c r="AB461" s="20" t="str">
        <x:v>5000rpm!AT20:AS21</x:v>
      </x:c>
    </x:row>
    <x:row r="462">
      <x:c r="A462" s="21" t="n">
        <x:v>5000</x:v>
      </x:c>
      <x:c r="B462" s="21" t="n">
        <x:v>75</x:v>
      </x:c>
      <x:c r="C462" s="21" t="n">
        <x:v>17</x:v>
      </x:c>
      <x:c r="D462" s="22" t="n">
        <x:f>IFERROR('升力标定计算'!M923,"")</x:f>
        <x:v>0.13927560526256427</x:v>
      </x:c>
      <x:c r="E462" s="22" t="n">
        <x:f>IFERROR('升力标定计算'!M924,"")</x:f>
        <x:v>0.1393880296051069</x:v>
      </x:c>
      <x:c r="F462" s="22" t="n">
        <x:f>IF(AND(ISNUMBER(D462),ISNUMBER(E462)),AVERAGE(D462,E462),"")</x:f>
        <x:v>0.1393318174338356</x:v>
      </x:c>
      <x:c r="G462" s="22" t="n">
        <x:f>IFERROR('升力标定计算'!N923,"")</x:f>
        <x:v>0.06203106439159591</x:v>
      </x:c>
      <x:c r="H462" s="22" t="n">
        <x:f>IFERROR('升力标定计算'!N924,"")</x:f>
        <x:v>0.06316890879782978</x:v>
      </x:c>
      <x:c r="I462" s="22" t="n">
        <x:f>IF(AND(ISNUMBER(G462),ISNUMBER(H462)),AVERAGE(G462,H462),"")</x:f>
        <x:v>0.06259998659471284</x:v>
      </x:c>
      <x:c r="J462" s="22" t="n">
        <x:f>IFERROR('5000rpm'!AT14,"")</x:f>
        <x:v>0</x:v>
      </x:c>
      <x:c r="K462" s="22" t="n">
        <x:f>IFERROR('5000rpm'!AT24,"")</x:f>
        <x:v>0.26692913385826766</x:v>
      </x:c>
      <x:c r="L462" s="22" t="n">
        <x:f>IFERROR('5000rpm'!AT19,"")</x:f>
        <x:v>0.13346456692913383</x:v>
      </x:c>
      <x:c r="M462" s="22" t="n">
        <x:f>IFERROR('5000rpm'!AS19,"")</x:f>
        <x:v>0.06765767893490979</x:v>
      </x:c>
      <x:c r="N462" s="22" t="n">
        <x:f>IFERROR('5000rpm'!AT20,"")</x:f>
        <x:v>0.16015748031496063</x:v>
      </x:c>
      <x:c r="O462" s="22" t="n">
        <x:f>IFERROR('5000rpm'!AS20,"")</x:f>
        <x:v>0.0640075663897467</x:v>
      </x:c>
      <x:c r="P462" s="22" t="n">
        <x:f>IF(OR(NOT(AND(ISNUMBER(D462),ISNUMBER(E462),ISNUMBER(G462),ISNUMBER(H462))),OR(F462&lt;J462,F462&gt;K462)),"",IF(N462=L462,M462,M462+(F462-L462)*(O462-M462)/(N462-L462)))</x:f>
        <x:v>0.0668553639397921</x:v>
      </x:c>
      <x:c r="Q462" s="22" t="n">
        <x:f>IF(AND(ISNUMBER(I462),ISNUMBER(P462)),I462-P462,"")</x:f>
        <x:v>-0.0042553773450792615</x:v>
      </x:c>
      <x:c r="R462" s="22" t="n">
        <x:f>IF(ISNUMBER(Q462),ABS(Q462),"")</x:f>
        <x:v>0.0042553773450792615</x:v>
      </x:c>
      <x:c r="S462" s="36" t="n">
        <x:f>IF(AND(ISNUMBER(Q462),ISNUMBER(P462)),IF(ABS(P462)&lt;1E-12,"",Q462/P462),"")</x:f>
        <x:v>-0.06365050003933154</x:v>
      </x:c>
      <x:c r="T462" s="36" t="n">
        <x:f>IF(ISNUMBER(S462),ABS(S462),"")</x:f>
        <x:v>0.06365050003933154</x:v>
      </x:c>
      <x:c r="U462" s="37" t="n">
        <x:f>IF(ISNUMBER(Q462),Q462^2,"")</x:f>
        <x:v>0.000018108236349013823</x:v>
      </x:c>
      <x:c r="V462" s="21" t="str">
        <x:f>IF(NOT(AND(ISNUMBER(D462),ISNUMBER(E462),ISNUMBER(G462),ISNUMBER(H462))),"缺少配对",IF(OR(F462&lt;J462,F462&gt;K462),"超出理论J范围","有效"))</x:f>
        <x:v>有效</x:v>
      </x:c>
      <x:c r="W462" s="20" t="str">
        <x:v>升力 y=0.915708x+28.7687 → C_T_prop；实验攻角 75° ↔ 理论 alpha_p_deg 15°；原升力源 5000rpm!D156/O156</x:v>
      </x:c>
      <x:c r="X462" s="20" t="str">
        <x:v>升力标定计算!M923</x:v>
      </x:c>
      <x:c r="Y462" s="20" t="str">
        <x:v>升力标定计算!M924</x:v>
      </x:c>
      <x:c r="Z462" s="20" t="str">
        <x:v>升力标定计算!N923</x:v>
      </x:c>
      <x:c r="AA462" s="20" t="str">
        <x:v>升力标定计算!N924</x:v>
      </x:c>
      <x:c r="AB462" s="20" t="str">
        <x:v>5000rpm!AT19:AS20</x:v>
      </x:c>
    </x:row>
    <x:row r="463">
      <x:c r="A463" s="21" t="n">
        <x:v>5000</x:v>
      </x:c>
      <x:c r="B463" s="21" t="n">
        <x:v>75</x:v>
      </x:c>
      <x:c r="C463" s="21" t="n">
        <x:v>18</x:v>
      </x:c>
      <x:c r="D463" s="22" t="n">
        <x:f>IFERROR('升力标定计算'!M925,"")</x:f>
        <x:v>0.11210605876125472</x:v>
      </x:c>
      <x:c r="E463" s="22" t="n">
        <x:f>IFERROR('升力标定计算'!M926,"")</x:f>
        <x:v>0.10987261656145177</x:v>
      </x:c>
      <x:c r="F463" s="22" t="n">
        <x:f>IF(AND(ISNUMBER(D463),ISNUMBER(E463)),AVERAGE(D463,E463),"")</x:f>
        <x:v>0.11098933766135324</x:v>
      </x:c>
      <x:c r="G463" s="22" t="n">
        <x:f>IFERROR('升力标定计算'!N925,"")</x:f>
        <x:v>0.06751513980997735</x:v>
      </x:c>
      <x:c r="H463" s="22" t="n">
        <x:f>IFERROR('升力标定计算'!N926,"")</x:f>
        <x:v>0.06733621908754774</x:v>
      </x:c>
      <x:c r="I463" s="22" t="n">
        <x:f>IF(AND(ISNUMBER(G463),ISNUMBER(H463)),AVERAGE(G463,H463),"")</x:f>
        <x:v>0.06742567944876254</x:v>
      </x:c>
      <x:c r="J463" s="22" t="n">
        <x:f>IFERROR('5000rpm'!AT14,"")</x:f>
        <x:v>0</x:v>
      </x:c>
      <x:c r="K463" s="22" t="n">
        <x:f>IFERROR('5000rpm'!AT24,"")</x:f>
        <x:v>0.26692913385826766</x:v>
      </x:c>
      <x:c r="L463" s="22" t="n">
        <x:f>IFERROR('5000rpm'!AT18,"")</x:f>
        <x:v>0.10677165354330712</x:v>
      </x:c>
      <x:c r="M463" s="22" t="n">
        <x:f>IFERROR('5000rpm'!AS18,"")</x:f>
        <x:v>0.07113905769459414</x:v>
      </x:c>
      <x:c r="N463" s="22" t="n">
        <x:f>IFERROR('5000rpm'!AT19,"")</x:f>
        <x:v>0.13346456692913383</x:v>
      </x:c>
      <x:c r="O463" s="22" t="n">
        <x:f>IFERROR('5000rpm'!AS19,"")</x:f>
        <x:v>0.06765767893490979</x:v>
      </x:c>
      <x:c r="P463" s="22" t="n">
        <x:f>IF(OR(NOT(AND(ISNUMBER(D463),ISNUMBER(E463),ISNUMBER(G463),ISNUMBER(H463))),OR(F463&lt;J463,F463&gt;K463)),"",IF(N463=L463,M463,M463+(F463-L463)*(O463-M463)/(N463-L463)))</x:f>
        <x:v>0.07058897326988611</x:v>
      </x:c>
      <x:c r="Q463" s="22" t="n">
        <x:f>IF(AND(ISNUMBER(I463),ISNUMBER(P463)),I463-P463,"")</x:f>
        <x:v>-0.0031632938211235695</x:v>
      </x:c>
      <x:c r="R463" s="22" t="n">
        <x:f>IF(ISNUMBER(Q463),ABS(Q463),"")</x:f>
        <x:v>0.0031632938211235695</x:v>
      </x:c>
      <x:c r="S463" s="36" t="n">
        <x:f>IF(AND(ISNUMBER(Q463),ISNUMBER(P463)),IF(ABS(P463)&lt;1E-12,"",Q463/P463),"")</x:f>
        <x:v>-0.04481286062950938</x:v>
      </x:c>
      <x:c r="T463" s="36" t="n">
        <x:f>IF(ISNUMBER(S463),ABS(S463),"")</x:f>
        <x:v>0.04481286062950938</x:v>
      </x:c>
      <x:c r="U463" s="37" t="n">
        <x:f>IF(ISNUMBER(Q463),Q463^2,"")</x:f>
        <x:v>0.000010006427798758553</x:v>
      </x:c>
      <x:c r="V463" s="21" t="str">
        <x:f>IF(NOT(AND(ISNUMBER(D463),ISNUMBER(E463),ISNUMBER(G463),ISNUMBER(H463))),"缺少配对",IF(OR(F463&lt;J463,F463&gt;K463),"超出理论J范围","有效"))</x:f>
        <x:v>有效</x:v>
      </x:c>
      <x:c r="W463" s="20" t="str">
        <x:v>升力 y=0.915708x+28.7687 → C_T_prop；实验攻角 75° ↔ 理论 alpha_p_deg 15°；原升力源 5000rpm!D157/O157</x:v>
      </x:c>
      <x:c r="X463" s="20" t="str">
        <x:v>升力标定计算!M925</x:v>
      </x:c>
      <x:c r="Y463" s="20" t="str">
        <x:v>升力标定计算!M926</x:v>
      </x:c>
      <x:c r="Z463" s="20" t="str">
        <x:v>升力标定计算!N925</x:v>
      </x:c>
      <x:c r="AA463" s="20" t="str">
        <x:v>升力标定计算!N926</x:v>
      </x:c>
      <x:c r="AB463" s="20" t="str">
        <x:v>5000rpm!AT18:AS19</x:v>
      </x:c>
    </x:row>
    <x:row r="464">
      <x:c r="A464" s="21" t="n">
        <x:v>5000</x:v>
      </x:c>
      <x:c r="B464" s="21" t="n">
        <x:v>75</x:v>
      </x:c>
      <x:c r="C464" s="21" t="n">
        <x:v>19</x:v>
      </x:c>
      <x:c r="D464" s="22" t="n">
        <x:f>IFERROR('升力标定计算'!M927,"")</x:f>
        <x:v>0.08480938515631233</x:v>
      </x:c>
      <x:c r="E464" s="22" t="n">
        <x:f>IFERROR('升力标定计算'!M928,"")</x:f>
        <x:v>0.08520560792831017</x:v>
      </x:c>
      <x:c r="F464" s="22" t="n">
        <x:f>IF(AND(ISNUMBER(D464),ISNUMBER(E464)),AVERAGE(D464,E464),"")</x:f>
        <x:v>0.08500749654231124</x:v>
      </x:c>
      <x:c r="G464" s="22" t="n">
        <x:f>IFERROR('升力标定计算'!N927,"")</x:f>
        <x:v>0.07084536279255556</x:v>
      </x:c>
      <x:c r="H464" s="22" t="n">
        <x:f>IFERROR('升力标定计算'!N928,"")</x:f>
        <x:v>0.06913028989016519</x:v>
      </x:c>
      <x:c r="I464" s="22" t="n">
        <x:f>IF(AND(ISNUMBER(G464),ISNUMBER(H464)),AVERAGE(G464,H464),"")</x:f>
        <x:v>0.06998782634136037</x:v>
      </x:c>
      <x:c r="J464" s="22" t="n">
        <x:f>IFERROR('5000rpm'!AT14,"")</x:f>
        <x:v>0</x:v>
      </x:c>
      <x:c r="K464" s="22" t="n">
        <x:f>IFERROR('5000rpm'!AT24,"")</x:f>
        <x:v>0.26692913385826766</x:v>
      </x:c>
      <x:c r="L464" s="22" t="n">
        <x:f>IFERROR('5000rpm'!AT17,"")</x:f>
        <x:v>0.08007874015748032</x:v>
      </x:c>
      <x:c r="M464" s="22" t="n">
        <x:f>IFERROR('5000rpm'!AS17,"")</x:f>
        <x:v>0.07445440330819372</x:v>
      </x:c>
      <x:c r="N464" s="22" t="n">
        <x:f>IFERROR('5000rpm'!AT18,"")</x:f>
        <x:v>0.10677165354330712</x:v>
      </x:c>
      <x:c r="O464" s="22" t="n">
        <x:f>IFERROR('5000rpm'!AS18,"")</x:f>
        <x:v>0.07113905769459414</x:v>
      </x:c>
      <x:c r="P464" s="22" t="n">
        <x:f>IF(OR(NOT(AND(ISNUMBER(D464),ISNUMBER(E464),ISNUMBER(G464),ISNUMBER(H464))),OR(F464&lt;J464,F464&gt;K464)),"",IF(N464=L464,M464,M464+(F464-L464)*(O464-M464)/(N464-L464)))</x:f>
        <x:v>0.07384223592785724</x:v>
      </x:c>
      <x:c r="Q464" s="22" t="n">
        <x:f>IF(AND(ISNUMBER(I464),ISNUMBER(P464)),I464-P464,"")</x:f>
        <x:v>-0.003854409586496868</x:v>
      </x:c>
      <x:c r="R464" s="22" t="n">
        <x:f>IF(ISNUMBER(Q464),ABS(Q464),"")</x:f>
        <x:v>0.003854409586496868</x:v>
      </x:c>
      <x:c r="S464" s="36" t="n">
        <x:f>IF(AND(ISNUMBER(Q464),ISNUMBER(P464)),IF(ABS(P464)&lt;1E-12,"",Q464/P464),"")</x:f>
        <x:v>-0.05219789918418192</x:v>
      </x:c>
      <x:c r="T464" s="36" t="n">
        <x:f>IF(ISNUMBER(S464),ABS(S464),"")</x:f>
        <x:v>0.05219789918418192</x:v>
      </x:c>
      <x:c r="U464" s="37" t="n">
        <x:f>IF(ISNUMBER(Q464),Q464^2,"")</x:f>
        <x:v>0.000014856473260478957</x:v>
      </x:c>
      <x:c r="V464" s="21" t="str">
        <x:f>IF(NOT(AND(ISNUMBER(D464),ISNUMBER(E464),ISNUMBER(G464),ISNUMBER(H464))),"缺少配对",IF(OR(F464&lt;J464,F464&gt;K464),"超出理论J范围","有效"))</x:f>
        <x:v>有效</x:v>
      </x:c>
      <x:c r="W464" s="20" t="str">
        <x:v>升力 y=0.915708x+28.7687 → C_T_prop；实验攻角 75° ↔ 理论 alpha_p_deg 15°；原升力源 5000rpm!D158/O158</x:v>
      </x:c>
      <x:c r="X464" s="20" t="str">
        <x:v>升力标定计算!M927</x:v>
      </x:c>
      <x:c r="Y464" s="20" t="str">
        <x:v>升力标定计算!M928</x:v>
      </x:c>
      <x:c r="Z464" s="20" t="str">
        <x:v>升力标定计算!N927</x:v>
      </x:c>
      <x:c r="AA464" s="20" t="str">
        <x:v>升力标定计算!N928</x:v>
      </x:c>
      <x:c r="AB464" s="20" t="str">
        <x:v>5000rpm!AT17:AS18</x:v>
      </x:c>
    </x:row>
    <x:row r="465">
      <x:c r="A465" s="21" t="n">
        <x:v>5000</x:v>
      </x:c>
      <x:c r="B465" s="21" t="n">
        <x:v>75</x:v>
      </x:c>
      <x:c r="C465" s="21" t="n">
        <x:v>20</x:v>
      </x:c>
      <x:c r="D465" s="22" t="n">
        <x:f>IFERROR('升力标定计算'!M929,"")</x:f>
        <x:v>0.057134712868896126</x:v>
      </x:c>
      <x:c r="E465" s="22" t="n">
        <x:f>IFERROR('升力标定计算'!M930,"")</x:f>
        <x:v>0.05418839640754256</x:v>
      </x:c>
      <x:c r="F465" s="22" t="n">
        <x:f>IF(AND(ISNUMBER(D465),ISNUMBER(E465)),AVERAGE(D465,E465),"")</x:f>
        <x:v>0.05566155463821934</x:v>
      </x:c>
      <x:c r="G465" s="22" t="n">
        <x:f>IFERROR('升力标定计算'!N929,"")</x:f>
        <x:v>0.07283984859660646</x:v>
      </x:c>
      <x:c r="H465" s="22" t="n">
        <x:f>IFERROR('升力标定计算'!N930,"")</x:f>
        <x:v>0.07044000889644329</x:v>
      </x:c>
      <x:c r="I465" s="22" t="n">
        <x:f>IF(AND(ISNUMBER(G465),ISNUMBER(H465)),AVERAGE(G465,H465),"")</x:f>
        <x:v>0.07163992874652488</x:v>
      </x:c>
      <x:c r="J465" s="22" t="n">
        <x:f>IFERROR('5000rpm'!AT14,"")</x:f>
        <x:v>0</x:v>
      </x:c>
      <x:c r="K465" s="22" t="n">
        <x:f>IFERROR('5000rpm'!AT24,"")</x:f>
        <x:v>0.26692913385826766</x:v>
      </x:c>
      <x:c r="L465" s="22" t="n">
        <x:f>IFERROR('5000rpm'!AT16,"")</x:f>
        <x:v>0.05338582677165356</x:v>
      </x:c>
      <x:c r="M465" s="22" t="n">
        <x:f>IFERROR('5000rpm'!AS16,"")</x:f>
        <x:v>0.07761423283445075</x:v>
      </x:c>
      <x:c r="N465" s="22" t="n">
        <x:f>IFERROR('5000rpm'!AT17,"")</x:f>
        <x:v>0.08007874015748032</x:v>
      </x:c>
      <x:c r="O465" s="22" t="n">
        <x:f>IFERROR('5000rpm'!AS17,"")</x:f>
        <x:v>0.07445440330819372</x:v>
      </x:c>
      <x:c r="P465" s="22" t="n">
        <x:f>IF(OR(NOT(AND(ISNUMBER(D465),ISNUMBER(E465),ISNUMBER(G465),ISNUMBER(H465))),OR(F465&lt;J465,F465&gt;K465)),"",IF(N465=L465,M465,M465+(F465-L465)*(O465-M465)/(N465-L465)))</x:f>
        <x:v>0.07734483878208333</x:v>
      </x:c>
      <x:c r="Q465" s="22" t="n">
        <x:f>IF(AND(ISNUMBER(I465),ISNUMBER(P465)),I465-P465,"")</x:f>
        <x:v>-0.0057049100355584526</x:v>
      </x:c>
      <x:c r="R465" s="22" t="n">
        <x:f>IF(ISNUMBER(Q465),ABS(Q465),"")</x:f>
        <x:v>0.0057049100355584526</x:v>
      </x:c>
      <x:c r="S465" s="36" t="n">
        <x:f>IF(AND(ISNUMBER(Q465),ISNUMBER(P465)),IF(ABS(P465)&lt;1E-12,"",Q465/P465),"")</x:f>
        <x:v>-0.07375941466025754</x:v>
      </x:c>
      <x:c r="T465" s="36" t="n">
        <x:f>IF(ISNUMBER(S465),ABS(S465),"")</x:f>
        <x:v>0.07375941466025754</x:v>
      </x:c>
      <x:c r="U465" s="37" t="n">
        <x:f>IF(ISNUMBER(Q465),Q465^2,"")</x:f>
        <x:v>0.000032545998513815543</x:v>
      </x:c>
      <x:c r="V465" s="21" t="str">
        <x:f>IF(NOT(AND(ISNUMBER(D465),ISNUMBER(E465),ISNUMBER(G465),ISNUMBER(H465))),"缺少配对",IF(OR(F465&lt;J465,F465&gt;K465),"超出理论J范围","有效"))</x:f>
        <x:v>有效</x:v>
      </x:c>
      <x:c r="W465" s="20" t="str">
        <x:v>升力 y=0.915708x+28.7687 → C_T_prop；实验攻角 75° ↔ 理论 alpha_p_deg 15°；原升力源 5000rpm!D159/O159</x:v>
      </x:c>
      <x:c r="X465" s="20" t="str">
        <x:v>升力标定计算!M929</x:v>
      </x:c>
      <x:c r="Y465" s="20" t="str">
        <x:v>升力标定计算!M930</x:v>
      </x:c>
      <x:c r="Z465" s="20" t="str">
        <x:v>升力标定计算!N929</x:v>
      </x:c>
      <x:c r="AA465" s="20" t="str">
        <x:v>升力标定计算!N930</x:v>
      </x:c>
      <x:c r="AB465" s="20" t="str">
        <x:v>5000rpm!AT16:AS17</x:v>
      </x:c>
    </x:row>
    <x:row r="466">
      <x:c r="A466" s="21" t="n">
        <x:v>5000</x:v>
      </x:c>
      <x:c r="B466" s="21" t="n">
        <x:v>75</x:v>
      </x:c>
      <x:c r="C466" s="21" t="n">
        <x:v>21</x:v>
      </x:c>
      <x:c r="D466" s="22" t="n">
        <x:f>IFERROR('升力标定计算'!M931,"")</x:f>
        <x:v>0.0269815260053526</x:v>
      </x:c>
      <x:c r="E466" s="22" t="n">
        <x:f>IFERROR('升力标定计算'!M932,"")</x:f>
        <x:v>0.02974248673746828</x:v>
      </x:c>
      <x:c r="F466" s="22" t="n">
        <x:f>IF(AND(ISNUMBER(D466),ISNUMBER(E466)),AVERAGE(D466,E466),"")</x:f>
        <x:v>0.02836200637141044</x:v>
      </x:c>
      <x:c r="G466" s="22" t="n">
        <x:f>IFERROR('升力标定计算'!N931,"")</x:f>
        <x:v>0.07608177832104322</x:v>
      </x:c>
      <x:c r="H466" s="22" t="n">
        <x:f>IFERROR('升力标定计算'!N932,"")</x:f>
        <x:v>0.07186747836980403</x:v>
      </x:c>
      <x:c r="I466" s="22" t="n">
        <x:f>IF(AND(ISNUMBER(G466),ISNUMBER(H466)),AVERAGE(G466,H466),"")</x:f>
        <x:v>0.07397462834542362</x:v>
      </x:c>
      <x:c r="J466" s="22" t="n">
        <x:f>IFERROR('5000rpm'!AT14,"")</x:f>
        <x:v>0</x:v>
      </x:c>
      <x:c r="K466" s="22" t="n">
        <x:f>IFERROR('5000rpm'!AT24,"")</x:f>
        <x:v>0.26692913385826766</x:v>
      </x:c>
      <x:c r="L466" s="22" t="n">
        <x:f>IFERROR('5000rpm'!AT15,"")</x:f>
        <x:v>0.02669291338582678</x:v>
      </x:c>
      <x:c r="M466" s="22" t="n">
        <x:f>IFERROR('5000rpm'!AS15,"")</x:f>
        <x:v>0.0806258972008846</x:v>
      </x:c>
      <x:c r="N466" s="22" t="n">
        <x:f>IFERROR('5000rpm'!AT16,"")</x:f>
        <x:v>0.05338582677165356</x:v>
      </x:c>
      <x:c r="O466" s="22" t="n">
        <x:f>IFERROR('5000rpm'!AS16,"")</x:f>
        <x:v>0.07761423283445075</x:v>
      </x:c>
      <x:c r="P466" s="22" t="n">
        <x:f>IF(OR(NOT(AND(ISNUMBER(D466),ISNUMBER(E466),ISNUMBER(G466),ISNUMBER(H466))),OR(F466&lt;J466,F466&gt;K466)),"",IF(N466=L466,M466,M466+(F466-L466)*(O466-M466)/(N466-L466)))</x:f>
        <x:v>0.08043757950785915</x:v>
      </x:c>
      <x:c r="Q466" s="22" t="n">
        <x:f>IF(AND(ISNUMBER(I466),ISNUMBER(P466)),I466-P466,"")</x:f>
        <x:v>-0.006462951162435532</x:v>
      </x:c>
      <x:c r="R466" s="22" t="n">
        <x:f>IF(ISNUMBER(Q466),ABS(Q466),"")</x:f>
        <x:v>0.006462951162435532</x:v>
      </x:c>
      <x:c r="S466" s="36" t="n">
        <x:f>IF(AND(ISNUMBER(Q466),ISNUMBER(P466)),IF(ABS(P466)&lt;1E-12,"",Q466/P466),"")</x:f>
        <x:v>-0.0803474097800776</x:v>
      </x:c>
      <x:c r="T466" s="36" t="n">
        <x:f>IF(ISNUMBER(S466),ABS(S466),"")</x:f>
        <x:v>0.0803474097800776</x:v>
      </x:c>
      <x:c r="U466" s="37" t="n">
        <x:f>IF(ISNUMBER(Q466),Q466^2,"")</x:f>
        <x:v>0.00004176973772802679</x:v>
      </x:c>
      <x:c r="V466" s="21" t="str">
        <x:f>IF(NOT(AND(ISNUMBER(D466),ISNUMBER(E466),ISNUMBER(G466),ISNUMBER(H466))),"缺少配对",IF(OR(F466&lt;J466,F466&gt;K466),"超出理论J范围","有效"))</x:f>
        <x:v>有效</x:v>
      </x:c>
      <x:c r="W466" s="20" t="str">
        <x:v>升力 y=0.915708x+28.7687 → C_T_prop；实验攻角 75° ↔ 理论 alpha_p_deg 15°；原升力源 5000rpm!D160/O160</x:v>
      </x:c>
      <x:c r="X466" s="20" t="str">
        <x:v>升力标定计算!M931</x:v>
      </x:c>
      <x:c r="Y466" s="20" t="str">
        <x:v>升力标定计算!M932</x:v>
      </x:c>
      <x:c r="Z466" s="20" t="str">
        <x:v>升力标定计算!N931</x:v>
      </x:c>
      <x:c r="AA466" s="20" t="str">
        <x:v>升力标定计算!N932</x:v>
      </x:c>
      <x:c r="AB466" s="20" t="str">
        <x:v>5000rpm!AT15:AS16</x:v>
      </x:c>
    </x:row>
    <x:row r="467">
      <x:c r="A467" s="21" t="n">
        <x:v>5000</x:v>
      </x:c>
      <x:c r="B467" s="21" t="n">
        <x:v>75</x:v>
      </x:c>
      <x:c r="C467" s="21" t="n">
        <x:v>22</x:v>
      </x:c>
      <x:c r="D467" s="22" t="n">
        <x:f>IFERROR('升力标定计算'!M933,"")</x:f>
        <x:v>0.006952063604198401</x:v>
      </x:c>
      <x:c r="E467" s="22" t="n">
        <x:f>IFERROR('升力标定计算'!M934,"")</x:f>
        <x:v>0.007127337409216576</x:v>
      </x:c>
      <x:c r="F467" s="22" t="n">
        <x:f>IF(AND(ISNUMBER(D467),ISNUMBER(E467)),AVERAGE(D467,E467),"")</x:f>
        <x:v>0.007039700506707488</x:v>
      </x:c>
      <x:c r="G467" s="22" t="n">
        <x:f>IFERROR('升力标定计算'!N933,"")</x:f>
        <x:v>0.07762792697881687</x:v>
      </x:c>
      <x:c r="H467" s="22" t="n">
        <x:f>IFERROR('升力标定计算'!N934,"")</x:f>
        <x:v>0.0723049220088469</x:v>
      </x:c>
      <x:c r="I467" s="22" t="n">
        <x:f>IF(AND(ISNUMBER(G467),ISNUMBER(H467)),AVERAGE(G467,H467),"")</x:f>
        <x:v>0.0749664244938319</x:v>
      </x:c>
      <x:c r="J467" s="22" t="n">
        <x:f>IFERROR('5000rpm'!AT14,"")</x:f>
        <x:v>0</x:v>
      </x:c>
      <x:c r="K467" s="22" t="n">
        <x:f>IFERROR('5000rpm'!AT24,"")</x:f>
        <x:v>0.26692913385826766</x:v>
      </x:c>
      <x:c r="L467" s="22" t="n">
        <x:f>IFERROR('5000rpm'!AT14,"")</x:f>
        <x:v>0</x:v>
      </x:c>
      <x:c r="M467" s="22" t="n">
        <x:f>IFERROR('5000rpm'!AS14,"")</x:f>
        <x:v>0.0836476206119306</x:v>
      </x:c>
      <x:c r="N467" s="22" t="n">
        <x:f>IFERROR('5000rpm'!AT15,"")</x:f>
        <x:v>0.02669291338582678</x:v>
      </x:c>
      <x:c r="O467" s="22" t="n">
        <x:f>IFERROR('5000rpm'!AS15,"")</x:f>
        <x:v>0.0806258972008846</x:v>
      </x:c>
      <x:c r="P467" s="22" t="n">
        <x:f>IF(OR(NOT(AND(ISNUMBER(D467),ISNUMBER(E467),ISNUMBER(G467),ISNUMBER(H467))),OR(F467&lt;J467,F467&gt;K467)),"",IF(N467=L467,M467,M467+(F467-L467)*(O467-M467)/(N467-L467)))</x:f>
        <x:v>0.08285070393519327</x:v>
      </x:c>
      <x:c r="Q467" s="22" t="n">
        <x:f>IF(AND(ISNUMBER(I467),ISNUMBER(P467)),I467-P467,"")</x:f>
        <x:v>-0.007884279441361372</x:v>
      </x:c>
      <x:c r="R467" s="22" t="n">
        <x:f>IF(ISNUMBER(Q467),ABS(Q467),"")</x:f>
        <x:v>0.007884279441361372</x:v>
      </x:c>
      <x:c r="S467" s="36" t="n">
        <x:f>IF(AND(ISNUMBER(Q467),ISNUMBER(P467)),IF(ABS(P467)&lt;1E-12,"",Q467/P467),"")</x:f>
        <x:v>-0.09516249189057635</x:v>
      </x:c>
      <x:c r="T467" s="36" t="n">
        <x:f>IF(ISNUMBER(S467),ABS(S467),"")</x:f>
        <x:v>0.09516249189057635</x:v>
      </x:c>
      <x:c r="U467" s="37" t="n">
        <x:f>IF(ISNUMBER(Q467),Q467^2,"")</x:f>
        <x:v>0.00006216186230947359</x:v>
      </x:c>
      <x:c r="V467" s="21" t="str">
        <x:f>IF(NOT(AND(ISNUMBER(D467),ISNUMBER(E467),ISNUMBER(G467),ISNUMBER(H467))),"缺少配对",IF(OR(F467&lt;J467,F467&gt;K467),"超出理论J范围","有效"))</x:f>
        <x:v>有效</x:v>
      </x:c>
      <x:c r="W467" s="20" t="str">
        <x:v>升力 y=0.915708x+28.7687 → C_T_prop；实验攻角 75° ↔ 理论 alpha_p_deg 15°；原升力源 5000rpm!D161/O161</x:v>
      </x:c>
      <x:c r="X467" s="20" t="str">
        <x:v>升力标定计算!M933</x:v>
      </x:c>
      <x:c r="Y467" s="20" t="str">
        <x:v>升力标定计算!M934</x:v>
      </x:c>
      <x:c r="Z467" s="20" t="str">
        <x:v>升力标定计算!N933</x:v>
      </x:c>
      <x:c r="AA467" s="20" t="str">
        <x:v>升力标定计算!N934</x:v>
      </x:c>
      <x:c r="AB467" s="20" t="str">
        <x:v>5000rpm!AT14:AS15</x:v>
      </x:c>
    </x:row>
    <x:row r="468">
      <x:c r="A468" s="21" t="n">
        <x:v>5000</x:v>
      </x:c>
      <x:c r="B468" s="21" t="n">
        <x:v>75</x:v>
      </x:c>
      <x:c r="C468" s="21" t="n">
        <x:v>23</x:v>
      </x:c>
      <x:c r="D468" s="22" t="str">
        <x:f>IFERROR('升力标定计算'!M935,"")</x:f>
      </x:c>
      <x:c r="E468" s="22" t="str">
        <x:f>IFERROR('升力标定计算'!M936,"")</x:f>
      </x:c>
      <x:c r="F468" s="22" t="str">
        <x:f>IF(AND(ISNUMBER(D468),ISNUMBER(E468)),AVERAGE(D468,E468),"")</x:f>
      </x:c>
      <x:c r="G468" s="22" t="str">
        <x:f>IFERROR('升力标定计算'!N935,"")</x:f>
      </x:c>
      <x:c r="H468" s="22" t="str">
        <x:f>IFERROR('升力标定计算'!N936,"")</x:f>
      </x:c>
      <x:c r="I468" s="22" t="str">
        <x:f>IF(AND(ISNUMBER(G468),ISNUMBER(H468)),AVERAGE(G468,H468),"")</x:f>
      </x:c>
      <x:c r="J468" s="22" t="n">
        <x:f>IFERROR('5000rpm'!AT14,"")</x:f>
        <x:v>0</x:v>
      </x:c>
      <x:c r="K468" s="22" t="n">
        <x:f>IFERROR('5000rpm'!AT24,"")</x:f>
        <x:v>0.26692913385826766</x:v>
      </x:c>
      <x:c r="L468" s="22" t="n">
        <x:f>IFERROR('5000rpm'!AT14,"")</x:f>
        <x:v>0</x:v>
      </x:c>
      <x:c r="M468" s="22" t="n">
        <x:f>IFERROR('5000rpm'!AS14,"")</x:f>
        <x:v>0.0836476206119306</x:v>
      </x:c>
      <x:c r="N468" s="22" t="n">
        <x:f>IFERROR('5000rpm'!AT24,"")</x:f>
        <x:v>0.26692913385826766</x:v>
      </x:c>
      <x:c r="O468" s="22" t="n">
        <x:f>IFERROR('5000rpm'!AS24,"")</x:f>
        <x:v>0.04757659414830129</x:v>
      </x:c>
      <x:c r="P468" s="22" t="str">
        <x:f>IF(OR(NOT(AND(ISNUMBER(D468),ISNUMBER(E468),ISNUMBER(G468),ISNUMBER(H468))),OR(F468&lt;J468,F468&gt;K468)),"",IF(N468=L468,M468,M468+(F468-L468)*(O468-M468)/(N468-L468)))</x:f>
      </x:c>
      <x:c r="Q468" s="22" t="str">
        <x:f>IF(AND(ISNUMBER(I468),ISNUMBER(P468)),I468-P468,"")</x:f>
      </x:c>
      <x:c r="R468" s="22" t="str">
        <x:f>IF(ISNUMBER(Q468),ABS(Q468),"")</x:f>
      </x:c>
      <x:c r="S468" s="36" t="str">
        <x:f>IF(AND(ISNUMBER(Q468),ISNUMBER(P468)),IF(ABS(P468)&lt;1E-12,"",Q468/P468),"")</x:f>
      </x:c>
      <x:c r="T468" s="36" t="str">
        <x:f>IF(ISNUMBER(S468),ABS(S468),"")</x:f>
      </x:c>
      <x:c r="U468" s="37" t="str">
        <x:f>IF(ISNUMBER(Q468),Q468^2,"")</x:f>
      </x:c>
      <x:c r="V468" s="21" t="str">
        <x:f>IF(NOT(AND(ISNUMBER(D468),ISNUMBER(E468),ISNUMBER(G468),ISNUMBER(H468))),"缺少配对",IF(OR(F468&lt;J468,F468&gt;K468),"超出理论J范围","有效"))</x:f>
        <x:v>缺少配对</x:v>
      </x:c>
      <x:c r="W468" s="20" t="str">
        <x:v>升力 y=0.915708x+28.7687 → C_T_prop；实验攻角 75° ↔ 理论 alpha_p_deg 15°；原升力源 5000rpm!D162/O162</x:v>
      </x:c>
      <x:c r="X468" s="20" t="str">
        <x:v>升力标定计算!M935</x:v>
      </x:c>
      <x:c r="Y468" s="20" t="str">
        <x:v>升力标定计算!M936</x:v>
      </x:c>
      <x:c r="Z468" s="20" t="str">
        <x:v>升力标定计算!N935</x:v>
      </x:c>
      <x:c r="AA468" s="20" t="str">
        <x:v>升力标定计算!N936</x:v>
      </x:c>
      <x:c r="AB468" s="20" t="str">
        <x:v>5000rpm!AT14:AS24</x:v>
      </x:c>
    </x:row>
    <x:row r="469">
      <x:c r="A469" s="21" t="n">
        <x:v>5000</x:v>
      </x:c>
      <x:c r="B469" s="21" t="n">
        <x:v>90</x:v>
      </x:c>
      <x:c r="C469" s="21" t="n">
        <x:v>1</x:v>
      </x:c>
      <x:c r="D469" s="22" t="str">
        <x:f>IFERROR('升力标定计算'!M937,"")</x:f>
      </x:c>
      <x:c r="E469" s="22" t="str">
        <x:f>IFERROR('升力标定计算'!M938,"")</x:f>
      </x:c>
      <x:c r="F469" s="22" t="str">
        <x:f>IF(AND(ISNUMBER(D469),ISNUMBER(E469)),AVERAGE(D469,E469),"")</x:f>
      </x:c>
      <x:c r="G469" s="22" t="str">
        <x:f>IFERROR('升力标定计算'!N937,"")</x:f>
      </x:c>
      <x:c r="H469" s="22" t="str">
        <x:f>IFERROR('升力标定计算'!N938,"")</x:f>
      </x:c>
      <x:c r="I469" s="22" t="str">
        <x:f>IF(AND(ISNUMBER(G469),ISNUMBER(H469)),AVERAGE(G469,H469),"")</x:f>
      </x:c>
      <x:c r="J469" s="22" t="n">
        <x:f>IFERROR('5000rpm'!AT3,"")</x:f>
        <x:v>0</x:v>
      </x:c>
      <x:c r="K469" s="22" t="n">
        <x:f>IFERROR('5000rpm'!AT13,"")</x:f>
        <x:v>0.26692913385826766</x:v>
      </x:c>
      <x:c r="L469" s="22" t="n">
        <x:f>IFERROR('5000rpm'!AT3,"")</x:f>
        <x:v>0</x:v>
      </x:c>
      <x:c r="M469" s="22" t="n">
        <x:f>IFERROR('5000rpm'!AS3,"")</x:f>
        <x:v>0.0836476206119306</x:v>
      </x:c>
      <x:c r="N469" s="22" t="n">
        <x:f>IFERROR('5000rpm'!AT13,"")</x:f>
        <x:v>0.26692913385826766</x:v>
      </x:c>
      <x:c r="O469" s="22" t="n">
        <x:f>IFERROR('5000rpm'!AS13,"")</x:f>
        <x:v>0.04543547632278634</x:v>
      </x:c>
      <x:c r="P469" s="22" t="str">
        <x:f>IF(OR(NOT(AND(ISNUMBER(D469),ISNUMBER(E469),ISNUMBER(G469),ISNUMBER(H469))),OR(F469&lt;J469,F469&gt;K469)),"",IF(N469=L469,M469,M469+(F469-L469)*(O469-M469)/(N469-L469)))</x:f>
      </x:c>
      <x:c r="Q469" s="22" t="str">
        <x:f>IF(AND(ISNUMBER(I469),ISNUMBER(P469)),I469-P469,"")</x:f>
      </x:c>
      <x:c r="R469" s="22" t="str">
        <x:f>IF(ISNUMBER(Q469),ABS(Q469),"")</x:f>
      </x:c>
      <x:c r="S469" s="36" t="str">
        <x:f>IF(AND(ISNUMBER(Q469),ISNUMBER(P469)),IF(ABS(P469)&lt;1E-12,"",Q469/P469),"")</x:f>
      </x:c>
      <x:c r="T469" s="36" t="str">
        <x:f>IF(ISNUMBER(S469),ABS(S469),"")</x:f>
      </x:c>
      <x:c r="U469" s="37" t="str">
        <x:f>IF(ISNUMBER(Q469),Q469^2,"")</x:f>
      </x:c>
      <x:c r="V469" s="21" t="str">
        <x:f>IF(NOT(AND(ISNUMBER(D469),ISNUMBER(E469),ISNUMBER(G469),ISNUMBER(H469))),"缺少配对",IF(OR(F469&lt;J469,F469&gt;K469),"超出理论J范围","有效"))</x:f>
        <x:v>缺少配对</x:v>
      </x:c>
      <x:c r="W469" s="20" t="str">
        <x:v>升力 y=0.915708x+28.7687 → C_T_prop；实验攻角 90° ↔ 理论 alpha_p_deg 0°；原升力源 5000rpm!D168/O168</x:v>
      </x:c>
      <x:c r="X469" s="20" t="str">
        <x:v>升力标定计算!M937</x:v>
      </x:c>
      <x:c r="Y469" s="20" t="str">
        <x:v>升力标定计算!M938</x:v>
      </x:c>
      <x:c r="Z469" s="20" t="str">
        <x:v>升力标定计算!N937</x:v>
      </x:c>
      <x:c r="AA469" s="20" t="str">
        <x:v>升力标定计算!N938</x:v>
      </x:c>
      <x:c r="AB469" s="20" t="str">
        <x:v>5000rpm!AT3:AS13</x:v>
      </x:c>
    </x:row>
    <x:row r="470">
      <x:c r="A470" s="21" t="n">
        <x:v>5000</x:v>
      </x:c>
      <x:c r="B470" s="21" t="n">
        <x:v>90</x:v>
      </x:c>
      <x:c r="C470" s="21" t="n">
        <x:v>2</x:v>
      </x:c>
      <x:c r="D470" s="22" t="n">
        <x:f>IFERROR('升力标定计算'!M939,"")</x:f>
        <x:v>0.006626751113825568</x:v>
      </x:c>
      <x:c r="E470" s="22" t="n">
        <x:f>IFERROR('升力标定计算'!M940,"")</x:f>
        <x:v>0.005850237269883953</x:v>
      </x:c>
      <x:c r="F470" s="22" t="n">
        <x:f>IF(AND(ISNUMBER(D470),ISNUMBER(E470)),AVERAGE(D470,E470),"")</x:f>
        <x:v>0.00623849419185476</x:v>
      </x:c>
      <x:c r="G470" s="22" t="n">
        <x:f>IFERROR('升力标定计算'!N939,"")</x:f>
        <x:v>0.08339419132941983</x:v>
      </x:c>
      <x:c r="H470" s="22" t="n">
        <x:f>IFERROR('升力标定计算'!N940,"")</x:f>
        <x:v>0.08278617418273732</x:v>
      </x:c>
      <x:c r="I470" s="22" t="n">
        <x:f>IF(AND(ISNUMBER(G470),ISNUMBER(H470)),AVERAGE(G470,H470),"")</x:f>
        <x:v>0.08309018275607857</x:v>
      </x:c>
      <x:c r="J470" s="22" t="n">
        <x:f>IFERROR('5000rpm'!AT3,"")</x:f>
        <x:v>0</x:v>
      </x:c>
      <x:c r="K470" s="22" t="n">
        <x:f>IFERROR('5000rpm'!AT13,"")</x:f>
        <x:v>0.26692913385826766</x:v>
      </x:c>
      <x:c r="L470" s="22" t="n">
        <x:f>IFERROR('5000rpm'!AT3,"")</x:f>
        <x:v>0</x:v>
      </x:c>
      <x:c r="M470" s="22" t="n">
        <x:f>IFERROR('5000rpm'!AS3,"")</x:f>
        <x:v>0.0836476206119306</x:v>
      </x:c>
      <x:c r="N470" s="22" t="n">
        <x:f>IFERROR('5000rpm'!AT4,"")</x:f>
        <x:v>0.02669291338582678</x:v>
      </x:c>
      <x:c r="O470" s="22" t="n">
        <x:f>IFERROR('5000rpm'!AS4,"")</x:f>
        <x:v>0.08062006951544623</x:v>
      </x:c>
      <x:c r="P470" s="22" t="n">
        <x:f>IF(OR(NOT(AND(ISNUMBER(D470),ISNUMBER(E470),ISNUMBER(G470),ISNUMBER(H470))),OR(F470&lt;J470,F470&gt;K470)),"",IF(N470=L470,M470,M470+(F470-L470)*(O470-M470)/(N470-L470)))</x:f>
        <x:v>0.08294004105109518</x:v>
      </x:c>
      <x:c r="Q470" s="22" t="n">
        <x:f>IF(AND(ISNUMBER(I470),ISNUMBER(P470)),I470-P470,"")</x:f>
        <x:v>0.00015014170498339752</x:v>
      </x:c>
      <x:c r="R470" s="22" t="n">
        <x:f>IF(ISNUMBER(Q470),ABS(Q470),"")</x:f>
        <x:v>0.00015014170498339752</x:v>
      </x:c>
      <x:c r="S470" s="36" t="n">
        <x:f>IF(AND(ISNUMBER(Q470),ISNUMBER(P470)),IF(ABS(P470)&lt;1E-12,"",Q470/P470),"")</x:f>
        <x:v>0.0018102439193501579</x:v>
      </x:c>
      <x:c r="T470" s="36" t="n">
        <x:f>IF(ISNUMBER(S470),ABS(S470),"")</x:f>
        <x:v>0.0018102439193501579</x:v>
      </x:c>
      <x:c r="U470" s="37" t="n">
        <x:f>IF(ISNUMBER(Q470),Q470^2,"")</x:f>
        <x:v>2.2542531575321574e-8</x:v>
      </x:c>
      <x:c r="V470" s="21" t="str">
        <x:f>IF(NOT(AND(ISNUMBER(D470),ISNUMBER(E470),ISNUMBER(G470),ISNUMBER(H470))),"缺少配对",IF(OR(F470&lt;J470,F470&gt;K470),"超出理论J范围","有效"))</x:f>
        <x:v>有效</x:v>
      </x:c>
      <x:c r="W470" s="20" t="str">
        <x:v>升力 y=0.915708x+28.7687 → C_T_prop；实验攻角 90° ↔ 理论 alpha_p_deg 0°；原升力源 5000rpm!D169/O169</x:v>
      </x:c>
      <x:c r="X470" s="20" t="str">
        <x:v>升力标定计算!M939</x:v>
      </x:c>
      <x:c r="Y470" s="20" t="str">
        <x:v>升力标定计算!M940</x:v>
      </x:c>
      <x:c r="Z470" s="20" t="str">
        <x:v>升力标定计算!N939</x:v>
      </x:c>
      <x:c r="AA470" s="20" t="str">
        <x:v>升力标定计算!N940</x:v>
      </x:c>
      <x:c r="AB470" s="20" t="str">
        <x:v>5000rpm!AT3:AS4</x:v>
      </x:c>
    </x:row>
    <x:row r="471">
      <x:c r="A471" s="21" t="n">
        <x:v>5000</x:v>
      </x:c>
      <x:c r="B471" s="21" t="n">
        <x:v>90</x:v>
      </x:c>
      <x:c r="C471" s="21" t="n">
        <x:v>3</x:v>
      </x:c>
      <x:c r="D471" s="22" t="n">
        <x:f>IFERROR('升力标定计算'!M941,"")</x:f>
        <x:v>0.029037704391310346</x:v>
      </x:c>
      <x:c r="E471" s="22" t="n">
        <x:f>IFERROR('升力标定计算'!M942,"")</x:f>
        <x:v>0.028618961686192396</x:v>
      </x:c>
      <x:c r="F471" s="22" t="n">
        <x:f>IF(AND(ISNUMBER(D471),ISNUMBER(E471)),AVERAGE(D471,E471),"")</x:f>
        <x:v>0.02882833303875137</x:v>
      </x:c>
      <x:c r="G471" s="22" t="n">
        <x:f>IFERROR('升力标定计算'!N941,"")</x:f>
        <x:v>0.08233188678479257</x:v>
      </x:c>
      <x:c r="H471" s="22" t="n">
        <x:f>IFERROR('升力标定计算'!N942,"")</x:f>
        <x:v>0.08164419903805877</x:v>
      </x:c>
      <x:c r="I471" s="22" t="n">
        <x:f>IF(AND(ISNUMBER(G471),ISNUMBER(H471)),AVERAGE(G471,H471),"")</x:f>
        <x:v>0.08198804291142567</x:v>
      </x:c>
      <x:c r="J471" s="22" t="n">
        <x:f>IFERROR('5000rpm'!AT3,"")</x:f>
        <x:v>0</x:v>
      </x:c>
      <x:c r="K471" s="22" t="n">
        <x:f>IFERROR('5000rpm'!AT13,"")</x:f>
        <x:v>0.26692913385826766</x:v>
      </x:c>
      <x:c r="L471" s="22" t="n">
        <x:f>IFERROR('5000rpm'!AT4,"")</x:f>
        <x:v>0.02669291338582678</x:v>
      </x:c>
      <x:c r="M471" s="22" t="n">
        <x:f>IFERROR('5000rpm'!AS4,"")</x:f>
        <x:v>0.08062006951544623</x:v>
      </x:c>
      <x:c r="N471" s="22" t="n">
        <x:f>IFERROR('5000rpm'!AT5,"")</x:f>
        <x:v>0.05338582677165356</x:v>
      </x:c>
      <x:c r="O471" s="22" t="n">
        <x:f>IFERROR('5000rpm'!AS5,"")</x:f>
        <x:v>0.07743887171557279</x:v>
      </x:c>
      <x:c r="P471" s="22" t="n">
        <x:f>IF(OR(NOT(AND(ISNUMBER(D471),ISNUMBER(E471),ISNUMBER(G471),ISNUMBER(H471))),OR(F471&lt;J471,F471&gt;K471)),"",IF(N471=L471,M471,M471+(F471-L471)*(O471-M471)/(N471-L471)))</x:f>
        <x:v>0.08036557529057466</x:v>
      </x:c>
      <x:c r="Q471" s="22" t="n">
        <x:f>IF(AND(ISNUMBER(I471),ISNUMBER(P471)),I471-P471,"")</x:f>
        <x:v>0.001622467620851012</x:v>
      </x:c>
      <x:c r="R471" s="22" t="n">
        <x:f>IF(ISNUMBER(Q471),ABS(Q471),"")</x:f>
        <x:v>0.001622467620851012</x:v>
      </x:c>
      <x:c r="S471" s="36" t="n">
        <x:f>IF(AND(ISNUMBER(Q471),ISNUMBER(P471)),IF(ABS(P471)&lt;1E-12,"",Q471/P471),"")</x:f>
        <x:v>0.02018858964158123</x:v>
      </x:c>
      <x:c r="T471" s="36" t="n">
        <x:f>IF(ISNUMBER(S471),ABS(S471),"")</x:f>
        <x:v>0.02018858964158123</x:v>
      </x:c>
      <x:c r="U471" s="37" t="n">
        <x:f>IF(ISNUMBER(Q471),Q471^2,"")</x:f>
        <x:v>0.000002632401180709943</x:v>
      </x:c>
      <x:c r="V471" s="21" t="str">
        <x:f>IF(NOT(AND(ISNUMBER(D471),ISNUMBER(E471),ISNUMBER(G471),ISNUMBER(H471))),"缺少配对",IF(OR(F471&lt;J471,F471&gt;K471),"超出理论J范围","有效"))</x:f>
        <x:v>有效</x:v>
      </x:c>
      <x:c r="W471" s="20" t="str">
        <x:v>升力 y=0.915708x+28.7687 → C_T_prop；实验攻角 90° ↔ 理论 alpha_p_deg 0°；原升力源 5000rpm!D170/O170</x:v>
      </x:c>
      <x:c r="X471" s="20" t="str">
        <x:v>升力标定计算!M941</x:v>
      </x:c>
      <x:c r="Y471" s="20" t="str">
        <x:v>升力标定计算!M942</x:v>
      </x:c>
      <x:c r="Z471" s="20" t="str">
        <x:v>升力标定计算!N941</x:v>
      </x:c>
      <x:c r="AA471" s="20" t="str">
        <x:v>升力标定计算!N942</x:v>
      </x:c>
      <x:c r="AB471" s="20" t="str">
        <x:v>5000rpm!AT4:AS5</x:v>
      </x:c>
    </x:row>
    <x:row r="472">
      <x:c r="A472" s="21" t="n">
        <x:v>5000</x:v>
      </x:c>
      <x:c r="B472" s="21" t="n">
        <x:v>90</x:v>
      </x:c>
      <x:c r="C472" s="21" t="n">
        <x:v>4</x:v>
      </x:c>
      <x:c r="D472" s="22" t="n">
        <x:f>IFERROR('升力标定计算'!M943,"")</x:f>
        <x:v>0.055903385918928836</x:v>
      </x:c>
      <x:c r="E472" s="22" t="n">
        <x:f>IFERROR('升力标定计算'!M944,"")</x:f>
        <x:v>0.05623101537363674</x:v>
      </x:c>
      <x:c r="F472" s="22" t="n">
        <x:f>IF(AND(ISNUMBER(D472),ISNUMBER(E472)),AVERAGE(D472,E472),"")</x:f>
        <x:v>0.05606720064628279</x:v>
      </x:c>
      <x:c r="G472" s="22" t="n">
        <x:f>IFERROR('升力标定计算'!N943,"")</x:f>
        <x:v>0.07928907954054734</x:v>
      </x:c>
      <x:c r="H472" s="22" t="n">
        <x:f>IFERROR('升力标定计算'!N944,"")</x:f>
        <x:v>0.08017388238763752</x:v>
      </x:c>
      <x:c r="I472" s="22" t="n">
        <x:f>IF(AND(ISNUMBER(G472),ISNUMBER(H472)),AVERAGE(G472,H472),"")</x:f>
        <x:v>0.07973148096409244</x:v>
      </x:c>
      <x:c r="J472" s="22" t="n">
        <x:f>IFERROR('5000rpm'!AT3,"")</x:f>
        <x:v>0</x:v>
      </x:c>
      <x:c r="K472" s="22" t="n">
        <x:f>IFERROR('5000rpm'!AT13,"")</x:f>
        <x:v>0.26692913385826766</x:v>
      </x:c>
      <x:c r="L472" s="22" t="n">
        <x:f>IFERROR('5000rpm'!AT5,"")</x:f>
        <x:v>0.05338582677165356</x:v>
      </x:c>
      <x:c r="M472" s="22" t="n">
        <x:f>IFERROR('5000rpm'!AS5,"")</x:f>
        <x:v>0.07743887171557279</x:v>
      </x:c>
      <x:c r="N472" s="22" t="n">
        <x:f>IFERROR('5000rpm'!AT6,"")</x:f>
        <x:v>0.08007874015748032</x:v>
      </x:c>
      <x:c r="O472" s="22" t="n">
        <x:f>IFERROR('5000rpm'!AS6,"")</x:f>
        <x:v>0.07410283354547127</x:v>
      </x:c>
      <x:c r="P472" s="22" t="n">
        <x:f>IF(OR(NOT(AND(ISNUMBER(D472),ISNUMBER(E472),ISNUMBER(G472),ISNUMBER(H472))),OR(F472&lt;J472,F472&gt;K472)),"",IF(N472=L472,M472,M472+(F472-L472)*(O472-M472)/(N472-L472)))</x:f>
        <x:v>0.07710375784228439</x:v>
      </x:c>
      <x:c r="Q472" s="22" t="n">
        <x:f>IF(AND(ISNUMBER(I472),ISNUMBER(P472)),I472-P472,"")</x:f>
        <x:v>0.0026277231218080482</x:v>
      </x:c>
      <x:c r="R472" s="22" t="n">
        <x:f>IF(ISNUMBER(Q472),ABS(Q472),"")</x:f>
        <x:v>0.0026277231218080482</x:v>
      </x:c>
      <x:c r="S472" s="36" t="n">
        <x:f>IF(AND(ISNUMBER(Q472),ISNUMBER(P472)),IF(ABS(P472)&lt;1E-12,"",Q472/P472),"")</x:f>
        <x:v>0.03408035088488231</x:v>
      </x:c>
      <x:c r="T472" s="36" t="n">
        <x:f>IF(ISNUMBER(S472),ABS(S472),"")</x:f>
        <x:v>0.03408035088488231</x:v>
      </x:c>
      <x:c r="U472" s="37" t="n">
        <x:f>IF(ISNUMBER(Q472),Q472^2,"")</x:f>
        <x:v>0.000006904928804884635</x:v>
      </x:c>
      <x:c r="V472" s="21" t="str">
        <x:f>IF(NOT(AND(ISNUMBER(D472),ISNUMBER(E472),ISNUMBER(G472),ISNUMBER(H472))),"缺少配对",IF(OR(F472&lt;J472,F472&gt;K472),"超出理论J范围","有效"))</x:f>
        <x:v>有效</x:v>
      </x:c>
      <x:c r="W472" s="20" t="str">
        <x:v>升力 y=0.915708x+28.7687 → C_T_prop；实验攻角 90° ↔ 理论 alpha_p_deg 0°；原升力源 5000rpm!D171/O171</x:v>
      </x:c>
      <x:c r="X472" s="20" t="str">
        <x:v>升力标定计算!M943</x:v>
      </x:c>
      <x:c r="Y472" s="20" t="str">
        <x:v>升力标定计算!M944</x:v>
      </x:c>
      <x:c r="Z472" s="20" t="str">
        <x:v>升力标定计算!N943</x:v>
      </x:c>
      <x:c r="AA472" s="20" t="str">
        <x:v>升力标定计算!N944</x:v>
      </x:c>
      <x:c r="AB472" s="20" t="str">
        <x:v>5000rpm!AT5:AS6</x:v>
      </x:c>
    </x:row>
    <x:row r="473">
      <x:c r="A473" s="21" t="n">
        <x:v>5000</x:v>
      </x:c>
      <x:c r="B473" s="21" t="n">
        <x:v>90</x:v>
      </x:c>
      <x:c r="C473" s="21" t="n">
        <x:v>5</x:v>
      </x:c>
      <x:c r="D473" s="22" t="n">
        <x:f>IFERROR('升力标定计算'!M945,"")</x:f>
        <x:v>0.08271539882189483</x:v>
      </x:c>
      <x:c r="E473" s="22" t="n">
        <x:f>IFERROR('升力标定计算'!M946,"")</x:f>
        <x:v>0.08353128497431957</x:v>
      </x:c>
      <x:c r="F473" s="22" t="n">
        <x:f>IF(AND(ISNUMBER(D473),ISNUMBER(E473)),AVERAGE(D473,E473),"")</x:f>
        <x:v>0.08312334189810719</x:v>
      </x:c>
      <x:c r="G473" s="22" t="n">
        <x:f>IFERROR('升力标定计算'!N945,"")</x:f>
        <x:v>0.07623526136832016</x:v>
      </x:c>
      <x:c r="H473" s="22" t="n">
        <x:f>IFERROR('升力标定计算'!N946,"")</x:f>
        <x:v>0.07706433752331178</x:v>
      </x:c>
      <x:c r="I473" s="22" t="n">
        <x:f>IF(AND(ISNUMBER(G473),ISNUMBER(H473)),AVERAGE(G473,H473),"")</x:f>
        <x:v>0.07664979944581597</x:v>
      </x:c>
      <x:c r="J473" s="22" t="n">
        <x:f>IFERROR('5000rpm'!AT3,"")</x:f>
        <x:v>0</x:v>
      </x:c>
      <x:c r="K473" s="22" t="n">
        <x:f>IFERROR('5000rpm'!AT13,"")</x:f>
        <x:v>0.26692913385826766</x:v>
      </x:c>
      <x:c r="L473" s="22" t="n">
        <x:f>IFERROR('5000rpm'!AT6,"")</x:f>
        <x:v>0.08007874015748032</x:v>
      </x:c>
      <x:c r="M473" s="22" t="n">
        <x:f>IFERROR('5000rpm'!AS6,"")</x:f>
        <x:v>0.07410283354547127</x:v>
      </x:c>
      <x:c r="N473" s="22" t="n">
        <x:f>IFERROR('5000rpm'!AT7,"")</x:f>
        <x:v>0.10677165354330712</x:v>
      </x:c>
      <x:c r="O473" s="22" t="n">
        <x:f>IFERROR('5000rpm'!AS7,"")</x:f>
        <x:v>0.07058627743332085</x:v>
      </x:c>
      <x:c r="P473" s="22" t="n">
        <x:f>IF(OR(NOT(AND(ISNUMBER(D473),ISNUMBER(E473),ISNUMBER(G473),ISNUMBER(H473))),OR(F473&lt;J473,F473&gt;K473)),"",IF(N473=L473,M473,M473+(F473-L473)*(O473-M473)/(N473-L473)))</x:f>
        <x:v>0.07370173409614139</x:v>
      </x:c>
      <x:c r="Q473" s="22" t="n">
        <x:f>IF(AND(ISNUMBER(I473),ISNUMBER(P473)),I473-P473,"")</x:f>
        <x:v>0.0029480653496745807</x:v>
      </x:c>
      <x:c r="R473" s="22" t="n">
        <x:f>IF(ISNUMBER(Q473),ABS(Q473),"")</x:f>
        <x:v>0.0029480653496745807</x:v>
      </x:c>
      <x:c r="S473" s="36" t="n">
        <x:f>IF(AND(ISNUMBER(Q473),ISNUMBER(P473)),IF(ABS(P473)&lt;1E-12,"",Q473/P473),"")</x:f>
        <x:v>0.03999994553491686</x:v>
      </x:c>
      <x:c r="T473" s="36" t="n">
        <x:f>IF(ISNUMBER(S473),ABS(S473),"")</x:f>
        <x:v>0.03999994553491686</x:v>
      </x:c>
      <x:c r="U473" s="37" t="n">
        <x:f>IF(ISNUMBER(Q473),Q473^2,"")</x:f>
        <x:v>0.000008691089305951908</x:v>
      </x:c>
      <x:c r="V473" s="21" t="str">
        <x:f>IF(NOT(AND(ISNUMBER(D473),ISNUMBER(E473),ISNUMBER(G473),ISNUMBER(H473))),"缺少配对",IF(OR(F473&lt;J473,F473&gt;K473),"超出理论J范围","有效"))</x:f>
        <x:v>有效</x:v>
      </x:c>
      <x:c r="W473" s="20" t="str">
        <x:v>升力 y=0.915708x+28.7687 → C_T_prop；实验攻角 90° ↔ 理论 alpha_p_deg 0°；原升力源 5000rpm!D172/O172</x:v>
      </x:c>
      <x:c r="X473" s="20" t="str">
        <x:v>升力标定计算!M945</x:v>
      </x:c>
      <x:c r="Y473" s="20" t="str">
        <x:v>升力标定计算!M946</x:v>
      </x:c>
      <x:c r="Z473" s="20" t="str">
        <x:v>升力标定计算!N945</x:v>
      </x:c>
      <x:c r="AA473" s="20" t="str">
        <x:v>升力标定计算!N946</x:v>
      </x:c>
      <x:c r="AB473" s="20" t="str">
        <x:v>5000rpm!AT6:AS7</x:v>
      </x:c>
    </x:row>
    <x:row r="474">
      <x:c r="A474" s="21" t="n">
        <x:v>5000</x:v>
      </x:c>
      <x:c r="B474" s="21" t="n">
        <x:v>90</x:v>
      </x:c>
      <x:c r="C474" s="21" t="n">
        <x:v>6</x:v>
      </x:c>
      <x:c r="D474" s="22" t="n">
        <x:f>IFERROR('升力标定计算'!M947,"")</x:f>
        <x:v>0.11072779724648786</x:v>
      </x:c>
      <x:c r="E474" s="22" t="n">
        <x:f>IFERROR('升力标定计算'!M948,"")</x:f>
        <x:v>0.11072744787772336</x:v>
      </x:c>
      <x:c r="F474" s="22" t="n">
        <x:f>IF(AND(ISNUMBER(D474),ISNUMBER(E474)),AVERAGE(D474,E474),"")</x:f>
        <x:v>0.11072762256210561</x:v>
      </x:c>
      <x:c r="G474" s="22" t="n">
        <x:f>IFERROR('升力标定计算'!N947,"")</x:f>
        <x:v>0.07436181770923646</x:v>
      </x:c>
      <x:c r="H474" s="22" t="n">
        <x:f>IFERROR('升力标定计算'!N948,"")</x:f>
        <x:v>0.07357058170095117</x:v>
      </x:c>
      <x:c r="I474" s="22" t="n">
        <x:f>IF(AND(ISNUMBER(G474),ISNUMBER(H474)),AVERAGE(G474,H474),"")</x:f>
        <x:v>0.07396619970509381</x:v>
      </x:c>
      <x:c r="J474" s="22" t="n">
        <x:f>IFERROR('5000rpm'!AT3,"")</x:f>
        <x:v>0</x:v>
      </x:c>
      <x:c r="K474" s="22" t="n">
        <x:f>IFERROR('5000rpm'!AT13,"")</x:f>
        <x:v>0.26692913385826766</x:v>
      </x:c>
      <x:c r="L474" s="22" t="n">
        <x:f>IFERROR('5000rpm'!AT7,"")</x:f>
        <x:v>0.10677165354330712</x:v>
      </x:c>
      <x:c r="M474" s="22" t="n">
        <x:f>IFERROR('5000rpm'!AS7,"")</x:f>
        <x:v>0.07058627743332085</x:v>
      </x:c>
      <x:c r="N474" s="22" t="n">
        <x:f>IFERROR('5000rpm'!AT8,"")</x:f>
        <x:v>0.13346456692913383</x:v>
      </x:c>
      <x:c r="O474" s="22" t="n">
        <x:f>IFERROR('5000rpm'!AS8,"")</x:f>
        <x:v>0.06687732942021296</x:v>
      </x:c>
      <x:c r="P474" s="22" t="n">
        <x:f>IF(OR(NOT(AND(ISNUMBER(D474),ISNUMBER(E474),ISNUMBER(G474),ISNUMBER(H474))),OR(F474&lt;J474,F474&gt;K474)),"",IF(N474=L474,M474,M474+(F474-L474)*(O474-M474)/(N474-L474)))</x:f>
        <x:v>0.07003660032538929</x:v>
      </x:c>
      <x:c r="Q474" s="22" t="n">
        <x:f>IF(AND(ISNUMBER(I474),ISNUMBER(P474)),I474-P474,"")</x:f>
        <x:v>0.003929599379704524</x:v>
      </x:c>
      <x:c r="R474" s="22" t="n">
        <x:f>IF(ISNUMBER(Q474),ABS(Q474),"")</x:f>
        <x:v>0.003929599379704524</x:v>
      </x:c>
      <x:c r="S474" s="36" t="n">
        <x:f>IF(AND(ISNUMBER(Q474),ISNUMBER(P474)),IF(ABS(P474)&lt;1E-12,"",Q474/P474),"")</x:f>
        <x:v>0.056107797372340285</x:v>
      </x:c>
      <x:c r="T474" s="36" t="n">
        <x:f>IF(ISNUMBER(S474),ABS(S474),"")</x:f>
        <x:v>0.056107797372340285</x:v>
      </x:c>
      <x:c r="U474" s="37" t="n">
        <x:f>IF(ISNUMBER(Q474),Q474^2,"")</x:f>
        <x:v>0.000015441751284974177</x:v>
      </x:c>
      <x:c r="V474" s="21" t="str">
        <x:f>IF(NOT(AND(ISNUMBER(D474),ISNUMBER(E474),ISNUMBER(G474),ISNUMBER(H474))),"缺少配对",IF(OR(F474&lt;J474,F474&gt;K474),"超出理论J范围","有效"))</x:f>
        <x:v>有效</x:v>
      </x:c>
      <x:c r="W474" s="20" t="str">
        <x:v>升力 y=0.915708x+28.7687 → C_T_prop；实验攻角 90° ↔ 理论 alpha_p_deg 0°；原升力源 5000rpm!D173/O173</x:v>
      </x:c>
      <x:c r="X474" s="20" t="str">
        <x:v>升力标定计算!M947</x:v>
      </x:c>
      <x:c r="Y474" s="20" t="str">
        <x:v>升力标定计算!M948</x:v>
      </x:c>
      <x:c r="Z474" s="20" t="str">
        <x:v>升力标定计算!N947</x:v>
      </x:c>
      <x:c r="AA474" s="20" t="str">
        <x:v>升力标定计算!N948</x:v>
      </x:c>
      <x:c r="AB474" s="20" t="str">
        <x:v>5000rpm!AT7:AS8</x:v>
      </x:c>
    </x:row>
    <x:row r="475">
      <x:c r="A475" s="21" t="n">
        <x:v>5000</x:v>
      </x:c>
      <x:c r="B475" s="21" t="n">
        <x:v>90</x:v>
      </x:c>
      <x:c r="C475" s="21" t="n">
        <x:v>7</x:v>
      </x:c>
      <x:c r="D475" s="22" t="n">
        <x:f>IFERROR('升力标定计算'!M949,"")</x:f>
        <x:v>0.1375600858818363</x:v>
      </x:c>
      <x:c r="E475" s="22" t="n">
        <x:f>IFERROR('升力标定计算'!M950,"")</x:f>
        <x:v>0.1379465666773709</x:v>
      </x:c>
      <x:c r="F475" s="22" t="n">
        <x:f>IF(AND(ISNUMBER(D475),ISNUMBER(E475)),AVERAGE(D475,E475),"")</x:f>
        <x:v>0.1377533262796036</x:v>
      </x:c>
      <x:c r="G475" s="22" t="n">
        <x:f>IFERROR('升力标定计算'!N949,"")</x:f>
        <x:v>0.07068801324191375</x:v>
      </x:c>
      <x:c r="H475" s="22" t="n">
        <x:f>IFERROR('升力标定计算'!N950,"")</x:f>
        <x:v>0.07000999632350259</x:v>
      </x:c>
      <x:c r="I475" s="22" t="n">
        <x:f>IF(AND(ISNUMBER(G475),ISNUMBER(H475)),AVERAGE(G475,H475),"")</x:f>
        <x:v>0.07034900478270817</x:v>
      </x:c>
      <x:c r="J475" s="22" t="n">
        <x:f>IFERROR('5000rpm'!AT3,"")</x:f>
        <x:v>0</x:v>
      </x:c>
      <x:c r="K475" s="22" t="n">
        <x:f>IFERROR('5000rpm'!AT13,"")</x:f>
        <x:v>0.26692913385826766</x:v>
      </x:c>
      <x:c r="L475" s="22" t="n">
        <x:f>IFERROR('5000rpm'!AT8,"")</x:f>
        <x:v>0.13346456692913383</x:v>
      </x:c>
      <x:c r="M475" s="22" t="n">
        <x:f>IFERROR('5000rpm'!AS8,"")</x:f>
        <x:v>0.06687732942021296</x:v>
      </x:c>
      <x:c r="N475" s="22" t="n">
        <x:f>IFERROR('5000rpm'!AT9,"")</x:f>
        <x:v>0.16015748031496063</x:v>
      </x:c>
      <x:c r="O475" s="22" t="n">
        <x:f>IFERROR('5000rpm'!AS9,"")</x:f>
        <x:v>0.06296598645140293</x:v>
      </x:c>
      <x:c r="P475" s="22" t="n">
        <x:f>IF(OR(NOT(AND(ISNUMBER(D475),ISNUMBER(E475),ISNUMBER(G475),ISNUMBER(H475))),OR(F475&lt;J475,F475&gt;K475)),"",IF(N475=L475,M475,M475+(F475-L475)*(O475-M475)/(N475-L475)))</x:f>
        <x:v>0.06624889263296871</x:v>
      </x:c>
      <x:c r="Q475" s="22" t="n">
        <x:f>IF(AND(ISNUMBER(I475),ISNUMBER(P475)),I475-P475,"")</x:f>
        <x:v>0.00410011214973946</x:v>
      </x:c>
      <x:c r="R475" s="22" t="n">
        <x:f>IF(ISNUMBER(Q475),ABS(Q475),"")</x:f>
        <x:v>0.00410011214973946</x:v>
      </x:c>
      <x:c r="S475" s="36" t="n">
        <x:f>IF(AND(ISNUMBER(Q475),ISNUMBER(P475)),IF(ABS(P475)&lt;1E-12,"",Q475/P475),"")</x:f>
        <x:v>0.0618895197608034</x:v>
      </x:c>
      <x:c r="T475" s="36" t="n">
        <x:f>IF(ISNUMBER(S475),ABS(S475),"")</x:f>
        <x:v>0.0618895197608034</x:v>
      </x:c>
      <x:c r="U475" s="37" t="n">
        <x:f>IF(ISNUMBER(Q475),Q475^2,"")</x:f>
        <x:v>0.000016810919640441134</x:v>
      </x:c>
      <x:c r="V475" s="21" t="str">
        <x:f>IF(NOT(AND(ISNUMBER(D475),ISNUMBER(E475),ISNUMBER(G475),ISNUMBER(H475))),"缺少配对",IF(OR(F475&lt;J475,F475&gt;K475),"超出理论J范围","有效"))</x:f>
        <x:v>有效</x:v>
      </x:c>
      <x:c r="W475" s="20" t="str">
        <x:v>升力 y=0.915708x+28.7687 → C_T_prop；实验攻角 90° ↔ 理论 alpha_p_deg 0°；原升力源 5000rpm!D174/O174</x:v>
      </x:c>
      <x:c r="X475" s="20" t="str">
        <x:v>升力标定计算!M949</x:v>
      </x:c>
      <x:c r="Y475" s="20" t="str">
        <x:v>升力标定计算!M950</x:v>
      </x:c>
      <x:c r="Z475" s="20" t="str">
        <x:v>升力标定计算!N949</x:v>
      </x:c>
      <x:c r="AA475" s="20" t="str">
        <x:v>升力标定计算!N950</x:v>
      </x:c>
      <x:c r="AB475" s="20" t="str">
        <x:v>5000rpm!AT8:AS9</x:v>
      </x:c>
    </x:row>
    <x:row r="476">
      <x:c r="A476" s="21" t="n">
        <x:v>5000</x:v>
      </x:c>
      <x:c r="B476" s="21" t="n">
        <x:v>90</x:v>
      </x:c>
      <x:c r="C476" s="21" t="n">
        <x:v>8</x:v>
      </x:c>
      <x:c r="D476" s="22" t="n">
        <x:f>IFERROR('升力标定计算'!M951,"")</x:f>
        <x:v>0.16307024317738883</x:v>
      </x:c>
      <x:c r="E476" s="22" t="n">
        <x:f>IFERROR('升力标定计算'!M952,"")</x:f>
        <x:v>0.1672488876614331</x:v>
      </x:c>
      <x:c r="F476" s="22" t="n">
        <x:f>IF(AND(ISNUMBER(D476),ISNUMBER(E476)),AVERAGE(D476,E476),"")</x:f>
        <x:v>0.16515956541941096</x:v>
      </x:c>
      <x:c r="G476" s="22" t="n">
        <x:f>IFERROR('升力标定计算'!N951,"")</x:f>
        <x:v>0.06527178543280776</x:v>
      </x:c>
      <x:c r="H476" s="22" t="n">
        <x:f>IFERROR('升力标定计算'!N952,"")</x:f>
        <x:v>0.06557333935061607</x:v>
      </x:c>
      <x:c r="I476" s="22" t="n">
        <x:f>IF(AND(ISNUMBER(G476),ISNUMBER(H476)),AVERAGE(G476,H476),"")</x:f>
        <x:v>0.06542256239171192</x:v>
      </x:c>
      <x:c r="J476" s="22" t="n">
        <x:f>IFERROR('5000rpm'!AT3,"")</x:f>
        <x:v>0</x:v>
      </x:c>
      <x:c r="K476" s="22" t="n">
        <x:f>IFERROR('5000rpm'!AT13,"")</x:f>
        <x:v>0.26692913385826766</x:v>
      </x:c>
      <x:c r="L476" s="22" t="n">
        <x:f>IFERROR('5000rpm'!AT9,"")</x:f>
        <x:v>0.16015748031496063</x:v>
      </x:c>
      <x:c r="M476" s="22" t="n">
        <x:f>IFERROR('5000rpm'!AS9,"")</x:f>
        <x:v>0.06296598645140293</x:v>
      </x:c>
      <x:c r="N476" s="22" t="n">
        <x:f>IFERROR('5000rpm'!AT10,"")</x:f>
        <x:v>0.18685039370078743</x:v>
      </x:c>
      <x:c r="O476" s="22" t="n">
        <x:f>IFERROR('5000rpm'!AS10,"")</x:f>
        <x:v>0.058822527558622655</x:v>
      </x:c>
      <x:c r="P476" s="22" t="n">
        <x:f>IF(OR(NOT(AND(ISNUMBER(D476),ISNUMBER(E476),ISNUMBER(G476),ISNUMBER(H476))),OR(F476&lt;J476,F476&gt;K476)),"",IF(N476=L476,M476,M476+(F476-L476)*(O476-M476)/(N476-L476)))</x:f>
        <x:v>0.06218952815669002</x:v>
      </x:c>
      <x:c r="Q476" s="22" t="n">
        <x:f>IF(AND(ISNUMBER(I476),ISNUMBER(P476)),I476-P476,"")</x:f>
        <x:v>0.0032330342350218935</x:v>
      </x:c>
      <x:c r="R476" s="22" t="n">
        <x:f>IF(ISNUMBER(Q476),ABS(Q476),"")</x:f>
        <x:v>0.0032330342350218935</x:v>
      </x:c>
      <x:c r="S476" s="36" t="n">
        <x:f>IF(AND(ISNUMBER(Q476),ISNUMBER(P476)),IF(ABS(P476)&lt;1E-12,"",Q476/P476),"")</x:f>
        <x:v>0.05198679473618262</x:v>
      </x:c>
      <x:c r="T476" s="36" t="n">
        <x:f>IF(ISNUMBER(S476),ABS(S476),"")</x:f>
        <x:v>0.05198679473618262</x:v>
      </x:c>
      <x:c r="U476" s="37" t="n">
        <x:f>IF(ISNUMBER(Q476),Q476^2,"")</x:f>
        <x:v>0.0000104525103648236</x:v>
      </x:c>
      <x:c r="V476" s="21" t="str">
        <x:f>IF(NOT(AND(ISNUMBER(D476),ISNUMBER(E476),ISNUMBER(G476),ISNUMBER(H476))),"缺少配对",IF(OR(F476&lt;J476,F476&gt;K476),"超出理论J范围","有效"))</x:f>
        <x:v>有效</x:v>
      </x:c>
      <x:c r="W476" s="20" t="str">
        <x:v>升力 y=0.915708x+28.7687 → C_T_prop；实验攻角 90° ↔ 理论 alpha_p_deg 0°；原升力源 5000rpm!D175/O175</x:v>
      </x:c>
      <x:c r="X476" s="20" t="str">
        <x:v>升力标定计算!M951</x:v>
      </x:c>
      <x:c r="Y476" s="20" t="str">
        <x:v>升力标定计算!M952</x:v>
      </x:c>
      <x:c r="Z476" s="20" t="str">
        <x:v>升力标定计算!N951</x:v>
      </x:c>
      <x:c r="AA476" s="20" t="str">
        <x:v>升力标定计算!N952</x:v>
      </x:c>
      <x:c r="AB476" s="20" t="str">
        <x:v>5000rpm!AT9:AS10</x:v>
      </x:c>
    </x:row>
    <x:row r="477">
      <x:c r="A477" s="21" t="n">
        <x:v>5000</x:v>
      </x:c>
      <x:c r="B477" s="21" t="n">
        <x:v>90</x:v>
      </x:c>
      <x:c r="C477" s="21" t="n">
        <x:v>9</x:v>
      </x:c>
      <x:c r="D477" s="22" t="n">
        <x:f>IFERROR('升力标定计算'!M953,"")</x:f>
        <x:v>0.1900566507055398</x:v>
      </x:c>
      <x:c r="E477" s="22" t="n">
        <x:f>IFERROR('升力标定计算'!M954,"")</x:f>
        <x:v>0.19056915219316264</x:v>
      </x:c>
      <x:c r="F477" s="22" t="n">
        <x:f>IF(AND(ISNUMBER(D477),ISNUMBER(E477)),AVERAGE(D477,E477),"")</x:f>
        <x:v>0.1903129014493512</x:v>
      </x:c>
      <x:c r="G477" s="22" t="n">
        <x:f>IFERROR('升力标定计算'!N953,"")</x:f>
        <x:v>0.062099241189180567</x:v>
      </x:c>
      <x:c r="H477" s="22" t="n">
        <x:f>IFERROR('升力标定计算'!N954,"")</x:f>
        <x:v>0.06181838421238919</x:v>
      </x:c>
      <x:c r="I477" s="22" t="n">
        <x:f>IF(AND(ISNUMBER(G477),ISNUMBER(H477)),AVERAGE(G477,H477),"")</x:f>
        <x:v>0.06195881270078488</x:v>
      </x:c>
      <x:c r="J477" s="22" t="n">
        <x:f>IFERROR('5000rpm'!AT3,"")</x:f>
        <x:v>0</x:v>
      </x:c>
      <x:c r="K477" s="22" t="n">
        <x:f>IFERROR('5000rpm'!AT13,"")</x:f>
        <x:v>0.26692913385826766</x:v>
      </x:c>
      <x:c r="L477" s="22" t="n">
        <x:f>IFERROR('5000rpm'!AT10,"")</x:f>
        <x:v>0.18685039370078743</x:v>
      </x:c>
      <x:c r="M477" s="22" t="n">
        <x:f>IFERROR('5000rpm'!AS10,"")</x:f>
        <x:v>0.058822527558622655</x:v>
      </x:c>
      <x:c r="N477" s="22" t="n">
        <x:f>IFERROR('5000rpm'!AT11,"")</x:f>
        <x:v>0.21354330708661423</x:v>
      </x:c>
      <x:c r="O477" s="22" t="n">
        <x:f>IFERROR('5000rpm'!AS11,"")</x:f>
        <x:v>0.05451297507573095</x:v>
      </x:c>
      <x:c r="P477" s="22" t="n">
        <x:f>IF(OR(NOT(AND(ISNUMBER(D477),ISNUMBER(E477),ISNUMBER(G477),ISNUMBER(H477))),OR(F477&lt;J477,F477&gt;K477)),"",IF(N477=L477,M477,M477+(F477-L477)*(O477-M477)/(N477-L477)))</x:f>
        <x:v>0.05826350806722544</x:v>
      </x:c>
      <x:c r="Q477" s="22" t="n">
        <x:f>IF(AND(ISNUMBER(I477),ISNUMBER(P477)),I477-P477,"")</x:f>
        <x:v>0.0036953046335594375</x:v>
      </x:c>
      <x:c r="R477" s="22" t="n">
        <x:f>IF(ISNUMBER(Q477),ABS(Q477),"")</x:f>
        <x:v>0.0036953046335594375</x:v>
      </x:c>
      <x:c r="S477" s="36" t="n">
        <x:f>IF(AND(ISNUMBER(Q477),ISNUMBER(P477)),IF(ABS(P477)&lt;1E-12,"",Q477/P477),"")</x:f>
        <x:v>0.06342399824768072</x:v>
      </x:c>
      <x:c r="T477" s="36" t="n">
        <x:f>IF(ISNUMBER(S477),ABS(S477),"")</x:f>
        <x:v>0.06342399824768072</x:v>
      </x:c>
      <x:c r="U477" s="37" t="n">
        <x:f>IF(ISNUMBER(Q477),Q477^2,"")</x:f>
        <x:v>0.000013655276334805848</x:v>
      </x:c>
      <x:c r="V477" s="21" t="str">
        <x:f>IF(NOT(AND(ISNUMBER(D477),ISNUMBER(E477),ISNUMBER(G477),ISNUMBER(H477))),"缺少配对",IF(OR(F477&lt;J477,F477&gt;K477),"超出理论J范围","有效"))</x:f>
        <x:v>有效</x:v>
      </x:c>
      <x:c r="W477" s="20" t="str">
        <x:v>升力 y=0.915708x+28.7687 → C_T_prop；实验攻角 90° ↔ 理论 alpha_p_deg 0°；原升力源 5000rpm!D176/O176</x:v>
      </x:c>
      <x:c r="X477" s="20" t="str">
        <x:v>升力标定计算!M953</x:v>
      </x:c>
      <x:c r="Y477" s="20" t="str">
        <x:v>升力标定计算!M954</x:v>
      </x:c>
      <x:c r="Z477" s="20" t="str">
        <x:v>升力标定计算!N953</x:v>
      </x:c>
      <x:c r="AA477" s="20" t="str">
        <x:v>升力标定计算!N954</x:v>
      </x:c>
      <x:c r="AB477" s="20" t="str">
        <x:v>5000rpm!AT10:AS11</x:v>
      </x:c>
    </x:row>
    <x:row r="478">
      <x:c r="A478" s="21" t="n">
        <x:v>5000</x:v>
      </x:c>
      <x:c r="B478" s="21" t="n">
        <x:v>90</x:v>
      </x:c>
      <x:c r="C478" s="21" t="n">
        <x:v>10</x:v>
      </x:c>
      <x:c r="D478" s="22" t="n">
        <x:f>IFERROR('升力标定计算'!M955,"")</x:f>
        <x:v>0.21423126064423215</x:v>
      </x:c>
      <x:c r="E478" s="22" t="n">
        <x:f>IFERROR('升力标定计算'!M956,"")</x:f>
        <x:v>0.2173681230486076</x:v>
      </x:c>
      <x:c r="F478" s="22" t="n">
        <x:f>IF(AND(ISNUMBER(D478),ISNUMBER(E478)),AVERAGE(D478,E478),"")</x:f>
        <x:v>0.21579969184641987</x:v>
      </x:c>
      <x:c r="G478" s="22" t="n">
        <x:f>IFERROR('升力标定计算'!N955,"")</x:f>
        <x:v>0.05685770559401365</x:v>
      </x:c>
      <x:c r="H478" s="22" t="n">
        <x:f>IFERROR('升力标定计算'!N956,"")</x:f>
        <x:v>0.05807032254332084</x:v>
      </x:c>
      <x:c r="I478" s="22" t="n">
        <x:f>IF(AND(ISNUMBER(G478),ISNUMBER(H478)),AVERAGE(G478,H478),"")</x:f>
        <x:v>0.057464014068667246</x:v>
      </x:c>
      <x:c r="J478" s="22" t="n">
        <x:f>IFERROR('5000rpm'!AT3,"")</x:f>
        <x:v>0</x:v>
      </x:c>
      <x:c r="K478" s="22" t="n">
        <x:f>IFERROR('5000rpm'!AT13,"")</x:f>
        <x:v>0.26692913385826766</x:v>
      </x:c>
      <x:c r="L478" s="22" t="n">
        <x:f>IFERROR('5000rpm'!AT11,"")</x:f>
        <x:v>0.21354330708661423</x:v>
      </x:c>
      <x:c r="M478" s="22" t="n">
        <x:f>IFERROR('5000rpm'!AS11,"")</x:f>
        <x:v>0.05451297507573095</x:v>
      </x:c>
      <x:c r="N478" s="22" t="n">
        <x:f>IFERROR('5000rpm'!AT12,"")</x:f>
        <x:v>0.24023622047244095</x:v>
      </x:c>
      <x:c r="O478" s="22" t="n">
        <x:f>IFERROR('5000rpm'!AS12,"")</x:f>
        <x:v>0.05006199567859797</x:v>
      </x:c>
      <x:c r="P478" s="22" t="n">
        <x:f>IF(OR(NOT(AND(ISNUMBER(D478),ISNUMBER(E478),ISNUMBER(G478),ISNUMBER(H478))),OR(F478&lt;J478,F478&gt;K478)),"",IF(N478=L478,M478,M478+(F478-L478)*(O478-M478)/(N478-L478)))</x:f>
        <x:v>0.05413672831942025</x:v>
      </x:c>
      <x:c r="Q478" s="22" t="n">
        <x:f>IF(AND(ISNUMBER(I478),ISNUMBER(P478)),I478-P478,"")</x:f>
        <x:v>0.003327285749246997</x:v>
      </x:c>
      <x:c r="R478" s="22" t="n">
        <x:f>IF(ISNUMBER(Q478),ABS(Q478),"")</x:f>
        <x:v>0.003327285749246997</x:v>
      </x:c>
      <x:c r="S478" s="36" t="n">
        <x:f>IF(AND(ISNUMBER(Q478),ISNUMBER(P478)),IF(ABS(P478)&lt;1E-12,"",Q478/P478),"")</x:f>
        <x:v>0.061460783695962896</x:v>
      </x:c>
      <x:c r="T478" s="36" t="n">
        <x:f>IF(ISNUMBER(S478),ABS(S478),"")</x:f>
        <x:v>0.061460783695962896</x:v>
      </x:c>
      <x:c r="U478" s="37" t="n">
        <x:f>IF(ISNUMBER(Q478),Q478^2,"")</x:f>
        <x:v>0.00001107083045714215</x:v>
      </x:c>
      <x:c r="V478" s="21" t="str">
        <x:f>IF(NOT(AND(ISNUMBER(D478),ISNUMBER(E478),ISNUMBER(G478),ISNUMBER(H478))),"缺少配对",IF(OR(F478&lt;J478,F478&gt;K478),"超出理论J范围","有效"))</x:f>
        <x:v>有效</x:v>
      </x:c>
      <x:c r="W478" s="20" t="str">
        <x:v>升力 y=0.915708x+28.7687 → C_T_prop；实验攻角 90° ↔ 理论 alpha_p_deg 0°；原升力源 5000rpm!D177/O177</x:v>
      </x:c>
      <x:c r="X478" s="20" t="str">
        <x:v>升力标定计算!M955</x:v>
      </x:c>
      <x:c r="Y478" s="20" t="str">
        <x:v>升力标定计算!M956</x:v>
      </x:c>
      <x:c r="Z478" s="20" t="str">
        <x:v>升力标定计算!N955</x:v>
      </x:c>
      <x:c r="AA478" s="20" t="str">
        <x:v>升力标定计算!N956</x:v>
      </x:c>
      <x:c r="AB478" s="20" t="str">
        <x:v>5000rpm!AT11:AS12</x:v>
      </x:c>
    </x:row>
    <x:row r="479">
      <x:c r="A479" s="21" t="n">
        <x:v>5000</x:v>
      </x:c>
      <x:c r="B479" s="21" t="n">
        <x:v>90</x:v>
      </x:c>
      <x:c r="C479" s="21" t="n">
        <x:v>11</x:v>
      </x:c>
      <x:c r="D479" s="22" t="n">
        <x:f>IFERROR('升力标定计算'!M957,"")</x:f>
        <x:v>0.2384982186344792</x:v>
      </x:c>
      <x:c r="E479" s="22" t="n">
        <x:f>IFERROR('升力标定计算'!M958,"")</x:f>
        <x:v>0.2434453147202203</x:v>
      </x:c>
      <x:c r="F479" s="22" t="n">
        <x:f>IF(AND(ISNUMBER(D479),ISNUMBER(E479)),AVERAGE(D479,E479),"")</x:f>
        <x:v>0.24097176667734976</x:v>
      </x:c>
      <x:c r="G479" s="22" t="n">
        <x:f>IFERROR('升力标定计算'!N957,"")</x:f>
        <x:v>0.05233311267784498</x:v>
      </x:c>
      <x:c r="H479" s="22" t="n">
        <x:f>IFERROR('升力标定计算'!N958,"")</x:f>
        <x:v>0.05391880409954892</x:v>
      </x:c>
      <x:c r="I479" s="22" t="n">
        <x:f>IF(AND(ISNUMBER(G479),ISNUMBER(H479)),AVERAGE(G479,H479),"")</x:f>
        <x:v>0.05312595838869695</x:v>
      </x:c>
      <x:c r="J479" s="22" t="n">
        <x:f>IFERROR('5000rpm'!AT3,"")</x:f>
        <x:v>0</x:v>
      </x:c>
      <x:c r="K479" s="22" t="n">
        <x:f>IFERROR('5000rpm'!AT13,"")</x:f>
        <x:v>0.26692913385826766</x:v>
      </x:c>
      <x:c r="L479" s="22" t="n">
        <x:f>IFERROR('5000rpm'!AT12,"")</x:f>
        <x:v>0.24023622047244095</x:v>
      </x:c>
      <x:c r="M479" s="22" t="n">
        <x:f>IFERROR('5000rpm'!AS12,"")</x:f>
        <x:v>0.05006199567859797</x:v>
      </x:c>
      <x:c r="N479" s="22" t="n">
        <x:f>IFERROR('5000rpm'!AT13,"")</x:f>
        <x:v>0.26692913385826766</x:v>
      </x:c>
      <x:c r="O479" s="22" t="n">
        <x:f>IFERROR('5000rpm'!AS13,"")</x:f>
        <x:v>0.04543547632278634</x:v>
      </x:c>
      <x:c r="P479" s="22" t="n">
        <x:f>IF(OR(NOT(AND(ISNUMBER(D479),ISNUMBER(E479),ISNUMBER(G479),ISNUMBER(H479))),OR(F479&lt;J479,F479&gt;K479)),"",IF(N479=L479,M479,M479+(F479-L479)*(O479-M479)/(N479-L479)))</x:f>
        <x:v>0.049934507955361605</x:v>
      </x:c>
      <x:c r="Q479" s="22" t="n">
        <x:f>IF(AND(ISNUMBER(I479),ISNUMBER(P479)),I479-P479,"")</x:f>
        <x:v>0.0031914504333353452</x:v>
      </x:c>
      <x:c r="R479" s="22" t="n">
        <x:f>IF(ISNUMBER(Q479),ABS(Q479),"")</x:f>
        <x:v>0.0031914504333353452</x:v>
      </x:c>
      <x:c r="S479" s="36" t="n">
        <x:f>IF(AND(ISNUMBER(Q479),ISNUMBER(P479)),IF(ABS(P479)&lt;1E-12,"",Q479/P479),"")</x:f>
        <x:v>0.06391272416638824</x:v>
      </x:c>
      <x:c r="T479" s="36" t="n">
        <x:f>IF(ISNUMBER(S479),ABS(S479),"")</x:f>
        <x:v>0.06391272416638824</x:v>
      </x:c>
      <x:c r="U479" s="37" t="n">
        <x:f>IF(ISNUMBER(Q479),Q479^2,"")</x:f>
        <x:v>0.000010185355868436363</x:v>
      </x:c>
      <x:c r="V479" s="21" t="str">
        <x:f>IF(NOT(AND(ISNUMBER(D479),ISNUMBER(E479),ISNUMBER(G479),ISNUMBER(H479))),"缺少配对",IF(OR(F479&lt;J479,F479&gt;K479),"超出理论J范围","有效"))</x:f>
        <x:v>有效</x:v>
      </x:c>
      <x:c r="W479" s="20" t="str">
        <x:v>升力 y=0.915708x+28.7687 → C_T_prop；实验攻角 90° ↔ 理论 alpha_p_deg 0°；原升力源 5000rpm!D178/O178</x:v>
      </x:c>
      <x:c r="X479" s="20" t="str">
        <x:v>升力标定计算!M957</x:v>
      </x:c>
      <x:c r="Y479" s="20" t="str">
        <x:v>升力标定计算!M958</x:v>
      </x:c>
      <x:c r="Z479" s="20" t="str">
        <x:v>升力标定计算!N957</x:v>
      </x:c>
      <x:c r="AA479" s="20" t="str">
        <x:v>升力标定计算!N958</x:v>
      </x:c>
      <x:c r="AB479" s="20" t="str">
        <x:v>5000rpm!AT12:AS13</x:v>
      </x:c>
    </x:row>
    <x:row r="480">
      <x:c r="A480" s="21" t="n">
        <x:v>5000</x:v>
      </x:c>
      <x:c r="B480" s="21" t="n">
        <x:v>90</x:v>
      </x:c>
      <x:c r="C480" s="21" t="n">
        <x:v>12</x:v>
      </x:c>
      <x:c r="D480" s="22" t="n">
        <x:f>IFERROR('升力标定计算'!M959,"")</x:f>
        <x:v>0.2650607952279003</x:v>
      </x:c>
      <x:c r="E480" s="22" t="n">
        <x:f>IFERROR('升力标定计算'!M960,"")</x:f>
        <x:v>0.26686510884545545</x:v>
      </x:c>
      <x:c r="F480" s="22" t="n">
        <x:f>IF(AND(ISNUMBER(D480),ISNUMBER(E480)),AVERAGE(D480,E480),"")</x:f>
        <x:v>0.26596295203667786</x:v>
      </x:c>
      <x:c r="G480" s="22" t="n">
        <x:f>IFERROR('升力标定计算'!N959,"")</x:f>
        <x:v>0.05026923669366598</x:v>
      </x:c>
      <x:c r="H480" s="22" t="n">
        <x:f>IFERROR('升力标定计算'!N960,"")</x:f>
        <x:v>0.05043516393361647</x:v>
      </x:c>
      <x:c r="I480" s="22" t="n">
        <x:f>IF(AND(ISNUMBER(G480),ISNUMBER(H480)),AVERAGE(G480,H480),"")</x:f>
        <x:v>0.050352200313641224</x:v>
      </x:c>
      <x:c r="J480" s="22" t="n">
        <x:f>IFERROR('5000rpm'!AT3,"")</x:f>
        <x:v>0</x:v>
      </x:c>
      <x:c r="K480" s="22" t="n">
        <x:f>IFERROR('5000rpm'!AT13,"")</x:f>
        <x:v>0.26692913385826766</x:v>
      </x:c>
      <x:c r="L480" s="22" t="n">
        <x:f>IFERROR('5000rpm'!AT12,"")</x:f>
        <x:v>0.24023622047244095</x:v>
      </x:c>
      <x:c r="M480" s="22" t="n">
        <x:f>IFERROR('5000rpm'!AS12,"")</x:f>
        <x:v>0.05006199567859797</x:v>
      </x:c>
      <x:c r="N480" s="22" t="n">
        <x:f>IFERROR('5000rpm'!AT13,"")</x:f>
        <x:v>0.26692913385826766</x:v>
      </x:c>
      <x:c r="O480" s="22" t="n">
        <x:f>IFERROR('5000rpm'!AS13,"")</x:f>
        <x:v>0.04543547632278634</x:v>
      </x:c>
      <x:c r="P480" s="22" t="n">
        <x:f>IF(OR(NOT(AND(ISNUMBER(D480),ISNUMBER(E480),ISNUMBER(G480),ISNUMBER(H480))),OR(F480&lt;J480,F480&gt;K480)),"",IF(N480=L480,M480,M480+(F480-L480)*(O480-M480)/(N480-L480)))</x:f>
        <x:v>0.0456029387063114</x:v>
      </x:c>
      <x:c r="Q480" s="22" t="n">
        <x:f>IF(AND(ISNUMBER(I480),ISNUMBER(P480)),I480-P480,"")</x:f>
        <x:v>0.004749261607329823</x:v>
      </x:c>
      <x:c r="R480" s="22" t="n">
        <x:f>IF(ISNUMBER(Q480),ABS(Q480),"")</x:f>
        <x:v>0.004749261607329823</x:v>
      </x:c>
      <x:c r="S480" s="36" t="n">
        <x:f>IF(AND(ISNUMBER(Q480),ISNUMBER(P480)),IF(ABS(P480)&lt;1E-12,"",Q480/P480),"")</x:f>
        <x:v>0.10414376226750777</x:v>
      </x:c>
      <x:c r="T480" s="36" t="n">
        <x:f>IF(ISNUMBER(S480),ABS(S480),"")</x:f>
        <x:v>0.10414376226750777</x:v>
      </x:c>
      <x:c r="U480" s="37" t="n">
        <x:f>IF(ISNUMBER(Q480),Q480^2,"")</x:f>
        <x:v>0.000022555485814857052</x:v>
      </x:c>
      <x:c r="V480" s="21" t="str">
        <x:f>IF(NOT(AND(ISNUMBER(D480),ISNUMBER(E480),ISNUMBER(G480),ISNUMBER(H480))),"缺少配对",IF(OR(F480&lt;J480,F480&gt;K480),"超出理论J范围","有效"))</x:f>
        <x:v>有效</x:v>
      </x:c>
      <x:c r="W480" s="20" t="str">
        <x:v>升力 y=0.915708x+28.7687 → C_T_prop；实验攻角 90° ↔ 理论 alpha_p_deg 0°；原升力源 5000rpm!D179/O179</x:v>
      </x:c>
      <x:c r="X480" s="20" t="str">
        <x:v>升力标定计算!M959</x:v>
      </x:c>
      <x:c r="Y480" s="20" t="str">
        <x:v>升力标定计算!M960</x:v>
      </x:c>
      <x:c r="Z480" s="20" t="str">
        <x:v>升力标定计算!N959</x:v>
      </x:c>
      <x:c r="AA480" s="20" t="str">
        <x:v>升力标定计算!N960</x:v>
      </x:c>
      <x:c r="AB480" s="20" t="str">
        <x:v>5000rpm!AT12:AS13</x:v>
      </x:c>
    </x:row>
    <x:row r="481">
      <x:c r="A481" s="21" t="n">
        <x:v>5000</x:v>
      </x:c>
      <x:c r="B481" s="21" t="n">
        <x:v>90</x:v>
      </x:c>
      <x:c r="C481" s="21" t="n">
        <x:v>13</x:v>
      </x:c>
      <x:c r="D481" s="22" t="n">
        <x:f>IFERROR('升力标定计算'!M961,"")</x:f>
        <x:v>0.2429573700894573</x:v>
      </x:c>
      <x:c r="E481" s="22" t="n">
        <x:f>IFERROR('升力标定计算'!M962,"")</x:f>
        <x:v>0.24217381894891812</x:v>
      </x:c>
      <x:c r="F481" s="22" t="n">
        <x:f>IF(AND(ISNUMBER(D481),ISNUMBER(E481)),AVERAGE(D481,E481),"")</x:f>
        <x:v>0.24256559451918772</x:v>
      </x:c>
      <x:c r="G481" s="22" t="n">
        <x:f>IFERROR('升力标定计算'!N961,"")</x:f>
        <x:v>0.05439835488218487</x:v>
      </x:c>
      <x:c r="H481" s="22" t="n">
        <x:f>IFERROR('升力标定计算'!N962,"")</x:f>
        <x:v>0.053545900246695616</x:v>
      </x:c>
      <x:c r="I481" s="22" t="n">
        <x:f>IF(AND(ISNUMBER(G481),ISNUMBER(H481)),AVERAGE(G481,H481),"")</x:f>
        <x:v>0.05397212756444024</x:v>
      </x:c>
      <x:c r="J481" s="22" t="n">
        <x:f>IFERROR('5000rpm'!AT3,"")</x:f>
        <x:v>0</x:v>
      </x:c>
      <x:c r="K481" s="22" t="n">
        <x:f>IFERROR('5000rpm'!AT13,"")</x:f>
        <x:v>0.26692913385826766</x:v>
      </x:c>
      <x:c r="L481" s="22" t="n">
        <x:f>IFERROR('5000rpm'!AT12,"")</x:f>
        <x:v>0.24023622047244095</x:v>
      </x:c>
      <x:c r="M481" s="22" t="n">
        <x:f>IFERROR('5000rpm'!AS12,"")</x:f>
        <x:v>0.05006199567859797</x:v>
      </x:c>
      <x:c r="N481" s="22" t="n">
        <x:f>IFERROR('5000rpm'!AT13,"")</x:f>
        <x:v>0.26692913385826766</x:v>
      </x:c>
      <x:c r="O481" s="22" t="n">
        <x:f>IFERROR('5000rpm'!AS13,"")</x:f>
        <x:v>0.04543547632278634</x:v>
      </x:c>
      <x:c r="P481" s="22" t="n">
        <x:f>IF(OR(NOT(AND(ISNUMBER(D481),ISNUMBER(E481),ISNUMBER(G481),ISNUMBER(H481))),OR(F481&lt;J481,F481&gt;K481)),"",IF(N481=L481,M481,M481+(F481-L481)*(O481-M481)/(N481-L481)))</x:f>
        <x:v>0.04965825952741705</x:v>
      </x:c>
      <x:c r="Q481" s="22" t="n">
        <x:f>IF(AND(ISNUMBER(I481),ISNUMBER(P481)),I481-P481,"")</x:f>
        <x:v>0.0043138680370231886</x:v>
      </x:c>
      <x:c r="R481" s="22" t="n">
        <x:f>IF(ISNUMBER(Q481),ABS(Q481),"")</x:f>
        <x:v>0.0043138680370231886</x:v>
      </x:c>
      <x:c r="S481" s="36" t="n">
        <x:f>IF(AND(ISNUMBER(Q481),ISNUMBER(P481)),IF(ABS(P481)&lt;1E-12,"",Q481/P481),"")</x:f>
        <x:v>0.08687110821194688</x:v>
      </x:c>
      <x:c r="T481" s="36" t="n">
        <x:f>IF(ISNUMBER(S481),ABS(S481),"")</x:f>
        <x:v>0.08687110821194688</x:v>
      </x:c>
      <x:c r="U481" s="37" t="n">
        <x:f>IF(ISNUMBER(Q481),Q481^2,"")</x:f>
        <x:v>0.0000186094574408503</x:v>
      </x:c>
      <x:c r="V481" s="21" t="str">
        <x:f>IF(NOT(AND(ISNUMBER(D481),ISNUMBER(E481),ISNUMBER(G481),ISNUMBER(H481))),"缺少配对",IF(OR(F481&lt;J481,F481&gt;K481),"超出理论J范围","有效"))</x:f>
        <x:v>有效</x:v>
      </x:c>
      <x:c r="W481" s="20" t="str">
        <x:v>升力 y=0.915708x+28.7687 → C_T_prop；实验攻角 90° ↔ 理论 alpha_p_deg 0°；原升力源 5000rpm!D180/O180</x:v>
      </x:c>
      <x:c r="X481" s="20" t="str">
        <x:v>升力标定计算!M961</x:v>
      </x:c>
      <x:c r="Y481" s="20" t="str">
        <x:v>升力标定计算!M962</x:v>
      </x:c>
      <x:c r="Z481" s="20" t="str">
        <x:v>升力标定计算!N961</x:v>
      </x:c>
      <x:c r="AA481" s="20" t="str">
        <x:v>升力标定计算!N962</x:v>
      </x:c>
      <x:c r="AB481" s="20" t="str">
        <x:v>5000rpm!AT12:AS13</x:v>
      </x:c>
    </x:row>
    <x:row r="482">
      <x:c r="A482" s="21" t="n">
        <x:v>5000</x:v>
      </x:c>
      <x:c r="B482" s="21" t="n">
        <x:v>90</x:v>
      </x:c>
      <x:c r="C482" s="21" t="n">
        <x:v>14</x:v>
      </x:c>
      <x:c r="D482" s="22" t="n">
        <x:f>IFERROR('升力标定计算'!M963,"")</x:f>
        <x:v>0.21715738611388388</x:v>
      </x:c>
      <x:c r="E482" s="22" t="n">
        <x:f>IFERROR('升力标定计算'!M964,"")</x:f>
        <x:v>0.21539845277447617</x:v>
      </x:c>
      <x:c r="F482" s="22" t="n">
        <x:f>IF(AND(ISNUMBER(D482),ISNUMBER(E482)),AVERAGE(D482,E482),"")</x:f>
        <x:v>0.21627791944418</x:v>
      </x:c>
      <x:c r="G482" s="22" t="n">
        <x:f>IFERROR('升力标定计算'!N963,"")</x:f>
        <x:v>0.05824525548269464</x:v>
      </x:c>
      <x:c r="H482" s="22" t="n">
        <x:f>IFERROR('升力标定计算'!N964,"")</x:f>
        <x:v>0.056880948238075324</x:v>
      </x:c>
      <x:c r="I482" s="22" t="n">
        <x:f>IF(AND(ISNUMBER(G482),ISNUMBER(H482)),AVERAGE(G482,H482),"")</x:f>
        <x:v>0.05756310186038498</x:v>
      </x:c>
      <x:c r="J482" s="22" t="n">
        <x:f>IFERROR('5000rpm'!AT3,"")</x:f>
        <x:v>0</x:v>
      </x:c>
      <x:c r="K482" s="22" t="n">
        <x:f>IFERROR('5000rpm'!AT13,"")</x:f>
        <x:v>0.26692913385826766</x:v>
      </x:c>
      <x:c r="L482" s="22" t="n">
        <x:f>IFERROR('5000rpm'!AT11,"")</x:f>
        <x:v>0.21354330708661423</x:v>
      </x:c>
      <x:c r="M482" s="22" t="n">
        <x:f>IFERROR('5000rpm'!AS11,"")</x:f>
        <x:v>0.05451297507573095</x:v>
      </x:c>
      <x:c r="N482" s="22" t="n">
        <x:f>IFERROR('5000rpm'!AT12,"")</x:f>
        <x:v>0.24023622047244095</x:v>
      </x:c>
      <x:c r="O482" s="22" t="n">
        <x:f>IFERROR('5000rpm'!AS12,"")</x:f>
        <x:v>0.05006199567859797</x:v>
      </x:c>
      <x:c r="P482" s="22" t="n">
        <x:f>IF(OR(NOT(AND(ISNUMBER(D482),ISNUMBER(E482),ISNUMBER(G482),ISNUMBER(H482))),OR(F482&lt;J482,F482&gt;K482)),"",IF(N482=L482,M482,M482+(F482-L482)*(O482-M482)/(N482-L482)))</x:f>
        <x:v>0.05405698501249816</x:v>
      </x:c>
      <x:c r="Q482" s="22" t="n">
        <x:f>IF(AND(ISNUMBER(I482),ISNUMBER(P482)),I482-P482,"")</x:f>
        <x:v>0.00350611684788682</x:v>
      </x:c>
      <x:c r="R482" s="22" t="n">
        <x:f>IF(ISNUMBER(Q482),ABS(Q482),"")</x:f>
        <x:v>0.00350611684788682</x:v>
      </x:c>
      <x:c r="S482" s="36" t="n">
        <x:f>IF(AND(ISNUMBER(Q482),ISNUMBER(P482)),IF(ABS(P482)&lt;1E-12,"",Q482/P482),"")</x:f>
        <x:v>0.0648596448188184</x:v>
      </x:c>
      <x:c r="T482" s="36" t="n">
        <x:f>IF(ISNUMBER(S482),ABS(S482),"")</x:f>
        <x:v>0.0648596448188184</x:v>
      </x:c>
      <x:c r="U482" s="37" t="n">
        <x:f>IF(ISNUMBER(Q482),Q482^2,"")</x:f>
        <x:v>0.00001229285535103581</x:v>
      </x:c>
      <x:c r="V482" s="21" t="str">
        <x:f>IF(NOT(AND(ISNUMBER(D482),ISNUMBER(E482),ISNUMBER(G482),ISNUMBER(H482))),"缺少配对",IF(OR(F482&lt;J482,F482&gt;K482),"超出理论J范围","有效"))</x:f>
        <x:v>有效</x:v>
      </x:c>
      <x:c r="W482" s="20" t="str">
        <x:v>升力 y=0.915708x+28.7687 → C_T_prop；实验攻角 90° ↔ 理论 alpha_p_deg 0°；原升力源 5000rpm!D181/O181</x:v>
      </x:c>
      <x:c r="X482" s="20" t="str">
        <x:v>升力标定计算!M963</x:v>
      </x:c>
      <x:c r="Y482" s="20" t="str">
        <x:v>升力标定计算!M964</x:v>
      </x:c>
      <x:c r="Z482" s="20" t="str">
        <x:v>升力标定计算!N963</x:v>
      </x:c>
      <x:c r="AA482" s="20" t="str">
        <x:v>升力标定计算!N964</x:v>
      </x:c>
      <x:c r="AB482" s="20" t="str">
        <x:v>5000rpm!AT11:AS12</x:v>
      </x:c>
    </x:row>
    <x:row r="483">
      <x:c r="A483" s="21" t="n">
        <x:v>5000</x:v>
      </x:c>
      <x:c r="B483" s="21" t="n">
        <x:v>90</x:v>
      </x:c>
      <x:c r="C483" s="21" t="n">
        <x:v>15</x:v>
      </x:c>
      <x:c r="D483" s="22" t="n">
        <x:f>IFERROR('升力标定计算'!M965,"")</x:f>
        <x:v>0.1925170582501533</x:v>
      </x:c>
      <x:c r="E483" s="22" t="n">
        <x:f>IFERROR('升力标定计算'!M966,"")</x:f>
        <x:v>0.19200558914045968</x:v>
      </x:c>
      <x:c r="F483" s="22" t="n">
        <x:f>IF(AND(ISNUMBER(D483),ISNUMBER(E483)),AVERAGE(D483,E483),"")</x:f>
        <x:v>0.1922613236953065</x:v>
      </x:c>
      <x:c r="G483" s="22" t="n">
        <x:f>IFERROR('升力标定计算'!N965,"")</x:f>
        <x:v>0.06296072405612388</x:v>
      </x:c>
      <x:c r="H483" s="22" t="n">
        <x:f>IFERROR('升力标定计算'!N966,"")</x:f>
        <x:v>0.062377600849645595</x:v>
      </x:c>
      <x:c r="I483" s="22" t="n">
        <x:f>IF(AND(ISNUMBER(G483),ISNUMBER(H483)),AVERAGE(G483,H483),"")</x:f>
        <x:v>0.06266916245288473</x:v>
      </x:c>
      <x:c r="J483" s="22" t="n">
        <x:f>IFERROR('5000rpm'!AT3,"")</x:f>
        <x:v>0</x:v>
      </x:c>
      <x:c r="K483" s="22" t="n">
        <x:f>IFERROR('5000rpm'!AT13,"")</x:f>
        <x:v>0.26692913385826766</x:v>
      </x:c>
      <x:c r="L483" s="22" t="n">
        <x:f>IFERROR('5000rpm'!AT10,"")</x:f>
        <x:v>0.18685039370078743</x:v>
      </x:c>
      <x:c r="M483" s="22" t="n">
        <x:f>IFERROR('5000rpm'!AS10,"")</x:f>
        <x:v>0.058822527558622655</x:v>
      </x:c>
      <x:c r="N483" s="22" t="n">
        <x:f>IFERROR('5000rpm'!AT11,"")</x:f>
        <x:v>0.21354330708661423</x:v>
      </x:c>
      <x:c r="O483" s="22" t="n">
        <x:f>IFERROR('5000rpm'!AS11,"")</x:f>
        <x:v>0.05451297507573095</x:v>
      </x:c>
      <x:c r="P483" s="22" t="n">
        <x:f>IF(OR(NOT(AND(ISNUMBER(D483),ISNUMBER(E483),ISNUMBER(G483),ISNUMBER(H483))),OR(F483&lt;J483,F483&gt;K483)),"",IF(N483=L483,M483,M483+(F483-L483)*(O483-M483)/(N483-L483)))</x:f>
        <x:v>0.057948936637482726</x:v>
      </x:c>
      <x:c r="Q483" s="22" t="n">
        <x:f>IF(AND(ISNUMBER(I483),ISNUMBER(P483)),I483-P483,"")</x:f>
        <x:v>0.004720225815402004</x:v>
      </x:c>
      <x:c r="R483" s="22" t="n">
        <x:f>IF(ISNUMBER(Q483),ABS(Q483),"")</x:f>
        <x:v>0.004720225815402004</x:v>
      </x:c>
      <x:c r="S483" s="36" t="n">
        <x:f>IF(AND(ISNUMBER(Q483),ISNUMBER(P483)),IF(ABS(P483)&lt;1E-12,"",Q483/P483),"")</x:f>
        <x:v>0.08145491685086163</x:v>
      </x:c>
      <x:c r="T483" s="36" t="n">
        <x:f>IF(ISNUMBER(S483),ABS(S483),"")</x:f>
        <x:v>0.08145491685086163</x:v>
      </x:c>
      <x:c r="U483" s="37" t="n">
        <x:f>IF(ISNUMBER(Q483),Q483^2,"")</x:f>
        <x:v>0.000022280531748387517</x:v>
      </x:c>
      <x:c r="V483" s="21" t="str">
        <x:f>IF(NOT(AND(ISNUMBER(D483),ISNUMBER(E483),ISNUMBER(G483),ISNUMBER(H483))),"缺少配对",IF(OR(F483&lt;J483,F483&gt;K483),"超出理论J范围","有效"))</x:f>
        <x:v>有效</x:v>
      </x:c>
      <x:c r="W483" s="20" t="str">
        <x:v>升力 y=0.915708x+28.7687 → C_T_prop；实验攻角 90° ↔ 理论 alpha_p_deg 0°；原升力源 5000rpm!D182/O182</x:v>
      </x:c>
      <x:c r="X483" s="20" t="str">
        <x:v>升力标定计算!M965</x:v>
      </x:c>
      <x:c r="Y483" s="20" t="str">
        <x:v>升力标定计算!M966</x:v>
      </x:c>
      <x:c r="Z483" s="20" t="str">
        <x:v>升力标定计算!N965</x:v>
      </x:c>
      <x:c r="AA483" s="20" t="str">
        <x:v>升力标定计算!N966</x:v>
      </x:c>
      <x:c r="AB483" s="20" t="str">
        <x:v>5000rpm!AT10:AS11</x:v>
      </x:c>
    </x:row>
    <x:row r="484">
      <x:c r="A484" s="21" t="n">
        <x:v>5000</x:v>
      </x:c>
      <x:c r="B484" s="21" t="n">
        <x:v>90</x:v>
      </x:c>
      <x:c r="C484" s="21" t="n">
        <x:v>16</x:v>
      </x:c>
      <x:c r="D484" s="22" t="n">
        <x:f>IFERROR('升力标定计算'!M967,"")</x:f>
        <x:v>0.1637171321780102</x:v>
      </x:c>
      <x:c r="E484" s="22" t="n">
        <x:f>IFERROR('升力标定计算'!M968,"")</x:f>
        <x:v>0.16298417015748054</x:v>
      </x:c>
      <x:c r="F484" s="22" t="n">
        <x:f>IF(AND(ISNUMBER(D484),ISNUMBER(E484)),AVERAGE(D484,E484),"")</x:f>
        <x:v>0.1633506511677454</x:v>
      </x:c>
      <x:c r="G484" s="22" t="n">
        <x:f>IFERROR('升力标定计算'!N967,"")</x:f>
        <x:v>0.06756176164506843</x:v>
      </x:c>
      <x:c r="H484" s="22" t="n">
        <x:f>IFERROR('升力标定计算'!N968,"")</x:f>
        <x:v>0.06645591840211638</x:v>
      </x:c>
      <x:c r="I484" s="22" t="n">
        <x:f>IF(AND(ISNUMBER(G484),ISNUMBER(H484)),AVERAGE(G484,H484),"")</x:f>
        <x:v>0.0670088400235924</x:v>
      </x:c>
      <x:c r="J484" s="22" t="n">
        <x:f>IFERROR('5000rpm'!AT3,"")</x:f>
        <x:v>0</x:v>
      </x:c>
      <x:c r="K484" s="22" t="n">
        <x:f>IFERROR('5000rpm'!AT13,"")</x:f>
        <x:v>0.26692913385826766</x:v>
      </x:c>
      <x:c r="L484" s="22" t="n">
        <x:f>IFERROR('5000rpm'!AT9,"")</x:f>
        <x:v>0.16015748031496063</x:v>
      </x:c>
      <x:c r="M484" s="22" t="n">
        <x:f>IFERROR('5000rpm'!AS9,"")</x:f>
        <x:v>0.06296598645140293</x:v>
      </x:c>
      <x:c r="N484" s="22" t="n">
        <x:f>IFERROR('5000rpm'!AT10,"")</x:f>
        <x:v>0.18685039370078743</x:v>
      </x:c>
      <x:c r="O484" s="22" t="n">
        <x:f>IFERROR('5000rpm'!AS10,"")</x:f>
        <x:v>0.058822527558622655</x:v>
      </x:c>
      <x:c r="P484" s="22" t="n">
        <x:f>IF(OR(NOT(AND(ISNUMBER(D484),ISNUMBER(E484),ISNUMBER(G484),ISNUMBER(H484))),OR(F484&lt;J484,F484&gt;K484)),"",IF(N484=L484,M484,M484+(F484-L484)*(O484-M484)/(N484-L484)))</x:f>
        <x:v>0.06247032035550337</x:v>
      </x:c>
      <x:c r="Q484" s="22" t="n">
        <x:f>IF(AND(ISNUMBER(I484),ISNUMBER(P484)),I484-P484,"")</x:f>
        <x:v>0.004538519668089033</x:v>
      </x:c>
      <x:c r="R484" s="22" t="n">
        <x:f>IF(ISNUMBER(Q484),ABS(Q484),"")</x:f>
        <x:v>0.004538519668089033</x:v>
      </x:c>
      <x:c r="S484" s="36" t="n">
        <x:f>IF(AND(ISNUMBER(Q484),ISNUMBER(P484)),IF(ABS(P484)&lt;1E-12,"",Q484/P484),"")</x:f>
        <x:v>0.07265081469506517</x:v>
      </x:c>
      <x:c r="T484" s="36" t="n">
        <x:f>IF(ISNUMBER(S484),ABS(S484),"")</x:f>
        <x:v>0.07265081469506517</x:v>
      </x:c>
      <x:c r="U484" s="37" t="n">
        <x:f>IF(ISNUMBER(Q484),Q484^2,"")</x:f>
        <x:v>0.00002059816077763099</x:v>
      </x:c>
      <x:c r="V484" s="21" t="str">
        <x:f>IF(NOT(AND(ISNUMBER(D484),ISNUMBER(E484),ISNUMBER(G484),ISNUMBER(H484))),"缺少配对",IF(OR(F484&lt;J484,F484&gt;K484),"超出理论J范围","有效"))</x:f>
        <x:v>有效</x:v>
      </x:c>
      <x:c r="W484" s="20" t="str">
        <x:v>升力 y=0.915708x+28.7687 → C_T_prop；实验攻角 90° ↔ 理论 alpha_p_deg 0°；原升力源 5000rpm!D183/O183</x:v>
      </x:c>
      <x:c r="X484" s="20" t="str">
        <x:v>升力标定计算!M967</x:v>
      </x:c>
      <x:c r="Y484" s="20" t="str">
        <x:v>升力标定计算!M968</x:v>
      </x:c>
      <x:c r="Z484" s="20" t="str">
        <x:v>升力标定计算!N967</x:v>
      </x:c>
      <x:c r="AA484" s="20" t="str">
        <x:v>升力标定计算!N968</x:v>
      </x:c>
      <x:c r="AB484" s="20" t="str">
        <x:v>5000rpm!AT9:AS10</x:v>
      </x:c>
    </x:row>
    <x:row r="485">
      <x:c r="A485" s="21" t="n">
        <x:v>5000</x:v>
      </x:c>
      <x:c r="B485" s="21" t="n">
        <x:v>90</x:v>
      </x:c>
      <x:c r="C485" s="21" t="n">
        <x:v>17</x:v>
      </x:c>
      <x:c r="D485" s="22" t="n">
        <x:f>IFERROR('升力标定计算'!M969,"")</x:f>
        <x:v>0.1389983975442941</x:v>
      </x:c>
      <x:c r="E485" s="22" t="n">
        <x:f>IFERROR('升力标定计算'!M970,"")</x:f>
        <x:v>0.13942090845503774</x:v>
      </x:c>
      <x:c r="F485" s="22" t="n">
        <x:f>IF(AND(ISNUMBER(D485),ISNUMBER(E485)),AVERAGE(D485,E485),"")</x:f>
        <x:v>0.13920965299966592</x:v>
      </x:c>
      <x:c r="G485" s="22" t="n">
        <x:f>IFERROR('升力标定计算'!N969,"")</x:f>
        <x:v>0.07052612272490297</x:v>
      </x:c>
      <x:c r="H485" s="22" t="n">
        <x:f>IFERROR('升力标定计算'!N970,"")</x:f>
        <x:v>0.07064344875534187</x:v>
      </x:c>
      <x:c r="I485" s="22" t="n">
        <x:f>IF(AND(ISNUMBER(G485),ISNUMBER(H485)),AVERAGE(G485,H485),"")</x:f>
        <x:v>0.07058478574012242</x:v>
      </x:c>
      <x:c r="J485" s="22" t="n">
        <x:f>IFERROR('5000rpm'!AT3,"")</x:f>
        <x:v>0</x:v>
      </x:c>
      <x:c r="K485" s="22" t="n">
        <x:f>IFERROR('5000rpm'!AT13,"")</x:f>
        <x:v>0.26692913385826766</x:v>
      </x:c>
      <x:c r="L485" s="22" t="n">
        <x:f>IFERROR('5000rpm'!AT8,"")</x:f>
        <x:v>0.13346456692913383</x:v>
      </x:c>
      <x:c r="M485" s="22" t="n">
        <x:f>IFERROR('5000rpm'!AS8,"")</x:f>
        <x:v>0.06687732942021296</x:v>
      </x:c>
      <x:c r="N485" s="22" t="n">
        <x:f>IFERROR('5000rpm'!AT9,"")</x:f>
        <x:v>0.16015748031496063</x:v>
      </x:c>
      <x:c r="O485" s="22" t="n">
        <x:f>IFERROR('5000rpm'!AS9,"")</x:f>
        <x:v>0.06296598645140293</x:v>
      </x:c>
      <x:c r="P485" s="22" t="n">
        <x:f>IF(OR(NOT(AND(ISNUMBER(D485),ISNUMBER(E485),ISNUMBER(G485),ISNUMBER(H485))),OR(F485&lt;J485,F485&gt;K485)),"",IF(N485=L485,M485,M485+(F485-L485)*(O485-M485)/(N485-L485)))</x:f>
        <x:v>0.06603549542171373</x:v>
      </x:c>
      <x:c r="Q485" s="22" t="n">
        <x:f>IF(AND(ISNUMBER(I485),ISNUMBER(P485)),I485-P485,"")</x:f>
        <x:v>0.004549290318408686</x:v>
      </x:c>
      <x:c r="R485" s="22" t="n">
        <x:f>IF(ISNUMBER(Q485),ABS(Q485),"")</x:f>
        <x:v>0.004549290318408686</x:v>
      </x:c>
      <x:c r="S485" s="36" t="n">
        <x:f>IF(AND(ISNUMBER(Q485),ISNUMBER(P485)),IF(ABS(P485)&lt;1E-12,"",Q485/P485),"")</x:f>
        <x:v>0.06889159064161109</x:v>
      </x:c>
      <x:c r="T485" s="36" t="n">
        <x:f>IF(ISNUMBER(S485),ABS(S485),"")</x:f>
        <x:v>0.06889159064161109</x:v>
      </x:c>
      <x:c r="U485" s="37" t="n">
        <x:f>IF(ISNUMBER(Q485),Q485^2,"")</x:f>
        <x:v>0.000020696042401167002</x:v>
      </x:c>
      <x:c r="V485" s="21" t="str">
        <x:f>IF(NOT(AND(ISNUMBER(D485),ISNUMBER(E485),ISNUMBER(G485),ISNUMBER(H485))),"缺少配对",IF(OR(F485&lt;J485,F485&gt;K485),"超出理论J范围","有效"))</x:f>
        <x:v>有效</x:v>
      </x:c>
      <x:c r="W485" s="20" t="str">
        <x:v>升力 y=0.915708x+28.7687 → C_T_prop；实验攻角 90° ↔ 理论 alpha_p_deg 0°；原升力源 5000rpm!D184/O184</x:v>
      </x:c>
      <x:c r="X485" s="20" t="str">
        <x:v>升力标定计算!M969</x:v>
      </x:c>
      <x:c r="Y485" s="20" t="str">
        <x:v>升力标定计算!M970</x:v>
      </x:c>
      <x:c r="Z485" s="20" t="str">
        <x:v>升力标定计算!N969</x:v>
      </x:c>
      <x:c r="AA485" s="20" t="str">
        <x:v>升力标定计算!N970</x:v>
      </x:c>
      <x:c r="AB485" s="20" t="str">
        <x:v>5000rpm!AT8:AS9</x:v>
      </x:c>
    </x:row>
    <x:row r="486">
      <x:c r="A486" s="21" t="n">
        <x:v>5000</x:v>
      </x:c>
      <x:c r="B486" s="21" t="n">
        <x:v>90</x:v>
      </x:c>
      <x:c r="C486" s="21" t="n">
        <x:v>18</x:v>
      </x:c>
      <x:c r="D486" s="22" t="n">
        <x:f>IFERROR('升力标定计算'!M971,"")</x:f>
        <x:v>0.11201475019681066</x:v>
      </x:c>
      <x:c r="E486" s="22" t="n">
        <x:f>IFERROR('升力标定计算'!M972,"")</x:f>
        <x:v>0.11211680327493279</x:v>
      </x:c>
      <x:c r="F486" s="22" t="n">
        <x:f>IF(AND(ISNUMBER(D486),ISNUMBER(E486)),AVERAGE(D486,E486),"")</x:f>
        <x:v>0.11206577673587173</x:v>
      </x:c>
      <x:c r="G486" s="22" t="n">
        <x:f>IFERROR('升力标定计算'!N971,"")</x:f>
        <x:v>0.07377431184286169</x:v>
      </x:c>
      <x:c r="H486" s="22" t="n">
        <x:f>IFERROR('升力标定计算'!N972,"")</x:f>
        <x:v>0.0736332607987603</x:v>
      </x:c>
      <x:c r="I486" s="22" t="n">
        <x:f>IF(AND(ISNUMBER(G486),ISNUMBER(H486)),AVERAGE(G486,H486),"")</x:f>
        <x:v>0.073703786320811</x:v>
      </x:c>
      <x:c r="J486" s="22" t="n">
        <x:f>IFERROR('5000rpm'!AT3,"")</x:f>
        <x:v>0</x:v>
      </x:c>
      <x:c r="K486" s="22" t="n">
        <x:f>IFERROR('5000rpm'!AT13,"")</x:f>
        <x:v>0.26692913385826766</x:v>
      </x:c>
      <x:c r="L486" s="22" t="n">
        <x:f>IFERROR('5000rpm'!AT7,"")</x:f>
        <x:v>0.10677165354330712</x:v>
      </x:c>
      <x:c r="M486" s="22" t="n">
        <x:f>IFERROR('5000rpm'!AS7,"")</x:f>
        <x:v>0.07058627743332085</x:v>
      </x:c>
      <x:c r="N486" s="22" t="n">
        <x:f>IFERROR('5000rpm'!AT8,"")</x:f>
        <x:v>0.13346456692913383</x:v>
      </x:c>
      <x:c r="O486" s="22" t="n">
        <x:f>IFERROR('5000rpm'!AS8,"")</x:f>
        <x:v>0.06687732942021296</x:v>
      </x:c>
      <x:c r="P486" s="22" t="n">
        <x:f>IF(OR(NOT(AND(ISNUMBER(D486),ISNUMBER(E486),ISNUMBER(G486),ISNUMBER(H486))),OR(F486&lt;J486,F486&gt;K486)),"",IF(N486=L486,M486,M486+(F486-L486)*(O486-M486)/(N486-L486)))</x:f>
        <x:v>0.06985066542228287</x:v>
      </x:c>
      <x:c r="Q486" s="22" t="n">
        <x:f>IF(AND(ISNUMBER(I486),ISNUMBER(P486)),I486-P486,"")</x:f>
        <x:v>0.0038531208985281284</x:v>
      </x:c>
      <x:c r="R486" s="22" t="n">
        <x:f>IF(ISNUMBER(Q486),ABS(Q486),"")</x:f>
        <x:v>0.0038531208985281284</x:v>
      </x:c>
      <x:c r="S486" s="36" t="n">
        <x:f>IF(AND(ISNUMBER(Q486),ISNUMBER(P486)),IF(ABS(P486)&lt;1E-12,"",Q486/P486),"")</x:f>
        <x:v>0.05516226474342154</x:v>
      </x:c>
      <x:c r="T486" s="36" t="n">
        <x:f>IF(ISNUMBER(S486),ABS(S486),"")</x:f>
        <x:v>0.05516226474342154</x:v>
      </x:c>
      <x:c r="U486" s="37" t="n">
        <x:f>IF(ISNUMBER(Q486),Q486^2,"")</x:f>
        <x:v>0.000014846540658674211</x:v>
      </x:c>
      <x:c r="V486" s="21" t="str">
        <x:f>IF(NOT(AND(ISNUMBER(D486),ISNUMBER(E486),ISNUMBER(G486),ISNUMBER(H486))),"缺少配对",IF(OR(F486&lt;J486,F486&gt;K486),"超出理论J范围","有效"))</x:f>
        <x:v>有效</x:v>
      </x:c>
      <x:c r="W486" s="20" t="str">
        <x:v>升力 y=0.915708x+28.7687 → C_T_prop；实验攻角 90° ↔ 理论 alpha_p_deg 0°；原升力源 5000rpm!D185/O185</x:v>
      </x:c>
      <x:c r="X486" s="20" t="str">
        <x:v>升力标定计算!M971</x:v>
      </x:c>
      <x:c r="Y486" s="20" t="str">
        <x:v>升力标定计算!M972</x:v>
      </x:c>
      <x:c r="Z486" s="20" t="str">
        <x:v>升力标定计算!N971</x:v>
      </x:c>
      <x:c r="AA486" s="20" t="str">
        <x:v>升力标定计算!N972</x:v>
      </x:c>
      <x:c r="AB486" s="20" t="str">
        <x:v>5000rpm!AT7:AS8</x:v>
      </x:c>
    </x:row>
    <x:row r="487">
      <x:c r="A487" s="21" t="n">
        <x:v>5000</x:v>
      </x:c>
      <x:c r="B487" s="21" t="n">
        <x:v>90</x:v>
      </x:c>
      <x:c r="C487" s="21" t="n">
        <x:v>19</x:v>
      </x:c>
      <x:c r="D487" s="22" t="n">
        <x:f>IFERROR('升力标定计算'!M973,"")</x:f>
        <x:v>0.08487982044779221</x:v>
      </x:c>
      <x:c r="E487" s="22" t="n">
        <x:f>IFERROR('升力标定计算'!M974,"")</x:f>
        <x:v>0.0850008192689009</x:v>
      </x:c>
      <x:c r="F487" s="22" t="n">
        <x:f>IF(AND(ISNUMBER(D487),ISNUMBER(E487)),AVERAGE(D487,E487),"")</x:f>
        <x:v>0.08494031985834656</x:v>
      </x:c>
      <x:c r="G487" s="22" t="n">
        <x:f>IFERROR('升力标定计算'!N973,"")</x:f>
        <x:v>0.07724910744587563</x:v>
      </x:c>
      <x:c r="H487" s="22" t="n">
        <x:f>IFERROR('升力标定计算'!N974,"")</x:f>
        <x:v>0.07716145715506151</x:v>
      </x:c>
      <x:c r="I487" s="22" t="n">
        <x:f>IF(AND(ISNUMBER(G487),ISNUMBER(H487)),AVERAGE(G487,H487),"")</x:f>
        <x:v>0.07720528230046857</x:v>
      </x:c>
      <x:c r="J487" s="22" t="n">
        <x:f>IFERROR('5000rpm'!AT3,"")</x:f>
        <x:v>0</x:v>
      </x:c>
      <x:c r="K487" s="22" t="n">
        <x:f>IFERROR('5000rpm'!AT13,"")</x:f>
        <x:v>0.26692913385826766</x:v>
      </x:c>
      <x:c r="L487" s="22" t="n">
        <x:f>IFERROR('5000rpm'!AT6,"")</x:f>
        <x:v>0.08007874015748032</x:v>
      </x:c>
      <x:c r="M487" s="22" t="n">
        <x:f>IFERROR('5000rpm'!AS6,"")</x:f>
        <x:v>0.07410283354547127</x:v>
      </x:c>
      <x:c r="N487" s="22" t="n">
        <x:f>IFERROR('5000rpm'!AT7,"")</x:f>
        <x:v>0.10677165354330712</x:v>
      </x:c>
      <x:c r="O487" s="22" t="n">
        <x:f>IFERROR('5000rpm'!AS7,"")</x:f>
        <x:v>0.07058627743332085</x:v>
      </x:c>
      <x:c r="P487" s="22" t="n">
        <x:f>IF(OR(NOT(AND(ISNUMBER(D487),ISNUMBER(E487),ISNUMBER(G487),ISNUMBER(H487))),OR(F487&lt;J487,F487&gt;K487)),"",IF(N487=L487,M487,M487+(F487-L487)*(O487-M487)/(N487-L487)))</x:f>
        <x:v>0.07346236326166684</x:v>
      </x:c>
      <x:c r="Q487" s="22" t="n">
        <x:f>IF(AND(ISNUMBER(I487),ISNUMBER(P487)),I487-P487,"")</x:f>
        <x:v>0.003742919038801723</x:v>
      </x:c>
      <x:c r="R487" s="22" t="n">
        <x:f>IF(ISNUMBER(Q487),ABS(Q487),"")</x:f>
        <x:v>0.003742919038801723</x:v>
      </x:c>
      <x:c r="S487" s="36" t="n">
        <x:f>IF(AND(ISNUMBER(Q487),ISNUMBER(P487)),IF(ABS(P487)&lt;1E-12,"",Q487/P487),"")</x:f>
        <x:v>0.05095015832079559</x:v>
      </x:c>
      <x:c r="T487" s="36" t="n">
        <x:f>IF(ISNUMBER(S487),ABS(S487),"")</x:f>
        <x:v>0.05095015832079559</x:v>
      </x:c>
      <x:c r="U487" s="37" t="n">
        <x:f>IF(ISNUMBER(Q487),Q487^2,"")</x:f>
        <x:v>0.000014009442931024414</x:v>
      </x:c>
      <x:c r="V487" s="21" t="str">
        <x:f>IF(NOT(AND(ISNUMBER(D487),ISNUMBER(E487),ISNUMBER(G487),ISNUMBER(H487))),"缺少配对",IF(OR(F487&lt;J487,F487&gt;K487),"超出理论J范围","有效"))</x:f>
        <x:v>有效</x:v>
      </x:c>
      <x:c r="W487" s="20" t="str">
        <x:v>升力 y=0.915708x+28.7687 → C_T_prop；实验攻角 90° ↔ 理论 alpha_p_deg 0°；原升力源 5000rpm!D186/O186</x:v>
      </x:c>
      <x:c r="X487" s="20" t="str">
        <x:v>升力标定计算!M973</x:v>
      </x:c>
      <x:c r="Y487" s="20" t="str">
        <x:v>升力标定计算!M974</x:v>
      </x:c>
      <x:c r="Z487" s="20" t="str">
        <x:v>升力标定计算!N973</x:v>
      </x:c>
      <x:c r="AA487" s="20" t="str">
        <x:v>升力标定计算!N974</x:v>
      </x:c>
      <x:c r="AB487" s="20" t="str">
        <x:v>5000rpm!AT6:AS7</x:v>
      </x:c>
    </x:row>
    <x:row r="488">
      <x:c r="A488" s="21" t="n">
        <x:v>5000</x:v>
      </x:c>
      <x:c r="B488" s="21" t="n">
        <x:v>90</x:v>
      </x:c>
      <x:c r="C488" s="21" t="n">
        <x:v>20</x:v>
      </x:c>
      <x:c r="D488" s="22" t="n">
        <x:f>IFERROR('升力标定计算'!M975,"")</x:f>
        <x:v>0.05725981741159923</x:v>
      </x:c>
      <x:c r="E488" s="22" t="n">
        <x:f>IFERROR('升力标定计算'!M976,"")</x:f>
        <x:v>0.05711317898484015</x:v>
      </x:c>
      <x:c r="F488" s="22" t="n">
        <x:f>IF(AND(ISNUMBER(D488),ISNUMBER(E488)),AVERAGE(D488,E488),"")</x:f>
        <x:v>0.05718649819821969</x:v>
      </x:c>
      <x:c r="G488" s="22" t="n">
        <x:f>IFERROR('升力标定计算'!N975,"")</x:f>
        <x:v>0.07951518170283575</x:v>
      </x:c>
      <x:c r="H488" s="22" t="n">
        <x:f>IFERROR('升力标定计算'!N976,"")</x:f>
        <x:v>0.07888537629682</x:v>
      </x:c>
      <x:c r="I488" s="22" t="n">
        <x:f>IF(AND(ISNUMBER(G488),ISNUMBER(H488)),AVERAGE(G488,H488),"")</x:f>
        <x:v>0.07920027899982787</x:v>
      </x:c>
      <x:c r="J488" s="22" t="n">
        <x:f>IFERROR('5000rpm'!AT3,"")</x:f>
        <x:v>0</x:v>
      </x:c>
      <x:c r="K488" s="22" t="n">
        <x:f>IFERROR('5000rpm'!AT13,"")</x:f>
        <x:v>0.26692913385826766</x:v>
      </x:c>
      <x:c r="L488" s="22" t="n">
        <x:f>IFERROR('5000rpm'!AT5,"")</x:f>
        <x:v>0.05338582677165356</x:v>
      </x:c>
      <x:c r="M488" s="22" t="n">
        <x:f>IFERROR('5000rpm'!AS5,"")</x:f>
        <x:v>0.07743887171557279</x:v>
      </x:c>
      <x:c r="N488" s="22" t="n">
        <x:f>IFERROR('5000rpm'!AT6,"")</x:f>
        <x:v>0.08007874015748032</x:v>
      </x:c>
      <x:c r="O488" s="22" t="n">
        <x:f>IFERROR('5000rpm'!AS6,"")</x:f>
        <x:v>0.07410283354547127</x:v>
      </x:c>
      <x:c r="P488" s="22" t="n">
        <x:f>IF(OR(NOT(AND(ISNUMBER(D488),ISNUMBER(E488),ISNUMBER(G488),ISNUMBER(H488))),OR(F488&lt;J488,F488&gt;K488)),"",IF(N488=L488,M488,M488+(F488-L488)*(O488-M488)/(N488-L488)))</x:f>
        <x:v>0.07696386980147782</x:v>
      </x:c>
      <x:c r="Q488" s="22" t="n">
        <x:f>IF(AND(ISNUMBER(I488),ISNUMBER(P488)),I488-P488,"")</x:f>
        <x:v>0.0022364091983500534</x:v>
      </x:c>
      <x:c r="R488" s="22" t="n">
        <x:f>IF(ISNUMBER(Q488),ABS(Q488),"")</x:f>
        <x:v>0.0022364091983500534</x:v>
      </x:c>
      <x:c r="S488" s="36" t="n">
        <x:f>IF(AND(ISNUMBER(Q488),ISNUMBER(P488)),IF(ABS(P488)&lt;1E-12,"",Q488/P488),"")</x:f>
        <x:v>0.029057909953315666</x:v>
      </x:c>
      <x:c r="T488" s="36" t="n">
        <x:f>IF(ISNUMBER(S488),ABS(S488),"")</x:f>
        <x:v>0.029057909953315666</x:v>
      </x:c>
      <x:c r="U488" s="37" t="n">
        <x:f>IF(ISNUMBER(Q488),Q488^2,"")</x:f>
        <x:v>0.000005001526102464728</x:v>
      </x:c>
      <x:c r="V488" s="21" t="str">
        <x:f>IF(NOT(AND(ISNUMBER(D488),ISNUMBER(E488),ISNUMBER(G488),ISNUMBER(H488))),"缺少配对",IF(OR(F488&lt;J488,F488&gt;K488),"超出理论J范围","有效"))</x:f>
        <x:v>有效</x:v>
      </x:c>
      <x:c r="W488" s="20" t="str">
        <x:v>升力 y=0.915708x+28.7687 → C_T_prop；实验攻角 90° ↔ 理论 alpha_p_deg 0°；原升力源 5000rpm!D187/O187</x:v>
      </x:c>
      <x:c r="X488" s="20" t="str">
        <x:v>升力标定计算!M975</x:v>
      </x:c>
      <x:c r="Y488" s="20" t="str">
        <x:v>升力标定计算!M976</x:v>
      </x:c>
      <x:c r="Z488" s="20" t="str">
        <x:v>升力标定计算!N975</x:v>
      </x:c>
      <x:c r="AA488" s="20" t="str">
        <x:v>升力标定计算!N976</x:v>
      </x:c>
      <x:c r="AB488" s="20" t="str">
        <x:v>5000rpm!AT5:AS6</x:v>
      </x:c>
    </x:row>
    <x:row r="489">
      <x:c r="A489" s="21" t="n">
        <x:v>5000</x:v>
      </x:c>
      <x:c r="B489" s="21" t="n">
        <x:v>90</x:v>
      </x:c>
      <x:c r="C489" s="21" t="n">
        <x:v>21</x:v>
      </x:c>
      <x:c r="D489" s="22" t="n">
        <x:f>IFERROR('升力标定计算'!M977,"")</x:f>
        <x:v>0.026936206854465933</x:v>
      </x:c>
      <x:c r="E489" s="22" t="n">
        <x:f>IFERROR('升力标定计算'!M978,"")</x:f>
        <x:v>0.02983329291892697</x:v>
      </x:c>
      <x:c r="F489" s="22" t="n">
        <x:f>IF(AND(ISNUMBER(D489),ISNUMBER(E489)),AVERAGE(D489,E489),"")</x:f>
        <x:v>0.028384749886696453</x:v>
      </x:c>
      <x:c r="G489" s="22" t="n">
        <x:f>IFERROR('升力标定计算'!N977,"")</x:f>
        <x:v>0.08188272626983017</x:v>
      </x:c>
      <x:c r="H489" s="22" t="n">
        <x:f>IFERROR('升力标定计算'!N978,"")</x:f>
        <x:v>0.08181844062442967</x:v>
      </x:c>
      <x:c r="I489" s="22" t="n">
        <x:f>IF(AND(ISNUMBER(G489),ISNUMBER(H489)),AVERAGE(G489,H489),"")</x:f>
        <x:v>0.08185058344712992</x:v>
      </x:c>
      <x:c r="J489" s="22" t="n">
        <x:f>IFERROR('5000rpm'!AT3,"")</x:f>
        <x:v>0</x:v>
      </x:c>
      <x:c r="K489" s="22" t="n">
        <x:f>IFERROR('5000rpm'!AT13,"")</x:f>
        <x:v>0.26692913385826766</x:v>
      </x:c>
      <x:c r="L489" s="22" t="n">
        <x:f>IFERROR('5000rpm'!AT4,"")</x:f>
        <x:v>0.02669291338582678</x:v>
      </x:c>
      <x:c r="M489" s="22" t="n">
        <x:f>IFERROR('5000rpm'!AS4,"")</x:f>
        <x:v>0.08062006951544623</x:v>
      </x:c>
      <x:c r="N489" s="22" t="n">
        <x:f>IFERROR('5000rpm'!AT5,"")</x:f>
        <x:v>0.05338582677165356</x:v>
      </x:c>
      <x:c r="O489" s="22" t="n">
        <x:f>IFERROR('5000rpm'!AS5,"")</x:f>
        <x:v>0.07743887171557279</x:v>
      </x:c>
      <x:c r="P489" s="22" t="n">
        <x:f>IF(OR(NOT(AND(ISNUMBER(D489),ISNUMBER(E489),ISNUMBER(G489),ISNUMBER(H489))),OR(F489&lt;J489,F489&gt;K489)),"",IF(N489=L489,M489,M489+(F489-L489)*(O489-M489)/(N489-L489)))</x:f>
        <x:v>0.08041844047344103</x:v>
      </x:c>
      <x:c r="Q489" s="22" t="n">
        <x:f>IF(AND(ISNUMBER(I489),ISNUMBER(P489)),I489-P489,"")</x:f>
        <x:v>0.0014321429736888908</x:v>
      </x:c>
      <x:c r="R489" s="22" t="n">
        <x:f>IF(ISNUMBER(Q489),ABS(Q489),"")</x:f>
        <x:v>0.0014321429736888908</x:v>
      </x:c>
      <x:c r="S489" s="36" t="n">
        <x:f>IF(AND(ISNUMBER(Q489),ISNUMBER(P489)),IF(ABS(P489)&lt;1E-12,"",Q489/P489),"")</x:f>
        <x:v>0.01780863897953691</x:v>
      </x:c>
      <x:c r="T489" s="36" t="n">
        <x:f>IF(ISNUMBER(S489),ABS(S489),"")</x:f>
        <x:v>0.01780863897953691</x:v>
      </x:c>
      <x:c r="U489" s="37" t="n">
        <x:f>IF(ISNUMBER(Q489),Q489^2,"")</x:f>
        <x:v>0.000002051033497086459</x:v>
      </x:c>
      <x:c r="V489" s="21" t="str">
        <x:f>IF(NOT(AND(ISNUMBER(D489),ISNUMBER(E489),ISNUMBER(G489),ISNUMBER(H489))),"缺少配对",IF(OR(F489&lt;J489,F489&gt;K489),"超出理论J范围","有效"))</x:f>
        <x:v>有效</x:v>
      </x:c>
      <x:c r="W489" s="20" t="str">
        <x:v>升力 y=0.915708x+28.7687 → C_T_prop；实验攻角 90° ↔ 理论 alpha_p_deg 0°；原升力源 5000rpm!D188/O188</x:v>
      </x:c>
      <x:c r="X489" s="20" t="str">
        <x:v>升力标定计算!M977</x:v>
      </x:c>
      <x:c r="Y489" s="20" t="str">
        <x:v>升力标定计算!M978</x:v>
      </x:c>
      <x:c r="Z489" s="20" t="str">
        <x:v>升力标定计算!N977</x:v>
      </x:c>
      <x:c r="AA489" s="20" t="str">
        <x:v>升力标定计算!N978</x:v>
      </x:c>
      <x:c r="AB489" s="20" t="str">
        <x:v>5000rpm!AT4:AS5</x:v>
      </x:c>
    </x:row>
    <x:row r="490">
      <x:c r="A490" s="21" t="n">
        <x:v>5000</x:v>
      </x:c>
      <x:c r="B490" s="21" t="n">
        <x:v>90</x:v>
      </x:c>
      <x:c r="C490" s="21" t="n">
        <x:v>22</x:v>
      </x:c>
      <x:c r="D490" s="22" t="n">
        <x:f>IFERROR('升力标定计算'!M979,"")</x:f>
        <x:v>0.00709299282097986</x:v>
      </x:c>
      <x:c r="E490" s="22" t="n">
        <x:f>IFERROR('升力标定计算'!M980,"")</x:f>
        <x:v>0.007103070257820942</x:v>
      </x:c>
      <x:c r="F490" s="22" t="n">
        <x:f>IF(AND(ISNUMBER(D490),ISNUMBER(E490)),AVERAGE(D490,E490),"")</x:f>
        <x:v>0.0070980315394004005</x:v>
      </x:c>
      <x:c r="G490" s="22" t="n">
        <x:f>IFERROR('升力标定计算'!N979,"")</x:f>
        <x:v>0.08329826865041272</x:v>
      </x:c>
      <x:c r="H490" s="22" t="n">
        <x:f>IFERROR('升力标定计算'!N980,"")</x:f>
        <x:v>0.08292483599602014</x:v>
      </x:c>
      <x:c r="I490" s="22" t="n">
        <x:f>IF(AND(ISNUMBER(G490),ISNUMBER(H490)),AVERAGE(G490,H490),"")</x:f>
        <x:v>0.08311155232321643</x:v>
      </x:c>
      <x:c r="J490" s="22" t="n">
        <x:f>IFERROR('5000rpm'!AT3,"")</x:f>
        <x:v>0</x:v>
      </x:c>
      <x:c r="K490" s="22" t="n">
        <x:f>IFERROR('5000rpm'!AT13,"")</x:f>
        <x:v>0.26692913385826766</x:v>
      </x:c>
      <x:c r="L490" s="22" t="n">
        <x:f>IFERROR('5000rpm'!AT3,"")</x:f>
        <x:v>0</x:v>
      </x:c>
      <x:c r="M490" s="22" t="n">
        <x:f>IFERROR('5000rpm'!AS3,"")</x:f>
        <x:v>0.0836476206119306</x:v>
      </x:c>
      <x:c r="N490" s="22" t="n">
        <x:f>IFERROR('5000rpm'!AT4,"")</x:f>
        <x:v>0.02669291338582678</x:v>
      </x:c>
      <x:c r="O490" s="22" t="n">
        <x:f>IFERROR('5000rpm'!AS4,"")</x:f>
        <x:v>0.08062006951544623</x:v>
      </x:c>
      <x:c r="P490" s="22" t="n">
        <x:f>IF(OR(NOT(AND(ISNUMBER(D490),ISNUMBER(E490),ISNUMBER(G490),ISNUMBER(H490))),OR(F490&lt;J490,F490&gt;K490)),"",IF(N490=L490,M490,M490+(F490-L490)*(O490-M490)/(N490-L490)))</x:f>
        <x:v>0.08284255100939696</x:v>
      </x:c>
      <x:c r="Q490" s="22" t="n">
        <x:f>IF(AND(ISNUMBER(I490),ISNUMBER(P490)),I490-P490,"")</x:f>
        <x:v>0.00026900131381947523</x:v>
      </x:c>
      <x:c r="R490" s="22" t="n">
        <x:f>IF(ISNUMBER(Q490),ABS(Q490),"")</x:f>
        <x:v>0.00026900131381947523</x:v>
      </x:c>
      <x:c r="S490" s="36" t="n">
        <x:f>IF(AND(ISNUMBER(Q490),ISNUMBER(P490)),IF(ABS(P490)&lt;1E-12,"",Q490/P490),"")</x:f>
        <x:v>0.003247139429457719</x:v>
      </x:c>
      <x:c r="T490" s="36" t="n">
        <x:f>IF(ISNUMBER(S490),ABS(S490),"")</x:f>
        <x:v>0.003247139429457719</x:v>
      </x:c>
      <x:c r="U490" s="37" t="n">
        <x:f>IF(ISNUMBER(Q490),Q490^2,"")</x:f>
        <x:v>7.236170683660379e-8</x:v>
      </x:c>
      <x:c r="V490" s="21" t="str">
        <x:f>IF(NOT(AND(ISNUMBER(D490),ISNUMBER(E490),ISNUMBER(G490),ISNUMBER(H490))),"缺少配对",IF(OR(F490&lt;J490,F490&gt;K490),"超出理论J范围","有效"))</x:f>
        <x:v>有效</x:v>
      </x:c>
      <x:c r="W490" s="20" t="str">
        <x:v>升力 y=0.915708x+28.7687 → C_T_prop；实验攻角 90° ↔ 理论 alpha_p_deg 0°；原升力源 5000rpm!D189/O189</x:v>
      </x:c>
      <x:c r="X490" s="20" t="str">
        <x:v>升力标定计算!M979</x:v>
      </x:c>
      <x:c r="Y490" s="20" t="str">
        <x:v>升力标定计算!M980</x:v>
      </x:c>
      <x:c r="Z490" s="20" t="str">
        <x:v>升力标定计算!N979</x:v>
      </x:c>
      <x:c r="AA490" s="20" t="str">
        <x:v>升力标定计算!N980</x:v>
      </x:c>
      <x:c r="AB490" s="20" t="str">
        <x:v>5000rpm!AT3:AS4</x:v>
      </x:c>
    </x:row>
    <x:row r="491">
      <x:c r="A491" s="21" t="n">
        <x:v>5000</x:v>
      </x:c>
      <x:c r="B491" s="21" t="n">
        <x:v>90</x:v>
      </x:c>
      <x:c r="C491" s="21" t="n">
        <x:v>23</x:v>
      </x:c>
      <x:c r="D491" s="22" t="str">
        <x:f>IFERROR('升力标定计算'!M981,"")</x:f>
      </x:c>
      <x:c r="E491" s="22" t="str">
        <x:f>IFERROR('升力标定计算'!M982,"")</x:f>
      </x:c>
      <x:c r="F491" s="22" t="str">
        <x:f>IF(AND(ISNUMBER(D491),ISNUMBER(E491)),AVERAGE(D491,E491),"")</x:f>
      </x:c>
      <x:c r="G491" s="22" t="str">
        <x:f>IFERROR('升力标定计算'!N981,"")</x:f>
      </x:c>
      <x:c r="H491" s="22" t="str">
        <x:f>IFERROR('升力标定计算'!N982,"")</x:f>
      </x:c>
      <x:c r="I491" s="22" t="str">
        <x:f>IF(AND(ISNUMBER(G491),ISNUMBER(H491)),AVERAGE(G491,H491),"")</x:f>
      </x:c>
      <x:c r="J491" s="22" t="n">
        <x:f>IFERROR('5000rpm'!AT3,"")</x:f>
        <x:v>0</x:v>
      </x:c>
      <x:c r="K491" s="22" t="n">
        <x:f>IFERROR('5000rpm'!AT13,"")</x:f>
        <x:v>0.26692913385826766</x:v>
      </x:c>
      <x:c r="L491" s="22" t="n">
        <x:f>IFERROR('5000rpm'!AT3,"")</x:f>
        <x:v>0</x:v>
      </x:c>
      <x:c r="M491" s="22" t="n">
        <x:f>IFERROR('5000rpm'!AS3,"")</x:f>
        <x:v>0.0836476206119306</x:v>
      </x:c>
      <x:c r="N491" s="22" t="n">
        <x:f>IFERROR('5000rpm'!AT13,"")</x:f>
        <x:v>0.26692913385826766</x:v>
      </x:c>
      <x:c r="O491" s="22" t="n">
        <x:f>IFERROR('5000rpm'!AS13,"")</x:f>
        <x:v>0.04543547632278634</x:v>
      </x:c>
      <x:c r="P491" s="22" t="str">
        <x:f>IF(OR(NOT(AND(ISNUMBER(D491),ISNUMBER(E491),ISNUMBER(G491),ISNUMBER(H491))),OR(F491&lt;J491,F491&gt;K491)),"",IF(N491=L491,M491,M491+(F491-L491)*(O491-M491)/(N491-L491)))</x:f>
      </x:c>
      <x:c r="Q491" s="22" t="str">
        <x:f>IF(AND(ISNUMBER(I491),ISNUMBER(P491)),I491-P491,"")</x:f>
      </x:c>
      <x:c r="R491" s="22" t="str">
        <x:f>IF(ISNUMBER(Q491),ABS(Q491),"")</x:f>
      </x:c>
      <x:c r="S491" s="36" t="str">
        <x:f>IF(AND(ISNUMBER(Q491),ISNUMBER(P491)),IF(ABS(P491)&lt;1E-12,"",Q491/P491),"")</x:f>
      </x:c>
      <x:c r="T491" s="36" t="str">
        <x:f>IF(ISNUMBER(S491),ABS(S491),"")</x:f>
      </x:c>
      <x:c r="U491" s="37" t="str">
        <x:f>IF(ISNUMBER(Q491),Q491^2,"")</x:f>
      </x:c>
      <x:c r="V491" s="21" t="str">
        <x:f>IF(NOT(AND(ISNUMBER(D491),ISNUMBER(E491),ISNUMBER(G491),ISNUMBER(H491))),"缺少配对",IF(OR(F491&lt;J491,F491&gt;K491),"超出理论J范围","有效"))</x:f>
        <x:v>缺少配对</x:v>
      </x:c>
      <x:c r="W491" s="20" t="str">
        <x:v>升力 y=0.915708x+28.7687 → C_T_prop；实验攻角 90° ↔ 理论 alpha_p_deg 0°；原升力源 5000rpm!D190/O190</x:v>
      </x:c>
      <x:c r="X491" s="20" t="str">
        <x:v>升力标定计算!M981</x:v>
      </x:c>
      <x:c r="Y491" s="20" t="str">
        <x:v>升力标定计算!M982</x:v>
      </x:c>
      <x:c r="Z491" s="20" t="str">
        <x:v>升力标定计算!N981</x:v>
      </x:c>
      <x:c r="AA491" s="20" t="str">
        <x:v>升力标定计算!N982</x:v>
      </x:c>
      <x:c r="AB491" s="20" t="str">
        <x:v>5000rpm!AT3:AS13</x:v>
      </x:c>
    </x:row>
  </x:sheetData>
  <x:mergeCells>
    <x:mergeCell ref="A1:AB1"/>
    <x:mergeCell ref="A2:AB2"/>
    <x:mergeCell ref="A3:AB3"/>
    <x:mergeCell ref="A4:AB4"/>
  </x:mergeCells>
  <x:conditionalFormatting sqref="V6:V491">
    <x:cfRule type="containsText" dxfId="0" priority="1" operator="containsText" text="有效"/>
    <x:cfRule type="containsText" dxfId="1" priority="2" operator="containsText" text="超出"/>
    <x:cfRule type="containsText" dxfId="2" priority="3" operator="containsText" text="缺少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24" max="24" width="12" hidden="0" customWidth="1"/>
    <x:col min="25" max="25" width="12" hidden="0" customWidth="1"/>
  </x:cols>
  <x:sheetData>
    <x:row r="1" ht="28" customHeight="1">
      <x:c r="A1" s="6" t="str">
        <x:v>J–C_T_prop 实验残差汇总</x:v>
      </x:c>
      <x:c r="B1" s="6"/>
      <x:c r="C1" s="6"/>
      <x:c r="D1" s="6"/>
      <x:c r="E1" s="6"/>
      <x:c r="F1" s="6"/>
      <x:c r="G1" s="6"/>
      <x:c r="H1" s="6"/>
      <x:c r="I1" s="6"/>
      <x:c r="J1" s="6"/>
      <x:c r="X1" s="64" t="str">
        <x:v>图表J</x:v>
      </x:c>
      <x:c r="Y1" s="64" t="str">
        <x:v>零残差</x:v>
      </x:c>
    </x:row>
    <x:row r="2" ht="24" customHeight="1">
      <x:c r="A2" s="13" t="str">
        <x:v>实验升力先按 y=0.915708x+28.7687 标定，并由公式自动计算 J/C_T_prop；理论实际攻角 = 90° − alpha_p_deg；统计仅含有效点。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X2" s="64" t="n">
        <x:f>MIN('残差明细'!$F$6:$F$166)+(MAX('残差明细'!$F$6:$F$166)-MIN('残差明细'!$F$6:$F$166))*0/10</x:f>
        <x:v>-0.00001845744064562138</x:v>
      </x:c>
      <x:c r="Y2" s="64" t="n">
        <x:v>0</x:v>
      </x:c>
    </x:row>
    <x:row r="3">
      <x:c r="X3" s="64" t="n">
        <x:f>MIN('残差明细'!$F$6:$F$166)+(MAX('残差明细'!$F$6:$F$166)-MIN('残差明细'!$F$6:$F$166))*1/10</x:f>
        <x:v>0.04369556894497908</x:v>
      </x:c>
      <x:c r="Y3" s="64" t="n">
        <x:v>0</x:v>
      </x:c>
    </x:row>
    <x:row r="4" ht="34" customHeight="1">
      <x:c r="A4" s="18" t="str">
        <x:v>rpm</x:v>
      </x:c>
      <x:c r="B4" s="18" t="str">
        <x:v>角度</x:v>
      </x:c>
      <x:c r="C4" s="18" t="str">
        <x:v>有效点数</x:v>
      </x:c>
      <x:c r="D4" s="18" t="str">
        <x:v>Bias</x:v>
      </x:c>
      <x:c r="E4" s="18" t="str">
        <x:v>MAE</x:v>
      </x:c>
      <x:c r="F4" s="18" t="str">
        <x:v>RMSE</x:v>
      </x:c>
      <x:c r="G4" s="18" t="str">
        <x:v>平均相对残差</x:v>
      </x:c>
      <x:c r="H4" s="18" t="str">
        <x:v>最大绝对残差</x:v>
      </x:c>
      <x:c r="I4" s="18" t="str">
        <x:v>超范围点数</x:v>
      </x:c>
      <x:c r="J4" s="18" t="str">
        <x:v>缺少配对点数</x:v>
      </x:c>
      <x:c r="X4" s="64" t="n">
        <x:f>MIN('残差明细'!$F$6:$F$166)+(MAX('残差明细'!$F$6:$F$166)-MIN('残差明细'!$F$6:$F$166))*2/10</x:f>
        <x:v>0.08740959533060379</x:v>
      </x:c>
      <x:c r="Y4" s="64" t="n">
        <x:v>0</x:v>
      </x:c>
    </x:row>
    <x:row r="5">
      <x:c r="A5" s="40" t="n">
        <x:v>3000</x:v>
      </x:c>
      <x:c r="B5" s="40" t="n">
        <x:v>0</x:v>
      </x:c>
      <x:c r="C5" s="40" t="n">
        <x:f>COUNT('残差明细'!$Q$6:$Q$28)</x:f>
        <x:v>20</x:v>
      </x:c>
      <x:c r="D5" s="41" t="n">
        <x:f>IF(C5=0,"",SUM('残差明细'!$Q$6:$Q$28)/C5)</x:f>
        <x:v>-0.016266720190316688</x:v>
      </x:c>
      <x:c r="E5" s="41" t="n">
        <x:f>IF(C5=0,"",SUM('残差明细'!$R$6:$R$28)/C5)</x:f>
        <x:v>0.016266720190316688</x:v>
      </x:c>
      <x:c r="F5" s="41" t="n">
        <x:f>IF(C5=0,"",SQRT(SUM('残差明细'!$U$6:$U$28)/C5))</x:f>
        <x:v>0.016982914994484268</x:v>
      </x:c>
      <x:c r="G5" s="42" t="n">
        <x:f>IF(COUNT('残差明细'!$S$6:$S$28)=0,"",SUM('残差明细'!$S$6:$S$28)/COUNT('残差明细'!$S$6:$S$28))</x:f>
        <x:v>-0.16542094274641522</x:v>
      </x:c>
      <x:c r="H5" s="41" t="n">
        <x:f>IF(C5=0,"",MAX('残差明细'!$R$6:$R$28))</x:f>
        <x:v>0.022551619912256987</x:v>
      </x:c>
      <x:c r="I5" s="39" t="n">
        <x:f>COUNTIF('残差明细'!$V$6:$V$28,"超出理论J范围")</x:f>
        <x:v>1</x:v>
      </x:c>
      <x:c r="J5" s="39" t="n">
        <x:f>COUNTIF('残差明细'!$V$6:$V$28,"缺少配对")</x:f>
        <x:v>2</x:v>
      </x:c>
      <x:c r="X5" s="64" t="n">
        <x:f>MIN('残差明细'!$F$6:$F$166)+(MAX('残差明细'!$F$6:$F$166)-MIN('残差明细'!$F$6:$F$166))*3/10</x:f>
        <x:v>0.1311236217162285</x:v>
      </x:c>
      <x:c r="Y5" s="64" t="n">
        <x:v>0</x:v>
      </x:c>
    </x:row>
    <x:row r="6">
      <x:c r="A6" s="40" t="n">
        <x:v>3000</x:v>
      </x:c>
      <x:c r="B6" s="40" t="n">
        <x:v>15</x:v>
      </x:c>
      <x:c r="C6" s="40" t="n">
        <x:f>COUNT('残差明细'!$Q$29:$Q$51)</x:f>
        <x:v>21</x:v>
      </x:c>
      <x:c r="D6" s="41" t="n">
        <x:f>IF(C6=0,"",SUM('残差明细'!$Q$29:$Q$51)/C6)</x:f>
        <x:v>-0.00932004274503516</x:v>
      </x:c>
      <x:c r="E6" s="41" t="n">
        <x:f>IF(C6=0,"",SUM('残差明细'!$R$29:$R$51)/C6)</x:f>
        <x:v>0.00932004274503516</x:v>
      </x:c>
      <x:c r="F6" s="41" t="n">
        <x:f>IF(C6=0,"",SQRT(SUM('残差明细'!$U$29:$U$51)/C6))</x:f>
        <x:v>0.009385329414490683</x:v>
      </x:c>
      <x:c r="G6" s="42" t="n">
        <x:f>IF(COUNT('残差明细'!$S$29:$S$51)=0,"",SUM('残差明细'!$S$29:$S$51)/COUNT('残差明细'!$S$29:$S$51))</x:f>
        <x:v>-0.10758797341153177</x:v>
      </x:c>
      <x:c r="H6" s="41" t="n">
        <x:f>IF(C6=0,"",MAX('残差明细'!$R$29:$R$51))</x:f>
        <x:v>0.011097253995484974</x:v>
      </x:c>
      <x:c r="I6" s="39" t="n">
        <x:f>COUNTIF('残差明细'!$V$29:$V$51,"超出理论J范围")</x:f>
        <x:v>0</x:v>
      </x:c>
      <x:c r="J6" s="39" t="n">
        <x:f>COUNTIF('残差明细'!$V$29:$V$51,"缺少配对")</x:f>
        <x:v>2</x:v>
      </x:c>
      <x:c r="X6" s="64" t="n">
        <x:f>MIN('残差明细'!$F$6:$F$166)+(MAX('残差明细'!$F$6:$F$166)-MIN('残差明细'!$F$6:$F$166))*4/10</x:f>
        <x:v>0.17483764810185318</x:v>
      </x:c>
      <x:c r="Y6" s="64" t="n">
        <x:v>0</x:v>
      </x:c>
    </x:row>
    <x:row r="7">
      <x:c r="A7" s="40" t="n">
        <x:v>3000</x:v>
      </x:c>
      <x:c r="B7" s="40" t="n">
        <x:v>30</x:v>
      </x:c>
      <x:c r="C7" s="40" t="n">
        <x:f>COUNT('残差明细'!$Q$52:$Q$74)</x:f>
        <x:v>21</x:v>
      </x:c>
      <x:c r="D7" s="41" t="n">
        <x:f>IF(C7=0,"",SUM('残差明细'!$Q$52:$Q$74)/C7)</x:f>
        <x:v>-0.0031512819119378682</x:v>
      </x:c>
      <x:c r="E7" s="41" t="n">
        <x:f>IF(C7=0,"",SUM('残差明细'!$R$52:$R$74)/C7)</x:f>
        <x:v>0.003322721451671537</x:v>
      </x:c>
      <x:c r="F7" s="41" t="n">
        <x:f>IF(C7=0,"",SQRT(SUM('残差明细'!$U$52:$U$74)/C7))</x:f>
        <x:v>0.003582804110914869</x:v>
      </x:c>
      <x:c r="G7" s="42" t="n">
        <x:f>IF(COUNT('残差明细'!$S$52:$S$74)=0,"",SUM('残差明细'!$S$52:$S$74)/COUNT('残差明细'!$S$52:$S$74))</x:f>
        <x:v>-0.04021922185654049</x:v>
      </x:c>
      <x:c r="H7" s="41" t="n">
        <x:f>IF(C7=0,"",MAX('残差明细'!$R$52:$R$74))</x:f>
        <x:v>0.00538182472783881</x:v>
      </x:c>
      <x:c r="I7" s="39" t="n">
        <x:f>COUNTIF('残差明细'!$V$52:$V$74,"超出理论J范围")</x:f>
        <x:v>0</x:v>
      </x:c>
      <x:c r="J7" s="39" t="n">
        <x:f>COUNTIF('残差明细'!$V$52:$V$74,"缺少配对")</x:f>
        <x:v>2</x:v>
      </x:c>
      <x:c r="X7" s="64" t="n">
        <x:f>MIN('残差明细'!$F$6:$F$166)+(MAX('残差明细'!$F$6:$F$166)-MIN('残差明细'!$F$6:$F$166))*5/10</x:f>
        <x:v>0.2185516744874779</x:v>
      </x:c>
      <x:c r="Y7" s="64" t="n">
        <x:v>0</x:v>
      </x:c>
    </x:row>
    <x:row r="8">
      <x:c r="A8" s="40" t="n">
        <x:v>3000</x:v>
      </x:c>
      <x:c r="B8" s="40" t="n">
        <x:v>45</x:v>
      </x:c>
      <x:c r="C8" s="40" t="n">
        <x:f>COUNT('残差明细'!$Q$75:$Q$97)</x:f>
        <x:v>21</x:v>
      </x:c>
      <x:c r="D8" s="41" t="n">
        <x:f>IF(C8=0,"",SUM('残差明细'!$Q$75:$Q$97)/C8)</x:f>
        <x:v>-0.0034084968318966393</x:v>
      </x:c>
      <x:c r="E8" s="41" t="n">
        <x:f>IF(C8=0,"",SUM('残差明细'!$R$75:$R$97)/C8)</x:f>
        <x:v>0.0037795500456858943</x:v>
      </x:c>
      <x:c r="F8" s="41" t="n">
        <x:f>IF(C8=0,"",SQRT(SUM('残差明细'!$U$75:$U$97)/C8))</x:f>
        <x:v>0.0042323894782029916</x:v>
      </x:c>
      <x:c r="G8" s="42" t="n">
        <x:f>IF(COUNT('残差明细'!$S$75:$S$97)=0,"",SUM('残差明细'!$S$75:$S$97)/COUNT('残差明细'!$S$75:$S$97))</x:f>
        <x:v>-0.0452518532203675</x:v>
      </x:c>
      <x:c r="H8" s="41" t="n">
        <x:f>IF(C8=0,"",MAX('残差明细'!$R$75:$R$97))</x:f>
        <x:v>0.006345180637142581</x:v>
      </x:c>
      <x:c r="I8" s="39" t="n">
        <x:f>COUNTIF('残差明细'!$V$75:$V$97,"超出理论J范围")</x:f>
        <x:v>0</x:v>
      </x:c>
      <x:c r="J8" s="39" t="n">
        <x:f>COUNTIF('残差明细'!$V$75:$V$97,"缺少配对")</x:f>
        <x:v>2</x:v>
      </x:c>
      <x:c r="X8" s="64" t="n">
        <x:f>MIN('残差明细'!$F$6:$F$166)+(MAX('残差明细'!$F$6:$F$166)-MIN('残差明细'!$F$6:$F$166))*6/10</x:f>
        <x:v>0.26226570087310264</x:v>
      </x:c>
      <x:c r="Y8" s="64" t="n">
        <x:v>0</x:v>
      </x:c>
    </x:row>
    <x:row r="9">
      <x:c r="A9" s="40" t="n">
        <x:v>3000</x:v>
      </x:c>
      <x:c r="B9" s="40" t="n">
        <x:v>60</x:v>
      </x:c>
      <x:c r="C9" s="40" t="n">
        <x:f>COUNT('残差明细'!$Q$98:$Q$120)</x:f>
        <x:v>21</x:v>
      </x:c>
      <x:c r="D9" s="41" t="n">
        <x:f>IF(C9=0,"",SUM('残差明细'!$Q$98:$Q$120)/C9)</x:f>
        <x:v>-0.0031842087070603183</x:v>
      </x:c>
      <x:c r="E9" s="41" t="n">
        <x:f>IF(C9=0,"",SUM('残差明细'!$R$98:$R$120)/C9)</x:f>
        <x:v>0.0047168446193007856</x:v>
      </x:c>
      <x:c r="F9" s="41" t="n">
        <x:f>IF(C9=0,"",SQRT(SUM('残差明细'!$U$98:$U$120)/C9))</x:f>
        <x:v>0.005251569440322312</x:v>
      </x:c>
      <x:c r="G9" s="42" t="n">
        <x:f>IF(COUNT('残差明细'!$S$98:$S$120)=0,"",SUM('残差明细'!$S$98:$S$120)/COUNT('残差明细'!$S$98:$S$120))</x:f>
        <x:v>-0.033164654122035044</x:v>
      </x:c>
      <x:c r="H9" s="41" t="n">
        <x:f>IF(C9=0,"",MAX('残差明细'!$R$98:$R$120))</x:f>
        <x:v>0.008624637334232133</x:v>
      </x:c>
      <x:c r="I9" s="39" t="n">
        <x:f>COUNTIF('残差明细'!$V$98:$V$120,"超出理论J范围")</x:f>
        <x:v>0</x:v>
      </x:c>
      <x:c r="J9" s="39" t="n">
        <x:f>COUNTIF('残差明细'!$V$98:$V$120,"缺少配对")</x:f>
        <x:v>2</x:v>
      </x:c>
      <x:c r="X9" s="64" t="n">
        <x:f>MIN('残差明细'!$F$6:$F$166)+(MAX('残差明细'!$F$6:$F$166)-MIN('残差明细'!$F$6:$F$166))*7/10</x:f>
        <x:v>0.30597972725872735</x:v>
      </x:c>
      <x:c r="Y9" s="64" t="n">
        <x:v>0</x:v>
      </x:c>
    </x:row>
    <x:row r="10">
      <x:c r="A10" s="40" t="n">
        <x:v>3000</x:v>
      </x:c>
      <x:c r="B10" s="40" t="n">
        <x:v>75</x:v>
      </x:c>
      <x:c r="C10" s="40" t="n">
        <x:f>COUNT('残差明细'!$Q$121:$Q$143)</x:f>
        <x:v>21</x:v>
      </x:c>
      <x:c r="D10" s="41" t="n">
        <x:f>IF(C10=0,"",SUM('残差明细'!$Q$121:$Q$143)/C10)</x:f>
        <x:v>-0.0071000222916187</x:v>
      </x:c>
      <x:c r="E10" s="41" t="n">
        <x:f>IF(C10=0,"",SUM('残差明细'!$R$121:$R$143)/C10)</x:f>
        <x:v>0.0071000222916187</x:v>
      </x:c>
      <x:c r="F10" s="41" t="n">
        <x:f>IF(C10=0,"",SQRT(SUM('残差明细'!$U$121:$U$143)/C10))</x:f>
        <x:v>0.007332300114315956</x:v>
      </x:c>
      <x:c r="G10" s="42" t="n">
        <x:f>IF(COUNT('残差明细'!$S$121:$S$143)=0,"",SUM('残差明细'!$S$121:$S$143)/COUNT('残差明细'!$S$121:$S$143))</x:f>
        <x:v>-0.13096185702976518</x:v>
      </x:c>
      <x:c r="H10" s="41" t="n">
        <x:f>IF(C10=0,"",MAX('残差明细'!$R$121:$R$143))</x:f>
        <x:v>0.009203699904483234</x:v>
      </x:c>
      <x:c r="I10" s="39" t="n">
        <x:f>COUNTIF('残差明细'!$V$121:$V$143,"超出理论J范围")</x:f>
        <x:v>0</x:v>
      </x:c>
      <x:c r="J10" s="39" t="n">
        <x:f>COUNTIF('残差明细'!$V$121:$V$143,"缺少配对")</x:f>
        <x:v>2</x:v>
      </x:c>
      <x:c r="X10" s="64" t="n">
        <x:f>MIN('残差明细'!$F$6:$F$166)+(MAX('残差明细'!$F$6:$F$166)-MIN('残差明细'!$F$6:$F$166))*8/10</x:f>
        <x:v>0.349693753644352</x:v>
      </x:c>
      <x:c r="Y10" s="64" t="n">
        <x:v>0</x:v>
      </x:c>
    </x:row>
    <x:row r="11">
      <x:c r="A11" s="40" t="n">
        <x:v>3000</x:v>
      </x:c>
      <x:c r="B11" s="40" t="n">
        <x:v>90</x:v>
      </x:c>
      <x:c r="C11" s="40" t="n">
        <x:f>COUNT('残差明细'!$Q$144:$Q$166)</x:f>
        <x:v>21</x:v>
      </x:c>
      <x:c r="D11" s="41" t="n">
        <x:f>IF(C11=0,"",SUM('残差明细'!$Q$144:$Q$166)/C11)</x:f>
        <x:v>-0.0039924018907588656</x:v>
      </x:c>
      <x:c r="E11" s="41" t="n">
        <x:f>IF(C11=0,"",SUM('残差明细'!$R$144:$R$166)/C11)</x:f>
        <x:v>0.004987838797013392</x:v>
      </x:c>
      <x:c r="F11" s="41" t="n">
        <x:f>IF(C11=0,"",SQRT(SUM('残差明细'!$U$144:$U$166)/C11))</x:f>
        <x:v>0.005679273797302478</x:v>
      </x:c>
      <x:c r="G11" s="42" t="n">
        <x:f>IF(COUNT('残差明细'!$S$144:$S$166)=0,"",SUM('残差明细'!$S$144:$S$166)/COUNT('残差明细'!$S$144:$S$166))</x:f>
        <x:v>-0.045279456070848614</x:v>
      </x:c>
      <x:c r="H11" s="41" t="n">
        <x:f>IF(C11=0,"",MAX('残差明细'!$R$144:$R$166))</x:f>
        <x:v>0.008497824069126636</x:v>
      </x:c>
      <x:c r="I11" s="39" t="n">
        <x:f>COUNTIF('残差明细'!$V$144:$V$166,"超出理论J范围")</x:f>
        <x:v>0</x:v>
      </x:c>
      <x:c r="J11" s="39" t="n">
        <x:f>COUNTIF('残差明细'!$V$144:$V$166,"缺少配对")</x:f>
        <x:v>2</x:v>
      </x:c>
      <x:c r="X11" s="64" t="n">
        <x:f>MIN('残差明细'!$F$6:$F$166)+(MAX('残差明细'!$F$6:$F$166)-MIN('残差明细'!$F$6:$F$166))*9/10</x:f>
        <x:v>0.39340778002997673</x:v>
      </x:c>
      <x:c r="Y11" s="64" t="n">
        <x:v>0</x:v>
      </x:c>
    </x:row>
    <x:row r="12">
      <x:c r="A12" s="40" t="n">
        <x:v>4000</x:v>
      </x:c>
      <x:c r="B12" s="40" t="n">
        <x:v>0</x:v>
      </x:c>
      <x:c r="C12" s="40" t="n">
        <x:f>COUNT('残差明细'!$Q$167:$Q$190)</x:f>
        <x:v>21</x:v>
      </x:c>
      <x:c r="D12" s="41" t="n">
        <x:f>IF(C12=0,"",SUM('残差明细'!$Q$167:$Q$190)/C12)</x:f>
        <x:v>-0.01207853168347012</x:v>
      </x:c>
      <x:c r="E12" s="41" t="n">
        <x:f>IF(C12=0,"",SUM('残差明细'!$R$167:$R$190)/C12)</x:f>
        <x:v>0.01207853168347012</x:v>
      </x:c>
      <x:c r="F12" s="41" t="n">
        <x:f>IF(C12=0,"",SQRT(SUM('残差明细'!$U$167:$U$190)/C12))</x:f>
        <x:v>0.012998762046022573</x:v>
      </x:c>
      <x:c r="G12" s="42" t="n">
        <x:f>IF(COUNT('残差明细'!$S$167:$S$190)=0,"",SUM('残差明细'!$S$167:$S$190)/COUNT('残差明细'!$S$167:$S$190))</x:f>
        <x:v>-0.12901944828835687</x:v>
      </x:c>
      <x:c r="H12" s="41" t="n">
        <x:f>IF(C12=0,"",MAX('残差明细'!$R$167:$R$190))</x:f>
        <x:v>0.020094656614111597</x:v>
      </x:c>
      <x:c r="I12" s="39" t="n">
        <x:f>COUNTIF('残差明细'!$V$167:$V$190,"超出理论J范围")</x:f>
        <x:v>0</x:v>
      </x:c>
      <x:c r="J12" s="39" t="n">
        <x:f>COUNTIF('残差明细'!$V$167:$V$190,"缺少配对")</x:f>
        <x:v>3</x:v>
      </x:c>
      <x:c r="X12" s="64" t="n">
        <x:f>MIN('残差明细'!$F$6:$F$166)+(MAX('残差明细'!$F$6:$F$166)-MIN('残差明细'!$F$6:$F$166))*10/10</x:f>
        <x:v>0.43712180641560144</x:v>
      </x:c>
      <x:c r="Y12" s="64" t="n">
        <x:v>0</x:v>
      </x:c>
    </x:row>
    <x:row r="13">
      <x:c r="A13" s="40" t="n">
        <x:v>4000</x:v>
      </x:c>
      <x:c r="B13" s="40" t="n">
        <x:v>15</x:v>
      </x:c>
      <x:c r="C13" s="40" t="n">
        <x:f>COUNT('残差明细'!$Q$191:$Q$213)</x:f>
        <x:v>20</x:v>
      </x:c>
      <x:c r="D13" s="41" t="n">
        <x:f>IF(C13=0,"",SUM('残差明细'!$Q$191:$Q$213)/C13)</x:f>
        <x:v>-0.007798333721487348</x:v>
      </x:c>
      <x:c r="E13" s="41" t="n">
        <x:f>IF(C13=0,"",SUM('残差明细'!$R$191:$R$213)/C13)</x:f>
        <x:v>0.007798333721487348</x:v>
      </x:c>
      <x:c r="F13" s="41" t="n">
        <x:f>IF(C13=0,"",SQRT(SUM('残差明细'!$U$191:$U$213)/C13))</x:f>
        <x:v>0.007969795856556697</x:v>
      </x:c>
      <x:c r="G13" s="42" t="n">
        <x:f>IF(COUNT('残差明细'!$S$191:$S$213)=0,"",SUM('残差明细'!$S$191:$S$213)/COUNT('残差明细'!$S$191:$S$213))</x:f>
        <x:v>-0.09146984098616112</x:v>
      </x:c>
      <x:c r="H13" s="41" t="n">
        <x:f>IF(C13=0,"",MAX('残差明细'!$R$191:$R$213))</x:f>
        <x:v>0.01076288747020461</x:v>
      </x:c>
      <x:c r="I13" s="39" t="n">
        <x:f>COUNTIF('残差明细'!$V$191:$V$213,"超出理论J范围")</x:f>
        <x:v>0</x:v>
      </x:c>
      <x:c r="J13" s="39" t="n">
        <x:f>COUNTIF('残差明细'!$V$191:$V$213,"缺少配对")</x:f>
        <x:v>3</x:v>
      </x:c>
      <x:c r="X13" s="64"/>
      <x:c r="Y13" s="64"/>
    </x:row>
    <x:row r="14">
      <x:c r="A14" s="40" t="n">
        <x:v>4000</x:v>
      </x:c>
      <x:c r="B14" s="40" t="n">
        <x:v>30</x:v>
      </x:c>
      <x:c r="C14" s="40" t="n">
        <x:f>COUNT('残差明细'!$Q$214:$Q$236)</x:f>
        <x:v>21</x:v>
      </x:c>
      <x:c r="D14" s="41" t="n">
        <x:f>IF(C14=0,"",SUM('残差明细'!$Q$214:$Q$236)/C14)</x:f>
        <x:v>-0.0048361425228817196</x:v>
      </x:c>
      <x:c r="E14" s="41" t="n">
        <x:f>IF(C14=0,"",SUM('残差明细'!$R$214:$R$236)/C14)</x:f>
        <x:v>0.0048361425228817196</x:v>
      </x:c>
      <x:c r="F14" s="41" t="n">
        <x:f>IF(C14=0,"",SQRT(SUM('残差明细'!$U$214:$U$236)/C14))</x:f>
        <x:v>0.00486041884530572</x:v>
      </x:c>
      <x:c r="G14" s="42" t="n">
        <x:f>IF(COUNT('残差明细'!$S$214:$S$236)=0,"",SUM('残差明细'!$S$214:$S$236)/COUNT('残差明细'!$S$214:$S$236))</x:f>
        <x:v>-0.062254213915057255</x:v>
      </x:c>
      <x:c r="H14" s="41" t="n">
        <x:f>IF(C14=0,"",MAX('残差明细'!$R$214:$R$236))</x:f>
        <x:v>0.0058941073876059985</x:v>
      </x:c>
      <x:c r="I14" s="39" t="n">
        <x:f>COUNTIF('残差明细'!$V$214:$V$236,"超出理论J范围")</x:f>
        <x:v>0</x:v>
      </x:c>
      <x:c r="J14" s="39" t="n">
        <x:f>COUNTIF('残差明细'!$V$214:$V$236,"缺少配对")</x:f>
        <x:v>2</x:v>
      </x:c>
      <x:c r="X14" s="64"/>
      <x:c r="Y14" s="64"/>
    </x:row>
    <x:row r="15">
      <x:c r="A15" s="40" t="n">
        <x:v>4000</x:v>
      </x:c>
      <x:c r="B15" s="40" t="n">
        <x:v>45</x:v>
      </x:c>
      <x:c r="C15" s="40" t="n">
        <x:f>COUNT('残差明细'!$Q$237:$Q$259)</x:f>
        <x:v>21</x:v>
      </x:c>
      <x:c r="D15" s="41" t="n">
        <x:f>IF(C15=0,"",SUM('残差明细'!$Q$237:$Q$259)/C15)</x:f>
        <x:v>-0.0012846054973639</x:v>
      </x:c>
      <x:c r="E15" s="41" t="n">
        <x:f>IF(C15=0,"",SUM('残差明细'!$R$237:$R$259)/C15)</x:f>
        <x:v>0.001617933119732385</x:v>
      </x:c>
      <x:c r="F15" s="41" t="n">
        <x:f>IF(C15=0,"",SQRT(SUM('残差明细'!$U$237:$U$259)/C15))</x:f>
        <x:v>0.001977970405422191</x:v>
      </x:c>
      <x:c r="G15" s="42" t="n">
        <x:f>IF(COUNT('残差明细'!$S$237:$S$259)=0,"",SUM('残差明细'!$S$237:$S$259)/COUNT('残差明细'!$S$237:$S$259))</x:f>
        <x:v>-0.015985009076728868</x:v>
      </x:c>
      <x:c r="H15" s="41" t="n">
        <x:f>IF(C15=0,"",MAX('残差明细'!$R$237:$R$259))</x:f>
        <x:v>0.004762700033646677</x:v>
      </x:c>
      <x:c r="I15" s="39" t="n">
        <x:f>COUNTIF('残差明细'!$V$237:$V$259,"超出理论J范围")</x:f>
        <x:v>0</x:v>
      </x:c>
      <x:c r="J15" s="39" t="n">
        <x:f>COUNTIF('残差明细'!$V$237:$V$259,"缺少配对")</x:f>
        <x:v>2</x:v>
      </x:c>
      <x:c r="X15" s="64" t="n">
        <x:f>MIN('残差明细'!$F$167:$F$330)+(MAX('残差明细'!$F$167:$F$330)-MIN('残差明细'!$F$167:$F$330))*0/10</x:f>
        <x:v>0.000037379164340980293</x:v>
      </x:c>
      <x:c r="Y15" s="64" t="n">
        <x:v>0</x:v>
      </x:c>
    </x:row>
    <x:row r="16">
      <x:c r="A16" s="40" t="n">
        <x:v>4000</x:v>
      </x:c>
      <x:c r="B16" s="40" t="n">
        <x:v>60</x:v>
      </x:c>
      <x:c r="C16" s="40" t="n">
        <x:f>COUNT('残差明细'!$Q$260:$Q$283)</x:f>
        <x:v>21</x:v>
      </x:c>
      <x:c r="D16" s="41" t="n">
        <x:f>IF(C16=0,"",SUM('残差明细'!$Q$260:$Q$283)/C16)</x:f>
        <x:v>-0.0038166941318725387</x:v>
      </x:c>
      <x:c r="E16" s="41" t="n">
        <x:f>IF(C16=0,"",SUM('残差明细'!$R$260:$R$283)/C16)</x:f>
        <x:v>0.0038166941318725387</x:v>
      </x:c>
      <x:c r="F16" s="41" t="n">
        <x:f>IF(C16=0,"",SQRT(SUM('残差明细'!$U$260:$U$283)/C16))</x:f>
        <x:v>0.0040330723066354405</x:v>
      </x:c>
      <x:c r="G16" s="42" t="n">
        <x:f>IF(COUNT('残差明细'!$S$260:$S$283)=0,"",SUM('残差明细'!$S$260:$S$283)/COUNT('残差明细'!$S$260:$S$283))</x:f>
        <x:v>-0.05626783519057783</x:v>
      </x:c>
      <x:c r="H16" s="41" t="n">
        <x:f>IF(C16=0,"",MAX('残差明细'!$R$260:$R$283))</x:f>
        <x:v>0.00650336664652626</x:v>
      </x:c>
      <x:c r="I16" s="39" t="n">
        <x:f>COUNTIF('残差明细'!$V$260:$V$283,"超出理论J范围")</x:f>
        <x:v>0</x:v>
      </x:c>
      <x:c r="J16" s="39" t="n">
        <x:f>COUNTIF('残差明细'!$V$260:$V$283,"缺少配对")</x:f>
        <x:v>3</x:v>
      </x:c>
      <x:c r="X16" s="64" t="n">
        <x:f>MIN('残差明细'!$F$167:$F$330)+(MAX('残差明细'!$F$167:$F$330)-MIN('残差明细'!$F$167:$F$330))*1/10</x:f>
        <x:v>0.03335759986466412</x:v>
      </x:c>
      <x:c r="Y16" s="64" t="n">
        <x:v>0</x:v>
      </x:c>
    </x:row>
    <x:row r="17">
      <x:c r="A17" s="40" t="n">
        <x:v>4000</x:v>
      </x:c>
      <x:c r="B17" s="40" t="n">
        <x:v>75</x:v>
      </x:c>
      <x:c r="C17" s="40" t="n">
        <x:f>COUNT('残差明细'!$Q$284:$Q$307)</x:f>
        <x:v>21</x:v>
      </x:c>
      <x:c r="D17" s="41" t="n">
        <x:f>IF(C17=0,"",SUM('残差明细'!$Q$284:$Q$307)/C17)</x:f>
        <x:v>-0.004050365292611759</x:v>
      </x:c>
      <x:c r="E17" s="41" t="n">
        <x:f>IF(C17=0,"",SUM('残差明细'!$R$284:$R$307)/C17)</x:f>
        <x:v>0.004222370454167532</x:v>
      </x:c>
      <x:c r="F17" s="41" t="n">
        <x:f>IF(C17=0,"",SQRT(SUM('残差明细'!$U$284:$U$307)/C17))</x:f>
        <x:v>0.0043699480245497505</x:v>
      </x:c>
      <x:c r="G17" s="42" t="n">
        <x:f>IF(COUNT('残差明细'!$S$284:$S$307)=0,"",SUM('残差明细'!$S$284:$S$307)/COUNT('残差明细'!$S$284:$S$307))</x:f>
        <x:v>-0.06419873217757296</x:v>
      </x:c>
      <x:c r="H17" s="41" t="n">
        <x:f>IF(C17=0,"",MAX('残差明细'!$R$284:$R$307))</x:f>
        <x:v>0.005812585274124968</x:v>
      </x:c>
      <x:c r="I17" s="39" t="n">
        <x:f>COUNTIF('残差明细'!$V$284:$V$307,"超出理论J范围")</x:f>
        <x:v>0</x:v>
      </x:c>
      <x:c r="J17" s="39" t="n">
        <x:f>COUNTIF('残差明细'!$V$284:$V$307,"缺少配对")</x:f>
        <x:v>3</x:v>
      </x:c>
      <x:c r="X17" s="64" t="n">
        <x:f>MIN('残差明细'!$F$167:$F$330)+(MAX('残差明细'!$F$167:$F$330)-MIN('残差明细'!$F$167:$F$330))*2/10</x:f>
        <x:v>0.06667782056498725</x:v>
      </x:c>
      <x:c r="Y17" s="64" t="n">
        <x:v>0</x:v>
      </x:c>
    </x:row>
    <x:row r="18">
      <x:c r="A18" s="40" t="n">
        <x:v>4000</x:v>
      </x:c>
      <x:c r="B18" s="40" t="n">
        <x:v>90</x:v>
      </x:c>
      <x:c r="C18" s="40" t="n">
        <x:f>COUNT('残差明细'!$Q$308:$Q$330)</x:f>
        <x:v>21</x:v>
      </x:c>
      <x:c r="D18" s="41" t="n">
        <x:f>IF(C18=0,"",SUM('残差明细'!$Q$308:$Q$330)/C18)</x:f>
        <x:v>-0.0004071566751883045</x:v>
      </x:c>
      <x:c r="E18" s="41" t="n">
        <x:f>IF(C18=0,"",SUM('残差明细'!$R$308:$R$330)/C18)</x:f>
        <x:v>0.001421671712677474</x:v>
      </x:c>
      <x:c r="F18" s="41" t="n">
        <x:f>IF(C18=0,"",SQRT(SUM('残差明细'!$U$308:$U$330)/C18))</x:f>
        <x:v>0.0019429035164508703</x:v>
      </x:c>
      <x:c r="G18" s="42" t="n">
        <x:f>IF(COUNT('残差明细'!$S$308:$S$330)=0,"",SUM('残差明细'!$S$308:$S$330)/COUNT('残差明细'!$S$308:$S$330))</x:f>
        <x:v>0.0003597245544460976</x:v>
      </x:c>
      <x:c r="H18" s="41" t="n">
        <x:f>IF(C18=0,"",MAX('残差明细'!$R$308:$R$330))</x:f>
        <x:v>0.0047024742325489505</x:v>
      </x:c>
      <x:c r="I18" s="39" t="n">
        <x:f>COUNTIF('残差明细'!$V$308:$V$330,"超出理论J范围")</x:f>
        <x:v>0</x:v>
      </x:c>
      <x:c r="J18" s="39" t="n">
        <x:f>COUNTIF('残差明细'!$V$308:$V$330,"缺少配对")</x:f>
        <x:v>2</x:v>
      </x:c>
      <x:c r="X18" s="64" t="n">
        <x:f>MIN('残差明细'!$F$167:$F$330)+(MAX('残差明细'!$F$167:$F$330)-MIN('残差明细'!$F$167:$F$330))*3/10</x:f>
        <x:v>0.09999804126531038</x:v>
      </x:c>
      <x:c r="Y18" s="64" t="n">
        <x:v>0</x:v>
      </x:c>
    </x:row>
    <x:row r="19">
      <x:c r="A19" s="40" t="n">
        <x:v>5000</x:v>
      </x:c>
      <x:c r="B19" s="40" t="n">
        <x:v>0</x:v>
      </x:c>
      <x:c r="C19" s="40" t="n">
        <x:f>COUNT('残差明细'!$Q$331:$Q$354)</x:f>
        <x:v>20</x:v>
      </x:c>
      <x:c r="D19" s="41" t="n">
        <x:f>IF(C19=0,"",SUM('残差明细'!$Q$331:$Q$354)/C19)</x:f>
        <x:v>-0.010203152398447093</x:v>
      </x:c>
      <x:c r="E19" s="41" t="n">
        <x:f>IF(C19=0,"",SUM('残差明细'!$R$331:$R$354)/C19)</x:f>
        <x:v>0.010203152398447093</x:v>
      </x:c>
      <x:c r="F19" s="41" t="n">
        <x:f>IF(C19=0,"",SQRT(SUM('残差明细'!$U$331:$U$354)/C19))</x:f>
        <x:v>0.010806863361195464</x:v>
      </x:c>
      <x:c r="G19" s="42" t="n">
        <x:f>IF(COUNT('残差明细'!$S$331:$S$354)=0,"",SUM('残差明细'!$S$331:$S$354)/COUNT('残差明细'!$S$331:$S$354))</x:f>
        <x:v>-0.11248599165396422</x:v>
      </x:c>
      <x:c r="H19" s="41" t="n">
        <x:f>IF(C19=0,"",MAX('残差明细'!$R$331:$R$354))</x:f>
        <x:v>0.016503372865075847</x:v>
      </x:c>
      <x:c r="I19" s="39" t="n">
        <x:f>COUNTIF('残差明细'!$V$331:$V$354,"超出理论J范围")</x:f>
        <x:v>0</x:v>
      </x:c>
      <x:c r="J19" s="39" t="n">
        <x:f>COUNTIF('残差明细'!$V$331:$V$354,"缺少配对")</x:f>
        <x:v>4</x:v>
      </x:c>
      <x:c r="X19" s="64" t="n">
        <x:f>MIN('残差明细'!$F$167:$F$330)+(MAX('残差明细'!$F$167:$F$330)-MIN('残差明细'!$F$167:$F$330))*4/10</x:f>
        <x:v>0.13331826196563354</x:v>
      </x:c>
      <x:c r="Y19" s="64" t="n">
        <x:v>0</x:v>
      </x:c>
    </x:row>
    <x:row r="20">
      <x:c r="A20" s="40" t="n">
        <x:v>5000</x:v>
      </x:c>
      <x:c r="B20" s="40" t="n">
        <x:v>15</x:v>
      </x:c>
      <x:c r="C20" s="40" t="n">
        <x:f>COUNT('残差明细'!$Q$355:$Q$377)</x:f>
        <x:v>19</x:v>
      </x:c>
      <x:c r="D20" s="41" t="n">
        <x:f>IF(C20=0,"",SUM('残差明细'!$Q$355:$Q$377)/C20)</x:f>
        <x:v>-0.009357452140407306</x:v>
      </x:c>
      <x:c r="E20" s="41" t="n">
        <x:f>IF(C20=0,"",SUM('残差明细'!$R$355:$R$377)/C20)</x:f>
        <x:v>0.009357452140407306</x:v>
      </x:c>
      <x:c r="F20" s="41" t="n">
        <x:f>IF(C20=0,"",SQRT(SUM('残差明细'!$U$355:$U$377)/C20))</x:f>
        <x:v>0.00951447908273303</x:v>
      </x:c>
      <x:c r="G20" s="42" t="n">
        <x:f>IF(COUNT('残差明细'!$S$355:$S$377)=0,"",SUM('残差明细'!$S$355:$S$377)/COUNT('残差明细'!$S$355:$S$377))</x:f>
        <x:v>-0.11107145794917518</x:v>
      </x:c>
      <x:c r="H20" s="41" t="n">
        <x:f>IF(C20=0,"",MAX('残差明细'!$R$355:$R$377))</x:f>
        <x:v>0.012577422253227721</x:v>
      </x:c>
      <x:c r="I20" s="39" t="n">
        <x:f>COUNTIF('残差明细'!$V$355:$V$377,"超出理论J范围")</x:f>
        <x:v>1</x:v>
      </x:c>
      <x:c r="J20" s="39" t="n">
        <x:f>COUNTIF('残差明细'!$V$355:$V$377,"缺少配对")</x:f>
        <x:v>3</x:v>
      </x:c>
      <x:c r="X20" s="64" t="n">
        <x:f>MIN('残差明细'!$F$167:$F$330)+(MAX('残差明细'!$F$167:$F$330)-MIN('残差明细'!$F$167:$F$330))*5/10</x:f>
        <x:v>0.16663848266595668</x:v>
      </x:c>
      <x:c r="Y20" s="64" t="n">
        <x:v>0</x:v>
      </x:c>
    </x:row>
    <x:row r="21">
      <x:c r="A21" s="40" t="n">
        <x:v>5000</x:v>
      </x:c>
      <x:c r="B21" s="40" t="n">
        <x:v>30</x:v>
      </x:c>
      <x:c r="C21" s="40" t="n">
        <x:f>COUNT('残差明细'!$Q$378:$Q$400)</x:f>
        <x:v>20</x:v>
      </x:c>
      <x:c r="D21" s="41" t="n">
        <x:f>IF(C21=0,"",SUM('残差明细'!$Q$378:$Q$400)/C21)</x:f>
        <x:v>-0.0037140644207289664</x:v>
      </x:c>
      <x:c r="E21" s="41" t="n">
        <x:f>IF(C21=0,"",SUM('残差明细'!$R$378:$R$400)/C21)</x:f>
        <x:v>0.0037140644207289664</x:v>
      </x:c>
      <x:c r="F21" s="41" t="n">
        <x:f>IF(C21=0,"",SQRT(SUM('残差明细'!$U$378:$U$400)/C21))</x:f>
        <x:v>0.0037863587749778515</x:v>
      </x:c>
      <x:c r="G21" s="42" t="n">
        <x:f>IF(COUNT('残差明细'!$S$378:$S$400)=0,"",SUM('残差明细'!$S$378:$S$400)/COUNT('残差明细'!$S$378:$S$400))</x:f>
        <x:v>-0.04681381781631712</x:v>
      </x:c>
      <x:c r="H21" s="41" t="n">
        <x:f>IF(C21=0,"",MAX('残差明细'!$R$378:$R$400))</x:f>
        <x:v>0.005402366689811533</x:v>
      </x:c>
      <x:c r="I21" s="39" t="n">
        <x:f>COUNTIF('残差明细'!$V$378:$V$400,"超出理论J范围")</x:f>
        <x:v>1</x:v>
      </x:c>
      <x:c r="J21" s="39" t="n">
        <x:f>COUNTIF('残差明细'!$V$378:$V$400,"缺少配对")</x:f>
        <x:v>2</x:v>
      </x:c>
      <x:c r="X21" s="64" t="n">
        <x:f>MIN('残差明细'!$F$167:$F$330)+(MAX('残差明细'!$F$167:$F$330)-MIN('残差明细'!$F$167:$F$330))*6/10</x:f>
        <x:v>0.1999587033662798</x:v>
      </x:c>
      <x:c r="Y21" s="64" t="n">
        <x:v>0</x:v>
      </x:c>
    </x:row>
    <x:row r="22">
      <x:c r="A22" s="40" t="n">
        <x:v>5000</x:v>
      </x:c>
      <x:c r="B22" s="40" t="n">
        <x:v>45</x:v>
      </x:c>
      <x:c r="C22" s="40" t="n">
        <x:f>COUNT('残差明细'!$Q$401:$Q$422)</x:f>
        <x:v>19</x:v>
      </x:c>
      <x:c r="D22" s="41" t="n">
        <x:f>IF(C22=0,"",SUM('残差明细'!$Q$401:$Q$422)/C22)</x:f>
        <x:v>-0.0004892284777033215</x:v>
      </x:c>
      <x:c r="E22" s="41" t="n">
        <x:f>IF(C22=0,"",SUM('残差明细'!$R$401:$R$422)/C22)</x:f>
        <x:v>0.0011858520776050784</x:v>
      </x:c>
      <x:c r="F22" s="41" t="n">
        <x:f>IF(C22=0,"",SQRT(SUM('残差明细'!$U$401:$U$422)/C22))</x:f>
        <x:v>0.0015525003802939648</x:v>
      </x:c>
      <x:c r="G22" s="42" t="n">
        <x:f>IF(COUNT('残差明细'!$S$401:$S$422)=0,"",SUM('残差明细'!$S$401:$S$422)/COUNT('残差明细'!$S$401:$S$422))</x:f>
        <x:v>-0.005202817521546688</x:v>
      </x:c>
      <x:c r="H22" s="41" t="n">
        <x:f>IF(C22=0,"",MAX('残差明细'!$R$401:$R$422))</x:f>
        <x:v>0.003935004205382078</x:v>
      </x:c>
      <x:c r="I22" s="39" t="n">
        <x:f>COUNTIF('残差明细'!$V$401:$V$422,"超出理论J范围")</x:f>
        <x:v>1</x:v>
      </x:c>
      <x:c r="J22" s="39" t="n">
        <x:f>COUNTIF('残差明细'!$V$401:$V$422,"缺少配对")</x:f>
        <x:v>2</x:v>
      </x:c>
      <x:c r="X22" s="64" t="n">
        <x:f>MIN('残差明细'!$F$167:$F$330)+(MAX('残差明细'!$F$167:$F$330)-MIN('残差明细'!$F$167:$F$330))*7/10</x:f>
        <x:v>0.23327892406660294</x:v>
      </x:c>
      <x:c r="Y22" s="64" t="n">
        <x:v>0</x:v>
      </x:c>
    </x:row>
    <x:row r="23">
      <x:c r="A23" s="40" t="n">
        <x:v>5000</x:v>
      </x:c>
      <x:c r="B23" s="40" t="n">
        <x:v>60</x:v>
      </x:c>
      <x:c r="C23" s="40" t="n">
        <x:f>COUNT('残差明细'!$Q$423:$Q$445)</x:f>
        <x:v>20</x:v>
      </x:c>
      <x:c r="D23" s="41" t="n">
        <x:f>IF(C23=0,"",SUM('残差明细'!$Q$423:$Q$445)/C23)</x:f>
        <x:v>-0.004095450019700236</x:v>
      </x:c>
      <x:c r="E23" s="41" t="n">
        <x:f>IF(C23=0,"",SUM('残差明细'!$R$423:$R$445)/C23)</x:f>
        <x:v>0.004095450019700236</x:v>
      </x:c>
      <x:c r="F23" s="41" t="n">
        <x:f>IF(C23=0,"",SQRT(SUM('残差明细'!$U$423:$U$445)/C23))</x:f>
        <x:v>0.004171826544008132</x:v>
      </x:c>
      <x:c r="G23" s="42" t="n">
        <x:f>IF(COUNT('残差明细'!$S$423:$S$445)=0,"",SUM('残差明细'!$S$423:$S$445)/COUNT('残差明细'!$S$423:$S$445))</x:f>
        <x:v>-0.05848478241718676</x:v>
      </x:c>
      <x:c r="H23" s="41" t="n">
        <x:f>IF(C23=0,"",MAX('残差明细'!$R$423:$R$445))</x:f>
        <x:v>0.006330315123994179</x:v>
      </x:c>
      <x:c r="I23" s="39" t="n">
        <x:f>COUNTIF('残差明细'!$V$423:$V$445,"超出理论J范围")</x:f>
        <x:v>1</x:v>
      </x:c>
      <x:c r="J23" s="39" t="n">
        <x:f>COUNTIF('残差明细'!$V$423:$V$445,"缺少配对")</x:f>
        <x:v>2</x:v>
      </x:c>
      <x:c r="X23" s="64" t="n">
        <x:f>MIN('残差明细'!$F$167:$F$330)+(MAX('残差明细'!$F$167:$F$330)-MIN('残差明细'!$F$167:$F$330))*8/10</x:f>
        <x:v>0.2665991447669261</x:v>
      </x:c>
      <x:c r="Y23" s="64" t="n">
        <x:v>0</x:v>
      </x:c>
    </x:row>
    <x:row r="24">
      <x:c r="A24" s="40" t="n">
        <x:v>5000</x:v>
      </x:c>
      <x:c r="B24" s="40" t="n">
        <x:v>75</x:v>
      </x:c>
      <x:c r="C24" s="40" t="n">
        <x:f>COUNT('残差明细'!$Q$446:$Q$468)</x:f>
        <x:v>21</x:v>
      </x:c>
      <x:c r="D24" s="41" t="n">
        <x:f>IF(C24=0,"",SUM('残差明细'!$Q$446:$Q$468)/C24)</x:f>
        <x:v>-0.004726961328956288</x:v>
      </x:c>
      <x:c r="E24" s="41" t="n">
        <x:f>IF(C24=0,"",SUM('残差明细'!$R$446:$R$468)/C24)</x:f>
        <x:v>0.004726961328956288</x:v>
      </x:c>
      <x:c r="F24" s="41" t="n">
        <x:f>IF(C24=0,"",SQRT(SUM('残差明细'!$U$446:$U$468)/C24))</x:f>
        <x:v>0.004876832347322671</x:v>
      </x:c>
      <x:c r="G24" s="42" t="n">
        <x:f>IF(COUNT('残差明细'!$S$446:$S$468)=0,"",SUM('残差明细'!$S$446:$S$468)/COUNT('残差明细'!$S$446:$S$468))</x:f>
        <x:v>-0.07068272805481038</x:v>
      </x:c>
      <x:c r="H24" s="41" t="n">
        <x:f>IF(C24=0,"",MAX('残差明细'!$R$446:$R$468))</x:f>
        <x:v>0.007884279441361372</x:v>
      </x:c>
      <x:c r="I24" s="39" t="n">
        <x:f>COUNTIF('残差明细'!$V$446:$V$468,"超出理论J范围")</x:f>
        <x:v>0</x:v>
      </x:c>
      <x:c r="J24" s="39" t="n">
        <x:f>COUNTIF('残差明细'!$V$446:$V$468,"缺少配对")</x:f>
        <x:v>2</x:v>
      </x:c>
      <x:c r="X24" s="64" t="n">
        <x:f>MIN('残差明细'!$F$167:$F$330)+(MAX('残差明细'!$F$167:$F$330)-MIN('残差明细'!$F$167:$F$330))*9/10</x:f>
        <x:v>0.29991936546724923</x:v>
      </x:c>
      <x:c r="Y24" s="64" t="n">
        <x:v>0</x:v>
      </x:c>
    </x:row>
    <x:row r="25">
      <x:c r="A25" s="40" t="n">
        <x:v>5000</x:v>
      </x:c>
      <x:c r="B25" s="40" t="n">
        <x:v>90</x:v>
      </x:c>
      <x:c r="C25" s="40" t="n">
        <x:f>COUNT('残差明细'!$Q$469:$Q$491)</x:f>
        <x:v>21</x:v>
      </x:c>
      <x:c r="D25" s="41" t="n">
        <x:f>IF(C25=0,"",SUM('残差明细'!$Q$469:$Q$491)/C25)</x:f>
        <x:v>0.003177907623583453</x:v>
      </x:c>
      <x:c r="E25" s="41" t="n">
        <x:f>IF(C25=0,"",SUM('残差明细'!$R$469:$R$491)/C25)</x:f>
        <x:v>0.003177907623583453</x:v>
      </x:c>
      <x:c r="F25" s="41" t="n">
        <x:f>IF(C25=0,"",SQRT(SUM('残差明细'!$U$469:$U$491)/C25))</x:f>
        <x:v>0.003442597608698576</x:v>
      </x:c>
      <x:c r="G25" s="42" t="n">
        <x:f>IF(COUNT('残差明细'!$S$469:$S$491)=0,"",SUM('残差明细'!$S$469:$S$491)/COUNT('残差明细'!$S$469:$S$491))</x:f>
        <x:v>0.05190279508916319</x:v>
      </x:c>
      <x:c r="H25" s="41" t="n">
        <x:f>IF(C25=0,"",MAX('残差明细'!$R$469:$R$491))</x:f>
        <x:v>0.004749261607329823</x:v>
      </x:c>
      <x:c r="I25" s="39" t="n">
        <x:f>COUNTIF('残差明细'!$V$469:$V$491,"超出理论J范围")</x:f>
        <x:v>0</x:v>
      </x:c>
      <x:c r="J25" s="39" t="n">
        <x:f>COUNTIF('残差明细'!$V$469:$V$491,"缺少配对")</x:f>
        <x:v>2</x:v>
      </x:c>
      <x:c r="X25" s="64" t="n">
        <x:f>MIN('残差明细'!$F$167:$F$330)+(MAX('残差明细'!$F$167:$F$330)-MIN('残差明细'!$F$167:$F$330))*10/10</x:f>
        <x:v>0.3332395861675724</x:v>
      </x:c>
      <x:c r="Y25" s="64" t="n">
        <x:v>0</x:v>
      </x:c>
    </x:row>
    <x:row r="26">
      <x:c r="A26" s="47" t="n">
        <x:v>3000</x:v>
      </x:c>
      <x:c r="B26" s="47" t="str">
        <x:v>全部角度</x:v>
      </x:c>
      <x:c r="C26" s="47" t="n">
        <x:f>COUNT('残差明细'!$Q$6:$Q$166)</x:f>
        <x:v>146</x:v>
      </x:c>
      <x:c r="D26" s="48" t="n">
        <x:f>IF(C26=0,"",SUM('残差明细'!$Q$6:$Q$166)/C26)</x:f>
        <x:v>-0.006565890039388988</x:v>
      </x:c>
      <x:c r="E26" s="48" t="n">
        <x:f>IF(C26=0,"",SUM('残差明细'!$R$6:$R$166)/C26)</x:f>
        <x:v>0.007007546731254576</x:v>
      </x:c>
      <x:c r="F26" s="48" t="n">
        <x:f>IF(C26=0,"",SQRT(SUM('残差明细'!$U$6:$U$166)/C26))</x:f>
        <x:v>0.008540561255817055</x:v>
      </x:c>
      <x:c r="G26" s="49" t="n">
        <x:f>IF(COUNT('残差明细'!$S$6:$S$166)=0,"",SUM('残差明细'!$S$6:$S$166)/COUNT('残差明细'!$S$6:$S$166))</x:f>
        <x:v>-0.08054920674562438</x:v>
      </x:c>
      <x:c r="H26" s="48" t="n">
        <x:f>IF(C26=0,"",MAX('残差明细'!$R$6:$R$166))</x:f>
        <x:v>0.022551619912256987</x:v>
      </x:c>
      <x:c r="I26" s="50" t="n">
        <x:f>COUNTIF('残差明细'!$V$6:$V$166,"超出理论J范围")</x:f>
        <x:v>1</x:v>
      </x:c>
      <x:c r="J26" s="50" t="n">
        <x:f>COUNTIF('残差明细'!$V$6:$V$166,"缺少配对")</x:f>
        <x:v>14</x:v>
      </x:c>
      <x:c r="X26" s="64"/>
      <x:c r="Y26" s="64"/>
    </x:row>
    <x:row r="27">
      <x:c r="A27" s="47" t="n">
        <x:v>4000</x:v>
      </x:c>
      <x:c r="B27" s="47" t="str">
        <x:v>全部角度</x:v>
      </x:c>
      <x:c r="C27" s="47" t="n">
        <x:f>COUNT('残差明细'!$Q$167:$Q$330)</x:f>
        <x:v>146</x:v>
      </x:c>
      <x:c r="D27" s="48" t="n">
        <x:f>IF(C27=0,"",SUM('残差明细'!$Q$167:$Q$330)/C27)</x:f>
        <x:v>-0.004876096481513026</x:v>
      </x:c>
      <x:c r="E27" s="48" t="n">
        <x:f>IF(C27=0,"",SUM('残差明细'!$R$167:$R$330)/C27)</x:f>
        <x:v>0.00509470472979852</x:v>
      </x:c>
      <x:c r="F27" s="48" t="n">
        <x:f>IF(C27=0,"",SQRT(SUM('残差明细'!$U$167:$U$330)/C27))</x:f>
        <x:v>0.0065264533708663</x:v>
      </x:c>
      <x:c r="G27" s="49" t="n">
        <x:f>IF(COUNT('残差明细'!$S$167:$S$330)=0,"",SUM('残差明细'!$S$167:$S$330)/COUNT('残差明细'!$S$167:$S$330))</x:f>
        <x:v>-0.05961693572393165</x:v>
      </x:c>
      <x:c r="H27" s="48" t="n">
        <x:f>IF(C27=0,"",MAX('残差明细'!$R$167:$R$330))</x:f>
        <x:v>0.020094656614111597</x:v>
      </x:c>
      <x:c r="I27" s="50" t="n">
        <x:f>COUNTIF('残差明细'!$V$167:$V$330,"超出理论J范围")</x:f>
        <x:v>0</x:v>
      </x:c>
      <x:c r="J27" s="50" t="n">
        <x:f>COUNTIF('残差明细'!$V$167:$V$330,"缺少配对")</x:f>
        <x:v>18</x:v>
      </x:c>
      <x:c r="X27" s="64"/>
      <x:c r="Y27" s="64"/>
    </x:row>
    <x:row r="28">
      <x:c r="A28" s="47" t="n">
        <x:v>5000</x:v>
      </x:c>
      <x:c r="B28" s="47" t="str">
        <x:v>全部角度</x:v>
      </x:c>
      <x:c r="C28" s="47" t="n">
        <x:f>COUNT('残差明细'!$Q$331:$Q$491)</x:f>
        <x:v>140</x:v>
      </x:c>
      <x:c r="D28" s="48" t="n">
        <x:f>IF(C28=0,"",SUM('残差明细'!$Q$331:$Q$491)/C28)</x:f>
        <x:v>-0.004141931402388983</x:v>
      </x:c>
      <x:c r="E28" s="48" t="n">
        <x:f>IF(C28=0,"",SUM('残差明细'!$R$331:$R$491)/C28)</x:f>
        <x:v>0.005189845463736401</x:v>
      </x:c>
      <x:c r="F28" s="48" t="n">
        <x:f>IF(C28=0,"",SQRT(SUM('残差明细'!$U$331:$U$491)/C28))</x:f>
        <x:v>0.006259101453075185</x:v>
      </x:c>
      <x:c r="G28" s="49" t="n">
        <x:f>IF(COUNT('残差明细'!$S$331:$S$491)=0,"",SUM('残差明细'!$S$331:$S$491)/COUNT('残差明细'!$S$331:$S$491))</x:f>
        <x:v>-0.049709154742654804</x:v>
      </x:c>
      <x:c r="H28" s="48" t="n">
        <x:f>IF(C28=0,"",MAX('残差明细'!$R$331:$R$491))</x:f>
        <x:v>0.016503372865075847</x:v>
      </x:c>
      <x:c r="I28" s="50" t="n">
        <x:f>COUNTIF('残差明细'!$V$331:$V$491,"超出理论J范围")</x:f>
        <x:v>4</x:v>
      </x:c>
      <x:c r="J28" s="50" t="n">
        <x:f>COUNTIF('残差明细'!$V$331:$V$491,"缺少配对")</x:f>
        <x:v>17</x:v>
      </x:c>
      <x:c r="X28" s="64" t="n">
        <x:f>MIN('残差明细'!$F$331:$F$491)+(MAX('残差明细'!$F$331:$F$491)-MIN('残差明细'!$F$331:$F$491))*0/10</x:f>
        <x:v>0.00027417676349396445</x:v>
      </x:c>
      <x:c r="Y28" s="64" t="n">
        <x:v>0</x:v>
      </x:c>
    </x:row>
    <x:row r="29">
      <x:c r="A29" s="59" t="str">
        <x:v>全部</x:v>
      </x:c>
      <x:c r="B29" s="59" t="str">
        <x:v>全部角度</x:v>
      </x:c>
      <x:c r="C29" s="59" t="n">
        <x:f>COUNT('残差明细'!$Q$6:$Q$491)</x:f>
        <x:v>432</x:v>
      </x:c>
      <x:c r="D29" s="60" t="n">
        <x:f>IF(C29=0,"",SUM('残差明细'!$Q$6:$Q$491)/C29)</x:f>
        <x:v>-0.005209260250893871</x:v>
      </x:c>
      <x:c r="E29" s="60" t="n">
        <x:f>IF(C29=0,"",SUM('残差明细'!$R$6:$R$491)/C29)</x:f>
        <x:v>0.005772007125548262</x:v>
      </x:c>
      <x:c r="F29" s="60" t="n">
        <x:f>IF(C29=0,"",SQRT(SUM('残差明细'!$U$6:$U$491)/C29))</x:f>
        <x:v>0.007193250605198069</x:v>
      </x:c>
      <x:c r="G29" s="61" t="n">
        <x:f>IF(COUNT('残差明细'!$S$6:$S$491)=0,"",SUM('残差明细'!$S$6:$S$491)/COUNT('残差明细'!$S$6:$S$491))</x:f>
        <x:v>-0.06348041311233063</x:v>
      </x:c>
      <x:c r="H29" s="60" t="n">
        <x:f>IF(C29=0,"",MAX('残差明细'!$R$6:$R$491))</x:f>
        <x:v>0.022551619912256987</x:v>
      </x:c>
      <x:c r="I29" s="62" t="n">
        <x:f>COUNTIF('残差明细'!$V$6:$V$491,"超出理论J范围")</x:f>
        <x:v>5</x:v>
      </x:c>
      <x:c r="J29" s="62" t="n">
        <x:f>COUNTIF('残差明细'!$V$6:$V$491,"缺少配对")</x:f>
        <x:v>49</x:v>
      </x:c>
      <x:c r="X29" s="64" t="n">
        <x:f>MIN('残差明细'!$F$331:$F$491)+(MAX('残差明细'!$F$331:$F$491)-MIN('残差明细'!$F$331:$F$491))*1/10</x:f>
        <x:v>0.027182363843635867</x:v>
      </x:c>
      <x:c r="Y29" s="64" t="n">
        <x:v>0</x:v>
      </x:c>
    </x:row>
    <x:row r="30">
      <x:c r="X30" s="64" t="n">
        <x:f>MIN('残差明细'!$F$331:$F$491)+(MAX('残差明细'!$F$331:$F$491)-MIN('残差明细'!$F$331:$F$491))*2/10</x:f>
        <x:v>0.05409055092377777</x:v>
      </x:c>
      <x:c r="Y30" s="64" t="n">
        <x:v>0</x:v>
      </x:c>
    </x:row>
    <x:row r="31">
      <x:c r="X31" s="64" t="n">
        <x:f>MIN('残差明细'!$F$331:$F$491)+(MAX('残差明细'!$F$331:$F$491)-MIN('残差明细'!$F$331:$F$491))*3/10</x:f>
        <x:v>0.08099873800391967</x:v>
      </x:c>
      <x:c r="Y31" s="64" t="n">
        <x:v>0</x:v>
      </x:c>
    </x:row>
    <x:row r="32">
      <x:c r="X32" s="64" t="n">
        <x:f>MIN('残差明细'!$F$331:$F$491)+(MAX('残差明细'!$F$331:$F$491)-MIN('残差明细'!$F$331:$F$491))*4/10</x:f>
        <x:v>0.10790692508406158</x:v>
      </x:c>
      <x:c r="Y32" s="64" t="n">
        <x:v>0</x:v>
      </x:c>
    </x:row>
    <x:row r="33">
      <x:c r="X33" s="64" t="n">
        <x:f>MIN('残差明细'!$F$331:$F$491)+(MAX('残差明细'!$F$331:$F$491)-MIN('残差明细'!$F$331:$F$491))*5/10</x:f>
        <x:v>0.1348151121642035</x:v>
      </x:c>
      <x:c r="Y33" s="64" t="n">
        <x:v>0</x:v>
      </x:c>
    </x:row>
    <x:row r="34">
      <x:c r="X34" s="64" t="n">
        <x:f>MIN('残差明细'!$F$331:$F$491)+(MAX('残差明细'!$F$331:$F$491)-MIN('残差明细'!$F$331:$F$491))*6/10</x:f>
        <x:v>0.1617232992443454</x:v>
      </x:c>
      <x:c r="Y34" s="64" t="n">
        <x:v>0</x:v>
      </x:c>
    </x:row>
    <x:row r="35">
      <x:c r="X35" s="64" t="n">
        <x:f>MIN('残差明细'!$F$331:$F$491)+(MAX('残差明细'!$F$331:$F$491)-MIN('残差明细'!$F$331:$F$491))*7/10</x:f>
        <x:v>0.1886314863244873</x:v>
      </x:c>
      <x:c r="Y35" s="64" t="n">
        <x:v>0</x:v>
      </x:c>
    </x:row>
    <x:row r="36">
      <x:c r="X36" s="64" t="n">
        <x:f>MIN('残差明细'!$F$331:$F$491)+(MAX('残差明细'!$F$331:$F$491)-MIN('残差明细'!$F$331:$F$491))*8/10</x:f>
        <x:v>0.2155396734046292</x:v>
      </x:c>
      <x:c r="Y36" s="64" t="n">
        <x:v>0</x:v>
      </x:c>
    </x:row>
    <x:row r="37">
      <x:c r="X37" s="64" t="n">
        <x:f>MIN('残差明细'!$F$331:$F$491)+(MAX('残差明细'!$F$331:$F$491)-MIN('残差明细'!$F$331:$F$491))*9/10</x:f>
        <x:v>0.2424478604847711</x:v>
      </x:c>
      <x:c r="Y37" s="64" t="n">
        <x:v>0</x:v>
      </x:c>
    </x:row>
    <x:row r="38">
      <x:c r="X38" s="64" t="n">
        <x:f>MIN('残差明细'!$F$331:$F$491)+(MAX('残差明细'!$F$331:$F$491)-MIN('残差明细'!$F$331:$F$491))*10/10</x:f>
        <x:v>0.269356047564913</x:v>
      </x:c>
      <x:c r="Y38" s="64" t="n">
        <x:v>0</x:v>
      </x:c>
    </x:row>
    <x:row r="39">
      <x:c r="X39" s="64"/>
      <x:c r="Y39" s="64"/>
    </x:row>
    <x:row r="40">
      <x:c r="X40" s="64"/>
      <x:c r="Y40" s="64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81662cc62ce5418d"/>
</x:worksheet>
</file>